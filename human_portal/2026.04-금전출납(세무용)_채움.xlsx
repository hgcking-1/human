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gcking\human_portal\"/>
    </mc:Choice>
  </mc:AlternateContent>
  <bookViews>
    <workbookView xWindow="390" yWindow="390" windowWidth="21840" windowHeight="14565" tabRatio="951"/>
  </bookViews>
  <sheets>
    <sheet name="미입금(채움)" sheetId="16" r:id="rId1"/>
    <sheet name="채움0401" sheetId="10" r:id="rId2"/>
    <sheet name="시재" sheetId="14" r:id="rId3"/>
    <sheet name="부가세" sheetId="15" r:id="rId4"/>
  </sheets>
  <definedNames>
    <definedName name="_xlnm._FilterDatabase" localSheetId="0" hidden="1">'미입금(채움)'!$A$4:$J$4</definedName>
    <definedName name="_xlnm._FilterDatabase" localSheetId="2" hidden="1">시재!$A$4:$Q$91</definedName>
    <definedName name="_xlnm._FilterDatabase" localSheetId="1" hidden="1">채움0401!$A$4:$L$721</definedName>
  </definedNames>
  <calcPr calcId="162913"/>
  <fileRecoveryPr repairLoad="1"/>
</workbook>
</file>

<file path=xl/calcChain.xml><?xml version="1.0" encoding="utf-8"?>
<calcChain xmlns="http://schemas.openxmlformats.org/spreadsheetml/2006/main">
  <c r="F1" i="14" l="1"/>
  <c r="D2" i="16" l="1"/>
  <c r="A10" i="16"/>
  <c r="A11" i="16"/>
  <c r="G9" i="15"/>
  <c r="A9" i="16"/>
  <c r="I72" i="14" l="1"/>
  <c r="I71" i="14"/>
  <c r="I83" i="14" s="1"/>
  <c r="A5" i="16" l="1"/>
  <c r="A6" i="16"/>
  <c r="A7" i="16"/>
  <c r="A8" i="16"/>
  <c r="F2" i="16"/>
  <c r="B1" i="14"/>
  <c r="D11" i="15" l="1"/>
  <c r="C11" i="15"/>
  <c r="E11" i="15" l="1"/>
  <c r="E2" i="16"/>
  <c r="E9" i="15"/>
  <c r="D9" i="15"/>
  <c r="C9" i="15"/>
  <c r="D10" i="15"/>
  <c r="C10" i="15"/>
  <c r="C14" i="15" s="1"/>
  <c r="E10" i="15" l="1"/>
  <c r="D14" i="15"/>
  <c r="G10" i="15" l="1"/>
  <c r="G14" i="15" s="1"/>
  <c r="E14" i="15"/>
</calcChain>
</file>

<file path=xl/sharedStrings.xml><?xml version="1.0" encoding="utf-8"?>
<sst xmlns="http://schemas.openxmlformats.org/spreadsheetml/2006/main" count="2025" uniqueCount="459">
  <si>
    <t>(주)두잉씨앤에스</t>
  </si>
  <si>
    <t>작성일자</t>
  </si>
  <si>
    <t>상호</t>
  </si>
  <si>
    <t>일용비</t>
  </si>
  <si>
    <t>비고</t>
    <phoneticPr fontId="5" type="noConversion"/>
  </si>
  <si>
    <t>입금일</t>
    <phoneticPr fontId="5" type="noConversion"/>
  </si>
  <si>
    <t/>
  </si>
  <si>
    <t>주식회사 엠엠에스컴퍼니</t>
  </si>
  <si>
    <t>(주) 에스에스엘</t>
  </si>
  <si>
    <t>수수료</t>
  </si>
  <si>
    <t>(주)토탈코리아</t>
  </si>
  <si>
    <t>(주)코스콤</t>
  </si>
  <si>
    <t>기장료</t>
  </si>
  <si>
    <t>조정료</t>
  </si>
  <si>
    <t>법무사 양근형 사무소</t>
  </si>
  <si>
    <t>용역비</t>
  </si>
  <si>
    <t>주식회사 누리서비스</t>
  </si>
  <si>
    <t>(주)프로에스콤</t>
  </si>
  <si>
    <t>(주)삼구아이앤씨</t>
  </si>
  <si>
    <t>세이프 코리아</t>
  </si>
  <si>
    <t>채움서비스</t>
  </si>
  <si>
    <t>인증서발급</t>
  </si>
  <si>
    <t>(주)스카이쇼랩</t>
  </si>
  <si>
    <t>(주)고암</t>
  </si>
  <si>
    <t>유한책임회사 티지아이코리아</t>
  </si>
  <si>
    <t>(주)라이팅코리아프로</t>
  </si>
  <si>
    <t>(주)로젠택배 종로지사</t>
  </si>
  <si>
    <t>두더지오가 (대상건기)</t>
  </si>
  <si>
    <t>케이비드 주식회사</t>
  </si>
  <si>
    <t>연회비</t>
  </si>
  <si>
    <t>법인조정료</t>
  </si>
  <si>
    <t>코리아크레딧뷰로(주)</t>
  </si>
  <si>
    <t>서림세무법인 강남지사</t>
  </si>
  <si>
    <t>(주)호산서비스</t>
  </si>
  <si>
    <t>(주)이노서브에프엠</t>
  </si>
  <si>
    <t>주식회사에이스조명</t>
  </si>
  <si>
    <t>기업평가상품</t>
  </si>
  <si>
    <t>(주)윌앤비전</t>
  </si>
  <si>
    <t>주식회사 우성</t>
  </si>
  <si>
    <t>세무법인명성(홍익지점)</t>
  </si>
  <si>
    <t>일용비 (하얏트)</t>
  </si>
  <si>
    <t>일용비 (파크하얏트)</t>
  </si>
  <si>
    <t>일용비 (오크우드)</t>
  </si>
  <si>
    <t>일용비 (소노벨)</t>
  </si>
  <si>
    <t>일용비 (풀만호텔)</t>
  </si>
  <si>
    <t>일용비 (라까사호텔 광명)</t>
  </si>
  <si>
    <t>일용비 (롯데시티 명동)</t>
  </si>
  <si>
    <t>일용비 (반얀트리)</t>
  </si>
  <si>
    <t>일용비 (라마다 동대문)</t>
  </si>
  <si>
    <t>일용비 (카카오 픽코마)</t>
  </si>
  <si>
    <t>일용비 (패스트파이브-1권역)</t>
  </si>
  <si>
    <t>일용비 (패스트파이브-2권역)</t>
  </si>
  <si>
    <t>일용비 (패스트파이브-3권역)</t>
  </si>
  <si>
    <t>일용비 (용산 드래곤시티)</t>
  </si>
  <si>
    <t>일용비 (롯데시티명동)</t>
  </si>
  <si>
    <t>일용비 (포포인츠)</t>
  </si>
  <si>
    <t>기장수수료</t>
  </si>
  <si>
    <t>일용비 (인터컨티넨탈 파르나스)</t>
  </si>
  <si>
    <t>일용비 (용산드래곤시티)</t>
  </si>
  <si>
    <t>일용비 (라까사)</t>
  </si>
  <si>
    <t>(주)현운서비스</t>
  </si>
  <si>
    <t>주식회사 엔젤스태프</t>
  </si>
  <si>
    <t>일용비 (나인트리)</t>
  </si>
  <si>
    <t>주식회사 더맨</t>
  </si>
  <si>
    <t>일용비 (JW메리어트)</t>
  </si>
  <si>
    <t>일용비 (포시즌스)</t>
  </si>
  <si>
    <t>일용비 (신라호텔-객실관리)</t>
  </si>
  <si>
    <t>일용비 (제주롯데호텔)</t>
  </si>
  <si>
    <t>일용비 (카카오픽코마)</t>
  </si>
  <si>
    <t>일용비 (알로프트 강남)</t>
  </si>
  <si>
    <t>일용비 (오라카이)</t>
  </si>
  <si>
    <t>주식회사 더에이치케이파트너스</t>
  </si>
  <si>
    <t>일용비 (현대백화점 판교점)</t>
  </si>
  <si>
    <t>일용비 (PJ호텔)</t>
  </si>
  <si>
    <t>일용비 (용산머큐어호텔)</t>
  </si>
  <si>
    <t>㈜두잉씨앤에스</t>
  </si>
  <si>
    <t>일용비 (소노캄 고양-룸메이드)</t>
  </si>
  <si>
    <t>주식회사 우림</t>
  </si>
  <si>
    <t>일산소노캄</t>
  </si>
  <si>
    <t>일용비 (소노벨-룸메이드)</t>
  </si>
  <si>
    <t>천안 소노벨</t>
  </si>
  <si>
    <t>일용비 (소노캄)</t>
  </si>
  <si>
    <t>일용비 (소노캄 고양)</t>
  </si>
  <si>
    <t>주식회사 동성기획</t>
  </si>
  <si>
    <t>신화에스피씨 주식회사</t>
  </si>
  <si>
    <t>소노벨 인력관리비</t>
  </si>
  <si>
    <t>매출합계금액</t>
    <phoneticPr fontId="4" type="noConversion"/>
  </si>
  <si>
    <t>매출공급가액</t>
    <phoneticPr fontId="4" type="noConversion"/>
  </si>
  <si>
    <t>매출세액</t>
    <phoneticPr fontId="4" type="noConversion"/>
  </si>
  <si>
    <t>매입합계금</t>
    <phoneticPr fontId="4" type="noConversion"/>
  </si>
  <si>
    <t>매입공급가액</t>
    <phoneticPr fontId="4" type="noConversion"/>
  </si>
  <si>
    <t>매입세액</t>
    <phoneticPr fontId="4" type="noConversion"/>
  </si>
  <si>
    <t>통장</t>
    <phoneticPr fontId="4" type="noConversion"/>
  </si>
  <si>
    <t>출금일</t>
    <phoneticPr fontId="4" type="noConversion"/>
  </si>
  <si>
    <t>주식회사 채움서비스</t>
    <phoneticPr fontId="4" type="noConversion"/>
  </si>
  <si>
    <t>경기도 의정부시</t>
  </si>
  <si>
    <t>한국토지주택공사 경기남부지역본부</t>
  </si>
  <si>
    <t>안평CE</t>
  </si>
  <si>
    <t>(주)스테이지인</t>
  </si>
  <si>
    <t>(주)엘림비엠에스</t>
  </si>
  <si>
    <t>주식회사 스테이지인</t>
  </si>
  <si>
    <t>㈜세트데인</t>
  </si>
  <si>
    <t>㈜삼구아이앤씨</t>
  </si>
  <si>
    <t>주식회사 라이트온컴퍼니</t>
  </si>
  <si>
    <t>원 이펙트</t>
  </si>
  <si>
    <t>주식회사 메가스틸</t>
  </si>
  <si>
    <t>주식회사 씨라이팅</t>
  </si>
  <si>
    <t>수정계산서</t>
  </si>
  <si>
    <t>일용비-소노벨외국인</t>
  </si>
  <si>
    <t>일용비-풀만외국인</t>
  </si>
  <si>
    <t>흥선마을 주민거점공간 경비용역비</t>
  </si>
  <si>
    <t>2024년 흥선마을 주민거점공간 경비 및 관리용역</t>
  </si>
  <si>
    <t>한국토지주택공사 화성사업본부 관할 사업지구 보유토지 관리용역 1회 용역비</t>
  </si>
  <si>
    <t>한국토지주택공사 화성사업본부 관할 사업지구 보유토지 관리용역 2회 용역비</t>
  </si>
  <si>
    <t>한국토지주택공사 화성사업본부 관할 사업지구 보유토지 관리용역 3회 용역비</t>
  </si>
  <si>
    <t>한국토지주택공사 화성사업본부 관할 사업지구 보유토지 관리용역 4회 용역비</t>
  </si>
  <si>
    <t>한국토지주택공사 화성사업본부 관할 사업지구 보유토지 관리용역 5회 용역비</t>
  </si>
  <si>
    <t>한국토지주택공사 화성사업본부 관할 사업지구 보유토지 관리용역 6회 용역비</t>
  </si>
  <si>
    <t>한국토지주택공사 화성사업본부 관할 사업지구 보유토지 관리용역 7회 용역비</t>
  </si>
  <si>
    <t>한국토지주택공사 화성사업본부 관할 사업지구 보유토지 관리용역 8회 용역비</t>
  </si>
  <si>
    <t>한국토지주택공사 화성사업본부 관할 사업지구 보유토지 관리용역 9회 용역비</t>
  </si>
  <si>
    <t>한국토지주택공사 화성사업본부 관할 사업지구 보유토지 관리용역 10회 용역비</t>
  </si>
  <si>
    <t>한국토지주택공사 화성사업본부 관할 사업지구 보유토지 관리용역 11회 용역비</t>
  </si>
  <si>
    <t>한국토지주택공사 화성사업본부 관할 사업지구 보유토지 관리용역 12회 용역비</t>
  </si>
  <si>
    <t>일용비 (롯데호텔 서울)</t>
  </si>
  <si>
    <t>일용비 (서초 힐튼호텔)</t>
  </si>
  <si>
    <t>일용비 (신라호텔-세탁실)</t>
  </si>
  <si>
    <t>일용비 (신라호텔-객실)</t>
  </si>
  <si>
    <t>일용비 (인터컨티 파르나스)</t>
  </si>
  <si>
    <t xml:space="preserve"> 일용비 (포시즌스)</t>
  </si>
  <si>
    <t>일용비 (롯데시티 마포)</t>
  </si>
  <si>
    <t>일용비 (소노캄)-룸메이드</t>
  </si>
  <si>
    <t>일용비(포시즌스호텔)-룸메이드</t>
  </si>
  <si>
    <t>일용비 (포시즌스호텔)-룸메이드</t>
  </si>
  <si>
    <t>일용비 (쏠비치 남해)</t>
  </si>
  <si>
    <t>일용비 (스파크플러스)</t>
  </si>
  <si>
    <t>일용비 (씨제이 올리브영 본사)</t>
  </si>
  <si>
    <t>일용비 (이케아 기흥)</t>
  </si>
  <si>
    <t xml:space="preserve">일용비 (신라호텔-객실) </t>
  </si>
  <si>
    <t xml:space="preserve">일용비 (신라호텔-세탁실) </t>
  </si>
  <si>
    <t xml:space="preserve">일용비 (소노캄 고양) </t>
  </si>
  <si>
    <t>일용비 (용산 나인트리 로카우스)</t>
  </si>
  <si>
    <t>일용비 (엠넷)</t>
  </si>
  <si>
    <t xml:space="preserve">일용비 (레이어스튜디오) </t>
  </si>
  <si>
    <t>일용비 (웨스틴 서울 파르나스)</t>
  </si>
  <si>
    <t>일용비 (시그니쳐타워)</t>
  </si>
  <si>
    <t>일용비 (태평로빌딩)</t>
  </si>
  <si>
    <t>일용비 (포포인츠 강남)</t>
  </si>
  <si>
    <t>일용비 (포시즌스호텔)</t>
  </si>
  <si>
    <t>일용비 (스카이쇼랩)</t>
  </si>
  <si>
    <t>일용비 (신라-세탁실)</t>
  </si>
  <si>
    <t>일용비 (신라-객실)</t>
  </si>
  <si>
    <t>일용비 (풀만)</t>
  </si>
  <si>
    <t>일용비 (용산 머큐어)</t>
  </si>
  <si>
    <t>일용비 (롯데시티마포)</t>
  </si>
  <si>
    <t>일용비 (스파크 플러스)</t>
  </si>
  <si>
    <t>일용비 (롯데호텔 소공)</t>
  </si>
  <si>
    <t>휴먼으로 재발급</t>
  </si>
  <si>
    <t>일용비 (롯데백화점 동탄)</t>
  </si>
  <si>
    <t>일용비 (김포현대아울렛)</t>
  </si>
  <si>
    <t>일용비 (안다즈)</t>
  </si>
  <si>
    <t>일용비 (올리브영)</t>
  </si>
  <si>
    <t>일용비 (웨스틴 조선 서울)</t>
  </si>
  <si>
    <t>일용비 (명동 보코호텔)</t>
  </si>
  <si>
    <t>일용비 (코트야드메리어트 판교)</t>
  </si>
  <si>
    <t>일용비 (용산 머큐어호텔)</t>
  </si>
  <si>
    <t>일용비 (올리브영 본사)</t>
  </si>
  <si>
    <t>일용비 (웨스틴조선서울)</t>
  </si>
  <si>
    <t>일용비 (코트야드메리어트 수원)</t>
  </si>
  <si>
    <t>일용비 (포시즌스 호텔)</t>
  </si>
  <si>
    <t>일용비 (김포 현대아울렛)</t>
  </si>
  <si>
    <t>일용비 (포시즌스-룸메이드)</t>
  </si>
  <si>
    <t>일용비 (포시즌스-베딩)</t>
  </si>
  <si>
    <t xml:space="preserve">일용비 (웨스턴 조선) </t>
  </si>
  <si>
    <t>일용비 (포시즌스-배딩)</t>
  </si>
  <si>
    <t>스테이지인</t>
  </si>
  <si>
    <t>김지영</t>
  </si>
  <si>
    <t>(주)은림영우</t>
  </si>
  <si>
    <t>우리건물관리(주)</t>
  </si>
  <si>
    <t>주식회사 청원</t>
  </si>
  <si>
    <t>탑비즈</t>
  </si>
  <si>
    <t>주식회사 단비</t>
  </si>
  <si>
    <t>세무법인 명성(홍익지점)</t>
  </si>
  <si>
    <t>세무법인명성(홍익지점)신고</t>
  </si>
  <si>
    <t>스테이션615 관리단</t>
  </si>
  <si>
    <t>롯데렌탈(주)</t>
  </si>
  <si>
    <t>경비용분사기 SOS-404</t>
  </si>
  <si>
    <t>22년 10월임대료</t>
  </si>
  <si>
    <t>22년 11월임대료</t>
  </si>
  <si>
    <t>관리비</t>
  </si>
  <si>
    <t>2022년11월 일반관리비</t>
  </si>
  <si>
    <t>22년 12월임대료</t>
  </si>
  <si>
    <t>23년 1월 임대료</t>
  </si>
  <si>
    <t>2022년12월 일반관리비외</t>
  </si>
  <si>
    <t>1302호 관리비</t>
  </si>
  <si>
    <t>23년 2월 임대료</t>
  </si>
  <si>
    <t>2023년 3월임대료</t>
  </si>
  <si>
    <t>2월 아르바이트</t>
  </si>
  <si>
    <t>의정부 보수공사 외3</t>
  </si>
  <si>
    <t>23년 4월 임대료</t>
  </si>
  <si>
    <t>2023년 5월임대료</t>
  </si>
  <si>
    <t>의정부 앵글네이트 자재 외</t>
  </si>
  <si>
    <t>2023년 6월임대료</t>
  </si>
  <si>
    <t>2023년 7월임대료</t>
  </si>
  <si>
    <t>2023년 8월임대료</t>
  </si>
  <si>
    <t>8월,9월 임대료</t>
  </si>
  <si>
    <t>10월임대료</t>
  </si>
  <si>
    <t>11월임대료</t>
  </si>
  <si>
    <t>12월임대료</t>
  </si>
  <si>
    <t>24년 2월임대료(1/16~2/15)</t>
  </si>
  <si>
    <t>24년3월임대료(2/15~3/15)</t>
  </si>
  <si>
    <t>24년4월이대료(3/16~4/15)</t>
  </si>
  <si>
    <t>정보이용료</t>
  </si>
  <si>
    <t>청소용역료</t>
  </si>
  <si>
    <t>24년5월이대료(4/16~5/15)</t>
  </si>
  <si>
    <t>24년6월임대료(5/16~6/15)</t>
  </si>
  <si>
    <t>청소용역료(5월)</t>
  </si>
  <si>
    <t>24년7월임대료(6/16~7/15)</t>
  </si>
  <si>
    <t>청소용역료(6월)</t>
  </si>
  <si>
    <t>24년7월임대료(5/16~6/15)</t>
  </si>
  <si>
    <t>청소용역료(7월)</t>
  </si>
  <si>
    <t>1302관리비</t>
  </si>
  <si>
    <t>청소용역료(8월)</t>
  </si>
  <si>
    <t>24년9월임대료(8/16~9/15)</t>
  </si>
  <si>
    <t>24년10월임대료(9/16~10/15)</t>
  </si>
  <si>
    <t>청소용역료(9월)</t>
  </si>
  <si>
    <t>24년11월임대료(10/16~11/15)</t>
  </si>
  <si>
    <t>청소용역료(10월)</t>
  </si>
  <si>
    <t>청소용역료(11월)</t>
  </si>
  <si>
    <t>월세(11/16~12/15)</t>
  </si>
  <si>
    <t>월세(12/16~25'1/15)</t>
  </si>
  <si>
    <t>월세('25/1/16~2/15)</t>
  </si>
  <si>
    <t>청소용역료(1월)</t>
  </si>
  <si>
    <t>월세('25/2/16~3/15)</t>
  </si>
  <si>
    <t>24년12월 관리비</t>
  </si>
  <si>
    <t>월세(3/16~4/15)</t>
  </si>
  <si>
    <t>25년1월 관리비</t>
  </si>
  <si>
    <t>25년2월 관리비</t>
  </si>
  <si>
    <t>월세('25/4/16~5/15)</t>
  </si>
  <si>
    <t>25년 3월 관리비</t>
  </si>
  <si>
    <t>월세(25/05/16~6/15)</t>
  </si>
  <si>
    <t>25년 4월 관리비</t>
  </si>
  <si>
    <t>도봉 인력비</t>
  </si>
  <si>
    <t>월세('25/6/16~7/15)</t>
  </si>
  <si>
    <t>169호7344 THE NEW RAY (G) 1.0 스탠다드</t>
  </si>
  <si>
    <t>25년 5월 관리비</t>
  </si>
  <si>
    <t>월세(25/7/16~8/15)</t>
  </si>
  <si>
    <t>25년 6월 관리비</t>
  </si>
  <si>
    <t>포시즌  외국인인력</t>
  </si>
  <si>
    <t>소노캄7/1~27</t>
  </si>
  <si>
    <t>쏠비치 남해</t>
  </si>
  <si>
    <t>월세('25/8/16~9/15)</t>
  </si>
  <si>
    <t>25년 7월 관리비</t>
  </si>
  <si>
    <t>인스파이어</t>
  </si>
  <si>
    <t>롯데제주</t>
  </si>
  <si>
    <t>월세('25/9/16~10/15)</t>
  </si>
  <si>
    <t>25년 8월 관리비</t>
  </si>
  <si>
    <t>롯데 제주</t>
  </si>
  <si>
    <t>월세('25/10/16~11/15)</t>
  </si>
  <si>
    <t>25년 9월 관리비</t>
  </si>
  <si>
    <t>인력 관리비</t>
  </si>
  <si>
    <t>일산 소노캄 인력비</t>
  </si>
  <si>
    <t>천안 소노벨 일력비</t>
  </si>
  <si>
    <t>월세(25/11/16~12/15)</t>
  </si>
  <si>
    <t>인력비</t>
  </si>
  <si>
    <t xml:space="preserve">      인력 관리비</t>
  </si>
  <si>
    <t>25년 10월 관리비</t>
  </si>
  <si>
    <t xml:space="preserve">          울산 인력비</t>
  </si>
  <si>
    <t>12월임대료(12/16~26/1/15)</t>
  </si>
  <si>
    <t>25년 11월 관리비</t>
  </si>
  <si>
    <t>26년1월임대료(1/16~2/15)</t>
  </si>
  <si>
    <t>롯데 제주 인력관리비</t>
  </si>
  <si>
    <t>25년 12월 관리비</t>
  </si>
  <si>
    <t>26년 2월월세(2/16~3/15)</t>
  </si>
  <si>
    <t>제주 롯데 인력관리비</t>
  </si>
  <si>
    <t>26년 1월 관리비</t>
  </si>
  <si>
    <t>월세('26/3/16~4/15)</t>
  </si>
  <si>
    <t>포시즌 인력관리비</t>
  </si>
  <si>
    <t>26년 2월 관리비</t>
  </si>
  <si>
    <t>월세('26/4/16~5/15)</t>
  </si>
  <si>
    <t>10/27</t>
  </si>
  <si>
    <t>11/18</t>
  </si>
  <si>
    <t>11/3</t>
  </si>
  <si>
    <t>1/2</t>
  </si>
  <si>
    <t>12/9</t>
  </si>
  <si>
    <t>1/19</t>
  </si>
  <si>
    <t>3/16</t>
  </si>
  <si>
    <t>2/28</t>
  </si>
  <si>
    <t>3/24</t>
  </si>
  <si>
    <t>3/27</t>
  </si>
  <si>
    <t>4/27</t>
  </si>
  <si>
    <t>4/7</t>
  </si>
  <si>
    <t>5/30</t>
  </si>
  <si>
    <t>6/26</t>
  </si>
  <si>
    <t>7/25</t>
  </si>
  <si>
    <t>8/29</t>
  </si>
  <si>
    <t>8/29(572,000)</t>
  </si>
  <si>
    <t>4/11 휴먼통장에서 지급</t>
  </si>
  <si>
    <t>6/10 3천만원 이체</t>
  </si>
  <si>
    <t>가지급금상계</t>
  </si>
  <si>
    <t>9/5</t>
  </si>
  <si>
    <t>9/10</t>
  </si>
  <si>
    <t>가지급금 상계 아니고 계산서 취소발행</t>
  </si>
  <si>
    <t>10/10</t>
  </si>
  <si>
    <t>11/10</t>
  </si>
  <si>
    <t>11/14</t>
  </si>
  <si>
    <t>계좌</t>
  </si>
  <si>
    <t>날짜</t>
  </si>
  <si>
    <t>적요</t>
  </si>
  <si>
    <t>입금액(원)</t>
  </si>
  <si>
    <t>출금액(원)</t>
  </si>
  <si>
    <t>우리</t>
  </si>
  <si>
    <t>인건비</t>
    <phoneticPr fontId="4" type="noConversion"/>
  </si>
  <si>
    <t>(주)씨라이팅</t>
  </si>
  <si>
    <t>이경미</t>
    <phoneticPr fontId="4" type="noConversion"/>
  </si>
  <si>
    <t>제외 항목</t>
    <phoneticPr fontId="4" type="noConversion"/>
  </si>
  <si>
    <t>O</t>
    <phoneticPr fontId="4" type="noConversion"/>
  </si>
  <si>
    <t>우리</t>
    <phoneticPr fontId="4" type="noConversion"/>
  </si>
  <si>
    <r>
      <rPr>
        <sz val="10"/>
        <rFont val="맑은 고딕"/>
        <family val="2"/>
        <charset val="129"/>
      </rPr>
      <t>일용비</t>
    </r>
    <r>
      <rPr>
        <sz val="10"/>
        <rFont val="Arial"/>
        <family val="2"/>
      </rPr>
      <t xml:space="preserve"> (</t>
    </r>
    <r>
      <rPr>
        <sz val="10"/>
        <rFont val="맑은 고딕"/>
        <family val="2"/>
        <charset val="129"/>
      </rPr>
      <t>소노벨</t>
    </r>
    <r>
      <rPr>
        <sz val="10"/>
        <rFont val="Arial"/>
        <family val="2"/>
      </rPr>
      <t>)</t>
    </r>
    <phoneticPr fontId="4" type="noConversion"/>
  </si>
  <si>
    <r>
      <rPr>
        <sz val="10"/>
        <rFont val="맑은 고딕"/>
        <family val="2"/>
        <charset val="129"/>
      </rPr>
      <t>세무법인명성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홍익지점</t>
    </r>
    <r>
      <rPr>
        <sz val="10"/>
        <rFont val="Arial"/>
        <family val="2"/>
      </rPr>
      <t>)</t>
    </r>
    <phoneticPr fontId="4" type="noConversion"/>
  </si>
  <si>
    <t>기장수수료</t>
    <phoneticPr fontId="4" type="noConversion"/>
  </si>
  <si>
    <t>하나</t>
  </si>
  <si>
    <t>농협</t>
  </si>
  <si>
    <t>신한</t>
  </si>
  <si>
    <t>합계</t>
    <phoneticPr fontId="4" type="noConversion"/>
  </si>
  <si>
    <t>카드에서 매입금액 +</t>
    <phoneticPr fontId="4" type="noConversion"/>
  </si>
  <si>
    <t>(-) 가 납부할금액</t>
    <phoneticPr fontId="4" type="noConversion"/>
  </si>
  <si>
    <t>부가세</t>
    <phoneticPr fontId="4" type="noConversion"/>
  </si>
  <si>
    <t>매출</t>
    <phoneticPr fontId="4" type="noConversion"/>
  </si>
  <si>
    <t>매입</t>
    <phoneticPr fontId="4" type="noConversion"/>
  </si>
  <si>
    <t>계 (매입-매출)</t>
    <phoneticPr fontId="4" type="noConversion"/>
  </si>
  <si>
    <t>매입정정</t>
    <phoneticPr fontId="4" type="noConversion"/>
  </si>
  <si>
    <t>부가세납부금액</t>
    <phoneticPr fontId="4" type="noConversion"/>
  </si>
  <si>
    <t>2025년</t>
    <phoneticPr fontId="4" type="noConversion"/>
  </si>
  <si>
    <t>1~3월</t>
    <phoneticPr fontId="4" type="noConversion"/>
  </si>
  <si>
    <t>4~6월</t>
    <phoneticPr fontId="4" type="noConversion"/>
  </si>
  <si>
    <t>7~9월</t>
    <phoneticPr fontId="4" type="noConversion"/>
  </si>
  <si>
    <t>10~12월</t>
    <phoneticPr fontId="4" type="noConversion"/>
  </si>
  <si>
    <t>2026년</t>
    <phoneticPr fontId="4" type="noConversion"/>
  </si>
  <si>
    <t>1~3월</t>
  </si>
  <si>
    <t>4/25</t>
  </si>
  <si>
    <t>4~6월</t>
  </si>
  <si>
    <t>7/25, 10/31, 1/30, 2/27</t>
  </si>
  <si>
    <t>7~9월</t>
  </si>
  <si>
    <t>10~12월</t>
  </si>
  <si>
    <t>합계금액</t>
  </si>
  <si>
    <t>공급가액</t>
  </si>
  <si>
    <t>세액</t>
  </si>
  <si>
    <t>업체 미입금내역(채움)</t>
    <phoneticPr fontId="4" type="noConversion"/>
  </si>
  <si>
    <t>품목비고</t>
  </si>
  <si>
    <t>(주)프로에스콤</t>
    <phoneticPr fontId="4" type="noConversion"/>
  </si>
  <si>
    <t>일용비 (소노캄 고양)</t>
    <phoneticPr fontId="4" type="noConversion"/>
  </si>
  <si>
    <t>롯데 제주 인력관리비</t>
    <phoneticPr fontId="4" type="noConversion"/>
  </si>
  <si>
    <t>하나</t>
    <phoneticPr fontId="4" type="noConversion"/>
  </si>
  <si>
    <r>
      <t>두잉은</t>
    </r>
    <r>
      <rPr>
        <sz val="10"/>
        <rFont val="돋움"/>
        <family val="2"/>
        <charset val="129"/>
      </rPr>
      <t xml:space="preserve"> 대체로 10일</t>
    </r>
    <phoneticPr fontId="4" type="noConversion"/>
  </si>
  <si>
    <t>호산도 대체로 10일</t>
    <phoneticPr fontId="4" type="noConversion"/>
  </si>
  <si>
    <r>
      <t>엔젤스테프</t>
    </r>
    <r>
      <rPr>
        <sz val="10"/>
        <rFont val="돋움"/>
        <family val="2"/>
        <charset val="129"/>
      </rPr>
      <t xml:space="preserve"> 10일</t>
    </r>
    <phoneticPr fontId="4" type="noConversion"/>
  </si>
  <si>
    <t>㈜엔젤스태프</t>
    <phoneticPr fontId="4" type="noConversion"/>
  </si>
  <si>
    <t>일용비 (파크하얏트-부산)</t>
    <phoneticPr fontId="4" type="noConversion"/>
  </si>
  <si>
    <t>주식회사 우림</t>
    <phoneticPr fontId="4" type="noConversion"/>
  </si>
  <si>
    <t>소노벨 인력관리비</t>
    <phoneticPr fontId="4" type="noConversion"/>
  </si>
  <si>
    <t>SMS 수수료</t>
    <phoneticPr fontId="4" type="noConversion"/>
  </si>
  <si>
    <r>
      <rPr>
        <sz val="10"/>
        <rFont val="맑은 고딕"/>
        <family val="3"/>
        <charset val="129"/>
      </rPr>
      <t>임원급여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신재민</t>
    </r>
    <r>
      <rPr>
        <sz val="10"/>
        <rFont val="Arial"/>
        <family val="2"/>
      </rPr>
      <t>)</t>
    </r>
    <phoneticPr fontId="4" type="noConversion"/>
  </si>
  <si>
    <t>임원급여(신남영)</t>
    <phoneticPr fontId="4" type="noConversion"/>
  </si>
  <si>
    <r>
      <t>(</t>
    </r>
    <r>
      <rPr>
        <sz val="10"/>
        <rFont val="돋움"/>
        <family val="3"/>
        <charset val="129"/>
      </rPr>
      <t>주</t>
    </r>
    <r>
      <rPr>
        <sz val="10"/>
        <rFont val="Arial"/>
        <family val="3"/>
        <charset val="129"/>
      </rPr>
      <t>)</t>
    </r>
    <r>
      <rPr>
        <sz val="10"/>
        <rFont val="돋움"/>
        <family val="3"/>
        <charset val="129"/>
      </rPr>
      <t>두잉씨앤에스</t>
    </r>
    <phoneticPr fontId="4" type="noConversion"/>
  </si>
  <si>
    <t>호산서비스</t>
    <phoneticPr fontId="4" type="noConversion"/>
  </si>
  <si>
    <r>
      <t>신한주식회사</t>
    </r>
    <r>
      <rPr>
        <sz val="10"/>
        <rFont val="Arial"/>
        <family val="3"/>
        <charset val="129"/>
      </rPr>
      <t xml:space="preserve"> </t>
    </r>
    <r>
      <rPr>
        <sz val="10"/>
        <rFont val="돋움"/>
        <family val="3"/>
        <charset val="129"/>
      </rPr>
      <t>우림</t>
    </r>
    <phoneticPr fontId="4" type="noConversion"/>
  </si>
  <si>
    <t>주식회사스테이지인</t>
    <phoneticPr fontId="4" type="noConversion"/>
  </si>
  <si>
    <t>농협</t>
    <phoneticPr fontId="4" type="noConversion"/>
  </si>
  <si>
    <t>신화에스피씨주식회사</t>
    <phoneticPr fontId="4" type="noConversion"/>
  </si>
  <si>
    <t>인천남동구(주식</t>
  </si>
  <si>
    <t>인천미추홀구(주</t>
  </si>
  <si>
    <t>인천부평구(주식</t>
  </si>
  <si>
    <t>기업169호7344</t>
  </si>
  <si>
    <t>하나일산대교(주)(</t>
  </si>
  <si>
    <t>국민인천대교</t>
  </si>
  <si>
    <t>우체주식회사 채움서</t>
  </si>
  <si>
    <t>경찰청_채움서비</t>
  </si>
  <si>
    <r>
      <t>169</t>
    </r>
    <r>
      <rPr>
        <sz val="10"/>
        <rFont val="돋움"/>
        <family val="3"/>
        <charset val="129"/>
      </rPr>
      <t>호</t>
    </r>
    <r>
      <rPr>
        <sz val="10"/>
        <rFont val="Arial"/>
        <family val="2"/>
      </rPr>
      <t xml:space="preserve">7344 </t>
    </r>
    <r>
      <rPr>
        <sz val="10"/>
        <rFont val="맑은 고딕"/>
        <family val="2"/>
        <charset val="129"/>
      </rPr>
      <t>과태료</t>
    </r>
    <phoneticPr fontId="4" type="noConversion"/>
  </si>
  <si>
    <t>비고</t>
    <phoneticPr fontId="4" type="noConversion"/>
  </si>
  <si>
    <t>4/14</t>
    <phoneticPr fontId="4" type="noConversion"/>
  </si>
  <si>
    <t>2026-04-12</t>
  </si>
  <si>
    <t>일용비 (포시즌스-배딩조)</t>
  </si>
  <si>
    <t>국고_주식회사</t>
  </si>
  <si>
    <t>신한인천김포고속도로</t>
  </si>
  <si>
    <t>경기의정부시(주</t>
  </si>
  <si>
    <r>
      <t>2025</t>
    </r>
    <r>
      <rPr>
        <sz val="10"/>
        <rFont val="맑은 고딕"/>
        <family val="2"/>
        <charset val="129"/>
      </rPr>
      <t>년 2분기 부가세 일부</t>
    </r>
    <phoneticPr fontId="4" type="noConversion"/>
  </si>
  <si>
    <t>3월 지방소득세</t>
    <phoneticPr fontId="4" type="noConversion"/>
  </si>
  <si>
    <t>3월 사업소득세</t>
    <phoneticPr fontId="4" type="noConversion"/>
  </si>
  <si>
    <t>일용비 (스테이지인)</t>
    <phoneticPr fontId="4" type="noConversion"/>
  </si>
  <si>
    <t>일용비 (토탈코리아)</t>
    <phoneticPr fontId="4" type="noConversion"/>
  </si>
  <si>
    <t>일용비 (씨라이팅)</t>
    <phoneticPr fontId="4" type="noConversion"/>
  </si>
  <si>
    <r>
      <rPr>
        <sz val="10"/>
        <rFont val="맑은 고딕"/>
        <family val="3"/>
        <charset val="129"/>
      </rPr>
      <t>일용비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소노캄</t>
    </r>
    <r>
      <rPr>
        <sz val="10"/>
        <rFont val="Arial"/>
        <family val="2"/>
      </rPr>
      <t>) - 3/9~31</t>
    </r>
    <phoneticPr fontId="4" type="noConversion"/>
  </si>
  <si>
    <t>일용비 (소노벨)</t>
    <phoneticPr fontId="4" type="noConversion"/>
  </si>
  <si>
    <r>
      <rPr>
        <sz val="10"/>
        <rFont val="맑은 고딕"/>
        <family val="3"/>
        <charset val="129"/>
      </rPr>
      <t>소노벨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인력관리비</t>
    </r>
    <phoneticPr fontId="4" type="noConversion"/>
  </si>
  <si>
    <t>채움 일용직</t>
    <phoneticPr fontId="4" type="noConversion"/>
  </si>
  <si>
    <t>소노캄_배정희 선지급</t>
    <phoneticPr fontId="4" type="noConversion"/>
  </si>
  <si>
    <t>유한책임회사티지아이</t>
  </si>
  <si>
    <t>신한주식회사 우림</t>
  </si>
  <si>
    <t>우리</t>
    <phoneticPr fontId="4" type="noConversion"/>
  </si>
  <si>
    <t>일용비 (파크하얏트-부산)</t>
  </si>
  <si>
    <t>하나</t>
    <phoneticPr fontId="4" type="noConversion"/>
  </si>
  <si>
    <t>포시즌</t>
    <phoneticPr fontId="4" type="noConversion"/>
  </si>
  <si>
    <t>우리</t>
    <phoneticPr fontId="4" type="noConversion"/>
  </si>
  <si>
    <t>포시즌 인력관리비</t>
    <phoneticPr fontId="4" type="noConversion"/>
  </si>
  <si>
    <t>웨스틴조선호텔 인건비</t>
    <phoneticPr fontId="4" type="noConversion"/>
  </si>
  <si>
    <t>2026-04-15</t>
  </si>
  <si>
    <t>2026-04-06</t>
  </si>
  <si>
    <t>일용비 (웨스턴 조선 룸메이드 상반기)</t>
  </si>
  <si>
    <t>일용비 (파크하얏트 상반기)</t>
  </si>
  <si>
    <t>일용비 (인천 롯데백화점 상반기)</t>
  </si>
  <si>
    <t>일용비 (웨스턴 조선 상반기)</t>
  </si>
  <si>
    <t>일용비 (안다즈 상반기)</t>
  </si>
  <si>
    <t>일용비 (신라호텔-세탁실 상반기)</t>
  </si>
  <si>
    <t>일용비 (신라호텔-객실 상반기)</t>
  </si>
  <si>
    <t>일용비 (하얏트 상반기)</t>
  </si>
  <si>
    <t>일용비 (오크우드 상반기)</t>
  </si>
  <si>
    <t>일용비 (파크하얏트 부산)</t>
  </si>
  <si>
    <r>
      <t>(</t>
    </r>
    <r>
      <rPr>
        <sz val="10"/>
        <rFont val="돋움"/>
        <family val="3"/>
        <charset val="129"/>
      </rPr>
      <t>주</t>
    </r>
    <r>
      <rPr>
        <sz val="10"/>
        <rFont val="Arial"/>
        <family val="3"/>
        <charset val="129"/>
      </rPr>
      <t>)</t>
    </r>
    <r>
      <rPr>
        <sz val="10"/>
        <rFont val="돋움"/>
        <family val="3"/>
        <charset val="129"/>
      </rPr>
      <t>삼구아이앤씨</t>
    </r>
    <phoneticPr fontId="4" type="noConversion"/>
  </si>
  <si>
    <t>우리</t>
    <phoneticPr fontId="4" type="noConversion"/>
  </si>
  <si>
    <t>웨스틴조선호텔 인건비</t>
  </si>
  <si>
    <t>KB생대출상환</t>
  </si>
  <si>
    <t>채움 열흘 지급건</t>
    <phoneticPr fontId="4" type="noConversion"/>
  </si>
  <si>
    <t>소노캄 내국인</t>
    <phoneticPr fontId="4" type="noConversion"/>
  </si>
  <si>
    <t>10일 세금(사업+지방)</t>
    <phoneticPr fontId="4" type="noConversion"/>
  </si>
  <si>
    <t>10일 임원급여</t>
    <phoneticPr fontId="4" type="noConversion"/>
  </si>
  <si>
    <t>10일 직원급여</t>
    <phoneticPr fontId="4" type="noConversion"/>
  </si>
  <si>
    <t>10일 인센티브</t>
    <phoneticPr fontId="4" type="noConversion"/>
  </si>
  <si>
    <t>23일 농협카드(농협)</t>
    <phoneticPr fontId="4" type="noConversion"/>
  </si>
  <si>
    <t>25일 기장료-농협</t>
    <phoneticPr fontId="4" type="noConversion"/>
  </si>
  <si>
    <t>25일 렌터카-하나</t>
    <phoneticPr fontId="4" type="noConversion"/>
  </si>
  <si>
    <t>25일-하나생명보험(하나)</t>
    <phoneticPr fontId="4" type="noConversion"/>
  </si>
  <si>
    <t>25일 보험-DB(농협)</t>
    <phoneticPr fontId="4" type="noConversion"/>
  </si>
  <si>
    <t>25일 보험-KB(농협)</t>
    <phoneticPr fontId="4" type="noConversion"/>
  </si>
  <si>
    <t>25일 보험-삼성생명(농협)</t>
    <phoneticPr fontId="4" type="noConversion"/>
  </si>
  <si>
    <t>27일 의정부사무실 임차료</t>
    <phoneticPr fontId="4" type="noConversion"/>
  </si>
  <si>
    <t>27일 의정부사무실 관리비</t>
    <phoneticPr fontId="4" type="noConversion"/>
  </si>
  <si>
    <t>농협-말일 4대보험</t>
    <phoneticPr fontId="4" type="noConversion"/>
  </si>
  <si>
    <t>우리</t>
    <phoneticPr fontId="4" type="noConversion"/>
  </si>
  <si>
    <r>
      <rPr>
        <sz val="10"/>
        <rFont val="맑은 고딕"/>
        <family val="3"/>
        <charset val="129"/>
      </rPr>
      <t>일용비</t>
    </r>
    <r>
      <rPr>
        <sz val="10"/>
        <rFont val="Arial"/>
        <family val="3"/>
      </rPr>
      <t xml:space="preserve"> (</t>
    </r>
    <r>
      <rPr>
        <sz val="10"/>
        <rFont val="맑은 고딕"/>
        <family val="3"/>
        <charset val="129"/>
      </rPr>
      <t>소노캄</t>
    </r>
    <r>
      <rPr>
        <sz val="10"/>
        <rFont val="Arial"/>
        <family val="3"/>
      </rPr>
      <t>) - 4/1~12</t>
    </r>
    <phoneticPr fontId="4" type="noConversion"/>
  </si>
  <si>
    <t>O</t>
  </si>
  <si>
    <t>우리</t>
    <phoneticPr fontId="4" type="noConversion"/>
  </si>
  <si>
    <t>(주)삼구아이앤씨</t>
    <phoneticPr fontId="4" type="noConversion"/>
  </si>
  <si>
    <r>
      <rPr>
        <sz val="10"/>
        <rFont val="맑은 고딕"/>
        <family val="2"/>
        <charset val="129"/>
      </rPr>
      <t>일용비</t>
    </r>
    <r>
      <rPr>
        <sz val="10"/>
        <rFont val="Arial"/>
        <family val="2"/>
        <charset val="129"/>
      </rPr>
      <t xml:space="preserve"> (</t>
    </r>
    <r>
      <rPr>
        <sz val="10"/>
        <rFont val="맑은 고딕"/>
        <family val="2"/>
        <charset val="129"/>
      </rPr>
      <t>소노벨</t>
    </r>
    <r>
      <rPr>
        <sz val="10"/>
        <rFont val="Arial"/>
        <family val="2"/>
        <charset val="129"/>
      </rPr>
      <t>)</t>
    </r>
    <phoneticPr fontId="4" type="noConversion"/>
  </si>
  <si>
    <t>확정 부가세</t>
    <phoneticPr fontId="4" type="noConversion"/>
  </si>
  <si>
    <r>
      <rPr>
        <sz val="10"/>
        <rFont val="맑은 고딕"/>
        <family val="3"/>
        <charset val="129"/>
      </rPr>
      <t>농협세무법인명성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홍</t>
    </r>
    <phoneticPr fontId="4" type="noConversion"/>
  </si>
  <si>
    <r>
      <t>3</t>
    </r>
    <r>
      <rPr>
        <sz val="10"/>
        <rFont val="맑은 고딕"/>
        <family val="2"/>
        <charset val="129"/>
      </rPr>
      <t>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법인세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신고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조정료</t>
    </r>
    <phoneticPr fontId="4" type="noConversion"/>
  </si>
  <si>
    <t>일용비</t>
    <phoneticPr fontId="4" type="noConversion"/>
  </si>
  <si>
    <t>조선</t>
  </si>
  <si>
    <t>시그니엘 인력관리비</t>
  </si>
  <si>
    <t>우리</t>
    <phoneticPr fontId="4" type="noConversion"/>
  </si>
  <si>
    <t>2026-04-25</t>
  </si>
  <si>
    <t>2026-04-20</t>
  </si>
  <si>
    <t>웨스틴 조선 룸메이드</t>
    <phoneticPr fontId="4" type="noConversion"/>
  </si>
  <si>
    <t>세무법인 명성(홍익지점)</t>
    <phoneticPr fontId="4" type="noConversion"/>
  </si>
  <si>
    <t>농협</t>
    <phoneticPr fontId="4" type="noConversion"/>
  </si>
  <si>
    <t>기장료</t>
    <phoneticPr fontId="4" type="noConversion"/>
  </si>
  <si>
    <t>합계금액</t>
    <phoneticPr fontId="4" type="noConversion"/>
  </si>
  <si>
    <t>~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</si>
</sst>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###,##0"/>
    <numFmt numFmtId="177" formatCode="#,##0_ "/>
    <numFmt numFmtId="178" formatCode="mm&quot;월&quot;\ dd&quot;일&quot;"/>
    <numFmt numFmtId="179" formatCode="yyyy/mm/dd;@"/>
    <numFmt numFmtId="180" formatCode="m&quot;월&quot;\ d&quot;일&quot;;@"/>
    <numFmt numFmtId="181" formatCode="#,##0_ ;[Red]\-#,##0\ "/>
    <numFmt numFmtId="182" formatCode="#,##0_);[Red]\(#,##0\)"/>
  </numFmts>
  <fonts count="44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rgb="FFFF0000"/>
      <name val="Arial"/>
      <family val="2"/>
    </font>
    <font>
      <b/>
      <sz val="10"/>
      <color rgb="FFFF000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10"/>
      <name val="Arial"/>
      <family val="3"/>
      <charset val="129"/>
    </font>
    <font>
      <sz val="10"/>
      <name val="맑은 고딕"/>
      <family val="3"/>
      <charset val="129"/>
      <scheme val="major"/>
    </font>
    <font>
      <sz val="10"/>
      <name val="맑은 고딕"/>
      <family val="2"/>
      <charset val="129"/>
    </font>
    <font>
      <sz val="10"/>
      <name val="Arial"/>
      <family val="2"/>
      <charset val="129"/>
    </font>
    <font>
      <sz val="10"/>
      <color rgb="FF0070C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8"/>
      <color theme="1"/>
      <name val="맑은 고딕"/>
      <family val="3"/>
      <charset val="129"/>
      <scheme val="major"/>
    </font>
    <font>
      <sz val="10"/>
      <name val="돋움"/>
      <family val="2"/>
      <charset val="129"/>
    </font>
    <font>
      <sz val="12"/>
      <name val="Calibri"/>
      <family val="2"/>
    </font>
    <font>
      <b/>
      <sz val="10"/>
      <color rgb="FFFF0000"/>
      <name val="맑은 고딕"/>
      <family val="3"/>
      <charset val="129"/>
    </font>
    <font>
      <b/>
      <sz val="10"/>
      <name val="Arial"/>
      <family val="2"/>
    </font>
    <font>
      <b/>
      <sz val="10"/>
      <name val="맑은 고딕"/>
      <family val="3"/>
      <charset val="129"/>
      <scheme val="major"/>
    </font>
    <font>
      <sz val="10"/>
      <name val="Arial"/>
      <family val="3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1250">
    <xf numFmtId="0" fontId="0" fillId="0" borderId="0" applyNumberFormat="0" applyFont="0" applyFill="0" applyBorder="0" applyAlignment="0" applyProtection="0"/>
    <xf numFmtId="41" fontId="2" fillId="0" borderId="0" applyNumberFormat="0" applyFont="0" applyFill="0" applyBorder="0" applyAlignment="0" applyProtection="0"/>
    <xf numFmtId="41" fontId="15" fillId="0" borderId="0">
      <alignment vertical="center"/>
    </xf>
    <xf numFmtId="41" fontId="3" fillId="0" borderId="0" applyNumberFormat="0" applyFont="0" applyFill="0" applyBorder="0" applyAlignment="0" applyProtection="0"/>
    <xf numFmtId="41" fontId="15" fillId="0" borderId="0">
      <alignment vertical="center"/>
    </xf>
    <xf numFmtId="41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NumberFormat="0" applyFont="0" applyFill="0" applyBorder="0" applyAlignment="0" applyProtection="0"/>
    <xf numFmtId="41" fontId="15" fillId="0" borderId="0">
      <alignment vertical="center"/>
    </xf>
    <xf numFmtId="41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" fillId="0" borderId="0"/>
    <xf numFmtId="0" fontId="14" fillId="0" borderId="0">
      <alignment vertical="center"/>
    </xf>
    <xf numFmtId="0" fontId="3" fillId="0" borderId="0"/>
    <xf numFmtId="0" fontId="12" fillId="0" borderId="0"/>
    <xf numFmtId="0" fontId="3" fillId="0" borderId="0"/>
    <xf numFmtId="0" fontId="13" fillId="0" borderId="0" applyNumberFormat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0"/>
    <xf numFmtId="0" fontId="2" fillId="0" borderId="0" applyNumberFormat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0"/>
    <xf numFmtId="0" fontId="26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  <xf numFmtId="0" fontId="1" fillId="0" borderId="0">
      <alignment vertical="center"/>
    </xf>
    <xf numFmtId="0" fontId="28" fillId="0" borderId="0"/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</cellStyleXfs>
  <cellXfs count="261">
    <xf numFmtId="0" fontId="0" fillId="0" borderId="0" xfId="0" applyNumberFormat="1" applyFont="1" applyFill="1" applyBorder="1" applyAlignment="1"/>
    <xf numFmtId="0" fontId="0" fillId="0" borderId="1" xfId="0" applyBorder="1" applyAlignment="1">
      <alignment horizontal="center" vertical="center"/>
    </xf>
    <xf numFmtId="3" fontId="17" fillId="4" borderId="2" xfId="1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7" fillId="2" borderId="2" xfId="1" applyNumberFormat="1" applyFont="1" applyFill="1" applyBorder="1" applyAlignment="1">
      <alignment horizontal="center" vertical="center"/>
    </xf>
    <xf numFmtId="14" fontId="16" fillId="0" borderId="0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16" fillId="0" borderId="2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3" fontId="17" fillId="4" borderId="0" xfId="1" applyNumberFormat="1" applyFont="1" applyFill="1" applyBorder="1" applyAlignment="1">
      <alignment horizontal="center" vertical="center"/>
    </xf>
    <xf numFmtId="0" fontId="17" fillId="2" borderId="0" xfId="1" applyNumberFormat="1" applyFont="1" applyFill="1" applyBorder="1" applyAlignment="1">
      <alignment horizontal="center"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14" fontId="16" fillId="0" borderId="3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4" fontId="20" fillId="0" borderId="2" xfId="41" applyNumberFormat="1" applyFont="1" applyBorder="1" applyAlignment="1">
      <alignment horizontal="center" vertical="center"/>
    </xf>
    <xf numFmtId="0" fontId="20" fillId="0" borderId="2" xfId="41" applyFont="1" applyBorder="1" applyAlignment="1">
      <alignment horizontal="center" vertical="center"/>
    </xf>
    <xf numFmtId="14" fontId="16" fillId="0" borderId="2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0" fillId="0" borderId="2" xfId="0" applyNumberFormat="1" applyFont="1" applyFill="1" applyBorder="1" applyAlignment="1">
      <alignment horizontal="center"/>
    </xf>
    <xf numFmtId="14" fontId="18" fillId="0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3" fontId="17" fillId="0" borderId="2" xfId="1" applyNumberFormat="1" applyFont="1" applyFill="1" applyBorder="1" applyAlignment="1">
      <alignment horizontal="center" vertical="center"/>
    </xf>
    <xf numFmtId="0" fontId="17" fillId="0" borderId="2" xfId="1" applyNumberFormat="1" applyFont="1" applyFill="1" applyBorder="1" applyAlignment="1">
      <alignment horizontal="center" vertical="center"/>
    </xf>
    <xf numFmtId="14" fontId="16" fillId="3" borderId="2" xfId="0" applyNumberFormat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14" fontId="16" fillId="7" borderId="2" xfId="0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14" fontId="20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14" fontId="20" fillId="0" borderId="2" xfId="39" applyNumberFormat="1" applyFont="1" applyBorder="1" applyAlignment="1">
      <alignment horizontal="center" vertical="center"/>
    </xf>
    <xf numFmtId="0" fontId="20" fillId="0" borderId="2" xfId="39" applyFont="1" applyBorder="1" applyAlignment="1">
      <alignment horizontal="center" vertical="center"/>
    </xf>
    <xf numFmtId="14" fontId="20" fillId="0" borderId="2" xfId="38" applyNumberFormat="1" applyFont="1" applyBorder="1" applyAlignment="1">
      <alignment horizontal="center" vertical="center"/>
    </xf>
    <xf numFmtId="0" fontId="20" fillId="0" borderId="2" xfId="38" applyFont="1" applyBorder="1" applyAlignment="1">
      <alignment horizontal="center" vertical="center"/>
    </xf>
    <xf numFmtId="0" fontId="2" fillId="0" borderId="2" xfId="65" applyBorder="1" applyAlignment="1">
      <alignment horizontal="center" vertical="center"/>
    </xf>
    <xf numFmtId="14" fontId="20" fillId="0" borderId="2" xfId="35" applyNumberFormat="1" applyFont="1" applyBorder="1" applyAlignment="1">
      <alignment horizontal="center" vertical="center"/>
    </xf>
    <xf numFmtId="0" fontId="20" fillId="0" borderId="2" xfId="35" applyFont="1" applyBorder="1" applyAlignment="1">
      <alignment horizontal="center" vertical="center"/>
    </xf>
    <xf numFmtId="14" fontId="20" fillId="0" borderId="2" xfId="42" applyNumberFormat="1" applyFont="1" applyBorder="1" applyAlignment="1">
      <alignment horizontal="center" vertical="center"/>
    </xf>
    <xf numFmtId="0" fontId="20" fillId="0" borderId="2" xfId="42" applyFont="1" applyBorder="1" applyAlignment="1">
      <alignment horizontal="center" vertical="center"/>
    </xf>
    <xf numFmtId="0" fontId="2" fillId="0" borderId="2" xfId="62" applyBorder="1" applyAlignment="1">
      <alignment horizontal="center" vertical="center"/>
    </xf>
    <xf numFmtId="0" fontId="2" fillId="0" borderId="2" xfId="63" applyBorder="1" applyAlignment="1">
      <alignment horizontal="center" vertical="center"/>
    </xf>
    <xf numFmtId="14" fontId="18" fillId="0" borderId="2" xfId="41" applyNumberFormat="1" applyFont="1" applyBorder="1" applyAlignment="1">
      <alignment horizontal="center" vertical="center"/>
    </xf>
    <xf numFmtId="0" fontId="18" fillId="0" borderId="2" xfId="41" applyFont="1" applyBorder="1" applyAlignment="1">
      <alignment horizontal="center" vertical="center"/>
    </xf>
    <xf numFmtId="0" fontId="2" fillId="0" borderId="2" xfId="56" applyBorder="1" applyAlignment="1">
      <alignment horizontal="center" vertical="center"/>
    </xf>
    <xf numFmtId="0" fontId="2" fillId="0" borderId="2" xfId="57" applyBorder="1" applyAlignment="1">
      <alignment horizontal="center" vertical="center"/>
    </xf>
    <xf numFmtId="0" fontId="21" fillId="0" borderId="2" xfId="56" applyFont="1" applyBorder="1" applyAlignment="1">
      <alignment horizontal="center" vertical="center"/>
    </xf>
    <xf numFmtId="0" fontId="21" fillId="0" borderId="2" xfId="57" applyFont="1" applyBorder="1" applyAlignment="1">
      <alignment horizontal="center" vertical="center"/>
    </xf>
    <xf numFmtId="0" fontId="2" fillId="0" borderId="2" xfId="53" applyBorder="1" applyAlignment="1">
      <alignment horizontal="center" vertical="center"/>
    </xf>
    <xf numFmtId="0" fontId="2" fillId="0" borderId="2" xfId="54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20" fillId="0" borderId="2" xfId="4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30" fillId="0" borderId="2" xfId="0" applyFont="1" applyBorder="1" applyAlignment="1">
      <alignment horizontal="center" vertical="center" shrinkToFit="1"/>
    </xf>
    <xf numFmtId="0" fontId="2" fillId="0" borderId="2" xfId="58" applyBorder="1" applyAlignment="1">
      <alignment horizontal="center" vertical="center" shrinkToFit="1"/>
    </xf>
    <xf numFmtId="0" fontId="2" fillId="0" borderId="2" xfId="65" applyBorder="1" applyAlignment="1">
      <alignment horizontal="center" vertical="center" shrinkToFit="1"/>
    </xf>
    <xf numFmtId="0" fontId="21" fillId="0" borderId="2" xfId="58" applyFont="1" applyBorder="1" applyAlignment="1">
      <alignment horizontal="center" vertical="center" shrinkToFit="1"/>
    </xf>
    <xf numFmtId="0" fontId="2" fillId="0" borderId="2" xfId="64" applyBorder="1" applyAlignment="1">
      <alignment horizontal="center" vertical="center" shrinkToFit="1"/>
    </xf>
    <xf numFmtId="0" fontId="2" fillId="0" borderId="2" xfId="55" applyBorder="1" applyAlignment="1">
      <alignment horizontal="center" vertical="center" shrinkToFit="1"/>
    </xf>
    <xf numFmtId="0" fontId="0" fillId="9" borderId="2" xfId="0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16" fillId="0" borderId="2" xfId="0" applyFont="1" applyFill="1" applyBorder="1" applyAlignment="1">
      <alignment horizontal="center" vertical="center" shrinkToFit="1"/>
    </xf>
    <xf numFmtId="0" fontId="18" fillId="0" borderId="2" xfId="0" applyFont="1" applyFill="1" applyBorder="1" applyAlignment="1">
      <alignment horizontal="center" vertical="center" shrinkToFit="1"/>
    </xf>
    <xf numFmtId="3" fontId="16" fillId="0" borderId="2" xfId="0" applyNumberFormat="1" applyFont="1" applyFill="1" applyBorder="1" applyAlignment="1">
      <alignment horizontal="center" vertical="center"/>
    </xf>
    <xf numFmtId="177" fontId="16" fillId="0" borderId="2" xfId="1" applyNumberFormat="1" applyFont="1" applyFill="1" applyBorder="1" applyAlignment="1">
      <alignment horizontal="center" vertical="center"/>
    </xf>
    <xf numFmtId="178" fontId="16" fillId="0" borderId="2" xfId="0" applyNumberFormat="1" applyFont="1" applyFill="1" applyBorder="1" applyAlignment="1">
      <alignment horizontal="center" vertical="center" shrinkToFit="1"/>
    </xf>
    <xf numFmtId="0" fontId="16" fillId="3" borderId="2" xfId="0" applyFont="1" applyFill="1" applyBorder="1" applyAlignment="1">
      <alignment horizontal="center" vertical="center" shrinkToFit="1"/>
    </xf>
    <xf numFmtId="0" fontId="16" fillId="7" borderId="2" xfId="0" applyFont="1" applyFill="1" applyBorder="1" applyAlignment="1">
      <alignment horizontal="center" vertical="center" shrinkToFit="1"/>
    </xf>
    <xf numFmtId="0" fontId="20" fillId="0" borderId="2" xfId="0" applyFont="1" applyFill="1" applyBorder="1" applyAlignment="1">
      <alignment horizontal="center" vertical="center" shrinkToFit="1"/>
    </xf>
    <xf numFmtId="0" fontId="20" fillId="0" borderId="2" xfId="39" applyFont="1" applyBorder="1" applyAlignment="1">
      <alignment horizontal="center" vertical="center" shrinkToFit="1"/>
    </xf>
    <xf numFmtId="0" fontId="20" fillId="0" borderId="2" xfId="38" applyFont="1" applyBorder="1" applyAlignment="1">
      <alignment horizontal="center" vertical="center" shrinkToFit="1"/>
    </xf>
    <xf numFmtId="0" fontId="22" fillId="0" borderId="2" xfId="0" applyFont="1" applyFill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center" vertical="center"/>
    </xf>
    <xf numFmtId="0" fontId="20" fillId="0" borderId="2" xfId="35" applyFont="1" applyBorder="1" applyAlignment="1">
      <alignment horizontal="center" vertical="center" shrinkToFit="1"/>
    </xf>
    <xf numFmtId="176" fontId="0" fillId="0" borderId="2" xfId="0" applyNumberFormat="1" applyFont="1" applyFill="1" applyBorder="1" applyAlignment="1">
      <alignment horizontal="center"/>
    </xf>
    <xf numFmtId="0" fontId="18" fillId="0" borderId="2" xfId="41" applyFont="1" applyBorder="1" applyAlignment="1">
      <alignment horizontal="center" vertical="center" shrinkToFit="1"/>
    </xf>
    <xf numFmtId="0" fontId="16" fillId="0" borderId="3" xfId="0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16" fillId="0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16" fillId="0" borderId="0" xfId="0" applyFont="1" applyFill="1" applyBorder="1" applyAlignment="1">
      <alignment horizontal="center" vertical="center" shrinkToFit="1"/>
    </xf>
    <xf numFmtId="14" fontId="0" fillId="0" borderId="2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177" fontId="31" fillId="2" borderId="0" xfId="52" applyNumberFormat="1" applyFont="1" applyFill="1" applyBorder="1" applyAlignment="1">
      <alignment horizontal="center" vertical="center"/>
    </xf>
    <xf numFmtId="180" fontId="31" fillId="2" borderId="0" xfId="52" applyNumberFormat="1" applyFont="1" applyFill="1" applyBorder="1" applyAlignment="1">
      <alignment horizontal="center" vertical="center"/>
    </xf>
    <xf numFmtId="49" fontId="31" fillId="2" borderId="0" xfId="52" applyNumberFormat="1" applyFont="1" applyFill="1" applyBorder="1" applyAlignment="1">
      <alignment horizontal="center" vertical="center"/>
    </xf>
    <xf numFmtId="177" fontId="31" fillId="2" borderId="0" xfId="1" applyNumberFormat="1" applyFont="1" applyFill="1" applyBorder="1" applyAlignment="1">
      <alignment horizontal="center" vertical="center"/>
    </xf>
    <xf numFmtId="181" fontId="31" fillId="2" borderId="0" xfId="1" applyNumberFormat="1" applyFont="1" applyFill="1" applyBorder="1" applyAlignment="1">
      <alignment horizontal="center" vertical="center"/>
    </xf>
    <xf numFmtId="180" fontId="31" fillId="0" borderId="0" xfId="0" applyNumberFormat="1" applyFont="1" applyFill="1" applyBorder="1" applyAlignment="1">
      <alignment horizontal="center" vertical="center"/>
    </xf>
    <xf numFmtId="41" fontId="31" fillId="10" borderId="0" xfId="0" applyNumberFormat="1" applyFont="1" applyFill="1" applyBorder="1" applyAlignment="1">
      <alignment horizontal="center" vertical="center"/>
    </xf>
    <xf numFmtId="49" fontId="31" fillId="0" borderId="0" xfId="0" applyNumberFormat="1" applyFont="1" applyFill="1" applyBorder="1" applyAlignment="1">
      <alignment vertical="center"/>
    </xf>
    <xf numFmtId="177" fontId="31" fillId="0" borderId="0" xfId="1" applyNumberFormat="1" applyFont="1" applyFill="1" applyBorder="1" applyAlignment="1">
      <alignment vertical="center"/>
    </xf>
    <xf numFmtId="41" fontId="20" fillId="0" borderId="0" xfId="1" applyFont="1" applyFill="1" applyBorder="1" applyAlignment="1">
      <alignment vertical="center"/>
    </xf>
    <xf numFmtId="181" fontId="31" fillId="0" borderId="0" xfId="1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center"/>
    </xf>
    <xf numFmtId="0" fontId="33" fillId="0" borderId="2" xfId="0" applyFont="1" applyBorder="1" applyAlignment="1">
      <alignment horizontal="center" vertical="center" shrinkToFit="1"/>
    </xf>
    <xf numFmtId="0" fontId="33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shrinkToFit="1"/>
    </xf>
    <xf numFmtId="41" fontId="31" fillId="10" borderId="2" xfId="0" applyNumberFormat="1" applyFont="1" applyFill="1" applyBorder="1" applyAlignment="1">
      <alignment horizontal="center" vertical="center"/>
    </xf>
    <xf numFmtId="41" fontId="31" fillId="0" borderId="2" xfId="0" applyNumberFormat="1" applyFont="1" applyFill="1" applyBorder="1" applyAlignment="1">
      <alignment horizontal="center" vertical="center"/>
    </xf>
    <xf numFmtId="41" fontId="31" fillId="5" borderId="2" xfId="0" applyNumberFormat="1" applyFont="1" applyFill="1" applyBorder="1" applyAlignment="1">
      <alignment horizontal="center" vertical="center"/>
    </xf>
    <xf numFmtId="41" fontId="31" fillId="6" borderId="2" xfId="0" applyNumberFormat="1" applyFont="1" applyFill="1" applyBorder="1" applyAlignment="1">
      <alignment horizontal="center" vertical="center"/>
    </xf>
    <xf numFmtId="177" fontId="16" fillId="0" borderId="0" xfId="0" applyNumberFormat="1" applyFont="1" applyBorder="1" applyAlignment="1">
      <alignment horizontal="left" vertical="center"/>
    </xf>
    <xf numFmtId="177" fontId="16" fillId="0" borderId="0" xfId="0" applyNumberFormat="1" applyFont="1" applyBorder="1" applyAlignment="1">
      <alignment horizontal="right" vertical="center"/>
    </xf>
    <xf numFmtId="177" fontId="34" fillId="0" borderId="0" xfId="0" applyNumberFormat="1" applyFont="1" applyBorder="1" applyAlignment="1">
      <alignment horizontal="left" vertical="center"/>
    </xf>
    <xf numFmtId="177" fontId="18" fillId="0" borderId="0" xfId="0" applyNumberFormat="1" applyFont="1" applyBorder="1" applyAlignment="1">
      <alignment horizontal="left" vertical="center"/>
    </xf>
    <xf numFmtId="49" fontId="20" fillId="0" borderId="0" xfId="0" applyNumberFormat="1" applyFont="1" applyBorder="1" applyAlignment="1">
      <alignment horizontal="right" vertical="center"/>
    </xf>
    <xf numFmtId="49" fontId="20" fillId="0" borderId="0" xfId="0" applyNumberFormat="1" applyFont="1" applyBorder="1" applyAlignment="1">
      <alignment vertical="center"/>
    </xf>
    <xf numFmtId="177" fontId="16" fillId="0" borderId="2" xfId="0" applyNumberFormat="1" applyFont="1" applyBorder="1" applyAlignment="1">
      <alignment horizontal="right" vertical="center"/>
    </xf>
    <xf numFmtId="49" fontId="20" fillId="0" borderId="0" xfId="0" applyNumberFormat="1" applyFont="1" applyBorder="1" applyAlignment="1">
      <alignment horizontal="left" vertical="center"/>
    </xf>
    <xf numFmtId="177" fontId="34" fillId="0" borderId="2" xfId="0" applyNumberFormat="1" applyFont="1" applyBorder="1" applyAlignment="1">
      <alignment vertical="center"/>
    </xf>
    <xf numFmtId="49" fontId="36" fillId="0" borderId="0" xfId="0" applyNumberFormat="1" applyFont="1" applyFill="1" applyBorder="1" applyAlignment="1">
      <alignment horizontal="right"/>
    </xf>
    <xf numFmtId="14" fontId="0" fillId="0" borderId="5" xfId="0" applyNumberFormat="1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 shrinkToFit="1"/>
    </xf>
    <xf numFmtId="14" fontId="0" fillId="0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shrinkToFit="1"/>
    </xf>
    <xf numFmtId="0" fontId="16" fillId="0" borderId="9" xfId="0" applyFont="1" applyFill="1" applyBorder="1" applyAlignment="1">
      <alignment horizontal="center" vertical="center"/>
    </xf>
    <xf numFmtId="0" fontId="0" fillId="0" borderId="10" xfId="0" applyNumberFormat="1" applyFont="1" applyFill="1" applyBorder="1" applyAlignment="1"/>
    <xf numFmtId="0" fontId="16" fillId="0" borderId="9" xfId="0" applyFont="1" applyFill="1" applyBorder="1" applyAlignment="1">
      <alignment horizontal="center" vertical="center" shrinkToFit="1"/>
    </xf>
    <xf numFmtId="177" fontId="16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177" fontId="17" fillId="2" borderId="2" xfId="0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3" fontId="17" fillId="0" borderId="2" xfId="0" applyNumberFormat="1" applyFont="1" applyBorder="1" applyAlignment="1">
      <alignment vertical="center"/>
    </xf>
    <xf numFmtId="0" fontId="17" fillId="0" borderId="8" xfId="0" applyFont="1" applyBorder="1" applyAlignment="1">
      <alignment horizontal="left" vertical="center"/>
    </xf>
    <xf numFmtId="0" fontId="37" fillId="0" borderId="0" xfId="0" applyFont="1" applyAlignment="1">
      <alignment vertical="center"/>
    </xf>
    <xf numFmtId="178" fontId="17" fillId="0" borderId="2" xfId="0" applyNumberFormat="1" applyFont="1" applyBorder="1" applyAlignment="1">
      <alignment horizontal="center" vertical="center"/>
    </xf>
    <xf numFmtId="182" fontId="17" fillId="0" borderId="2" xfId="1" applyNumberFormat="1" applyFont="1" applyFill="1" applyBorder="1" applyAlignment="1">
      <alignment vertical="center"/>
    </xf>
    <xf numFmtId="0" fontId="17" fillId="0" borderId="2" xfId="0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/>
    </xf>
    <xf numFmtId="0" fontId="0" fillId="0" borderId="0" xfId="1" applyNumberFormat="1" applyFont="1" applyFill="1" applyBorder="1" applyAlignment="1"/>
    <xf numFmtId="0" fontId="32" fillId="0" borderId="0" xfId="0" applyNumberFormat="1" applyFont="1" applyFill="1" applyBorder="1" applyAlignment="1"/>
    <xf numFmtId="0" fontId="38" fillId="0" borderId="0" xfId="0" applyNumberFormat="1" applyFont="1" applyFill="1" applyBorder="1" applyAlignment="1"/>
    <xf numFmtId="0" fontId="32" fillId="0" borderId="2" xfId="0" applyNumberFormat="1" applyFont="1" applyFill="1" applyBorder="1" applyAlignment="1">
      <alignment horizontal="center"/>
    </xf>
    <xf numFmtId="0" fontId="30" fillId="0" borderId="0" xfId="0" applyNumberFormat="1" applyFont="1" applyFill="1" applyBorder="1" applyAlignment="1"/>
    <xf numFmtId="41" fontId="31" fillId="0" borderId="0" xfId="0" applyNumberFormat="1" applyFont="1" applyFill="1" applyBorder="1" applyAlignment="1">
      <alignment horizontal="center" vertical="center"/>
    </xf>
    <xf numFmtId="0" fontId="36" fillId="0" borderId="0" xfId="0" applyNumberFormat="1" applyFont="1" applyFill="1" applyBorder="1" applyAlignment="1"/>
    <xf numFmtId="0" fontId="32" fillId="5" borderId="2" xfId="0" applyNumberFormat="1" applyFont="1" applyFill="1" applyBorder="1" applyAlignment="1">
      <alignment horizontal="center"/>
    </xf>
    <xf numFmtId="42" fontId="40" fillId="5" borderId="2" xfId="0" applyNumberFormat="1" applyFont="1" applyFill="1" applyBorder="1" applyAlignment="1"/>
    <xf numFmtId="42" fontId="41" fillId="0" borderId="2" xfId="1" applyNumberFormat="1" applyFont="1" applyFill="1" applyBorder="1" applyAlignment="1"/>
    <xf numFmtId="181" fontId="31" fillId="2" borderId="0" xfId="1" applyNumberFormat="1" applyFont="1" applyFill="1" applyBorder="1" applyAlignment="1">
      <alignment horizontal="left" vertical="center"/>
    </xf>
    <xf numFmtId="0" fontId="32" fillId="0" borderId="0" xfId="0" applyNumberFormat="1" applyFont="1" applyFill="1" applyBorder="1" applyAlignment="1">
      <alignment horizontal="left"/>
    </xf>
    <xf numFmtId="0" fontId="30" fillId="0" borderId="0" xfId="0" applyNumberFormat="1" applyFont="1" applyFill="1" applyBorder="1" applyAlignment="1">
      <alignment horizontal="left"/>
    </xf>
    <xf numFmtId="41" fontId="31" fillId="5" borderId="0" xfId="0" applyNumberFormat="1" applyFont="1" applyFill="1" applyBorder="1" applyAlignment="1">
      <alignment horizontal="right" vertical="center"/>
    </xf>
    <xf numFmtId="41" fontId="31" fillId="0" borderId="0" xfId="0" applyNumberFormat="1" applyFont="1" applyFill="1" applyBorder="1" applyAlignment="1">
      <alignment vertical="center"/>
    </xf>
    <xf numFmtId="41" fontId="31" fillId="0" borderId="0" xfId="0" applyNumberFormat="1" applyFont="1" applyFill="1" applyBorder="1" applyAlignment="1">
      <alignment horizontal="right" vertical="center"/>
    </xf>
    <xf numFmtId="41" fontId="31" fillId="5" borderId="0" xfId="0" applyNumberFormat="1" applyFont="1" applyFill="1" applyBorder="1" applyAlignment="1">
      <alignment horizontal="left" vertical="center"/>
    </xf>
    <xf numFmtId="41" fontId="31" fillId="0" borderId="0" xfId="0" applyNumberFormat="1" applyFont="1" applyFill="1" applyBorder="1" applyAlignment="1">
      <alignment horizontal="left" vertical="center"/>
    </xf>
    <xf numFmtId="177" fontId="42" fillId="0" borderId="0" xfId="0" applyNumberFormat="1" applyFont="1" applyFill="1" applyBorder="1" applyAlignment="1">
      <alignment vertical="center"/>
    </xf>
    <xf numFmtId="0" fontId="0" fillId="6" borderId="0" xfId="0" applyNumberFormat="1" applyFont="1" applyFill="1" applyBorder="1" applyAlignment="1">
      <alignment horizontal="left"/>
    </xf>
    <xf numFmtId="0" fontId="30" fillId="6" borderId="0" xfId="0" applyNumberFormat="1" applyFont="1" applyFill="1" applyBorder="1" applyAlignment="1"/>
    <xf numFmtId="177" fontId="31" fillId="6" borderId="0" xfId="1" applyNumberFormat="1" applyFont="1" applyFill="1" applyBorder="1" applyAlignment="1">
      <alignment vertical="center"/>
    </xf>
    <xf numFmtId="181" fontId="31" fillId="6" borderId="0" xfId="1" applyNumberFormat="1" applyFont="1" applyFill="1" applyBorder="1" applyAlignment="1">
      <alignment horizontal="right" vertical="center"/>
    </xf>
    <xf numFmtId="0" fontId="0" fillId="6" borderId="0" xfId="0" applyNumberFormat="1" applyFont="1" applyFill="1" applyBorder="1" applyAlignment="1">
      <alignment horizontal="center"/>
    </xf>
    <xf numFmtId="0" fontId="38" fillId="0" borderId="2" xfId="0" applyNumberFormat="1" applyFont="1" applyFill="1" applyBorder="1" applyAlignment="1">
      <alignment horizontal="center"/>
    </xf>
    <xf numFmtId="41" fontId="20" fillId="11" borderId="2" xfId="1" applyFont="1" applyFill="1" applyBorder="1" applyAlignment="1">
      <alignment vertical="center"/>
    </xf>
    <xf numFmtId="41" fontId="16" fillId="11" borderId="2" xfId="1" applyFont="1" applyFill="1" applyBorder="1" applyAlignment="1">
      <alignment vertical="center"/>
    </xf>
    <xf numFmtId="41" fontId="16" fillId="11" borderId="5" xfId="1" applyFont="1" applyFill="1" applyBorder="1" applyAlignment="1">
      <alignment vertical="center"/>
    </xf>
    <xf numFmtId="41" fontId="16" fillId="11" borderId="9" xfId="1" applyFont="1" applyFill="1" applyBorder="1" applyAlignment="1">
      <alignment vertical="center"/>
    </xf>
    <xf numFmtId="41" fontId="18" fillId="11" borderId="2" xfId="1" applyFont="1" applyFill="1" applyBorder="1" applyAlignment="1">
      <alignment vertical="center"/>
    </xf>
    <xf numFmtId="176" fontId="20" fillId="11" borderId="2" xfId="1" applyNumberFormat="1" applyFont="1" applyFill="1" applyBorder="1" applyAlignment="1">
      <alignment vertical="center"/>
    </xf>
    <xf numFmtId="176" fontId="18" fillId="11" borderId="2" xfId="1" applyNumberFormat="1" applyFont="1" applyFill="1" applyBorder="1" applyAlignment="1">
      <alignment vertical="center"/>
    </xf>
    <xf numFmtId="3" fontId="20" fillId="11" borderId="2" xfId="1" applyNumberFormat="1" applyFont="1" applyFill="1" applyBorder="1" applyAlignment="1">
      <alignment vertical="center"/>
    </xf>
    <xf numFmtId="3" fontId="18" fillId="11" borderId="2" xfId="1" applyNumberFormat="1" applyFont="1" applyFill="1" applyBorder="1" applyAlignment="1">
      <alignment vertical="center"/>
    </xf>
    <xf numFmtId="41" fontId="16" fillId="11" borderId="0" xfId="1" applyFont="1" applyFill="1" applyBorder="1" applyAlignment="1">
      <alignment vertical="center"/>
    </xf>
    <xf numFmtId="179" fontId="20" fillId="11" borderId="2" xfId="41" applyNumberFormat="1" applyFont="1" applyFill="1" applyBorder="1" applyAlignment="1">
      <alignment horizontal="center" vertical="center"/>
    </xf>
    <xf numFmtId="179" fontId="16" fillId="11" borderId="2" xfId="0" applyNumberFormat="1" applyFont="1" applyFill="1" applyBorder="1" applyAlignment="1">
      <alignment horizontal="center" vertical="center"/>
    </xf>
    <xf numFmtId="179" fontId="0" fillId="11" borderId="2" xfId="0" applyNumberFormat="1" applyFont="1" applyFill="1" applyBorder="1" applyAlignment="1">
      <alignment horizontal="center"/>
    </xf>
    <xf numFmtId="179" fontId="6" fillId="11" borderId="2" xfId="0" applyNumberFormat="1" applyFont="1" applyFill="1" applyBorder="1" applyAlignment="1">
      <alignment horizontal="center"/>
    </xf>
    <xf numFmtId="179" fontId="0" fillId="11" borderId="2" xfId="0" applyNumberFormat="1" applyFill="1" applyBorder="1" applyAlignment="1">
      <alignment horizontal="center"/>
    </xf>
    <xf numFmtId="179" fontId="17" fillId="11" borderId="2" xfId="1" applyNumberFormat="1" applyFont="1" applyFill="1" applyBorder="1" applyAlignment="1">
      <alignment horizontal="center" vertical="center"/>
    </xf>
    <xf numFmtId="179" fontId="17" fillId="11" borderId="2" xfId="0" applyNumberFormat="1" applyFont="1" applyFill="1" applyBorder="1" applyAlignment="1">
      <alignment horizontal="center" vertical="center"/>
    </xf>
    <xf numFmtId="179" fontId="18" fillId="11" borderId="2" xfId="0" applyNumberFormat="1" applyFont="1" applyFill="1" applyBorder="1" applyAlignment="1">
      <alignment horizontal="center" vertical="center"/>
    </xf>
    <xf numFmtId="179" fontId="16" fillId="11" borderId="5" xfId="0" applyNumberFormat="1" applyFont="1" applyFill="1" applyBorder="1" applyAlignment="1">
      <alignment horizontal="center" vertical="center"/>
    </xf>
    <xf numFmtId="179" fontId="0" fillId="11" borderId="9" xfId="0" applyNumberFormat="1" applyFont="1" applyFill="1" applyBorder="1" applyAlignment="1">
      <alignment horizontal="center"/>
    </xf>
    <xf numFmtId="179" fontId="16" fillId="11" borderId="9" xfId="0" applyNumberFormat="1" applyFont="1" applyFill="1" applyBorder="1" applyAlignment="1">
      <alignment horizontal="center" vertical="center"/>
    </xf>
    <xf numFmtId="179" fontId="20" fillId="11" borderId="2" xfId="0" applyNumberFormat="1" applyFont="1" applyFill="1" applyBorder="1" applyAlignment="1">
      <alignment horizontal="center" vertical="center"/>
    </xf>
    <xf numFmtId="179" fontId="16" fillId="11" borderId="2" xfId="1" applyNumberFormat="1" applyFont="1" applyFill="1" applyBorder="1" applyAlignment="1">
      <alignment horizontal="center" vertical="center"/>
    </xf>
    <xf numFmtId="179" fontId="20" fillId="11" borderId="2" xfId="35" applyNumberFormat="1" applyFont="1" applyFill="1" applyBorder="1" applyAlignment="1">
      <alignment horizontal="center" vertical="center"/>
    </xf>
    <xf numFmtId="179" fontId="18" fillId="11" borderId="2" xfId="0" quotePrefix="1" applyNumberFormat="1" applyFont="1" applyFill="1" applyBorder="1" applyAlignment="1">
      <alignment horizontal="center" vertical="center"/>
    </xf>
    <xf numFmtId="179" fontId="16" fillId="11" borderId="2" xfId="0" quotePrefix="1" applyNumberFormat="1" applyFont="1" applyFill="1" applyBorder="1" applyAlignment="1">
      <alignment horizontal="center" vertical="center"/>
    </xf>
    <xf numFmtId="179" fontId="20" fillId="11" borderId="2" xfId="0" quotePrefix="1" applyNumberFormat="1" applyFont="1" applyFill="1" applyBorder="1" applyAlignment="1">
      <alignment horizontal="center" vertical="center"/>
    </xf>
    <xf numFmtId="179" fontId="19" fillId="11" borderId="2" xfId="0" applyNumberFormat="1" applyFont="1" applyFill="1" applyBorder="1" applyAlignment="1">
      <alignment horizontal="center" vertical="center"/>
    </xf>
    <xf numFmtId="179" fontId="16" fillId="11" borderId="0" xfId="0" applyNumberFormat="1" applyFont="1" applyFill="1" applyBorder="1" applyAlignment="1">
      <alignment horizontal="center" vertical="center"/>
    </xf>
    <xf numFmtId="179" fontId="17" fillId="11" borderId="0" xfId="1" applyNumberFormat="1" applyFont="1" applyFill="1" applyBorder="1" applyAlignment="1">
      <alignment horizontal="center" vertical="center"/>
    </xf>
    <xf numFmtId="0" fontId="20" fillId="12" borderId="2" xfId="41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14" fontId="0" fillId="12" borderId="2" xfId="0" applyNumberForma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/>
    </xf>
    <xf numFmtId="14" fontId="0" fillId="12" borderId="9" xfId="0" applyNumberFormat="1" applyFill="1" applyBorder="1" applyAlignment="1">
      <alignment horizontal="center" vertical="center"/>
    </xf>
    <xf numFmtId="179" fontId="16" fillId="12" borderId="2" xfId="0" applyNumberFormat="1" applyFont="1" applyFill="1" applyBorder="1" applyAlignment="1">
      <alignment horizontal="center" vertical="center"/>
    </xf>
    <xf numFmtId="179" fontId="0" fillId="12" borderId="2" xfId="0" applyNumberFormat="1" applyFont="1" applyFill="1" applyBorder="1" applyAlignment="1">
      <alignment horizontal="center"/>
    </xf>
    <xf numFmtId="0" fontId="16" fillId="12" borderId="9" xfId="0" applyFont="1" applyFill="1" applyBorder="1" applyAlignment="1">
      <alignment horizontal="center" vertical="center"/>
    </xf>
    <xf numFmtId="178" fontId="16" fillId="12" borderId="2" xfId="0" applyNumberFormat="1" applyFont="1" applyFill="1" applyBorder="1" applyAlignment="1">
      <alignment horizontal="center" vertical="center"/>
    </xf>
    <xf numFmtId="14" fontId="16" fillId="12" borderId="2" xfId="0" applyNumberFormat="1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20" fillId="12" borderId="2" xfId="39" applyFont="1" applyFill="1" applyBorder="1" applyAlignment="1">
      <alignment horizontal="center" vertical="center"/>
    </xf>
    <xf numFmtId="0" fontId="20" fillId="12" borderId="2" xfId="38" applyFont="1" applyFill="1" applyBorder="1" applyAlignment="1">
      <alignment horizontal="center" vertical="center"/>
    </xf>
    <xf numFmtId="0" fontId="2" fillId="12" borderId="2" xfId="65" applyFill="1" applyBorder="1" applyAlignment="1">
      <alignment horizontal="center" vertical="center"/>
    </xf>
    <xf numFmtId="0" fontId="20" fillId="12" borderId="2" xfId="35" applyFont="1" applyFill="1" applyBorder="1" applyAlignment="1">
      <alignment horizontal="center" vertical="center"/>
    </xf>
    <xf numFmtId="0" fontId="2" fillId="12" borderId="2" xfId="62" applyFill="1" applyBorder="1" applyAlignment="1">
      <alignment horizontal="center" vertical="center"/>
    </xf>
    <xf numFmtId="0" fontId="18" fillId="12" borderId="2" xfId="41" applyFont="1" applyFill="1" applyBorder="1" applyAlignment="1">
      <alignment horizontal="center" vertical="center"/>
    </xf>
    <xf numFmtId="0" fontId="2" fillId="12" borderId="2" xfId="56" applyFill="1" applyBorder="1" applyAlignment="1">
      <alignment horizontal="center" vertical="center"/>
    </xf>
    <xf numFmtId="0" fontId="21" fillId="12" borderId="2" xfId="56" applyFont="1" applyFill="1" applyBorder="1" applyAlignment="1">
      <alignment horizontal="center" vertical="center"/>
    </xf>
    <xf numFmtId="0" fontId="2" fillId="12" borderId="2" xfId="53" applyFill="1" applyBorder="1" applyAlignment="1">
      <alignment horizontal="center" vertical="center"/>
    </xf>
    <xf numFmtId="0" fontId="16" fillId="12" borderId="0" xfId="0" applyFont="1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41" fontId="20" fillId="12" borderId="2" xfId="1" applyFont="1" applyFill="1" applyBorder="1" applyAlignment="1">
      <alignment vertical="center"/>
    </xf>
    <xf numFmtId="41" fontId="16" fillId="12" borderId="2" xfId="1" applyFont="1" applyFill="1" applyBorder="1" applyAlignment="1">
      <alignment vertical="center"/>
    </xf>
    <xf numFmtId="41" fontId="16" fillId="12" borderId="5" xfId="1" applyFont="1" applyFill="1" applyBorder="1" applyAlignment="1">
      <alignment vertical="center"/>
    </xf>
    <xf numFmtId="41" fontId="16" fillId="12" borderId="9" xfId="1" applyFont="1" applyFill="1" applyBorder="1" applyAlignment="1">
      <alignment vertical="center"/>
    </xf>
    <xf numFmtId="176" fontId="0" fillId="12" borderId="2" xfId="0" applyNumberFormat="1" applyFill="1" applyBorder="1" applyAlignment="1">
      <alignment vertical="center"/>
    </xf>
    <xf numFmtId="41" fontId="18" fillId="12" borderId="2" xfId="1" applyFont="1" applyFill="1" applyBorder="1" applyAlignment="1">
      <alignment vertical="center"/>
    </xf>
    <xf numFmtId="176" fontId="0" fillId="12" borderId="2" xfId="1" applyNumberFormat="1" applyFont="1" applyFill="1" applyBorder="1" applyAlignment="1">
      <alignment vertical="center"/>
    </xf>
    <xf numFmtId="176" fontId="20" fillId="12" borderId="2" xfId="1" applyNumberFormat="1" applyFont="1" applyFill="1" applyBorder="1" applyAlignment="1">
      <alignment vertical="center"/>
    </xf>
    <xf numFmtId="176" fontId="18" fillId="12" borderId="2" xfId="1" applyNumberFormat="1" applyFont="1" applyFill="1" applyBorder="1" applyAlignment="1">
      <alignment vertical="center"/>
    </xf>
    <xf numFmtId="176" fontId="2" fillId="12" borderId="2" xfId="1" applyNumberFormat="1" applyFont="1" applyFill="1" applyBorder="1" applyAlignment="1">
      <alignment vertical="center"/>
    </xf>
    <xf numFmtId="3" fontId="20" fillId="12" borderId="2" xfId="1" applyNumberFormat="1" applyFont="1" applyFill="1" applyBorder="1" applyAlignment="1">
      <alignment vertical="center"/>
    </xf>
    <xf numFmtId="3" fontId="0" fillId="12" borderId="2" xfId="1" applyNumberFormat="1" applyFont="1" applyFill="1" applyBorder="1" applyAlignment="1">
      <alignment vertical="center"/>
    </xf>
    <xf numFmtId="3" fontId="18" fillId="12" borderId="2" xfId="1" applyNumberFormat="1" applyFont="1" applyFill="1" applyBorder="1" applyAlignment="1">
      <alignment vertical="center"/>
    </xf>
    <xf numFmtId="3" fontId="2" fillId="12" borderId="2" xfId="1" applyNumberFormat="1" applyFont="1" applyFill="1" applyBorder="1" applyAlignment="1">
      <alignment vertical="center"/>
    </xf>
    <xf numFmtId="3" fontId="21" fillId="12" borderId="2" xfId="1" applyNumberFormat="1" applyFont="1" applyFill="1" applyBorder="1" applyAlignment="1">
      <alignment vertical="center"/>
    </xf>
    <xf numFmtId="41" fontId="16" fillId="12" borderId="3" xfId="1" applyFont="1" applyFill="1" applyBorder="1" applyAlignment="1">
      <alignment vertical="center"/>
    </xf>
    <xf numFmtId="41" fontId="16" fillId="12" borderId="1" xfId="1" applyFont="1" applyFill="1" applyBorder="1" applyAlignment="1">
      <alignment vertical="center"/>
    </xf>
    <xf numFmtId="176" fontId="0" fillId="12" borderId="1" xfId="0" applyNumberFormat="1" applyFill="1" applyBorder="1" applyAlignment="1">
      <alignment vertical="center"/>
    </xf>
    <xf numFmtId="41" fontId="16" fillId="12" borderId="0" xfId="1" applyFont="1" applyFill="1" applyBorder="1" applyAlignment="1">
      <alignment vertical="center"/>
    </xf>
    <xf numFmtId="0" fontId="36" fillId="0" borderId="0" xfId="0" applyNumberFormat="1" applyFont="1" applyFill="1" applyBorder="1" applyAlignment="1">
      <alignment horizontal="left"/>
    </xf>
    <xf numFmtId="0" fontId="37" fillId="0" borderId="2" xfId="0" applyFont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177" fontId="35" fillId="0" borderId="2" xfId="0" applyNumberFormat="1" applyFont="1" applyBorder="1" applyAlignment="1">
      <alignment horizontal="center" vertical="center"/>
    </xf>
    <xf numFmtId="177" fontId="18" fillId="0" borderId="2" xfId="0" applyNumberFormat="1" applyFont="1" applyBorder="1" applyAlignment="1">
      <alignment horizontal="center" vertical="center"/>
    </xf>
    <xf numFmtId="177" fontId="34" fillId="0" borderId="2" xfId="0" applyNumberFormat="1" applyFont="1" applyBorder="1" applyAlignment="1">
      <alignment horizontal="left" vertical="center"/>
    </xf>
    <xf numFmtId="177" fontId="16" fillId="5" borderId="2" xfId="0" applyNumberFormat="1" applyFont="1" applyFill="1" applyBorder="1" applyAlignment="1">
      <alignment horizontal="right" vertical="center"/>
    </xf>
    <xf numFmtId="177" fontId="18" fillId="0" borderId="2" xfId="0" applyNumberFormat="1" applyFont="1" applyBorder="1" applyAlignment="1">
      <alignment vertical="center"/>
    </xf>
    <xf numFmtId="177" fontId="34" fillId="0" borderId="2" xfId="1" applyNumberFormat="1" applyFont="1" applyBorder="1" applyAlignment="1">
      <alignment vertical="center"/>
    </xf>
    <xf numFmtId="177" fontId="16" fillId="0" borderId="2" xfId="0" applyNumberFormat="1" applyFont="1" applyFill="1" applyBorder="1" applyAlignment="1">
      <alignment horizontal="right" vertical="center"/>
    </xf>
    <xf numFmtId="177" fontId="16" fillId="0" borderId="2" xfId="0" applyNumberFormat="1" applyFont="1" applyBorder="1" applyAlignment="1">
      <alignment horizontal="left" vertical="center"/>
    </xf>
    <xf numFmtId="179" fontId="23" fillId="4" borderId="0" xfId="0" applyNumberFormat="1" applyFont="1" applyFill="1" applyBorder="1" applyAlignment="1">
      <alignment horizontal="center" vertical="center"/>
    </xf>
    <xf numFmtId="0" fontId="23" fillId="4" borderId="0" xfId="0" applyFont="1" applyFill="1" applyBorder="1" applyAlignment="1">
      <alignment horizontal="center" vertical="center"/>
    </xf>
  </cellXfs>
  <cellStyles count="31250">
    <cellStyle name="쉼표 [0]" xfId="1" builtinId="6"/>
    <cellStyle name="쉼표 [0] 10" xfId="2"/>
    <cellStyle name="쉼표 [0] 10 10" xfId="68"/>
    <cellStyle name="쉼표 [0] 10 11" xfId="69"/>
    <cellStyle name="쉼표 [0] 10 12" xfId="70"/>
    <cellStyle name="쉼표 [0] 10 13" xfId="71"/>
    <cellStyle name="쉼표 [0] 10 14" xfId="72"/>
    <cellStyle name="쉼표 [0] 10 15" xfId="73"/>
    <cellStyle name="쉼표 [0] 10 2" xfId="74"/>
    <cellStyle name="쉼표 [0] 10 2 2" xfId="75"/>
    <cellStyle name="쉼표 [0] 10 2 2 2" xfId="76"/>
    <cellStyle name="쉼표 [0] 10 2 2 2 2" xfId="77"/>
    <cellStyle name="쉼표 [0] 10 2 2 3" xfId="78"/>
    <cellStyle name="쉼표 [0] 10 2 3" xfId="79"/>
    <cellStyle name="쉼표 [0] 10 2 3 2" xfId="80"/>
    <cellStyle name="쉼표 [0] 10 2 4" xfId="81"/>
    <cellStyle name="쉼표 [0] 10 3" xfId="82"/>
    <cellStyle name="쉼표 [0] 10 3 2" xfId="83"/>
    <cellStyle name="쉼표 [0] 10 3 2 2" xfId="84"/>
    <cellStyle name="쉼표 [0] 10 3 3" xfId="85"/>
    <cellStyle name="쉼표 [0] 10 4" xfId="86"/>
    <cellStyle name="쉼표 [0] 10 4 2" xfId="87"/>
    <cellStyle name="쉼표 [0] 10 5" xfId="88"/>
    <cellStyle name="쉼표 [0] 10 8" xfId="89"/>
    <cellStyle name="쉼표 [0] 10 9" xfId="90"/>
    <cellStyle name="쉼표 [0] 11" xfId="91"/>
    <cellStyle name="쉼표 [0] 11 2" xfId="92"/>
    <cellStyle name="쉼표 [0] 11 2 2" xfId="93"/>
    <cellStyle name="쉼표 [0] 11 2 2 2" xfId="94"/>
    <cellStyle name="쉼표 [0] 11 2 3" xfId="95"/>
    <cellStyle name="쉼표 [0] 11 3" xfId="96"/>
    <cellStyle name="쉼표 [0] 11 3 2" xfId="97"/>
    <cellStyle name="쉼표 [0] 11 4" xfId="98"/>
    <cellStyle name="쉼표 [0] 12" xfId="99"/>
    <cellStyle name="쉼표 [0] 12 2" xfId="100"/>
    <cellStyle name="쉼표 [0] 12 2 2" xfId="101"/>
    <cellStyle name="쉼표 [0] 12 3" xfId="102"/>
    <cellStyle name="쉼표 [0] 13" xfId="103"/>
    <cellStyle name="쉼표 [0] 13 2" xfId="104"/>
    <cellStyle name="쉼표 [0] 14" xfId="105"/>
    <cellStyle name="쉼표 [0] 15" xfId="106"/>
    <cellStyle name="쉼표 [0] 16" xfId="107"/>
    <cellStyle name="쉼표 [0] 2" xfId="3"/>
    <cellStyle name="쉼표 [0] 2 10" xfId="108"/>
    <cellStyle name="쉼표 [0] 2 11" xfId="109"/>
    <cellStyle name="쉼표 [0] 2 12" xfId="110"/>
    <cellStyle name="쉼표 [0] 2 13" xfId="111"/>
    <cellStyle name="쉼표 [0] 2 14" xfId="112"/>
    <cellStyle name="쉼표 [0] 2 15" xfId="113"/>
    <cellStyle name="쉼표 [0] 2 16" xfId="114"/>
    <cellStyle name="쉼표 [0] 2 17" xfId="115"/>
    <cellStyle name="쉼표 [0] 2 18" xfId="116"/>
    <cellStyle name="쉼표 [0] 2 19" xfId="117"/>
    <cellStyle name="쉼표 [0] 2 2" xfId="4"/>
    <cellStyle name="쉼표 [0] 2 20" xfId="118"/>
    <cellStyle name="쉼표 [0] 2 21" xfId="119"/>
    <cellStyle name="쉼표 [0] 2 22" xfId="120"/>
    <cellStyle name="쉼표 [0] 2 23" xfId="121"/>
    <cellStyle name="쉼표 [0] 2 24" xfId="122"/>
    <cellStyle name="쉼표 [0] 2 25" xfId="123"/>
    <cellStyle name="쉼표 [0] 2 26" xfId="124"/>
    <cellStyle name="쉼표 [0] 2 27" xfId="125"/>
    <cellStyle name="쉼표 [0] 2 28" xfId="126"/>
    <cellStyle name="쉼표 [0] 2 29" xfId="127"/>
    <cellStyle name="쉼표 [0] 2 3" xfId="128"/>
    <cellStyle name="쉼표 [0] 2 3 2" xfId="129"/>
    <cellStyle name="쉼표 [0] 2 3 3" xfId="130"/>
    <cellStyle name="쉼표 [0] 2 30" xfId="131"/>
    <cellStyle name="쉼표 [0] 2 31" xfId="132"/>
    <cellStyle name="쉼표 [0] 2 32" xfId="133"/>
    <cellStyle name="쉼표 [0] 2 4" xfId="134"/>
    <cellStyle name="쉼표 [0] 2 5" xfId="135"/>
    <cellStyle name="쉼표 [0] 2 6" xfId="136"/>
    <cellStyle name="쉼표 [0] 2 7" xfId="137"/>
    <cellStyle name="쉼표 [0] 2 8" xfId="138"/>
    <cellStyle name="쉼표 [0] 2 9" xfId="139"/>
    <cellStyle name="쉼표 [0] 22" xfId="5"/>
    <cellStyle name="쉼표 [0] 24" xfId="140"/>
    <cellStyle name="쉼표 [0] 24 10" xfId="141"/>
    <cellStyle name="쉼표 [0] 24 11" xfId="142"/>
    <cellStyle name="쉼표 [0] 24 12" xfId="143"/>
    <cellStyle name="쉼표 [0] 24 13" xfId="144"/>
    <cellStyle name="쉼표 [0] 24 14" xfId="145"/>
    <cellStyle name="쉼표 [0] 24 15" xfId="146"/>
    <cellStyle name="쉼표 [0] 24 16" xfId="147"/>
    <cellStyle name="쉼표 [0] 24 17" xfId="148"/>
    <cellStyle name="쉼표 [0] 24 18" xfId="149"/>
    <cellStyle name="쉼표 [0] 24 19" xfId="150"/>
    <cellStyle name="쉼표 [0] 24 2" xfId="151"/>
    <cellStyle name="쉼표 [0] 24 20" xfId="152"/>
    <cellStyle name="쉼표 [0] 24 21" xfId="153"/>
    <cellStyle name="쉼표 [0] 24 22" xfId="154"/>
    <cellStyle name="쉼표 [0] 24 23" xfId="155"/>
    <cellStyle name="쉼표 [0] 24 24" xfId="156"/>
    <cellStyle name="쉼표 [0] 24 25" xfId="157"/>
    <cellStyle name="쉼표 [0] 24 26" xfId="158"/>
    <cellStyle name="쉼표 [0] 24 27" xfId="159"/>
    <cellStyle name="쉼표 [0] 24 28" xfId="160"/>
    <cellStyle name="쉼표 [0] 24 29" xfId="161"/>
    <cellStyle name="쉼표 [0] 24 3" xfId="162"/>
    <cellStyle name="쉼표 [0] 24 30" xfId="163"/>
    <cellStyle name="쉼표 [0] 24 31" xfId="164"/>
    <cellStyle name="쉼표 [0] 24 32" xfId="165"/>
    <cellStyle name="쉼표 [0] 24 33" xfId="166"/>
    <cellStyle name="쉼표 [0] 24 34" xfId="167"/>
    <cellStyle name="쉼표 [0] 24 35" xfId="168"/>
    <cellStyle name="쉼표 [0] 24 36" xfId="169"/>
    <cellStyle name="쉼표 [0] 24 37" xfId="170"/>
    <cellStyle name="쉼표 [0] 24 38" xfId="171"/>
    <cellStyle name="쉼표 [0] 24 39" xfId="172"/>
    <cellStyle name="쉼표 [0] 24 4" xfId="173"/>
    <cellStyle name="쉼표 [0] 24 40" xfId="174"/>
    <cellStyle name="쉼표 [0] 24 5" xfId="175"/>
    <cellStyle name="쉼표 [0] 24 6" xfId="176"/>
    <cellStyle name="쉼표 [0] 24 7" xfId="177"/>
    <cellStyle name="쉼표 [0] 24 8" xfId="178"/>
    <cellStyle name="쉼표 [0] 24 9" xfId="179"/>
    <cellStyle name="쉼표 [0] 26" xfId="180"/>
    <cellStyle name="쉼표 [0] 3" xfId="6"/>
    <cellStyle name="쉼표 [0] 3 10" xfId="181"/>
    <cellStyle name="쉼표 [0] 3 10 2" xfId="182"/>
    <cellStyle name="쉼표 [0] 3 10 2 2" xfId="183"/>
    <cellStyle name="쉼표 [0] 3 10 2 2 2" xfId="184"/>
    <cellStyle name="쉼표 [0] 3 10 2 2 2 2" xfId="185"/>
    <cellStyle name="쉼표 [0] 3 10 2 2 3" xfId="186"/>
    <cellStyle name="쉼표 [0] 3 10 2 3" xfId="187"/>
    <cellStyle name="쉼표 [0] 3 10 2 3 2" xfId="188"/>
    <cellStyle name="쉼표 [0] 3 10 2 4" xfId="189"/>
    <cellStyle name="쉼표 [0] 3 10 3" xfId="190"/>
    <cellStyle name="쉼표 [0] 3 10 3 2" xfId="191"/>
    <cellStyle name="쉼표 [0] 3 10 3 2 2" xfId="192"/>
    <cellStyle name="쉼표 [0] 3 10 3 3" xfId="193"/>
    <cellStyle name="쉼표 [0] 3 10 4" xfId="194"/>
    <cellStyle name="쉼표 [0] 3 10 4 2" xfId="195"/>
    <cellStyle name="쉼표 [0] 3 10 5" xfId="196"/>
    <cellStyle name="쉼표 [0] 3 11" xfId="197"/>
    <cellStyle name="쉼표 [0] 3 11 2" xfId="198"/>
    <cellStyle name="쉼표 [0] 3 11 2 2" xfId="199"/>
    <cellStyle name="쉼표 [0] 3 11 2 2 2" xfId="200"/>
    <cellStyle name="쉼표 [0] 3 11 2 3" xfId="201"/>
    <cellStyle name="쉼표 [0] 3 11 3" xfId="202"/>
    <cellStyle name="쉼표 [0] 3 11 3 2" xfId="203"/>
    <cellStyle name="쉼표 [0] 3 11 4" xfId="204"/>
    <cellStyle name="쉼표 [0] 3 12" xfId="205"/>
    <cellStyle name="쉼표 [0] 3 12 2" xfId="206"/>
    <cellStyle name="쉼표 [0] 3 12 2 2" xfId="207"/>
    <cellStyle name="쉼표 [0] 3 12 3" xfId="208"/>
    <cellStyle name="쉼표 [0] 3 13" xfId="209"/>
    <cellStyle name="쉼표 [0] 3 13 2" xfId="210"/>
    <cellStyle name="쉼표 [0] 3 14" xfId="211"/>
    <cellStyle name="쉼표 [0] 3 15" xfId="212"/>
    <cellStyle name="쉼표 [0] 3 16" xfId="213"/>
    <cellStyle name="쉼표 [0] 3 17" xfId="214"/>
    <cellStyle name="쉼표 [0] 3 18" xfId="215"/>
    <cellStyle name="쉼표 [0] 3 19" xfId="216"/>
    <cellStyle name="쉼표 [0] 3 2" xfId="7"/>
    <cellStyle name="쉼표 [0] 3 2 10" xfId="217"/>
    <cellStyle name="쉼표 [0] 3 2 10 2" xfId="218"/>
    <cellStyle name="쉼표 [0] 3 2 11" xfId="219"/>
    <cellStyle name="쉼표 [0] 3 2 12" xfId="220"/>
    <cellStyle name="쉼표 [0] 3 2 2" xfId="221"/>
    <cellStyle name="쉼표 [0] 3 2 2 10" xfId="222"/>
    <cellStyle name="쉼표 [0] 3 2 2 11" xfId="223"/>
    <cellStyle name="쉼표 [0] 3 2 2 2" xfId="224"/>
    <cellStyle name="쉼표 [0] 3 2 2 2 10" xfId="225"/>
    <cellStyle name="쉼표 [0] 3 2 2 2 2" xfId="8"/>
    <cellStyle name="쉼표 [0] 3 2 2 2 2 10" xfId="226"/>
    <cellStyle name="쉼표 [0] 3 2 2 2 2 2" xfId="227"/>
    <cellStyle name="쉼표 [0] 3 2 2 2 2 2 2" xfId="228"/>
    <cellStyle name="쉼표 [0] 3 2 2 2 2 2 2 2" xfId="229"/>
    <cellStyle name="쉼표 [0] 3 2 2 2 2 2 2 2 2" xfId="230"/>
    <cellStyle name="쉼표 [0] 3 2 2 2 2 2 2 2 2 2" xfId="231"/>
    <cellStyle name="쉼표 [0] 3 2 2 2 2 2 2 2 2 2 2" xfId="232"/>
    <cellStyle name="쉼표 [0] 3 2 2 2 2 2 2 2 2 2 2 2" xfId="233"/>
    <cellStyle name="쉼표 [0] 3 2 2 2 2 2 2 2 2 2 3" xfId="234"/>
    <cellStyle name="쉼표 [0] 3 2 2 2 2 2 2 2 2 3" xfId="235"/>
    <cellStyle name="쉼표 [0] 3 2 2 2 2 2 2 2 2 3 2" xfId="236"/>
    <cellStyle name="쉼표 [0] 3 2 2 2 2 2 2 2 2 4" xfId="237"/>
    <cellStyle name="쉼표 [0] 3 2 2 2 2 2 2 2 3" xfId="238"/>
    <cellStyle name="쉼표 [0] 3 2 2 2 2 2 2 2 3 2" xfId="239"/>
    <cellStyle name="쉼표 [0] 3 2 2 2 2 2 2 2 3 2 2" xfId="240"/>
    <cellStyle name="쉼표 [0] 3 2 2 2 2 2 2 2 3 3" xfId="241"/>
    <cellStyle name="쉼표 [0] 3 2 2 2 2 2 2 2 4" xfId="242"/>
    <cellStyle name="쉼표 [0] 3 2 2 2 2 2 2 2 4 2" xfId="243"/>
    <cellStyle name="쉼표 [0] 3 2 2 2 2 2 2 2 5" xfId="244"/>
    <cellStyle name="쉼표 [0] 3 2 2 2 2 2 2 3" xfId="245"/>
    <cellStyle name="쉼표 [0] 3 2 2 2 2 2 2 3 2" xfId="246"/>
    <cellStyle name="쉼표 [0] 3 2 2 2 2 2 2 3 2 2" xfId="247"/>
    <cellStyle name="쉼표 [0] 3 2 2 2 2 2 2 3 2 2 2" xfId="248"/>
    <cellStyle name="쉼표 [0] 3 2 2 2 2 2 2 3 2 3" xfId="249"/>
    <cellStyle name="쉼표 [0] 3 2 2 2 2 2 2 3 3" xfId="250"/>
    <cellStyle name="쉼표 [0] 3 2 2 2 2 2 2 3 3 2" xfId="251"/>
    <cellStyle name="쉼표 [0] 3 2 2 2 2 2 2 3 4" xfId="252"/>
    <cellStyle name="쉼표 [0] 3 2 2 2 2 2 2 4" xfId="253"/>
    <cellStyle name="쉼표 [0] 3 2 2 2 2 2 2 4 2" xfId="254"/>
    <cellStyle name="쉼표 [0] 3 2 2 2 2 2 2 4 2 2" xfId="255"/>
    <cellStyle name="쉼표 [0] 3 2 2 2 2 2 2 4 3" xfId="256"/>
    <cellStyle name="쉼표 [0] 3 2 2 2 2 2 2 5" xfId="257"/>
    <cellStyle name="쉼표 [0] 3 2 2 2 2 2 2 5 2" xfId="258"/>
    <cellStyle name="쉼표 [0] 3 2 2 2 2 2 2 6" xfId="259"/>
    <cellStyle name="쉼표 [0] 3 2 2 2 2 2 3" xfId="260"/>
    <cellStyle name="쉼표 [0] 3 2 2 2 2 2 3 2" xfId="261"/>
    <cellStyle name="쉼표 [0] 3 2 2 2 2 2 3 2 2" xfId="262"/>
    <cellStyle name="쉼표 [0] 3 2 2 2 2 2 3 2 2 2" xfId="263"/>
    <cellStyle name="쉼표 [0] 3 2 2 2 2 2 3 2 2 2 2" xfId="264"/>
    <cellStyle name="쉼표 [0] 3 2 2 2 2 2 3 2 2 3" xfId="265"/>
    <cellStyle name="쉼표 [0] 3 2 2 2 2 2 3 2 3" xfId="266"/>
    <cellStyle name="쉼표 [0] 3 2 2 2 2 2 3 2 3 2" xfId="267"/>
    <cellStyle name="쉼표 [0] 3 2 2 2 2 2 3 2 4" xfId="268"/>
    <cellStyle name="쉼표 [0] 3 2 2 2 2 2 3 3" xfId="269"/>
    <cellStyle name="쉼표 [0] 3 2 2 2 2 2 3 3 2" xfId="270"/>
    <cellStyle name="쉼표 [0] 3 2 2 2 2 2 3 3 2 2" xfId="271"/>
    <cellStyle name="쉼표 [0] 3 2 2 2 2 2 3 3 3" xfId="272"/>
    <cellStyle name="쉼표 [0] 3 2 2 2 2 2 3 4" xfId="273"/>
    <cellStyle name="쉼표 [0] 3 2 2 2 2 2 3 4 2" xfId="274"/>
    <cellStyle name="쉼표 [0] 3 2 2 2 2 2 3 5" xfId="275"/>
    <cellStyle name="쉼표 [0] 3 2 2 2 2 2 4" xfId="276"/>
    <cellStyle name="쉼표 [0] 3 2 2 2 2 2 4 2" xfId="277"/>
    <cellStyle name="쉼표 [0] 3 2 2 2 2 2 4 2 2" xfId="278"/>
    <cellStyle name="쉼표 [0] 3 2 2 2 2 2 4 2 2 2" xfId="279"/>
    <cellStyle name="쉼표 [0] 3 2 2 2 2 2 4 2 3" xfId="280"/>
    <cellStyle name="쉼표 [0] 3 2 2 2 2 2 4 3" xfId="281"/>
    <cellStyle name="쉼표 [0] 3 2 2 2 2 2 4 3 2" xfId="282"/>
    <cellStyle name="쉼표 [0] 3 2 2 2 2 2 4 4" xfId="283"/>
    <cellStyle name="쉼표 [0] 3 2 2 2 2 2 5" xfId="284"/>
    <cellStyle name="쉼표 [0] 3 2 2 2 2 2 5 2" xfId="285"/>
    <cellStyle name="쉼표 [0] 3 2 2 2 2 2 5 2 2" xfId="286"/>
    <cellStyle name="쉼표 [0] 3 2 2 2 2 2 5 3" xfId="287"/>
    <cellStyle name="쉼표 [0] 3 2 2 2 2 2 6" xfId="288"/>
    <cellStyle name="쉼표 [0] 3 2 2 2 2 2 6 2" xfId="289"/>
    <cellStyle name="쉼표 [0] 3 2 2 2 2 2 7" xfId="290"/>
    <cellStyle name="쉼표 [0] 3 2 2 2 2 2 8" xfId="291"/>
    <cellStyle name="쉼표 [0] 3 2 2 2 2 3" xfId="292"/>
    <cellStyle name="쉼표 [0] 3 2 2 2 2 3 2" xfId="293"/>
    <cellStyle name="쉼표 [0] 3 2 2 2 2 3 2 2" xfId="294"/>
    <cellStyle name="쉼표 [0] 3 2 2 2 2 3 2 2 2" xfId="295"/>
    <cellStyle name="쉼표 [0] 3 2 2 2 2 3 2 2 2 2" xfId="296"/>
    <cellStyle name="쉼표 [0] 3 2 2 2 2 3 2 2 2 2 2" xfId="297"/>
    <cellStyle name="쉼표 [0] 3 2 2 2 2 3 2 2 2 3" xfId="298"/>
    <cellStyle name="쉼표 [0] 3 2 2 2 2 3 2 2 3" xfId="299"/>
    <cellStyle name="쉼표 [0] 3 2 2 2 2 3 2 2 3 2" xfId="300"/>
    <cellStyle name="쉼표 [0] 3 2 2 2 2 3 2 2 4" xfId="301"/>
    <cellStyle name="쉼표 [0] 3 2 2 2 2 3 2 3" xfId="302"/>
    <cellStyle name="쉼표 [0] 3 2 2 2 2 3 2 3 2" xfId="303"/>
    <cellStyle name="쉼표 [0] 3 2 2 2 2 3 2 3 2 2" xfId="304"/>
    <cellStyle name="쉼표 [0] 3 2 2 2 2 3 2 3 3" xfId="305"/>
    <cellStyle name="쉼표 [0] 3 2 2 2 2 3 2 4" xfId="306"/>
    <cellStyle name="쉼표 [0] 3 2 2 2 2 3 2 4 2" xfId="307"/>
    <cellStyle name="쉼표 [0] 3 2 2 2 2 3 2 5" xfId="308"/>
    <cellStyle name="쉼표 [0] 3 2 2 2 2 3 3" xfId="309"/>
    <cellStyle name="쉼표 [0] 3 2 2 2 2 3 3 2" xfId="310"/>
    <cellStyle name="쉼표 [0] 3 2 2 2 2 3 3 2 2" xfId="311"/>
    <cellStyle name="쉼표 [0] 3 2 2 2 2 3 3 2 2 2" xfId="312"/>
    <cellStyle name="쉼표 [0] 3 2 2 2 2 3 3 2 3" xfId="313"/>
    <cellStyle name="쉼표 [0] 3 2 2 2 2 3 3 3" xfId="314"/>
    <cellStyle name="쉼표 [0] 3 2 2 2 2 3 3 3 2" xfId="315"/>
    <cellStyle name="쉼표 [0] 3 2 2 2 2 3 3 4" xfId="316"/>
    <cellStyle name="쉼표 [0] 3 2 2 2 2 3 4" xfId="317"/>
    <cellStyle name="쉼표 [0] 3 2 2 2 2 3 4 2" xfId="318"/>
    <cellStyle name="쉼표 [0] 3 2 2 2 2 3 4 2 2" xfId="319"/>
    <cellStyle name="쉼표 [0] 3 2 2 2 2 3 4 3" xfId="320"/>
    <cellStyle name="쉼표 [0] 3 2 2 2 2 3 5" xfId="321"/>
    <cellStyle name="쉼표 [0] 3 2 2 2 2 3 5 2" xfId="322"/>
    <cellStyle name="쉼표 [0] 3 2 2 2 2 3 6" xfId="323"/>
    <cellStyle name="쉼표 [0] 3 2 2 2 2 4" xfId="324"/>
    <cellStyle name="쉼표 [0] 3 2 2 2 2 4 2" xfId="325"/>
    <cellStyle name="쉼표 [0] 3 2 2 2 2 4 2 2" xfId="326"/>
    <cellStyle name="쉼표 [0] 3 2 2 2 2 4 2 2 2" xfId="327"/>
    <cellStyle name="쉼표 [0] 3 2 2 2 2 4 2 2 2 2" xfId="328"/>
    <cellStyle name="쉼표 [0] 3 2 2 2 2 4 2 2 3" xfId="329"/>
    <cellStyle name="쉼표 [0] 3 2 2 2 2 4 2 3" xfId="330"/>
    <cellStyle name="쉼표 [0] 3 2 2 2 2 4 2 3 2" xfId="331"/>
    <cellStyle name="쉼표 [0] 3 2 2 2 2 4 2 4" xfId="332"/>
    <cellStyle name="쉼표 [0] 3 2 2 2 2 4 3" xfId="333"/>
    <cellStyle name="쉼표 [0] 3 2 2 2 2 4 3 2" xfId="334"/>
    <cellStyle name="쉼표 [0] 3 2 2 2 2 4 3 2 2" xfId="335"/>
    <cellStyle name="쉼표 [0] 3 2 2 2 2 4 3 3" xfId="336"/>
    <cellStyle name="쉼표 [0] 3 2 2 2 2 4 4" xfId="337"/>
    <cellStyle name="쉼표 [0] 3 2 2 2 2 4 4 2" xfId="338"/>
    <cellStyle name="쉼표 [0] 3 2 2 2 2 4 5" xfId="339"/>
    <cellStyle name="쉼표 [0] 3 2 2 2 2 5" xfId="340"/>
    <cellStyle name="쉼표 [0] 3 2 2 2 2 5 2" xfId="341"/>
    <cellStyle name="쉼표 [0] 3 2 2 2 2 5 2 2" xfId="342"/>
    <cellStyle name="쉼표 [0] 3 2 2 2 2 5 2 2 2" xfId="343"/>
    <cellStyle name="쉼표 [0] 3 2 2 2 2 5 2 3" xfId="344"/>
    <cellStyle name="쉼표 [0] 3 2 2 2 2 5 3" xfId="345"/>
    <cellStyle name="쉼표 [0] 3 2 2 2 2 5 3 2" xfId="346"/>
    <cellStyle name="쉼표 [0] 3 2 2 2 2 5 4" xfId="347"/>
    <cellStyle name="쉼표 [0] 3 2 2 2 2 6" xfId="348"/>
    <cellStyle name="쉼표 [0] 3 2 2 2 2 6 2" xfId="349"/>
    <cellStyle name="쉼표 [0] 3 2 2 2 2 6 2 2" xfId="350"/>
    <cellStyle name="쉼표 [0] 3 2 2 2 2 6 3" xfId="351"/>
    <cellStyle name="쉼표 [0] 3 2 2 2 2 7" xfId="352"/>
    <cellStyle name="쉼표 [0] 3 2 2 2 2 7 2" xfId="353"/>
    <cellStyle name="쉼표 [0] 3 2 2 2 2 8" xfId="354"/>
    <cellStyle name="쉼표 [0] 3 2 2 2 2 9" xfId="355"/>
    <cellStyle name="쉼표 [0] 3 2 2 2 3" xfId="356"/>
    <cellStyle name="쉼표 [0] 3 2 2 2 3 2" xfId="357"/>
    <cellStyle name="쉼표 [0] 3 2 2 2 3 2 2" xfId="358"/>
    <cellStyle name="쉼표 [0] 3 2 2 2 3 2 2 2" xfId="359"/>
    <cellStyle name="쉼표 [0] 3 2 2 2 3 2 2 2 2" xfId="360"/>
    <cellStyle name="쉼표 [0] 3 2 2 2 3 2 2 2 2 2" xfId="361"/>
    <cellStyle name="쉼표 [0] 3 2 2 2 3 2 2 2 2 2 2" xfId="362"/>
    <cellStyle name="쉼표 [0] 3 2 2 2 3 2 2 2 2 3" xfId="363"/>
    <cellStyle name="쉼표 [0] 3 2 2 2 3 2 2 2 3" xfId="364"/>
    <cellStyle name="쉼표 [0] 3 2 2 2 3 2 2 2 3 2" xfId="365"/>
    <cellStyle name="쉼표 [0] 3 2 2 2 3 2 2 2 4" xfId="366"/>
    <cellStyle name="쉼표 [0] 3 2 2 2 3 2 2 3" xfId="367"/>
    <cellStyle name="쉼표 [0] 3 2 2 2 3 2 2 3 2" xfId="368"/>
    <cellStyle name="쉼표 [0] 3 2 2 2 3 2 2 3 2 2" xfId="369"/>
    <cellStyle name="쉼표 [0] 3 2 2 2 3 2 2 3 3" xfId="370"/>
    <cellStyle name="쉼표 [0] 3 2 2 2 3 2 2 4" xfId="371"/>
    <cellStyle name="쉼표 [0] 3 2 2 2 3 2 2 4 2" xfId="372"/>
    <cellStyle name="쉼표 [0] 3 2 2 2 3 2 2 5" xfId="373"/>
    <cellStyle name="쉼표 [0] 3 2 2 2 3 2 3" xfId="374"/>
    <cellStyle name="쉼표 [0] 3 2 2 2 3 2 3 2" xfId="375"/>
    <cellStyle name="쉼표 [0] 3 2 2 2 3 2 3 2 2" xfId="376"/>
    <cellStyle name="쉼표 [0] 3 2 2 2 3 2 3 2 2 2" xfId="377"/>
    <cellStyle name="쉼표 [0] 3 2 2 2 3 2 3 2 3" xfId="378"/>
    <cellStyle name="쉼표 [0] 3 2 2 2 3 2 3 3" xfId="379"/>
    <cellStyle name="쉼표 [0] 3 2 2 2 3 2 3 3 2" xfId="380"/>
    <cellStyle name="쉼표 [0] 3 2 2 2 3 2 3 4" xfId="381"/>
    <cellStyle name="쉼표 [0] 3 2 2 2 3 2 4" xfId="382"/>
    <cellStyle name="쉼표 [0] 3 2 2 2 3 2 4 2" xfId="383"/>
    <cellStyle name="쉼표 [0] 3 2 2 2 3 2 4 2 2" xfId="384"/>
    <cellStyle name="쉼표 [0] 3 2 2 2 3 2 4 3" xfId="385"/>
    <cellStyle name="쉼표 [0] 3 2 2 2 3 2 5" xfId="386"/>
    <cellStyle name="쉼표 [0] 3 2 2 2 3 2 5 2" xfId="387"/>
    <cellStyle name="쉼표 [0] 3 2 2 2 3 2 6" xfId="388"/>
    <cellStyle name="쉼표 [0] 3 2 2 2 3 3" xfId="389"/>
    <cellStyle name="쉼표 [0] 3 2 2 2 3 3 2" xfId="390"/>
    <cellStyle name="쉼표 [0] 3 2 2 2 3 3 2 2" xfId="391"/>
    <cellStyle name="쉼표 [0] 3 2 2 2 3 3 2 2 2" xfId="392"/>
    <cellStyle name="쉼표 [0] 3 2 2 2 3 3 2 2 2 2" xfId="393"/>
    <cellStyle name="쉼표 [0] 3 2 2 2 3 3 2 2 3" xfId="394"/>
    <cellStyle name="쉼표 [0] 3 2 2 2 3 3 2 3" xfId="395"/>
    <cellStyle name="쉼표 [0] 3 2 2 2 3 3 2 3 2" xfId="396"/>
    <cellStyle name="쉼표 [0] 3 2 2 2 3 3 2 4" xfId="397"/>
    <cellStyle name="쉼표 [0] 3 2 2 2 3 3 3" xfId="398"/>
    <cellStyle name="쉼표 [0] 3 2 2 2 3 3 3 2" xfId="399"/>
    <cellStyle name="쉼표 [0] 3 2 2 2 3 3 3 2 2" xfId="400"/>
    <cellStyle name="쉼표 [0] 3 2 2 2 3 3 3 3" xfId="401"/>
    <cellStyle name="쉼표 [0] 3 2 2 2 3 3 4" xfId="402"/>
    <cellStyle name="쉼표 [0] 3 2 2 2 3 3 4 2" xfId="403"/>
    <cellStyle name="쉼표 [0] 3 2 2 2 3 3 5" xfId="404"/>
    <cellStyle name="쉼표 [0] 3 2 2 2 3 4" xfId="405"/>
    <cellStyle name="쉼표 [0] 3 2 2 2 3 4 2" xfId="406"/>
    <cellStyle name="쉼표 [0] 3 2 2 2 3 4 2 2" xfId="407"/>
    <cellStyle name="쉼표 [0] 3 2 2 2 3 4 2 2 2" xfId="408"/>
    <cellStyle name="쉼표 [0] 3 2 2 2 3 4 2 3" xfId="409"/>
    <cellStyle name="쉼표 [0] 3 2 2 2 3 4 3" xfId="410"/>
    <cellStyle name="쉼표 [0] 3 2 2 2 3 4 3 2" xfId="411"/>
    <cellStyle name="쉼표 [0] 3 2 2 2 3 4 4" xfId="412"/>
    <cellStyle name="쉼표 [0] 3 2 2 2 3 5" xfId="413"/>
    <cellStyle name="쉼표 [0] 3 2 2 2 3 5 2" xfId="414"/>
    <cellStyle name="쉼표 [0] 3 2 2 2 3 5 2 2" xfId="415"/>
    <cellStyle name="쉼표 [0] 3 2 2 2 3 5 3" xfId="416"/>
    <cellStyle name="쉼표 [0] 3 2 2 2 3 6" xfId="417"/>
    <cellStyle name="쉼표 [0] 3 2 2 2 3 6 2" xfId="418"/>
    <cellStyle name="쉼표 [0] 3 2 2 2 3 7" xfId="419"/>
    <cellStyle name="쉼표 [0] 3 2 2 2 3 8" xfId="420"/>
    <cellStyle name="쉼표 [0] 3 2 2 2 4" xfId="421"/>
    <cellStyle name="쉼표 [0] 3 2 2 2 4 2" xfId="422"/>
    <cellStyle name="쉼표 [0] 3 2 2 2 4 2 2" xfId="423"/>
    <cellStyle name="쉼표 [0] 3 2 2 2 4 2 2 2" xfId="424"/>
    <cellStyle name="쉼표 [0] 3 2 2 2 4 2 2 2 2" xfId="425"/>
    <cellStyle name="쉼표 [0] 3 2 2 2 4 2 2 2 2 2" xfId="426"/>
    <cellStyle name="쉼표 [0] 3 2 2 2 4 2 2 2 3" xfId="427"/>
    <cellStyle name="쉼표 [0] 3 2 2 2 4 2 2 3" xfId="428"/>
    <cellStyle name="쉼표 [0] 3 2 2 2 4 2 2 3 2" xfId="429"/>
    <cellStyle name="쉼표 [0] 3 2 2 2 4 2 2 4" xfId="430"/>
    <cellStyle name="쉼표 [0] 3 2 2 2 4 2 3" xfId="431"/>
    <cellStyle name="쉼표 [0] 3 2 2 2 4 2 3 2" xfId="432"/>
    <cellStyle name="쉼표 [0] 3 2 2 2 4 2 3 2 2" xfId="433"/>
    <cellStyle name="쉼표 [0] 3 2 2 2 4 2 3 3" xfId="434"/>
    <cellStyle name="쉼표 [0] 3 2 2 2 4 2 4" xfId="435"/>
    <cellStyle name="쉼표 [0] 3 2 2 2 4 2 4 2" xfId="436"/>
    <cellStyle name="쉼표 [0] 3 2 2 2 4 2 5" xfId="437"/>
    <cellStyle name="쉼표 [0] 3 2 2 2 4 3" xfId="438"/>
    <cellStyle name="쉼표 [0] 3 2 2 2 4 3 2" xfId="439"/>
    <cellStyle name="쉼표 [0] 3 2 2 2 4 3 2 2" xfId="440"/>
    <cellStyle name="쉼표 [0] 3 2 2 2 4 3 2 2 2" xfId="441"/>
    <cellStyle name="쉼표 [0] 3 2 2 2 4 3 2 3" xfId="442"/>
    <cellStyle name="쉼표 [0] 3 2 2 2 4 3 3" xfId="443"/>
    <cellStyle name="쉼표 [0] 3 2 2 2 4 3 3 2" xfId="444"/>
    <cellStyle name="쉼표 [0] 3 2 2 2 4 3 4" xfId="445"/>
    <cellStyle name="쉼표 [0] 3 2 2 2 4 4" xfId="446"/>
    <cellStyle name="쉼표 [0] 3 2 2 2 4 4 2" xfId="447"/>
    <cellStyle name="쉼표 [0] 3 2 2 2 4 4 2 2" xfId="448"/>
    <cellStyle name="쉼표 [0] 3 2 2 2 4 4 3" xfId="449"/>
    <cellStyle name="쉼표 [0] 3 2 2 2 4 5" xfId="450"/>
    <cellStyle name="쉼표 [0] 3 2 2 2 4 5 2" xfId="451"/>
    <cellStyle name="쉼표 [0] 3 2 2 2 4 6" xfId="452"/>
    <cellStyle name="쉼표 [0] 3 2 2 2 5" xfId="453"/>
    <cellStyle name="쉼표 [0] 3 2 2 2 5 2" xfId="454"/>
    <cellStyle name="쉼표 [0] 3 2 2 2 5 2 2" xfId="455"/>
    <cellStyle name="쉼표 [0] 3 2 2 2 5 2 2 2" xfId="456"/>
    <cellStyle name="쉼표 [0] 3 2 2 2 5 2 2 2 2" xfId="457"/>
    <cellStyle name="쉼표 [0] 3 2 2 2 5 2 2 3" xfId="458"/>
    <cellStyle name="쉼표 [0] 3 2 2 2 5 2 3" xfId="459"/>
    <cellStyle name="쉼표 [0] 3 2 2 2 5 2 3 2" xfId="460"/>
    <cellStyle name="쉼표 [0] 3 2 2 2 5 2 4" xfId="461"/>
    <cellStyle name="쉼표 [0] 3 2 2 2 5 3" xfId="462"/>
    <cellStyle name="쉼표 [0] 3 2 2 2 5 3 2" xfId="463"/>
    <cellStyle name="쉼표 [0] 3 2 2 2 5 3 2 2" xfId="464"/>
    <cellStyle name="쉼표 [0] 3 2 2 2 5 3 3" xfId="465"/>
    <cellStyle name="쉼표 [0] 3 2 2 2 5 4" xfId="466"/>
    <cellStyle name="쉼표 [0] 3 2 2 2 5 4 2" xfId="467"/>
    <cellStyle name="쉼표 [0] 3 2 2 2 5 5" xfId="468"/>
    <cellStyle name="쉼표 [0] 3 2 2 2 6" xfId="469"/>
    <cellStyle name="쉼표 [0] 3 2 2 2 6 2" xfId="470"/>
    <cellStyle name="쉼표 [0] 3 2 2 2 6 2 2" xfId="471"/>
    <cellStyle name="쉼표 [0] 3 2 2 2 6 2 2 2" xfId="472"/>
    <cellStyle name="쉼표 [0] 3 2 2 2 6 2 3" xfId="473"/>
    <cellStyle name="쉼표 [0] 3 2 2 2 6 3" xfId="474"/>
    <cellStyle name="쉼표 [0] 3 2 2 2 6 3 2" xfId="475"/>
    <cellStyle name="쉼표 [0] 3 2 2 2 6 4" xfId="476"/>
    <cellStyle name="쉼표 [0] 3 2 2 2 7" xfId="477"/>
    <cellStyle name="쉼표 [0] 3 2 2 2 7 2" xfId="478"/>
    <cellStyle name="쉼표 [0] 3 2 2 2 7 2 2" xfId="479"/>
    <cellStyle name="쉼표 [0] 3 2 2 2 7 3" xfId="480"/>
    <cellStyle name="쉼표 [0] 3 2 2 2 8" xfId="481"/>
    <cellStyle name="쉼표 [0] 3 2 2 2 8 2" xfId="482"/>
    <cellStyle name="쉼표 [0] 3 2 2 2 9" xfId="483"/>
    <cellStyle name="쉼표 [0] 3 2 2 3" xfId="484"/>
    <cellStyle name="쉼표 [0] 3 2 2 3 2" xfId="485"/>
    <cellStyle name="쉼표 [0] 3 2 2 3 2 2" xfId="486"/>
    <cellStyle name="쉼표 [0] 3 2 2 3 2 2 2" xfId="487"/>
    <cellStyle name="쉼표 [0] 3 2 2 3 2 2 2 2" xfId="488"/>
    <cellStyle name="쉼표 [0] 3 2 2 3 2 2 2 2 2" xfId="489"/>
    <cellStyle name="쉼표 [0] 3 2 2 3 2 2 2 2 2 2" xfId="490"/>
    <cellStyle name="쉼표 [0] 3 2 2 3 2 2 2 2 2 2 2" xfId="491"/>
    <cellStyle name="쉼표 [0] 3 2 2 3 2 2 2 2 2 3" xfId="492"/>
    <cellStyle name="쉼표 [0] 3 2 2 3 2 2 2 2 3" xfId="493"/>
    <cellStyle name="쉼표 [0] 3 2 2 3 2 2 2 2 3 2" xfId="494"/>
    <cellStyle name="쉼표 [0] 3 2 2 3 2 2 2 2 4" xfId="495"/>
    <cellStyle name="쉼표 [0] 3 2 2 3 2 2 2 3" xfId="496"/>
    <cellStyle name="쉼표 [0] 3 2 2 3 2 2 2 3 2" xfId="497"/>
    <cellStyle name="쉼표 [0] 3 2 2 3 2 2 2 3 2 2" xfId="498"/>
    <cellStyle name="쉼표 [0] 3 2 2 3 2 2 2 3 3" xfId="499"/>
    <cellStyle name="쉼표 [0] 3 2 2 3 2 2 2 4" xfId="500"/>
    <cellStyle name="쉼표 [0] 3 2 2 3 2 2 2 4 2" xfId="501"/>
    <cellStyle name="쉼표 [0] 3 2 2 3 2 2 2 5" xfId="502"/>
    <cellStyle name="쉼표 [0] 3 2 2 3 2 2 3" xfId="503"/>
    <cellStyle name="쉼표 [0] 3 2 2 3 2 2 3 2" xfId="504"/>
    <cellStyle name="쉼표 [0] 3 2 2 3 2 2 3 2 2" xfId="505"/>
    <cellStyle name="쉼표 [0] 3 2 2 3 2 2 3 2 2 2" xfId="506"/>
    <cellStyle name="쉼표 [0] 3 2 2 3 2 2 3 2 3" xfId="507"/>
    <cellStyle name="쉼표 [0] 3 2 2 3 2 2 3 3" xfId="508"/>
    <cellStyle name="쉼표 [0] 3 2 2 3 2 2 3 3 2" xfId="509"/>
    <cellStyle name="쉼표 [0] 3 2 2 3 2 2 3 4" xfId="510"/>
    <cellStyle name="쉼표 [0] 3 2 2 3 2 2 4" xfId="511"/>
    <cellStyle name="쉼표 [0] 3 2 2 3 2 2 4 2" xfId="512"/>
    <cellStyle name="쉼표 [0] 3 2 2 3 2 2 4 2 2" xfId="513"/>
    <cellStyle name="쉼표 [0] 3 2 2 3 2 2 4 3" xfId="514"/>
    <cellStyle name="쉼표 [0] 3 2 2 3 2 2 5" xfId="515"/>
    <cellStyle name="쉼표 [0] 3 2 2 3 2 2 5 2" xfId="516"/>
    <cellStyle name="쉼표 [0] 3 2 2 3 2 2 6" xfId="517"/>
    <cellStyle name="쉼표 [0] 3 2 2 3 2 3" xfId="518"/>
    <cellStyle name="쉼표 [0] 3 2 2 3 2 3 2" xfId="519"/>
    <cellStyle name="쉼표 [0] 3 2 2 3 2 3 2 2" xfId="520"/>
    <cellStyle name="쉼표 [0] 3 2 2 3 2 3 2 2 2" xfId="521"/>
    <cellStyle name="쉼표 [0] 3 2 2 3 2 3 2 2 2 2" xfId="522"/>
    <cellStyle name="쉼표 [0] 3 2 2 3 2 3 2 2 3" xfId="523"/>
    <cellStyle name="쉼표 [0] 3 2 2 3 2 3 2 3" xfId="524"/>
    <cellStyle name="쉼표 [0] 3 2 2 3 2 3 2 3 2" xfId="525"/>
    <cellStyle name="쉼표 [0] 3 2 2 3 2 3 2 4" xfId="526"/>
    <cellStyle name="쉼표 [0] 3 2 2 3 2 3 3" xfId="527"/>
    <cellStyle name="쉼표 [0] 3 2 2 3 2 3 3 2" xfId="528"/>
    <cellStyle name="쉼표 [0] 3 2 2 3 2 3 3 2 2" xfId="529"/>
    <cellStyle name="쉼표 [0] 3 2 2 3 2 3 3 3" xfId="530"/>
    <cellStyle name="쉼표 [0] 3 2 2 3 2 3 4" xfId="531"/>
    <cellStyle name="쉼표 [0] 3 2 2 3 2 3 4 2" xfId="532"/>
    <cellStyle name="쉼표 [0] 3 2 2 3 2 3 5" xfId="533"/>
    <cellStyle name="쉼표 [0] 3 2 2 3 2 4" xfId="534"/>
    <cellStyle name="쉼표 [0] 3 2 2 3 2 4 2" xfId="535"/>
    <cellStyle name="쉼표 [0] 3 2 2 3 2 4 2 2" xfId="536"/>
    <cellStyle name="쉼표 [0] 3 2 2 3 2 4 2 2 2" xfId="537"/>
    <cellStyle name="쉼표 [0] 3 2 2 3 2 4 2 3" xfId="538"/>
    <cellStyle name="쉼표 [0] 3 2 2 3 2 4 3" xfId="539"/>
    <cellStyle name="쉼표 [0] 3 2 2 3 2 4 3 2" xfId="540"/>
    <cellStyle name="쉼표 [0] 3 2 2 3 2 4 4" xfId="541"/>
    <cellStyle name="쉼표 [0] 3 2 2 3 2 5" xfId="542"/>
    <cellStyle name="쉼표 [0] 3 2 2 3 2 5 2" xfId="543"/>
    <cellStyle name="쉼표 [0] 3 2 2 3 2 5 2 2" xfId="544"/>
    <cellStyle name="쉼표 [0] 3 2 2 3 2 5 3" xfId="545"/>
    <cellStyle name="쉼표 [0] 3 2 2 3 2 6" xfId="546"/>
    <cellStyle name="쉼표 [0] 3 2 2 3 2 6 2" xfId="547"/>
    <cellStyle name="쉼표 [0] 3 2 2 3 2 7" xfId="548"/>
    <cellStyle name="쉼표 [0] 3 2 2 3 2 8" xfId="549"/>
    <cellStyle name="쉼표 [0] 3 2 2 3 3" xfId="550"/>
    <cellStyle name="쉼표 [0] 3 2 2 3 3 2" xfId="551"/>
    <cellStyle name="쉼표 [0] 3 2 2 3 3 2 2" xfId="552"/>
    <cellStyle name="쉼표 [0] 3 2 2 3 3 2 2 2" xfId="553"/>
    <cellStyle name="쉼표 [0] 3 2 2 3 3 2 2 2 2" xfId="554"/>
    <cellStyle name="쉼표 [0] 3 2 2 3 3 2 2 2 2 2" xfId="555"/>
    <cellStyle name="쉼표 [0] 3 2 2 3 3 2 2 2 3" xfId="556"/>
    <cellStyle name="쉼표 [0] 3 2 2 3 3 2 2 3" xfId="557"/>
    <cellStyle name="쉼표 [0] 3 2 2 3 3 2 2 3 2" xfId="558"/>
    <cellStyle name="쉼표 [0] 3 2 2 3 3 2 2 4" xfId="559"/>
    <cellStyle name="쉼표 [0] 3 2 2 3 3 2 3" xfId="560"/>
    <cellStyle name="쉼표 [0] 3 2 2 3 3 2 3 2" xfId="561"/>
    <cellStyle name="쉼표 [0] 3 2 2 3 3 2 3 2 2" xfId="562"/>
    <cellStyle name="쉼표 [0] 3 2 2 3 3 2 3 3" xfId="563"/>
    <cellStyle name="쉼표 [0] 3 2 2 3 3 2 4" xfId="564"/>
    <cellStyle name="쉼표 [0] 3 2 2 3 3 2 4 2" xfId="565"/>
    <cellStyle name="쉼표 [0] 3 2 2 3 3 2 5" xfId="566"/>
    <cellStyle name="쉼표 [0] 3 2 2 3 3 3" xfId="567"/>
    <cellStyle name="쉼표 [0] 3 2 2 3 3 3 2" xfId="568"/>
    <cellStyle name="쉼표 [0] 3 2 2 3 3 3 2 2" xfId="569"/>
    <cellStyle name="쉼표 [0] 3 2 2 3 3 3 2 2 2" xfId="570"/>
    <cellStyle name="쉼표 [0] 3 2 2 3 3 3 2 3" xfId="571"/>
    <cellStyle name="쉼표 [0] 3 2 2 3 3 3 3" xfId="572"/>
    <cellStyle name="쉼표 [0] 3 2 2 3 3 3 3 2" xfId="573"/>
    <cellStyle name="쉼표 [0] 3 2 2 3 3 3 4" xfId="574"/>
    <cellStyle name="쉼표 [0] 3 2 2 3 3 4" xfId="575"/>
    <cellStyle name="쉼표 [0] 3 2 2 3 3 4 2" xfId="576"/>
    <cellStyle name="쉼표 [0] 3 2 2 3 3 4 2 2" xfId="577"/>
    <cellStyle name="쉼표 [0] 3 2 2 3 3 4 3" xfId="578"/>
    <cellStyle name="쉼표 [0] 3 2 2 3 3 5" xfId="579"/>
    <cellStyle name="쉼표 [0] 3 2 2 3 3 5 2" xfId="580"/>
    <cellStyle name="쉼표 [0] 3 2 2 3 3 6" xfId="581"/>
    <cellStyle name="쉼표 [0] 3 2 2 3 4" xfId="582"/>
    <cellStyle name="쉼표 [0] 3 2 2 3 4 2" xfId="583"/>
    <cellStyle name="쉼표 [0] 3 2 2 3 4 2 2" xfId="584"/>
    <cellStyle name="쉼표 [0] 3 2 2 3 4 2 2 2" xfId="585"/>
    <cellStyle name="쉼표 [0] 3 2 2 3 4 2 2 2 2" xfId="586"/>
    <cellStyle name="쉼표 [0] 3 2 2 3 4 2 2 3" xfId="587"/>
    <cellStyle name="쉼표 [0] 3 2 2 3 4 2 3" xfId="588"/>
    <cellStyle name="쉼표 [0] 3 2 2 3 4 2 3 2" xfId="589"/>
    <cellStyle name="쉼표 [0] 3 2 2 3 4 2 4" xfId="590"/>
    <cellStyle name="쉼표 [0] 3 2 2 3 4 3" xfId="591"/>
    <cellStyle name="쉼표 [0] 3 2 2 3 4 3 2" xfId="592"/>
    <cellStyle name="쉼표 [0] 3 2 2 3 4 3 2 2" xfId="593"/>
    <cellStyle name="쉼표 [0] 3 2 2 3 4 3 3" xfId="594"/>
    <cellStyle name="쉼표 [0] 3 2 2 3 4 4" xfId="595"/>
    <cellStyle name="쉼표 [0] 3 2 2 3 4 4 2" xfId="596"/>
    <cellStyle name="쉼표 [0] 3 2 2 3 4 5" xfId="597"/>
    <cellStyle name="쉼표 [0] 3 2 2 3 5" xfId="598"/>
    <cellStyle name="쉼표 [0] 3 2 2 3 5 2" xfId="599"/>
    <cellStyle name="쉼표 [0] 3 2 2 3 5 2 2" xfId="600"/>
    <cellStyle name="쉼표 [0] 3 2 2 3 5 2 2 2" xfId="601"/>
    <cellStyle name="쉼표 [0] 3 2 2 3 5 2 3" xfId="602"/>
    <cellStyle name="쉼표 [0] 3 2 2 3 5 3" xfId="603"/>
    <cellStyle name="쉼표 [0] 3 2 2 3 5 3 2" xfId="604"/>
    <cellStyle name="쉼표 [0] 3 2 2 3 5 4" xfId="605"/>
    <cellStyle name="쉼표 [0] 3 2 2 3 6" xfId="606"/>
    <cellStyle name="쉼표 [0] 3 2 2 3 6 2" xfId="607"/>
    <cellStyle name="쉼표 [0] 3 2 2 3 6 2 2" xfId="608"/>
    <cellStyle name="쉼표 [0] 3 2 2 3 6 3" xfId="609"/>
    <cellStyle name="쉼표 [0] 3 2 2 3 7" xfId="610"/>
    <cellStyle name="쉼표 [0] 3 2 2 3 7 2" xfId="611"/>
    <cellStyle name="쉼표 [0] 3 2 2 3 8" xfId="612"/>
    <cellStyle name="쉼표 [0] 3 2 2 3 9" xfId="613"/>
    <cellStyle name="쉼표 [0] 3 2 2 4" xfId="614"/>
    <cellStyle name="쉼표 [0] 3 2 2 4 2" xfId="615"/>
    <cellStyle name="쉼표 [0] 3 2 2 4 2 2" xfId="616"/>
    <cellStyle name="쉼표 [0] 3 2 2 4 2 2 2" xfId="617"/>
    <cellStyle name="쉼표 [0] 3 2 2 4 2 2 2 2" xfId="618"/>
    <cellStyle name="쉼표 [0] 3 2 2 4 2 2 2 2 2" xfId="619"/>
    <cellStyle name="쉼표 [0] 3 2 2 4 2 2 2 2 2 2" xfId="620"/>
    <cellStyle name="쉼표 [0] 3 2 2 4 2 2 2 2 3" xfId="621"/>
    <cellStyle name="쉼표 [0] 3 2 2 4 2 2 2 3" xfId="622"/>
    <cellStyle name="쉼표 [0] 3 2 2 4 2 2 2 3 2" xfId="623"/>
    <cellStyle name="쉼표 [0] 3 2 2 4 2 2 2 4" xfId="624"/>
    <cellStyle name="쉼표 [0] 3 2 2 4 2 2 3" xfId="625"/>
    <cellStyle name="쉼표 [0] 3 2 2 4 2 2 3 2" xfId="626"/>
    <cellStyle name="쉼표 [0] 3 2 2 4 2 2 3 2 2" xfId="627"/>
    <cellStyle name="쉼표 [0] 3 2 2 4 2 2 3 3" xfId="628"/>
    <cellStyle name="쉼표 [0] 3 2 2 4 2 2 4" xfId="629"/>
    <cellStyle name="쉼표 [0] 3 2 2 4 2 2 4 2" xfId="630"/>
    <cellStyle name="쉼표 [0] 3 2 2 4 2 2 5" xfId="631"/>
    <cellStyle name="쉼표 [0] 3 2 2 4 2 3" xfId="632"/>
    <cellStyle name="쉼표 [0] 3 2 2 4 2 3 2" xfId="633"/>
    <cellStyle name="쉼표 [0] 3 2 2 4 2 3 2 2" xfId="634"/>
    <cellStyle name="쉼표 [0] 3 2 2 4 2 3 2 2 2" xfId="635"/>
    <cellStyle name="쉼표 [0] 3 2 2 4 2 3 2 3" xfId="636"/>
    <cellStyle name="쉼표 [0] 3 2 2 4 2 3 3" xfId="637"/>
    <cellStyle name="쉼표 [0] 3 2 2 4 2 3 3 2" xfId="638"/>
    <cellStyle name="쉼표 [0] 3 2 2 4 2 3 4" xfId="639"/>
    <cellStyle name="쉼표 [0] 3 2 2 4 2 4" xfId="640"/>
    <cellStyle name="쉼표 [0] 3 2 2 4 2 4 2" xfId="641"/>
    <cellStyle name="쉼표 [0] 3 2 2 4 2 4 2 2" xfId="642"/>
    <cellStyle name="쉼표 [0] 3 2 2 4 2 4 3" xfId="643"/>
    <cellStyle name="쉼표 [0] 3 2 2 4 2 5" xfId="644"/>
    <cellStyle name="쉼표 [0] 3 2 2 4 2 5 2" xfId="645"/>
    <cellStyle name="쉼표 [0] 3 2 2 4 2 6" xfId="646"/>
    <cellStyle name="쉼표 [0] 3 2 2 4 3" xfId="647"/>
    <cellStyle name="쉼표 [0] 3 2 2 4 3 2" xfId="648"/>
    <cellStyle name="쉼표 [0] 3 2 2 4 3 2 2" xfId="649"/>
    <cellStyle name="쉼표 [0] 3 2 2 4 3 2 2 2" xfId="650"/>
    <cellStyle name="쉼표 [0] 3 2 2 4 3 2 2 2 2" xfId="651"/>
    <cellStyle name="쉼표 [0] 3 2 2 4 3 2 2 3" xfId="652"/>
    <cellStyle name="쉼표 [0] 3 2 2 4 3 2 3" xfId="653"/>
    <cellStyle name="쉼표 [0] 3 2 2 4 3 2 3 2" xfId="654"/>
    <cellStyle name="쉼표 [0] 3 2 2 4 3 2 4" xfId="655"/>
    <cellStyle name="쉼표 [0] 3 2 2 4 3 3" xfId="656"/>
    <cellStyle name="쉼표 [0] 3 2 2 4 3 3 2" xfId="657"/>
    <cellStyle name="쉼표 [0] 3 2 2 4 3 3 2 2" xfId="658"/>
    <cellStyle name="쉼표 [0] 3 2 2 4 3 3 3" xfId="659"/>
    <cellStyle name="쉼표 [0] 3 2 2 4 3 4" xfId="660"/>
    <cellStyle name="쉼표 [0] 3 2 2 4 3 4 2" xfId="661"/>
    <cellStyle name="쉼표 [0] 3 2 2 4 3 5" xfId="662"/>
    <cellStyle name="쉼표 [0] 3 2 2 4 4" xfId="663"/>
    <cellStyle name="쉼표 [0] 3 2 2 4 4 2" xfId="664"/>
    <cellStyle name="쉼표 [0] 3 2 2 4 4 2 2" xfId="665"/>
    <cellStyle name="쉼표 [0] 3 2 2 4 4 2 2 2" xfId="666"/>
    <cellStyle name="쉼표 [0] 3 2 2 4 4 2 3" xfId="667"/>
    <cellStyle name="쉼표 [0] 3 2 2 4 4 3" xfId="668"/>
    <cellStyle name="쉼표 [0] 3 2 2 4 4 3 2" xfId="669"/>
    <cellStyle name="쉼표 [0] 3 2 2 4 4 4" xfId="670"/>
    <cellStyle name="쉼표 [0] 3 2 2 4 5" xfId="671"/>
    <cellStyle name="쉼표 [0] 3 2 2 4 5 2" xfId="672"/>
    <cellStyle name="쉼표 [0] 3 2 2 4 5 2 2" xfId="673"/>
    <cellStyle name="쉼표 [0] 3 2 2 4 5 3" xfId="674"/>
    <cellStyle name="쉼표 [0] 3 2 2 4 6" xfId="675"/>
    <cellStyle name="쉼표 [0] 3 2 2 4 6 2" xfId="676"/>
    <cellStyle name="쉼표 [0] 3 2 2 4 7" xfId="677"/>
    <cellStyle name="쉼표 [0] 3 2 2 4 8" xfId="678"/>
    <cellStyle name="쉼표 [0] 3 2 2 5" xfId="679"/>
    <cellStyle name="쉼표 [0] 3 2 2 5 2" xfId="680"/>
    <cellStyle name="쉼표 [0] 3 2 2 5 2 2" xfId="681"/>
    <cellStyle name="쉼표 [0] 3 2 2 5 2 2 2" xfId="682"/>
    <cellStyle name="쉼표 [0] 3 2 2 5 2 2 2 2" xfId="683"/>
    <cellStyle name="쉼표 [0] 3 2 2 5 2 2 2 2 2" xfId="684"/>
    <cellStyle name="쉼표 [0] 3 2 2 5 2 2 2 3" xfId="685"/>
    <cellStyle name="쉼표 [0] 3 2 2 5 2 2 3" xfId="686"/>
    <cellStyle name="쉼표 [0] 3 2 2 5 2 2 3 2" xfId="687"/>
    <cellStyle name="쉼표 [0] 3 2 2 5 2 2 4" xfId="688"/>
    <cellStyle name="쉼표 [0] 3 2 2 5 2 3" xfId="689"/>
    <cellStyle name="쉼표 [0] 3 2 2 5 2 3 2" xfId="690"/>
    <cellStyle name="쉼표 [0] 3 2 2 5 2 3 2 2" xfId="691"/>
    <cellStyle name="쉼표 [0] 3 2 2 5 2 3 3" xfId="692"/>
    <cellStyle name="쉼표 [0] 3 2 2 5 2 4" xfId="693"/>
    <cellStyle name="쉼표 [0] 3 2 2 5 2 4 2" xfId="694"/>
    <cellStyle name="쉼표 [0] 3 2 2 5 2 5" xfId="695"/>
    <cellStyle name="쉼표 [0] 3 2 2 5 3" xfId="696"/>
    <cellStyle name="쉼표 [0] 3 2 2 5 3 2" xfId="697"/>
    <cellStyle name="쉼표 [0] 3 2 2 5 3 2 2" xfId="698"/>
    <cellStyle name="쉼표 [0] 3 2 2 5 3 2 2 2" xfId="699"/>
    <cellStyle name="쉼표 [0] 3 2 2 5 3 2 3" xfId="700"/>
    <cellStyle name="쉼표 [0] 3 2 2 5 3 3" xfId="701"/>
    <cellStyle name="쉼표 [0] 3 2 2 5 3 3 2" xfId="702"/>
    <cellStyle name="쉼표 [0] 3 2 2 5 3 4" xfId="703"/>
    <cellStyle name="쉼표 [0] 3 2 2 5 4" xfId="704"/>
    <cellStyle name="쉼표 [0] 3 2 2 5 4 2" xfId="705"/>
    <cellStyle name="쉼표 [0] 3 2 2 5 4 2 2" xfId="706"/>
    <cellStyle name="쉼표 [0] 3 2 2 5 4 3" xfId="707"/>
    <cellStyle name="쉼표 [0] 3 2 2 5 5" xfId="708"/>
    <cellStyle name="쉼표 [0] 3 2 2 5 5 2" xfId="709"/>
    <cellStyle name="쉼표 [0] 3 2 2 5 6" xfId="710"/>
    <cellStyle name="쉼표 [0] 3 2 2 6" xfId="711"/>
    <cellStyle name="쉼표 [0] 3 2 2 6 2" xfId="712"/>
    <cellStyle name="쉼표 [0] 3 2 2 6 2 2" xfId="713"/>
    <cellStyle name="쉼표 [0] 3 2 2 6 2 2 2" xfId="714"/>
    <cellStyle name="쉼표 [0] 3 2 2 6 2 2 2 2" xfId="715"/>
    <cellStyle name="쉼표 [0] 3 2 2 6 2 2 3" xfId="716"/>
    <cellStyle name="쉼표 [0] 3 2 2 6 2 3" xfId="717"/>
    <cellStyle name="쉼표 [0] 3 2 2 6 2 3 2" xfId="718"/>
    <cellStyle name="쉼표 [0] 3 2 2 6 2 4" xfId="719"/>
    <cellStyle name="쉼표 [0] 3 2 2 6 3" xfId="720"/>
    <cellStyle name="쉼표 [0] 3 2 2 6 3 2" xfId="721"/>
    <cellStyle name="쉼표 [0] 3 2 2 6 3 2 2" xfId="722"/>
    <cellStyle name="쉼표 [0] 3 2 2 6 3 3" xfId="723"/>
    <cellStyle name="쉼표 [0] 3 2 2 6 4" xfId="724"/>
    <cellStyle name="쉼표 [0] 3 2 2 6 4 2" xfId="725"/>
    <cellStyle name="쉼표 [0] 3 2 2 6 5" xfId="726"/>
    <cellStyle name="쉼표 [0] 3 2 2 7" xfId="727"/>
    <cellStyle name="쉼표 [0] 3 2 2 7 2" xfId="728"/>
    <cellStyle name="쉼표 [0] 3 2 2 7 2 2" xfId="729"/>
    <cellStyle name="쉼표 [0] 3 2 2 7 2 2 2" xfId="730"/>
    <cellStyle name="쉼표 [0] 3 2 2 7 2 3" xfId="731"/>
    <cellStyle name="쉼표 [0] 3 2 2 7 3" xfId="732"/>
    <cellStyle name="쉼표 [0] 3 2 2 7 3 2" xfId="733"/>
    <cellStyle name="쉼표 [0] 3 2 2 7 4" xfId="734"/>
    <cellStyle name="쉼표 [0] 3 2 2 8" xfId="735"/>
    <cellStyle name="쉼표 [0] 3 2 2 8 2" xfId="736"/>
    <cellStyle name="쉼표 [0] 3 2 2 8 2 2" xfId="737"/>
    <cellStyle name="쉼표 [0] 3 2 2 8 3" xfId="738"/>
    <cellStyle name="쉼표 [0] 3 2 2 9" xfId="739"/>
    <cellStyle name="쉼표 [0] 3 2 2 9 2" xfId="740"/>
    <cellStyle name="쉼표 [0] 3 2 3" xfId="741"/>
    <cellStyle name="쉼표 [0] 3 2 3 10" xfId="742"/>
    <cellStyle name="쉼표 [0] 3 2 3 2" xfId="743"/>
    <cellStyle name="쉼표 [0] 3 2 3 2 2" xfId="744"/>
    <cellStyle name="쉼표 [0] 3 2 3 2 2 2" xfId="745"/>
    <cellStyle name="쉼표 [0] 3 2 3 2 2 2 2" xfId="746"/>
    <cellStyle name="쉼표 [0] 3 2 3 2 2 2 2 2" xfId="747"/>
    <cellStyle name="쉼표 [0] 3 2 3 2 2 2 2 2 2" xfId="748"/>
    <cellStyle name="쉼표 [0] 3 2 3 2 2 2 2 2 2 2" xfId="749"/>
    <cellStyle name="쉼표 [0] 3 2 3 2 2 2 2 2 2 2 2" xfId="750"/>
    <cellStyle name="쉼표 [0] 3 2 3 2 2 2 2 2 2 3" xfId="751"/>
    <cellStyle name="쉼표 [0] 3 2 3 2 2 2 2 2 3" xfId="752"/>
    <cellStyle name="쉼표 [0] 3 2 3 2 2 2 2 2 3 2" xfId="753"/>
    <cellStyle name="쉼표 [0] 3 2 3 2 2 2 2 2 4" xfId="754"/>
    <cellStyle name="쉼표 [0] 3 2 3 2 2 2 2 3" xfId="755"/>
    <cellStyle name="쉼표 [0] 3 2 3 2 2 2 2 3 2" xfId="756"/>
    <cellStyle name="쉼표 [0] 3 2 3 2 2 2 2 3 2 2" xfId="757"/>
    <cellStyle name="쉼표 [0] 3 2 3 2 2 2 2 3 3" xfId="758"/>
    <cellStyle name="쉼표 [0] 3 2 3 2 2 2 2 4" xfId="759"/>
    <cellStyle name="쉼표 [0] 3 2 3 2 2 2 2 4 2" xfId="760"/>
    <cellStyle name="쉼표 [0] 3 2 3 2 2 2 2 5" xfId="761"/>
    <cellStyle name="쉼표 [0] 3 2 3 2 2 2 3" xfId="762"/>
    <cellStyle name="쉼표 [0] 3 2 3 2 2 2 3 2" xfId="763"/>
    <cellStyle name="쉼표 [0] 3 2 3 2 2 2 3 2 2" xfId="764"/>
    <cellStyle name="쉼표 [0] 3 2 3 2 2 2 3 2 2 2" xfId="765"/>
    <cellStyle name="쉼표 [0] 3 2 3 2 2 2 3 2 3" xfId="766"/>
    <cellStyle name="쉼표 [0] 3 2 3 2 2 2 3 3" xfId="767"/>
    <cellStyle name="쉼표 [0] 3 2 3 2 2 2 3 3 2" xfId="768"/>
    <cellStyle name="쉼표 [0] 3 2 3 2 2 2 3 4" xfId="769"/>
    <cellStyle name="쉼표 [0] 3 2 3 2 2 2 4" xfId="770"/>
    <cellStyle name="쉼표 [0] 3 2 3 2 2 2 4 2" xfId="771"/>
    <cellStyle name="쉼표 [0] 3 2 3 2 2 2 4 2 2" xfId="772"/>
    <cellStyle name="쉼표 [0] 3 2 3 2 2 2 4 3" xfId="773"/>
    <cellStyle name="쉼표 [0] 3 2 3 2 2 2 5" xfId="774"/>
    <cellStyle name="쉼표 [0] 3 2 3 2 2 2 5 2" xfId="775"/>
    <cellStyle name="쉼표 [0] 3 2 3 2 2 2 6" xfId="776"/>
    <cellStyle name="쉼표 [0] 3 2 3 2 2 3" xfId="777"/>
    <cellStyle name="쉼표 [0] 3 2 3 2 2 3 2" xfId="778"/>
    <cellStyle name="쉼표 [0] 3 2 3 2 2 3 2 2" xfId="779"/>
    <cellStyle name="쉼표 [0] 3 2 3 2 2 3 2 2 2" xfId="780"/>
    <cellStyle name="쉼표 [0] 3 2 3 2 2 3 2 2 2 2" xfId="781"/>
    <cellStyle name="쉼표 [0] 3 2 3 2 2 3 2 2 3" xfId="782"/>
    <cellStyle name="쉼표 [0] 3 2 3 2 2 3 2 3" xfId="783"/>
    <cellStyle name="쉼표 [0] 3 2 3 2 2 3 2 3 2" xfId="784"/>
    <cellStyle name="쉼표 [0] 3 2 3 2 2 3 2 4" xfId="785"/>
    <cellStyle name="쉼표 [0] 3 2 3 2 2 3 3" xfId="786"/>
    <cellStyle name="쉼표 [0] 3 2 3 2 2 3 3 2" xfId="787"/>
    <cellStyle name="쉼표 [0] 3 2 3 2 2 3 3 2 2" xfId="788"/>
    <cellStyle name="쉼표 [0] 3 2 3 2 2 3 3 3" xfId="789"/>
    <cellStyle name="쉼표 [0] 3 2 3 2 2 3 4" xfId="790"/>
    <cellStyle name="쉼표 [0] 3 2 3 2 2 3 4 2" xfId="791"/>
    <cellStyle name="쉼표 [0] 3 2 3 2 2 3 5" xfId="792"/>
    <cellStyle name="쉼표 [0] 3 2 3 2 2 4" xfId="793"/>
    <cellStyle name="쉼표 [0] 3 2 3 2 2 4 2" xfId="794"/>
    <cellStyle name="쉼표 [0] 3 2 3 2 2 4 2 2" xfId="795"/>
    <cellStyle name="쉼표 [0] 3 2 3 2 2 4 2 2 2" xfId="796"/>
    <cellStyle name="쉼표 [0] 3 2 3 2 2 4 2 3" xfId="797"/>
    <cellStyle name="쉼표 [0] 3 2 3 2 2 4 3" xfId="798"/>
    <cellStyle name="쉼표 [0] 3 2 3 2 2 4 3 2" xfId="799"/>
    <cellStyle name="쉼표 [0] 3 2 3 2 2 4 4" xfId="800"/>
    <cellStyle name="쉼표 [0] 3 2 3 2 2 5" xfId="801"/>
    <cellStyle name="쉼표 [0] 3 2 3 2 2 5 2" xfId="802"/>
    <cellStyle name="쉼표 [0] 3 2 3 2 2 5 2 2" xfId="803"/>
    <cellStyle name="쉼표 [0] 3 2 3 2 2 5 3" xfId="804"/>
    <cellStyle name="쉼표 [0] 3 2 3 2 2 6" xfId="805"/>
    <cellStyle name="쉼표 [0] 3 2 3 2 2 6 2" xfId="806"/>
    <cellStyle name="쉼표 [0] 3 2 3 2 2 7" xfId="807"/>
    <cellStyle name="쉼표 [0] 3 2 3 2 2 8" xfId="808"/>
    <cellStyle name="쉼표 [0] 3 2 3 2 3" xfId="809"/>
    <cellStyle name="쉼표 [0] 3 2 3 2 3 2" xfId="810"/>
    <cellStyle name="쉼표 [0] 3 2 3 2 3 2 2" xfId="811"/>
    <cellStyle name="쉼표 [0] 3 2 3 2 3 2 2 2" xfId="812"/>
    <cellStyle name="쉼표 [0] 3 2 3 2 3 2 2 2 2" xfId="813"/>
    <cellStyle name="쉼표 [0] 3 2 3 2 3 2 2 2 2 2" xfId="814"/>
    <cellStyle name="쉼표 [0] 3 2 3 2 3 2 2 2 3" xfId="815"/>
    <cellStyle name="쉼표 [0] 3 2 3 2 3 2 2 3" xfId="816"/>
    <cellStyle name="쉼표 [0] 3 2 3 2 3 2 2 3 2" xfId="817"/>
    <cellStyle name="쉼표 [0] 3 2 3 2 3 2 2 4" xfId="818"/>
    <cellStyle name="쉼표 [0] 3 2 3 2 3 2 3" xfId="819"/>
    <cellStyle name="쉼표 [0] 3 2 3 2 3 2 3 2" xfId="820"/>
    <cellStyle name="쉼표 [0] 3 2 3 2 3 2 3 2 2" xfId="821"/>
    <cellStyle name="쉼표 [0] 3 2 3 2 3 2 3 3" xfId="822"/>
    <cellStyle name="쉼표 [0] 3 2 3 2 3 2 4" xfId="823"/>
    <cellStyle name="쉼표 [0] 3 2 3 2 3 2 4 2" xfId="824"/>
    <cellStyle name="쉼표 [0] 3 2 3 2 3 2 5" xfId="825"/>
    <cellStyle name="쉼표 [0] 3 2 3 2 3 3" xfId="826"/>
    <cellStyle name="쉼표 [0] 3 2 3 2 3 3 2" xfId="827"/>
    <cellStyle name="쉼표 [0] 3 2 3 2 3 3 2 2" xfId="828"/>
    <cellStyle name="쉼표 [0] 3 2 3 2 3 3 2 2 2" xfId="829"/>
    <cellStyle name="쉼표 [0] 3 2 3 2 3 3 2 3" xfId="830"/>
    <cellStyle name="쉼표 [0] 3 2 3 2 3 3 3" xfId="831"/>
    <cellStyle name="쉼표 [0] 3 2 3 2 3 3 3 2" xfId="832"/>
    <cellStyle name="쉼표 [0] 3 2 3 2 3 3 4" xfId="833"/>
    <cellStyle name="쉼표 [0] 3 2 3 2 3 4" xfId="834"/>
    <cellStyle name="쉼표 [0] 3 2 3 2 3 4 2" xfId="835"/>
    <cellStyle name="쉼표 [0] 3 2 3 2 3 4 2 2" xfId="836"/>
    <cellStyle name="쉼표 [0] 3 2 3 2 3 4 3" xfId="837"/>
    <cellStyle name="쉼표 [0] 3 2 3 2 3 5" xfId="838"/>
    <cellStyle name="쉼표 [0] 3 2 3 2 3 5 2" xfId="839"/>
    <cellStyle name="쉼표 [0] 3 2 3 2 3 6" xfId="840"/>
    <cellStyle name="쉼표 [0] 3 2 3 2 4" xfId="841"/>
    <cellStyle name="쉼표 [0] 3 2 3 2 4 2" xfId="842"/>
    <cellStyle name="쉼표 [0] 3 2 3 2 4 2 2" xfId="843"/>
    <cellStyle name="쉼표 [0] 3 2 3 2 4 2 2 2" xfId="844"/>
    <cellStyle name="쉼표 [0] 3 2 3 2 4 2 2 2 2" xfId="845"/>
    <cellStyle name="쉼표 [0] 3 2 3 2 4 2 2 3" xfId="846"/>
    <cellStyle name="쉼표 [0] 3 2 3 2 4 2 3" xfId="847"/>
    <cellStyle name="쉼표 [0] 3 2 3 2 4 2 3 2" xfId="848"/>
    <cellStyle name="쉼표 [0] 3 2 3 2 4 2 4" xfId="849"/>
    <cellStyle name="쉼표 [0] 3 2 3 2 4 3" xfId="850"/>
    <cellStyle name="쉼표 [0] 3 2 3 2 4 3 2" xfId="851"/>
    <cellStyle name="쉼표 [0] 3 2 3 2 4 3 2 2" xfId="852"/>
    <cellStyle name="쉼표 [0] 3 2 3 2 4 3 3" xfId="853"/>
    <cellStyle name="쉼표 [0] 3 2 3 2 4 4" xfId="854"/>
    <cellStyle name="쉼표 [0] 3 2 3 2 4 4 2" xfId="855"/>
    <cellStyle name="쉼표 [0] 3 2 3 2 4 5" xfId="856"/>
    <cellStyle name="쉼표 [0] 3 2 3 2 5" xfId="857"/>
    <cellStyle name="쉼표 [0] 3 2 3 2 5 2" xfId="858"/>
    <cellStyle name="쉼표 [0] 3 2 3 2 5 2 2" xfId="859"/>
    <cellStyle name="쉼표 [0] 3 2 3 2 5 2 2 2" xfId="860"/>
    <cellStyle name="쉼표 [0] 3 2 3 2 5 2 3" xfId="861"/>
    <cellStyle name="쉼표 [0] 3 2 3 2 5 3" xfId="862"/>
    <cellStyle name="쉼표 [0] 3 2 3 2 5 3 2" xfId="863"/>
    <cellStyle name="쉼표 [0] 3 2 3 2 5 4" xfId="864"/>
    <cellStyle name="쉼표 [0] 3 2 3 2 6" xfId="865"/>
    <cellStyle name="쉼표 [0] 3 2 3 2 6 2" xfId="866"/>
    <cellStyle name="쉼표 [0] 3 2 3 2 6 2 2" xfId="867"/>
    <cellStyle name="쉼표 [0] 3 2 3 2 6 3" xfId="868"/>
    <cellStyle name="쉼표 [0] 3 2 3 2 7" xfId="869"/>
    <cellStyle name="쉼표 [0] 3 2 3 2 7 2" xfId="870"/>
    <cellStyle name="쉼표 [0] 3 2 3 2 8" xfId="871"/>
    <cellStyle name="쉼표 [0] 3 2 3 2 9" xfId="872"/>
    <cellStyle name="쉼표 [0] 3 2 3 3" xfId="873"/>
    <cellStyle name="쉼표 [0] 3 2 3 3 2" xfId="874"/>
    <cellStyle name="쉼표 [0] 3 2 3 3 2 2" xfId="875"/>
    <cellStyle name="쉼표 [0] 3 2 3 3 2 2 2" xfId="876"/>
    <cellStyle name="쉼표 [0] 3 2 3 3 2 2 2 2" xfId="877"/>
    <cellStyle name="쉼표 [0] 3 2 3 3 2 2 2 2 2" xfId="878"/>
    <cellStyle name="쉼표 [0] 3 2 3 3 2 2 2 2 2 2" xfId="879"/>
    <cellStyle name="쉼표 [0] 3 2 3 3 2 2 2 2 3" xfId="880"/>
    <cellStyle name="쉼표 [0] 3 2 3 3 2 2 2 3" xfId="881"/>
    <cellStyle name="쉼표 [0] 3 2 3 3 2 2 2 3 2" xfId="882"/>
    <cellStyle name="쉼표 [0] 3 2 3 3 2 2 2 4" xfId="883"/>
    <cellStyle name="쉼표 [0] 3 2 3 3 2 2 3" xfId="884"/>
    <cellStyle name="쉼표 [0] 3 2 3 3 2 2 3 2" xfId="885"/>
    <cellStyle name="쉼표 [0] 3 2 3 3 2 2 3 2 2" xfId="886"/>
    <cellStyle name="쉼표 [0] 3 2 3 3 2 2 3 3" xfId="887"/>
    <cellStyle name="쉼표 [0] 3 2 3 3 2 2 4" xfId="888"/>
    <cellStyle name="쉼표 [0] 3 2 3 3 2 2 4 2" xfId="889"/>
    <cellStyle name="쉼표 [0] 3 2 3 3 2 2 5" xfId="890"/>
    <cellStyle name="쉼표 [0] 3 2 3 3 2 3" xfId="891"/>
    <cellStyle name="쉼표 [0] 3 2 3 3 2 3 2" xfId="892"/>
    <cellStyle name="쉼표 [0] 3 2 3 3 2 3 2 2" xfId="893"/>
    <cellStyle name="쉼표 [0] 3 2 3 3 2 3 2 2 2" xfId="894"/>
    <cellStyle name="쉼표 [0] 3 2 3 3 2 3 2 3" xfId="895"/>
    <cellStyle name="쉼표 [0] 3 2 3 3 2 3 3" xfId="896"/>
    <cellStyle name="쉼표 [0] 3 2 3 3 2 3 3 2" xfId="897"/>
    <cellStyle name="쉼표 [0] 3 2 3 3 2 3 4" xfId="898"/>
    <cellStyle name="쉼표 [0] 3 2 3 3 2 4" xfId="899"/>
    <cellStyle name="쉼표 [0] 3 2 3 3 2 4 2" xfId="900"/>
    <cellStyle name="쉼표 [0] 3 2 3 3 2 4 2 2" xfId="901"/>
    <cellStyle name="쉼표 [0] 3 2 3 3 2 4 3" xfId="902"/>
    <cellStyle name="쉼표 [0] 3 2 3 3 2 5" xfId="903"/>
    <cellStyle name="쉼표 [0] 3 2 3 3 2 5 2" xfId="904"/>
    <cellStyle name="쉼표 [0] 3 2 3 3 2 6" xfId="905"/>
    <cellStyle name="쉼표 [0] 3 2 3 3 3" xfId="906"/>
    <cellStyle name="쉼표 [0] 3 2 3 3 3 2" xfId="907"/>
    <cellStyle name="쉼표 [0] 3 2 3 3 3 2 2" xfId="908"/>
    <cellStyle name="쉼표 [0] 3 2 3 3 3 2 2 2" xfId="909"/>
    <cellStyle name="쉼표 [0] 3 2 3 3 3 2 2 2 2" xfId="910"/>
    <cellStyle name="쉼표 [0] 3 2 3 3 3 2 2 3" xfId="911"/>
    <cellStyle name="쉼표 [0] 3 2 3 3 3 2 3" xfId="912"/>
    <cellStyle name="쉼표 [0] 3 2 3 3 3 2 3 2" xfId="913"/>
    <cellStyle name="쉼표 [0] 3 2 3 3 3 2 4" xfId="914"/>
    <cellStyle name="쉼표 [0] 3 2 3 3 3 3" xfId="915"/>
    <cellStyle name="쉼표 [0] 3 2 3 3 3 3 2" xfId="916"/>
    <cellStyle name="쉼표 [0] 3 2 3 3 3 3 2 2" xfId="917"/>
    <cellStyle name="쉼표 [0] 3 2 3 3 3 3 3" xfId="918"/>
    <cellStyle name="쉼표 [0] 3 2 3 3 3 4" xfId="919"/>
    <cellStyle name="쉼표 [0] 3 2 3 3 3 4 2" xfId="920"/>
    <cellStyle name="쉼표 [0] 3 2 3 3 3 5" xfId="921"/>
    <cellStyle name="쉼표 [0] 3 2 3 3 4" xfId="922"/>
    <cellStyle name="쉼표 [0] 3 2 3 3 4 2" xfId="923"/>
    <cellStyle name="쉼표 [0] 3 2 3 3 4 2 2" xfId="924"/>
    <cellStyle name="쉼표 [0] 3 2 3 3 4 2 2 2" xfId="925"/>
    <cellStyle name="쉼표 [0] 3 2 3 3 4 2 3" xfId="926"/>
    <cellStyle name="쉼표 [0] 3 2 3 3 4 3" xfId="927"/>
    <cellStyle name="쉼표 [0] 3 2 3 3 4 3 2" xfId="928"/>
    <cellStyle name="쉼표 [0] 3 2 3 3 4 4" xfId="929"/>
    <cellStyle name="쉼표 [0] 3 2 3 3 5" xfId="930"/>
    <cellStyle name="쉼표 [0] 3 2 3 3 5 2" xfId="931"/>
    <cellStyle name="쉼표 [0] 3 2 3 3 5 2 2" xfId="932"/>
    <cellStyle name="쉼표 [0] 3 2 3 3 5 3" xfId="933"/>
    <cellStyle name="쉼표 [0] 3 2 3 3 6" xfId="934"/>
    <cellStyle name="쉼표 [0] 3 2 3 3 6 2" xfId="935"/>
    <cellStyle name="쉼표 [0] 3 2 3 3 7" xfId="936"/>
    <cellStyle name="쉼표 [0] 3 2 3 3 8" xfId="937"/>
    <cellStyle name="쉼표 [0] 3 2 3 4" xfId="938"/>
    <cellStyle name="쉼표 [0] 3 2 3 4 2" xfId="939"/>
    <cellStyle name="쉼표 [0] 3 2 3 4 2 2" xfId="940"/>
    <cellStyle name="쉼표 [0] 3 2 3 4 2 2 2" xfId="941"/>
    <cellStyle name="쉼표 [0] 3 2 3 4 2 2 2 2" xfId="942"/>
    <cellStyle name="쉼표 [0] 3 2 3 4 2 2 2 2 2" xfId="943"/>
    <cellStyle name="쉼표 [0] 3 2 3 4 2 2 2 3" xfId="944"/>
    <cellStyle name="쉼표 [0] 3 2 3 4 2 2 3" xfId="945"/>
    <cellStyle name="쉼표 [0] 3 2 3 4 2 2 3 2" xfId="946"/>
    <cellStyle name="쉼표 [0] 3 2 3 4 2 2 4" xfId="947"/>
    <cellStyle name="쉼표 [0] 3 2 3 4 2 3" xfId="948"/>
    <cellStyle name="쉼표 [0] 3 2 3 4 2 3 2" xfId="949"/>
    <cellStyle name="쉼표 [0] 3 2 3 4 2 3 2 2" xfId="950"/>
    <cellStyle name="쉼표 [0] 3 2 3 4 2 3 3" xfId="951"/>
    <cellStyle name="쉼표 [0] 3 2 3 4 2 4" xfId="952"/>
    <cellStyle name="쉼표 [0] 3 2 3 4 2 4 2" xfId="953"/>
    <cellStyle name="쉼표 [0] 3 2 3 4 2 5" xfId="954"/>
    <cellStyle name="쉼표 [0] 3 2 3 4 3" xfId="955"/>
    <cellStyle name="쉼표 [0] 3 2 3 4 3 2" xfId="956"/>
    <cellStyle name="쉼표 [0] 3 2 3 4 3 2 2" xfId="957"/>
    <cellStyle name="쉼표 [0] 3 2 3 4 3 2 2 2" xfId="958"/>
    <cellStyle name="쉼표 [0] 3 2 3 4 3 2 3" xfId="959"/>
    <cellStyle name="쉼표 [0] 3 2 3 4 3 3" xfId="960"/>
    <cellStyle name="쉼표 [0] 3 2 3 4 3 3 2" xfId="961"/>
    <cellStyle name="쉼표 [0] 3 2 3 4 3 4" xfId="962"/>
    <cellStyle name="쉼표 [0] 3 2 3 4 4" xfId="963"/>
    <cellStyle name="쉼표 [0] 3 2 3 4 4 2" xfId="964"/>
    <cellStyle name="쉼표 [0] 3 2 3 4 4 2 2" xfId="965"/>
    <cellStyle name="쉼표 [0] 3 2 3 4 4 3" xfId="966"/>
    <cellStyle name="쉼표 [0] 3 2 3 4 5" xfId="967"/>
    <cellStyle name="쉼표 [0] 3 2 3 4 5 2" xfId="968"/>
    <cellStyle name="쉼표 [0] 3 2 3 4 6" xfId="969"/>
    <cellStyle name="쉼표 [0] 3 2 3 5" xfId="970"/>
    <cellStyle name="쉼표 [0] 3 2 3 5 2" xfId="971"/>
    <cellStyle name="쉼표 [0] 3 2 3 5 2 2" xfId="972"/>
    <cellStyle name="쉼표 [0] 3 2 3 5 2 2 2" xfId="973"/>
    <cellStyle name="쉼표 [0] 3 2 3 5 2 2 2 2" xfId="974"/>
    <cellStyle name="쉼표 [0] 3 2 3 5 2 2 3" xfId="975"/>
    <cellStyle name="쉼표 [0] 3 2 3 5 2 3" xfId="976"/>
    <cellStyle name="쉼표 [0] 3 2 3 5 2 3 2" xfId="977"/>
    <cellStyle name="쉼표 [0] 3 2 3 5 2 4" xfId="978"/>
    <cellStyle name="쉼표 [0] 3 2 3 5 3" xfId="979"/>
    <cellStyle name="쉼표 [0] 3 2 3 5 3 2" xfId="980"/>
    <cellStyle name="쉼표 [0] 3 2 3 5 3 2 2" xfId="981"/>
    <cellStyle name="쉼표 [0] 3 2 3 5 3 3" xfId="982"/>
    <cellStyle name="쉼표 [0] 3 2 3 5 4" xfId="983"/>
    <cellStyle name="쉼표 [0] 3 2 3 5 4 2" xfId="984"/>
    <cellStyle name="쉼표 [0] 3 2 3 5 5" xfId="985"/>
    <cellStyle name="쉼표 [0] 3 2 3 6" xfId="986"/>
    <cellStyle name="쉼표 [0] 3 2 3 6 2" xfId="987"/>
    <cellStyle name="쉼표 [0] 3 2 3 6 2 2" xfId="988"/>
    <cellStyle name="쉼표 [0] 3 2 3 6 2 2 2" xfId="989"/>
    <cellStyle name="쉼표 [0] 3 2 3 6 2 3" xfId="990"/>
    <cellStyle name="쉼표 [0] 3 2 3 6 3" xfId="991"/>
    <cellStyle name="쉼표 [0] 3 2 3 6 3 2" xfId="992"/>
    <cellStyle name="쉼표 [0] 3 2 3 6 4" xfId="993"/>
    <cellStyle name="쉼표 [0] 3 2 3 7" xfId="994"/>
    <cellStyle name="쉼표 [0] 3 2 3 7 2" xfId="995"/>
    <cellStyle name="쉼표 [0] 3 2 3 7 2 2" xfId="996"/>
    <cellStyle name="쉼표 [0] 3 2 3 7 3" xfId="997"/>
    <cellStyle name="쉼표 [0] 3 2 3 8" xfId="998"/>
    <cellStyle name="쉼표 [0] 3 2 3 8 2" xfId="999"/>
    <cellStyle name="쉼표 [0] 3 2 3 9" xfId="1000"/>
    <cellStyle name="쉼표 [0] 3 2 4" xfId="1001"/>
    <cellStyle name="쉼표 [0] 3 2 4 2" xfId="1002"/>
    <cellStyle name="쉼표 [0] 3 2 4 2 2" xfId="1003"/>
    <cellStyle name="쉼표 [0] 3 2 4 2 2 2" xfId="1004"/>
    <cellStyle name="쉼표 [0] 3 2 4 2 2 2 2" xfId="1005"/>
    <cellStyle name="쉼표 [0] 3 2 4 2 2 2 2 2" xfId="1006"/>
    <cellStyle name="쉼표 [0] 3 2 4 2 2 2 2 2 2" xfId="1007"/>
    <cellStyle name="쉼표 [0] 3 2 4 2 2 2 2 2 2 2" xfId="1008"/>
    <cellStyle name="쉼표 [0] 3 2 4 2 2 2 2 2 3" xfId="1009"/>
    <cellStyle name="쉼표 [0] 3 2 4 2 2 2 2 3" xfId="1010"/>
    <cellStyle name="쉼표 [0] 3 2 4 2 2 2 2 3 2" xfId="1011"/>
    <cellStyle name="쉼표 [0] 3 2 4 2 2 2 2 4" xfId="1012"/>
    <cellStyle name="쉼표 [0] 3 2 4 2 2 2 3" xfId="1013"/>
    <cellStyle name="쉼표 [0] 3 2 4 2 2 2 3 2" xfId="1014"/>
    <cellStyle name="쉼표 [0] 3 2 4 2 2 2 3 2 2" xfId="1015"/>
    <cellStyle name="쉼표 [0] 3 2 4 2 2 2 3 3" xfId="1016"/>
    <cellStyle name="쉼표 [0] 3 2 4 2 2 2 4" xfId="1017"/>
    <cellStyle name="쉼표 [0] 3 2 4 2 2 2 4 2" xfId="1018"/>
    <cellStyle name="쉼표 [0] 3 2 4 2 2 2 5" xfId="1019"/>
    <cellStyle name="쉼표 [0] 3 2 4 2 2 3" xfId="1020"/>
    <cellStyle name="쉼표 [0] 3 2 4 2 2 3 2" xfId="1021"/>
    <cellStyle name="쉼표 [0] 3 2 4 2 2 3 2 2" xfId="1022"/>
    <cellStyle name="쉼표 [0] 3 2 4 2 2 3 2 2 2" xfId="1023"/>
    <cellStyle name="쉼표 [0] 3 2 4 2 2 3 2 3" xfId="1024"/>
    <cellStyle name="쉼표 [0] 3 2 4 2 2 3 3" xfId="1025"/>
    <cellStyle name="쉼표 [0] 3 2 4 2 2 3 3 2" xfId="1026"/>
    <cellStyle name="쉼표 [0] 3 2 4 2 2 3 4" xfId="1027"/>
    <cellStyle name="쉼표 [0] 3 2 4 2 2 4" xfId="1028"/>
    <cellStyle name="쉼표 [0] 3 2 4 2 2 4 2" xfId="1029"/>
    <cellStyle name="쉼표 [0] 3 2 4 2 2 4 2 2" xfId="1030"/>
    <cellStyle name="쉼표 [0] 3 2 4 2 2 4 3" xfId="1031"/>
    <cellStyle name="쉼표 [0] 3 2 4 2 2 5" xfId="1032"/>
    <cellStyle name="쉼표 [0] 3 2 4 2 2 5 2" xfId="1033"/>
    <cellStyle name="쉼표 [0] 3 2 4 2 2 6" xfId="1034"/>
    <cellStyle name="쉼표 [0] 3 2 4 2 3" xfId="1035"/>
    <cellStyle name="쉼표 [0] 3 2 4 2 3 2" xfId="1036"/>
    <cellStyle name="쉼표 [0] 3 2 4 2 3 2 2" xfId="1037"/>
    <cellStyle name="쉼표 [0] 3 2 4 2 3 2 2 2" xfId="1038"/>
    <cellStyle name="쉼표 [0] 3 2 4 2 3 2 2 2 2" xfId="1039"/>
    <cellStyle name="쉼표 [0] 3 2 4 2 3 2 2 3" xfId="1040"/>
    <cellStyle name="쉼표 [0] 3 2 4 2 3 2 3" xfId="1041"/>
    <cellStyle name="쉼표 [0] 3 2 4 2 3 2 3 2" xfId="1042"/>
    <cellStyle name="쉼표 [0] 3 2 4 2 3 2 4" xfId="1043"/>
    <cellStyle name="쉼표 [0] 3 2 4 2 3 3" xfId="1044"/>
    <cellStyle name="쉼표 [0] 3 2 4 2 3 3 2" xfId="1045"/>
    <cellStyle name="쉼표 [0] 3 2 4 2 3 3 2 2" xfId="1046"/>
    <cellStyle name="쉼표 [0] 3 2 4 2 3 3 3" xfId="1047"/>
    <cellStyle name="쉼표 [0] 3 2 4 2 3 4" xfId="1048"/>
    <cellStyle name="쉼표 [0] 3 2 4 2 3 4 2" xfId="1049"/>
    <cellStyle name="쉼표 [0] 3 2 4 2 3 5" xfId="1050"/>
    <cellStyle name="쉼표 [0] 3 2 4 2 4" xfId="1051"/>
    <cellStyle name="쉼표 [0] 3 2 4 2 4 2" xfId="1052"/>
    <cellStyle name="쉼표 [0] 3 2 4 2 4 2 2" xfId="1053"/>
    <cellStyle name="쉼표 [0] 3 2 4 2 4 2 2 2" xfId="1054"/>
    <cellStyle name="쉼표 [0] 3 2 4 2 4 2 3" xfId="1055"/>
    <cellStyle name="쉼표 [0] 3 2 4 2 4 3" xfId="1056"/>
    <cellStyle name="쉼표 [0] 3 2 4 2 4 3 2" xfId="1057"/>
    <cellStyle name="쉼표 [0] 3 2 4 2 4 4" xfId="1058"/>
    <cellStyle name="쉼표 [0] 3 2 4 2 5" xfId="1059"/>
    <cellStyle name="쉼표 [0] 3 2 4 2 5 2" xfId="1060"/>
    <cellStyle name="쉼표 [0] 3 2 4 2 5 2 2" xfId="1061"/>
    <cellStyle name="쉼표 [0] 3 2 4 2 5 3" xfId="1062"/>
    <cellStyle name="쉼표 [0] 3 2 4 2 6" xfId="1063"/>
    <cellStyle name="쉼표 [0] 3 2 4 2 6 2" xfId="1064"/>
    <cellStyle name="쉼표 [0] 3 2 4 2 7" xfId="1065"/>
    <cellStyle name="쉼표 [0] 3 2 4 2 8" xfId="1066"/>
    <cellStyle name="쉼표 [0] 3 2 4 3" xfId="1067"/>
    <cellStyle name="쉼표 [0] 3 2 4 3 2" xfId="1068"/>
    <cellStyle name="쉼표 [0] 3 2 4 3 2 2" xfId="1069"/>
    <cellStyle name="쉼표 [0] 3 2 4 3 2 2 2" xfId="1070"/>
    <cellStyle name="쉼표 [0] 3 2 4 3 2 2 2 2" xfId="1071"/>
    <cellStyle name="쉼표 [0] 3 2 4 3 2 2 2 2 2" xfId="1072"/>
    <cellStyle name="쉼표 [0] 3 2 4 3 2 2 2 3" xfId="1073"/>
    <cellStyle name="쉼표 [0] 3 2 4 3 2 2 3" xfId="1074"/>
    <cellStyle name="쉼표 [0] 3 2 4 3 2 2 3 2" xfId="1075"/>
    <cellStyle name="쉼표 [0] 3 2 4 3 2 2 4" xfId="1076"/>
    <cellStyle name="쉼표 [0] 3 2 4 3 2 3" xfId="1077"/>
    <cellStyle name="쉼표 [0] 3 2 4 3 2 3 2" xfId="1078"/>
    <cellStyle name="쉼표 [0] 3 2 4 3 2 3 2 2" xfId="1079"/>
    <cellStyle name="쉼표 [0] 3 2 4 3 2 3 3" xfId="1080"/>
    <cellStyle name="쉼표 [0] 3 2 4 3 2 4" xfId="1081"/>
    <cellStyle name="쉼표 [0] 3 2 4 3 2 4 2" xfId="1082"/>
    <cellStyle name="쉼표 [0] 3 2 4 3 2 5" xfId="1083"/>
    <cellStyle name="쉼표 [0] 3 2 4 3 3" xfId="1084"/>
    <cellStyle name="쉼표 [0] 3 2 4 3 3 2" xfId="1085"/>
    <cellStyle name="쉼표 [0] 3 2 4 3 3 2 2" xfId="1086"/>
    <cellStyle name="쉼표 [0] 3 2 4 3 3 2 2 2" xfId="1087"/>
    <cellStyle name="쉼표 [0] 3 2 4 3 3 2 3" xfId="1088"/>
    <cellStyle name="쉼표 [0] 3 2 4 3 3 3" xfId="1089"/>
    <cellStyle name="쉼표 [0] 3 2 4 3 3 3 2" xfId="1090"/>
    <cellStyle name="쉼표 [0] 3 2 4 3 3 4" xfId="1091"/>
    <cellStyle name="쉼표 [0] 3 2 4 3 4" xfId="1092"/>
    <cellStyle name="쉼표 [0] 3 2 4 3 4 2" xfId="1093"/>
    <cellStyle name="쉼표 [0] 3 2 4 3 4 2 2" xfId="1094"/>
    <cellStyle name="쉼표 [0] 3 2 4 3 4 3" xfId="1095"/>
    <cellStyle name="쉼표 [0] 3 2 4 3 5" xfId="1096"/>
    <cellStyle name="쉼표 [0] 3 2 4 3 5 2" xfId="1097"/>
    <cellStyle name="쉼표 [0] 3 2 4 3 6" xfId="1098"/>
    <cellStyle name="쉼표 [0] 3 2 4 4" xfId="1099"/>
    <cellStyle name="쉼표 [0] 3 2 4 4 2" xfId="1100"/>
    <cellStyle name="쉼표 [0] 3 2 4 4 2 2" xfId="1101"/>
    <cellStyle name="쉼표 [0] 3 2 4 4 2 2 2" xfId="1102"/>
    <cellStyle name="쉼표 [0] 3 2 4 4 2 2 2 2" xfId="1103"/>
    <cellStyle name="쉼표 [0] 3 2 4 4 2 2 3" xfId="1104"/>
    <cellStyle name="쉼표 [0] 3 2 4 4 2 3" xfId="1105"/>
    <cellStyle name="쉼표 [0] 3 2 4 4 2 3 2" xfId="1106"/>
    <cellStyle name="쉼표 [0] 3 2 4 4 2 4" xfId="1107"/>
    <cellStyle name="쉼표 [0] 3 2 4 4 3" xfId="1108"/>
    <cellStyle name="쉼표 [0] 3 2 4 4 3 2" xfId="1109"/>
    <cellStyle name="쉼표 [0] 3 2 4 4 3 2 2" xfId="1110"/>
    <cellStyle name="쉼표 [0] 3 2 4 4 3 3" xfId="1111"/>
    <cellStyle name="쉼표 [0] 3 2 4 4 4" xfId="1112"/>
    <cellStyle name="쉼표 [0] 3 2 4 4 4 2" xfId="1113"/>
    <cellStyle name="쉼표 [0] 3 2 4 4 5" xfId="1114"/>
    <cellStyle name="쉼표 [0] 3 2 4 5" xfId="1115"/>
    <cellStyle name="쉼표 [0] 3 2 4 5 2" xfId="1116"/>
    <cellStyle name="쉼표 [0] 3 2 4 5 2 2" xfId="1117"/>
    <cellStyle name="쉼표 [0] 3 2 4 5 2 2 2" xfId="1118"/>
    <cellStyle name="쉼표 [0] 3 2 4 5 2 3" xfId="1119"/>
    <cellStyle name="쉼표 [0] 3 2 4 5 3" xfId="1120"/>
    <cellStyle name="쉼표 [0] 3 2 4 5 3 2" xfId="1121"/>
    <cellStyle name="쉼표 [0] 3 2 4 5 4" xfId="1122"/>
    <cellStyle name="쉼표 [0] 3 2 4 6" xfId="1123"/>
    <cellStyle name="쉼표 [0] 3 2 4 6 2" xfId="1124"/>
    <cellStyle name="쉼표 [0] 3 2 4 6 2 2" xfId="1125"/>
    <cellStyle name="쉼표 [0] 3 2 4 6 3" xfId="1126"/>
    <cellStyle name="쉼표 [0] 3 2 4 7" xfId="1127"/>
    <cellStyle name="쉼표 [0] 3 2 4 7 2" xfId="1128"/>
    <cellStyle name="쉼표 [0] 3 2 4 8" xfId="1129"/>
    <cellStyle name="쉼표 [0] 3 2 4 9" xfId="1130"/>
    <cellStyle name="쉼표 [0] 3 2 5" xfId="1131"/>
    <cellStyle name="쉼표 [0] 3 2 5 2" xfId="1132"/>
    <cellStyle name="쉼표 [0] 3 2 5 2 2" xfId="1133"/>
    <cellStyle name="쉼표 [0] 3 2 5 2 2 2" xfId="1134"/>
    <cellStyle name="쉼표 [0] 3 2 5 2 2 2 2" xfId="1135"/>
    <cellStyle name="쉼표 [0] 3 2 5 2 2 2 2 2" xfId="1136"/>
    <cellStyle name="쉼표 [0] 3 2 5 2 2 2 2 2 2" xfId="1137"/>
    <cellStyle name="쉼표 [0] 3 2 5 2 2 2 2 3" xfId="1138"/>
    <cellStyle name="쉼표 [0] 3 2 5 2 2 2 3" xfId="1139"/>
    <cellStyle name="쉼표 [0] 3 2 5 2 2 2 3 2" xfId="1140"/>
    <cellStyle name="쉼표 [0] 3 2 5 2 2 2 4" xfId="1141"/>
    <cellStyle name="쉼표 [0] 3 2 5 2 2 3" xfId="1142"/>
    <cellStyle name="쉼표 [0] 3 2 5 2 2 3 2" xfId="1143"/>
    <cellStyle name="쉼표 [0] 3 2 5 2 2 3 2 2" xfId="1144"/>
    <cellStyle name="쉼표 [0] 3 2 5 2 2 3 3" xfId="1145"/>
    <cellStyle name="쉼표 [0] 3 2 5 2 2 4" xfId="1146"/>
    <cellStyle name="쉼표 [0] 3 2 5 2 2 4 2" xfId="1147"/>
    <cellStyle name="쉼표 [0] 3 2 5 2 2 5" xfId="1148"/>
    <cellStyle name="쉼표 [0] 3 2 5 2 3" xfId="1149"/>
    <cellStyle name="쉼표 [0] 3 2 5 2 3 2" xfId="1150"/>
    <cellStyle name="쉼표 [0] 3 2 5 2 3 2 2" xfId="1151"/>
    <cellStyle name="쉼표 [0] 3 2 5 2 3 2 2 2" xfId="1152"/>
    <cellStyle name="쉼표 [0] 3 2 5 2 3 2 3" xfId="1153"/>
    <cellStyle name="쉼표 [0] 3 2 5 2 3 3" xfId="1154"/>
    <cellStyle name="쉼표 [0] 3 2 5 2 3 3 2" xfId="1155"/>
    <cellStyle name="쉼표 [0] 3 2 5 2 3 4" xfId="1156"/>
    <cellStyle name="쉼표 [0] 3 2 5 2 4" xfId="1157"/>
    <cellStyle name="쉼표 [0] 3 2 5 2 4 2" xfId="1158"/>
    <cellStyle name="쉼표 [0] 3 2 5 2 4 2 2" xfId="1159"/>
    <cellStyle name="쉼표 [0] 3 2 5 2 4 3" xfId="1160"/>
    <cellStyle name="쉼표 [0] 3 2 5 2 5" xfId="1161"/>
    <cellStyle name="쉼표 [0] 3 2 5 2 5 2" xfId="1162"/>
    <cellStyle name="쉼표 [0] 3 2 5 2 6" xfId="1163"/>
    <cellStyle name="쉼표 [0] 3 2 5 3" xfId="1164"/>
    <cellStyle name="쉼표 [0] 3 2 5 3 2" xfId="1165"/>
    <cellStyle name="쉼표 [0] 3 2 5 3 2 2" xfId="1166"/>
    <cellStyle name="쉼표 [0] 3 2 5 3 2 2 2" xfId="1167"/>
    <cellStyle name="쉼표 [0] 3 2 5 3 2 2 2 2" xfId="1168"/>
    <cellStyle name="쉼표 [0] 3 2 5 3 2 2 3" xfId="1169"/>
    <cellStyle name="쉼표 [0] 3 2 5 3 2 3" xfId="1170"/>
    <cellStyle name="쉼표 [0] 3 2 5 3 2 3 2" xfId="1171"/>
    <cellStyle name="쉼표 [0] 3 2 5 3 2 4" xfId="1172"/>
    <cellStyle name="쉼표 [0] 3 2 5 3 3" xfId="1173"/>
    <cellStyle name="쉼표 [0] 3 2 5 3 3 2" xfId="1174"/>
    <cellStyle name="쉼표 [0] 3 2 5 3 3 2 2" xfId="1175"/>
    <cellStyle name="쉼표 [0] 3 2 5 3 3 3" xfId="1176"/>
    <cellStyle name="쉼표 [0] 3 2 5 3 4" xfId="1177"/>
    <cellStyle name="쉼표 [0] 3 2 5 3 4 2" xfId="1178"/>
    <cellStyle name="쉼표 [0] 3 2 5 3 5" xfId="1179"/>
    <cellStyle name="쉼표 [0] 3 2 5 4" xfId="1180"/>
    <cellStyle name="쉼표 [0] 3 2 5 4 2" xfId="1181"/>
    <cellStyle name="쉼표 [0] 3 2 5 4 2 2" xfId="1182"/>
    <cellStyle name="쉼표 [0] 3 2 5 4 2 2 2" xfId="1183"/>
    <cellStyle name="쉼표 [0] 3 2 5 4 2 3" xfId="1184"/>
    <cellStyle name="쉼표 [0] 3 2 5 4 3" xfId="1185"/>
    <cellStyle name="쉼표 [0] 3 2 5 4 3 2" xfId="1186"/>
    <cellStyle name="쉼표 [0] 3 2 5 4 4" xfId="1187"/>
    <cellStyle name="쉼표 [0] 3 2 5 5" xfId="1188"/>
    <cellStyle name="쉼표 [0] 3 2 5 5 2" xfId="1189"/>
    <cellStyle name="쉼표 [0] 3 2 5 5 2 2" xfId="1190"/>
    <cellStyle name="쉼표 [0] 3 2 5 5 3" xfId="1191"/>
    <cellStyle name="쉼표 [0] 3 2 5 6" xfId="1192"/>
    <cellStyle name="쉼표 [0] 3 2 5 6 2" xfId="1193"/>
    <cellStyle name="쉼표 [0] 3 2 5 7" xfId="1194"/>
    <cellStyle name="쉼표 [0] 3 2 5 8" xfId="1195"/>
    <cellStyle name="쉼표 [0] 3 2 6" xfId="1196"/>
    <cellStyle name="쉼표 [0] 3 2 6 2" xfId="1197"/>
    <cellStyle name="쉼표 [0] 3 2 6 2 2" xfId="1198"/>
    <cellStyle name="쉼표 [0] 3 2 6 2 2 2" xfId="1199"/>
    <cellStyle name="쉼표 [0] 3 2 6 2 2 2 2" xfId="1200"/>
    <cellStyle name="쉼표 [0] 3 2 6 2 2 2 2 2" xfId="1201"/>
    <cellStyle name="쉼표 [0] 3 2 6 2 2 2 3" xfId="1202"/>
    <cellStyle name="쉼표 [0] 3 2 6 2 2 3" xfId="1203"/>
    <cellStyle name="쉼표 [0] 3 2 6 2 2 3 2" xfId="1204"/>
    <cellStyle name="쉼표 [0] 3 2 6 2 2 4" xfId="1205"/>
    <cellStyle name="쉼표 [0] 3 2 6 2 3" xfId="1206"/>
    <cellStyle name="쉼표 [0] 3 2 6 2 3 2" xfId="1207"/>
    <cellStyle name="쉼표 [0] 3 2 6 2 3 2 2" xfId="1208"/>
    <cellStyle name="쉼표 [0] 3 2 6 2 3 3" xfId="1209"/>
    <cellStyle name="쉼표 [0] 3 2 6 2 4" xfId="1210"/>
    <cellStyle name="쉼표 [0] 3 2 6 2 4 2" xfId="1211"/>
    <cellStyle name="쉼표 [0] 3 2 6 2 5" xfId="1212"/>
    <cellStyle name="쉼표 [0] 3 2 6 3" xfId="1213"/>
    <cellStyle name="쉼표 [0] 3 2 6 3 2" xfId="1214"/>
    <cellStyle name="쉼표 [0] 3 2 6 3 2 2" xfId="1215"/>
    <cellStyle name="쉼표 [0] 3 2 6 3 2 2 2" xfId="1216"/>
    <cellStyle name="쉼표 [0] 3 2 6 3 2 3" xfId="1217"/>
    <cellStyle name="쉼표 [0] 3 2 6 3 3" xfId="1218"/>
    <cellStyle name="쉼표 [0] 3 2 6 3 3 2" xfId="1219"/>
    <cellStyle name="쉼표 [0] 3 2 6 3 4" xfId="1220"/>
    <cellStyle name="쉼표 [0] 3 2 6 4" xfId="1221"/>
    <cellStyle name="쉼표 [0] 3 2 6 4 2" xfId="1222"/>
    <cellStyle name="쉼표 [0] 3 2 6 4 2 2" xfId="1223"/>
    <cellStyle name="쉼표 [0] 3 2 6 4 3" xfId="1224"/>
    <cellStyle name="쉼표 [0] 3 2 6 5" xfId="1225"/>
    <cellStyle name="쉼표 [0] 3 2 6 5 2" xfId="1226"/>
    <cellStyle name="쉼표 [0] 3 2 6 6" xfId="1227"/>
    <cellStyle name="쉼표 [0] 3 2 7" xfId="1228"/>
    <cellStyle name="쉼표 [0] 3 2 7 2" xfId="1229"/>
    <cellStyle name="쉼표 [0] 3 2 7 2 2" xfId="1230"/>
    <cellStyle name="쉼표 [0] 3 2 7 2 2 2" xfId="1231"/>
    <cellStyle name="쉼표 [0] 3 2 7 2 2 2 2" xfId="1232"/>
    <cellStyle name="쉼표 [0] 3 2 7 2 2 3" xfId="1233"/>
    <cellStyle name="쉼표 [0] 3 2 7 2 3" xfId="1234"/>
    <cellStyle name="쉼표 [0] 3 2 7 2 3 2" xfId="1235"/>
    <cellStyle name="쉼표 [0] 3 2 7 2 4" xfId="1236"/>
    <cellStyle name="쉼표 [0] 3 2 7 3" xfId="1237"/>
    <cellStyle name="쉼표 [0] 3 2 7 3 2" xfId="1238"/>
    <cellStyle name="쉼표 [0] 3 2 7 3 2 2" xfId="1239"/>
    <cellStyle name="쉼표 [0] 3 2 7 3 3" xfId="1240"/>
    <cellStyle name="쉼표 [0] 3 2 7 4" xfId="1241"/>
    <cellStyle name="쉼표 [0] 3 2 7 4 2" xfId="1242"/>
    <cellStyle name="쉼표 [0] 3 2 7 5" xfId="1243"/>
    <cellStyle name="쉼표 [0] 3 2 8" xfId="1244"/>
    <cellStyle name="쉼표 [0] 3 2 8 2" xfId="1245"/>
    <cellStyle name="쉼표 [0] 3 2 8 2 2" xfId="1246"/>
    <cellStyle name="쉼표 [0] 3 2 8 2 2 2" xfId="1247"/>
    <cellStyle name="쉼표 [0] 3 2 8 2 3" xfId="1248"/>
    <cellStyle name="쉼표 [0] 3 2 8 3" xfId="1249"/>
    <cellStyle name="쉼표 [0] 3 2 8 3 2" xfId="1250"/>
    <cellStyle name="쉼표 [0] 3 2 8 4" xfId="1251"/>
    <cellStyle name="쉼표 [0] 3 2 9" xfId="1252"/>
    <cellStyle name="쉼표 [0] 3 2 9 2" xfId="1253"/>
    <cellStyle name="쉼표 [0] 3 2 9 2 2" xfId="1254"/>
    <cellStyle name="쉼표 [0] 3 2 9 3" xfId="1255"/>
    <cellStyle name="쉼표 [0] 3 20" xfId="1256"/>
    <cellStyle name="쉼표 [0] 3 21" xfId="1257"/>
    <cellStyle name="쉼표 [0] 3 22" xfId="1258"/>
    <cellStyle name="쉼표 [0] 3 23" xfId="1259"/>
    <cellStyle name="쉼표 [0] 3 24" xfId="1260"/>
    <cellStyle name="쉼표 [0] 3 25" xfId="1261"/>
    <cellStyle name="쉼표 [0] 3 26" xfId="1262"/>
    <cellStyle name="쉼표 [0] 3 27" xfId="1263"/>
    <cellStyle name="쉼표 [0] 3 28" xfId="1264"/>
    <cellStyle name="쉼표 [0] 3 29" xfId="1265"/>
    <cellStyle name="쉼표 [0] 3 3" xfId="1266"/>
    <cellStyle name="쉼표 [0] 3 3 10" xfId="1267"/>
    <cellStyle name="쉼표 [0] 3 3 11" xfId="1268"/>
    <cellStyle name="쉼표 [0] 3 3 2" xfId="1269"/>
    <cellStyle name="쉼표 [0] 3 3 2 10" xfId="1270"/>
    <cellStyle name="쉼표 [0] 3 3 2 2" xfId="1271"/>
    <cellStyle name="쉼표 [0] 3 3 2 2 2" xfId="1272"/>
    <cellStyle name="쉼표 [0] 3 3 2 2 2 2" xfId="1273"/>
    <cellStyle name="쉼표 [0] 3 3 2 2 2 2 2" xfId="1274"/>
    <cellStyle name="쉼표 [0] 3 3 2 2 2 2 2 2" xfId="1275"/>
    <cellStyle name="쉼표 [0] 3 3 2 2 2 2 2 2 2" xfId="1276"/>
    <cellStyle name="쉼표 [0] 3 3 2 2 2 2 2 2 2 2" xfId="1277"/>
    <cellStyle name="쉼표 [0] 3 3 2 2 2 2 2 2 2 2 2" xfId="1278"/>
    <cellStyle name="쉼표 [0] 3 3 2 2 2 2 2 2 2 3" xfId="1279"/>
    <cellStyle name="쉼표 [0] 3 3 2 2 2 2 2 2 3" xfId="1280"/>
    <cellStyle name="쉼표 [0] 3 3 2 2 2 2 2 2 3 2" xfId="1281"/>
    <cellStyle name="쉼표 [0] 3 3 2 2 2 2 2 2 4" xfId="1282"/>
    <cellStyle name="쉼표 [0] 3 3 2 2 2 2 2 3" xfId="1283"/>
    <cellStyle name="쉼표 [0] 3 3 2 2 2 2 2 3 2" xfId="1284"/>
    <cellStyle name="쉼표 [0] 3 3 2 2 2 2 2 3 2 2" xfId="1285"/>
    <cellStyle name="쉼표 [0] 3 3 2 2 2 2 2 3 3" xfId="1286"/>
    <cellStyle name="쉼표 [0] 3 3 2 2 2 2 2 4" xfId="1287"/>
    <cellStyle name="쉼표 [0] 3 3 2 2 2 2 2 4 2" xfId="1288"/>
    <cellStyle name="쉼표 [0] 3 3 2 2 2 2 2 5" xfId="1289"/>
    <cellStyle name="쉼표 [0] 3 3 2 2 2 2 3" xfId="1290"/>
    <cellStyle name="쉼표 [0] 3 3 2 2 2 2 3 2" xfId="1291"/>
    <cellStyle name="쉼표 [0] 3 3 2 2 2 2 3 2 2" xfId="1292"/>
    <cellStyle name="쉼표 [0] 3 3 2 2 2 2 3 2 2 2" xfId="1293"/>
    <cellStyle name="쉼표 [0] 3 3 2 2 2 2 3 2 3" xfId="1294"/>
    <cellStyle name="쉼표 [0] 3 3 2 2 2 2 3 3" xfId="1295"/>
    <cellStyle name="쉼표 [0] 3 3 2 2 2 2 3 3 2" xfId="1296"/>
    <cellStyle name="쉼표 [0] 3 3 2 2 2 2 3 4" xfId="1297"/>
    <cellStyle name="쉼표 [0] 3 3 2 2 2 2 4" xfId="1298"/>
    <cellStyle name="쉼표 [0] 3 3 2 2 2 2 4 2" xfId="1299"/>
    <cellStyle name="쉼표 [0] 3 3 2 2 2 2 4 2 2" xfId="1300"/>
    <cellStyle name="쉼표 [0] 3 3 2 2 2 2 4 3" xfId="1301"/>
    <cellStyle name="쉼표 [0] 3 3 2 2 2 2 5" xfId="1302"/>
    <cellStyle name="쉼표 [0] 3 3 2 2 2 2 5 2" xfId="1303"/>
    <cellStyle name="쉼표 [0] 3 3 2 2 2 2 6" xfId="1304"/>
    <cellStyle name="쉼표 [0] 3 3 2 2 2 3" xfId="1305"/>
    <cellStyle name="쉼표 [0] 3 3 2 2 2 3 2" xfId="1306"/>
    <cellStyle name="쉼표 [0] 3 3 2 2 2 3 2 2" xfId="1307"/>
    <cellStyle name="쉼표 [0] 3 3 2 2 2 3 2 2 2" xfId="1308"/>
    <cellStyle name="쉼표 [0] 3 3 2 2 2 3 2 2 2 2" xfId="1309"/>
    <cellStyle name="쉼표 [0] 3 3 2 2 2 3 2 2 3" xfId="1310"/>
    <cellStyle name="쉼표 [0] 3 3 2 2 2 3 2 3" xfId="1311"/>
    <cellStyle name="쉼표 [0] 3 3 2 2 2 3 2 3 2" xfId="1312"/>
    <cellStyle name="쉼표 [0] 3 3 2 2 2 3 2 4" xfId="1313"/>
    <cellStyle name="쉼표 [0] 3 3 2 2 2 3 3" xfId="1314"/>
    <cellStyle name="쉼표 [0] 3 3 2 2 2 3 3 2" xfId="1315"/>
    <cellStyle name="쉼표 [0] 3 3 2 2 2 3 3 2 2" xfId="1316"/>
    <cellStyle name="쉼표 [0] 3 3 2 2 2 3 3 3" xfId="1317"/>
    <cellStyle name="쉼표 [0] 3 3 2 2 2 3 4" xfId="1318"/>
    <cellStyle name="쉼표 [0] 3 3 2 2 2 3 4 2" xfId="1319"/>
    <cellStyle name="쉼표 [0] 3 3 2 2 2 3 5" xfId="1320"/>
    <cellStyle name="쉼표 [0] 3 3 2 2 2 4" xfId="1321"/>
    <cellStyle name="쉼표 [0] 3 3 2 2 2 4 2" xfId="1322"/>
    <cellStyle name="쉼표 [0] 3 3 2 2 2 4 2 2" xfId="1323"/>
    <cellStyle name="쉼표 [0] 3 3 2 2 2 4 2 2 2" xfId="1324"/>
    <cellStyle name="쉼표 [0] 3 3 2 2 2 4 2 3" xfId="1325"/>
    <cellStyle name="쉼표 [0] 3 3 2 2 2 4 3" xfId="1326"/>
    <cellStyle name="쉼표 [0] 3 3 2 2 2 4 3 2" xfId="1327"/>
    <cellStyle name="쉼표 [0] 3 3 2 2 2 4 4" xfId="1328"/>
    <cellStyle name="쉼표 [0] 3 3 2 2 2 5" xfId="1329"/>
    <cellStyle name="쉼표 [0] 3 3 2 2 2 5 2" xfId="1330"/>
    <cellStyle name="쉼표 [0] 3 3 2 2 2 5 2 2" xfId="1331"/>
    <cellStyle name="쉼표 [0] 3 3 2 2 2 5 3" xfId="1332"/>
    <cellStyle name="쉼표 [0] 3 3 2 2 2 6" xfId="1333"/>
    <cellStyle name="쉼표 [0] 3 3 2 2 2 6 2" xfId="1334"/>
    <cellStyle name="쉼표 [0] 3 3 2 2 2 7" xfId="1335"/>
    <cellStyle name="쉼표 [0] 3 3 2 2 2 8" xfId="1336"/>
    <cellStyle name="쉼표 [0] 3 3 2 2 3" xfId="1337"/>
    <cellStyle name="쉼표 [0] 3 3 2 2 3 2" xfId="1338"/>
    <cellStyle name="쉼표 [0] 3 3 2 2 3 2 2" xfId="1339"/>
    <cellStyle name="쉼표 [0] 3 3 2 2 3 2 2 2" xfId="1340"/>
    <cellStyle name="쉼표 [0] 3 3 2 2 3 2 2 2 2" xfId="1341"/>
    <cellStyle name="쉼표 [0] 3 3 2 2 3 2 2 2 2 2" xfId="1342"/>
    <cellStyle name="쉼표 [0] 3 3 2 2 3 2 2 2 3" xfId="1343"/>
    <cellStyle name="쉼표 [0] 3 3 2 2 3 2 2 3" xfId="1344"/>
    <cellStyle name="쉼표 [0] 3 3 2 2 3 2 2 3 2" xfId="1345"/>
    <cellStyle name="쉼표 [0] 3 3 2 2 3 2 2 4" xfId="1346"/>
    <cellStyle name="쉼표 [0] 3 3 2 2 3 2 3" xfId="1347"/>
    <cellStyle name="쉼표 [0] 3 3 2 2 3 2 3 2" xfId="1348"/>
    <cellStyle name="쉼표 [0] 3 3 2 2 3 2 3 2 2" xfId="1349"/>
    <cellStyle name="쉼표 [0] 3 3 2 2 3 2 3 3" xfId="1350"/>
    <cellStyle name="쉼표 [0] 3 3 2 2 3 2 4" xfId="1351"/>
    <cellStyle name="쉼표 [0] 3 3 2 2 3 2 4 2" xfId="1352"/>
    <cellStyle name="쉼표 [0] 3 3 2 2 3 2 5" xfId="1353"/>
    <cellStyle name="쉼표 [0] 3 3 2 2 3 3" xfId="1354"/>
    <cellStyle name="쉼표 [0] 3 3 2 2 3 3 2" xfId="1355"/>
    <cellStyle name="쉼표 [0] 3 3 2 2 3 3 2 2" xfId="1356"/>
    <cellStyle name="쉼표 [0] 3 3 2 2 3 3 2 2 2" xfId="1357"/>
    <cellStyle name="쉼표 [0] 3 3 2 2 3 3 2 3" xfId="1358"/>
    <cellStyle name="쉼표 [0] 3 3 2 2 3 3 3" xfId="1359"/>
    <cellStyle name="쉼표 [0] 3 3 2 2 3 3 3 2" xfId="1360"/>
    <cellStyle name="쉼표 [0] 3 3 2 2 3 3 4" xfId="1361"/>
    <cellStyle name="쉼표 [0] 3 3 2 2 3 4" xfId="1362"/>
    <cellStyle name="쉼표 [0] 3 3 2 2 3 4 2" xfId="1363"/>
    <cellStyle name="쉼표 [0] 3 3 2 2 3 4 2 2" xfId="1364"/>
    <cellStyle name="쉼표 [0] 3 3 2 2 3 4 3" xfId="1365"/>
    <cellStyle name="쉼표 [0] 3 3 2 2 3 5" xfId="1366"/>
    <cellStyle name="쉼표 [0] 3 3 2 2 3 5 2" xfId="1367"/>
    <cellStyle name="쉼표 [0] 3 3 2 2 3 6" xfId="1368"/>
    <cellStyle name="쉼표 [0] 3 3 2 2 4" xfId="1369"/>
    <cellStyle name="쉼표 [0] 3 3 2 2 4 2" xfId="1370"/>
    <cellStyle name="쉼표 [0] 3 3 2 2 4 2 2" xfId="1371"/>
    <cellStyle name="쉼표 [0] 3 3 2 2 4 2 2 2" xfId="1372"/>
    <cellStyle name="쉼표 [0] 3 3 2 2 4 2 2 2 2" xfId="1373"/>
    <cellStyle name="쉼표 [0] 3 3 2 2 4 2 2 3" xfId="1374"/>
    <cellStyle name="쉼표 [0] 3 3 2 2 4 2 3" xfId="1375"/>
    <cellStyle name="쉼표 [0] 3 3 2 2 4 2 3 2" xfId="1376"/>
    <cellStyle name="쉼표 [0] 3 3 2 2 4 2 4" xfId="1377"/>
    <cellStyle name="쉼표 [0] 3 3 2 2 4 3" xfId="1378"/>
    <cellStyle name="쉼표 [0] 3 3 2 2 4 3 2" xfId="1379"/>
    <cellStyle name="쉼표 [0] 3 3 2 2 4 3 2 2" xfId="1380"/>
    <cellStyle name="쉼표 [0] 3 3 2 2 4 3 3" xfId="1381"/>
    <cellStyle name="쉼표 [0] 3 3 2 2 4 4" xfId="1382"/>
    <cellStyle name="쉼표 [0] 3 3 2 2 4 4 2" xfId="1383"/>
    <cellStyle name="쉼표 [0] 3 3 2 2 4 5" xfId="1384"/>
    <cellStyle name="쉼표 [0] 3 3 2 2 5" xfId="1385"/>
    <cellStyle name="쉼표 [0] 3 3 2 2 5 2" xfId="1386"/>
    <cellStyle name="쉼표 [0] 3 3 2 2 5 2 2" xfId="1387"/>
    <cellStyle name="쉼표 [0] 3 3 2 2 5 2 2 2" xfId="1388"/>
    <cellStyle name="쉼표 [0] 3 3 2 2 5 2 3" xfId="1389"/>
    <cellStyle name="쉼표 [0] 3 3 2 2 5 3" xfId="1390"/>
    <cellStyle name="쉼표 [0] 3 3 2 2 5 3 2" xfId="1391"/>
    <cellStyle name="쉼표 [0] 3 3 2 2 5 4" xfId="1392"/>
    <cellStyle name="쉼표 [0] 3 3 2 2 6" xfId="1393"/>
    <cellStyle name="쉼표 [0] 3 3 2 2 6 2" xfId="1394"/>
    <cellStyle name="쉼표 [0] 3 3 2 2 6 2 2" xfId="1395"/>
    <cellStyle name="쉼표 [0] 3 3 2 2 6 3" xfId="1396"/>
    <cellStyle name="쉼표 [0] 3 3 2 2 7" xfId="1397"/>
    <cellStyle name="쉼표 [0] 3 3 2 2 7 2" xfId="1398"/>
    <cellStyle name="쉼표 [0] 3 3 2 2 8" xfId="1399"/>
    <cellStyle name="쉼표 [0] 3 3 2 2 9" xfId="1400"/>
    <cellStyle name="쉼표 [0] 3 3 2 3" xfId="1401"/>
    <cellStyle name="쉼표 [0] 3 3 2 3 2" xfId="1402"/>
    <cellStyle name="쉼표 [0] 3 3 2 3 2 2" xfId="1403"/>
    <cellStyle name="쉼표 [0] 3 3 2 3 2 2 2" xfId="1404"/>
    <cellStyle name="쉼표 [0] 3 3 2 3 2 2 2 2" xfId="1405"/>
    <cellStyle name="쉼표 [0] 3 3 2 3 2 2 2 2 2" xfId="1406"/>
    <cellStyle name="쉼표 [0] 3 3 2 3 2 2 2 2 2 2" xfId="1407"/>
    <cellStyle name="쉼표 [0] 3 3 2 3 2 2 2 2 3" xfId="1408"/>
    <cellStyle name="쉼표 [0] 3 3 2 3 2 2 2 3" xfId="1409"/>
    <cellStyle name="쉼표 [0] 3 3 2 3 2 2 2 3 2" xfId="1410"/>
    <cellStyle name="쉼표 [0] 3 3 2 3 2 2 2 4" xfId="1411"/>
    <cellStyle name="쉼표 [0] 3 3 2 3 2 2 3" xfId="1412"/>
    <cellStyle name="쉼표 [0] 3 3 2 3 2 2 3 2" xfId="1413"/>
    <cellStyle name="쉼표 [0] 3 3 2 3 2 2 3 2 2" xfId="1414"/>
    <cellStyle name="쉼표 [0] 3 3 2 3 2 2 3 3" xfId="1415"/>
    <cellStyle name="쉼표 [0] 3 3 2 3 2 2 4" xfId="1416"/>
    <cellStyle name="쉼표 [0] 3 3 2 3 2 2 4 2" xfId="1417"/>
    <cellStyle name="쉼표 [0] 3 3 2 3 2 2 5" xfId="1418"/>
    <cellStyle name="쉼표 [0] 3 3 2 3 2 3" xfId="1419"/>
    <cellStyle name="쉼표 [0] 3 3 2 3 2 3 2" xfId="1420"/>
    <cellStyle name="쉼표 [0] 3 3 2 3 2 3 2 2" xfId="1421"/>
    <cellStyle name="쉼표 [0] 3 3 2 3 2 3 2 2 2" xfId="1422"/>
    <cellStyle name="쉼표 [0] 3 3 2 3 2 3 2 3" xfId="1423"/>
    <cellStyle name="쉼표 [0] 3 3 2 3 2 3 3" xfId="1424"/>
    <cellStyle name="쉼표 [0] 3 3 2 3 2 3 3 2" xfId="1425"/>
    <cellStyle name="쉼표 [0] 3 3 2 3 2 3 4" xfId="1426"/>
    <cellStyle name="쉼표 [0] 3 3 2 3 2 4" xfId="1427"/>
    <cellStyle name="쉼표 [0] 3 3 2 3 2 4 2" xfId="1428"/>
    <cellStyle name="쉼표 [0] 3 3 2 3 2 4 2 2" xfId="1429"/>
    <cellStyle name="쉼표 [0] 3 3 2 3 2 4 3" xfId="1430"/>
    <cellStyle name="쉼표 [0] 3 3 2 3 2 5" xfId="1431"/>
    <cellStyle name="쉼표 [0] 3 3 2 3 2 5 2" xfId="1432"/>
    <cellStyle name="쉼표 [0] 3 3 2 3 2 6" xfId="1433"/>
    <cellStyle name="쉼표 [0] 3 3 2 3 3" xfId="1434"/>
    <cellStyle name="쉼표 [0] 3 3 2 3 3 2" xfId="1435"/>
    <cellStyle name="쉼표 [0] 3 3 2 3 3 2 2" xfId="1436"/>
    <cellStyle name="쉼표 [0] 3 3 2 3 3 2 2 2" xfId="1437"/>
    <cellStyle name="쉼표 [0] 3 3 2 3 3 2 2 2 2" xfId="1438"/>
    <cellStyle name="쉼표 [0] 3 3 2 3 3 2 2 3" xfId="1439"/>
    <cellStyle name="쉼표 [0] 3 3 2 3 3 2 3" xfId="1440"/>
    <cellStyle name="쉼표 [0] 3 3 2 3 3 2 3 2" xfId="1441"/>
    <cellStyle name="쉼표 [0] 3 3 2 3 3 2 4" xfId="1442"/>
    <cellStyle name="쉼표 [0] 3 3 2 3 3 3" xfId="1443"/>
    <cellStyle name="쉼표 [0] 3 3 2 3 3 3 2" xfId="1444"/>
    <cellStyle name="쉼표 [0] 3 3 2 3 3 3 2 2" xfId="1445"/>
    <cellStyle name="쉼표 [0] 3 3 2 3 3 3 3" xfId="1446"/>
    <cellStyle name="쉼표 [0] 3 3 2 3 3 4" xfId="1447"/>
    <cellStyle name="쉼표 [0] 3 3 2 3 3 4 2" xfId="1448"/>
    <cellStyle name="쉼표 [0] 3 3 2 3 3 5" xfId="1449"/>
    <cellStyle name="쉼표 [0] 3 3 2 3 4" xfId="1450"/>
    <cellStyle name="쉼표 [0] 3 3 2 3 4 2" xfId="1451"/>
    <cellStyle name="쉼표 [0] 3 3 2 3 4 2 2" xfId="1452"/>
    <cellStyle name="쉼표 [0] 3 3 2 3 4 2 2 2" xfId="1453"/>
    <cellStyle name="쉼표 [0] 3 3 2 3 4 2 3" xfId="1454"/>
    <cellStyle name="쉼표 [0] 3 3 2 3 4 3" xfId="1455"/>
    <cellStyle name="쉼표 [0] 3 3 2 3 4 3 2" xfId="1456"/>
    <cellStyle name="쉼표 [0] 3 3 2 3 4 4" xfId="1457"/>
    <cellStyle name="쉼표 [0] 3 3 2 3 5" xfId="1458"/>
    <cellStyle name="쉼표 [0] 3 3 2 3 5 2" xfId="1459"/>
    <cellStyle name="쉼표 [0] 3 3 2 3 5 2 2" xfId="1460"/>
    <cellStyle name="쉼표 [0] 3 3 2 3 5 3" xfId="1461"/>
    <cellStyle name="쉼표 [0] 3 3 2 3 6" xfId="1462"/>
    <cellStyle name="쉼표 [0] 3 3 2 3 6 2" xfId="1463"/>
    <cellStyle name="쉼표 [0] 3 3 2 3 7" xfId="1464"/>
    <cellStyle name="쉼표 [0] 3 3 2 3 8" xfId="1465"/>
    <cellStyle name="쉼표 [0] 3 3 2 4" xfId="1466"/>
    <cellStyle name="쉼표 [0] 3 3 2 4 2" xfId="1467"/>
    <cellStyle name="쉼표 [0] 3 3 2 4 2 2" xfId="1468"/>
    <cellStyle name="쉼표 [0] 3 3 2 4 2 2 2" xfId="1469"/>
    <cellStyle name="쉼표 [0] 3 3 2 4 2 2 2 2" xfId="1470"/>
    <cellStyle name="쉼표 [0] 3 3 2 4 2 2 2 2 2" xfId="1471"/>
    <cellStyle name="쉼표 [0] 3 3 2 4 2 2 2 3" xfId="1472"/>
    <cellStyle name="쉼표 [0] 3 3 2 4 2 2 3" xfId="1473"/>
    <cellStyle name="쉼표 [0] 3 3 2 4 2 2 3 2" xfId="1474"/>
    <cellStyle name="쉼표 [0] 3 3 2 4 2 2 4" xfId="1475"/>
    <cellStyle name="쉼표 [0] 3 3 2 4 2 3" xfId="1476"/>
    <cellStyle name="쉼표 [0] 3 3 2 4 2 3 2" xfId="1477"/>
    <cellStyle name="쉼표 [0] 3 3 2 4 2 3 2 2" xfId="1478"/>
    <cellStyle name="쉼표 [0] 3 3 2 4 2 3 3" xfId="1479"/>
    <cellStyle name="쉼표 [0] 3 3 2 4 2 4" xfId="1480"/>
    <cellStyle name="쉼표 [0] 3 3 2 4 2 4 2" xfId="1481"/>
    <cellStyle name="쉼표 [0] 3 3 2 4 2 5" xfId="1482"/>
    <cellStyle name="쉼표 [0] 3 3 2 4 3" xfId="1483"/>
    <cellStyle name="쉼표 [0] 3 3 2 4 3 2" xfId="1484"/>
    <cellStyle name="쉼표 [0] 3 3 2 4 3 2 2" xfId="1485"/>
    <cellStyle name="쉼표 [0] 3 3 2 4 3 2 2 2" xfId="1486"/>
    <cellStyle name="쉼표 [0] 3 3 2 4 3 2 3" xfId="1487"/>
    <cellStyle name="쉼표 [0] 3 3 2 4 3 3" xfId="1488"/>
    <cellStyle name="쉼표 [0] 3 3 2 4 3 3 2" xfId="1489"/>
    <cellStyle name="쉼표 [0] 3 3 2 4 3 4" xfId="1490"/>
    <cellStyle name="쉼표 [0] 3 3 2 4 4" xfId="1491"/>
    <cellStyle name="쉼표 [0] 3 3 2 4 4 2" xfId="1492"/>
    <cellStyle name="쉼표 [0] 3 3 2 4 4 2 2" xfId="1493"/>
    <cellStyle name="쉼표 [0] 3 3 2 4 4 3" xfId="1494"/>
    <cellStyle name="쉼표 [0] 3 3 2 4 5" xfId="1495"/>
    <cellStyle name="쉼표 [0] 3 3 2 4 5 2" xfId="1496"/>
    <cellStyle name="쉼표 [0] 3 3 2 4 6" xfId="1497"/>
    <cellStyle name="쉼표 [0] 3 3 2 5" xfId="1498"/>
    <cellStyle name="쉼표 [0] 3 3 2 5 2" xfId="1499"/>
    <cellStyle name="쉼표 [0] 3 3 2 5 2 2" xfId="1500"/>
    <cellStyle name="쉼표 [0] 3 3 2 5 2 2 2" xfId="1501"/>
    <cellStyle name="쉼표 [0] 3 3 2 5 2 2 2 2" xfId="1502"/>
    <cellStyle name="쉼표 [0] 3 3 2 5 2 2 3" xfId="1503"/>
    <cellStyle name="쉼표 [0] 3 3 2 5 2 3" xfId="1504"/>
    <cellStyle name="쉼표 [0] 3 3 2 5 2 3 2" xfId="1505"/>
    <cellStyle name="쉼표 [0] 3 3 2 5 2 4" xfId="1506"/>
    <cellStyle name="쉼표 [0] 3 3 2 5 3" xfId="1507"/>
    <cellStyle name="쉼표 [0] 3 3 2 5 3 2" xfId="1508"/>
    <cellStyle name="쉼표 [0] 3 3 2 5 3 2 2" xfId="1509"/>
    <cellStyle name="쉼표 [0] 3 3 2 5 3 3" xfId="1510"/>
    <cellStyle name="쉼표 [0] 3 3 2 5 4" xfId="1511"/>
    <cellStyle name="쉼표 [0] 3 3 2 5 4 2" xfId="1512"/>
    <cellStyle name="쉼표 [0] 3 3 2 5 5" xfId="1513"/>
    <cellStyle name="쉼표 [0] 3 3 2 6" xfId="1514"/>
    <cellStyle name="쉼표 [0] 3 3 2 6 2" xfId="1515"/>
    <cellStyle name="쉼표 [0] 3 3 2 6 2 2" xfId="1516"/>
    <cellStyle name="쉼표 [0] 3 3 2 6 2 2 2" xfId="1517"/>
    <cellStyle name="쉼표 [0] 3 3 2 6 2 3" xfId="1518"/>
    <cellStyle name="쉼표 [0] 3 3 2 6 3" xfId="1519"/>
    <cellStyle name="쉼표 [0] 3 3 2 6 3 2" xfId="1520"/>
    <cellStyle name="쉼표 [0] 3 3 2 6 4" xfId="1521"/>
    <cellStyle name="쉼표 [0] 3 3 2 7" xfId="1522"/>
    <cellStyle name="쉼표 [0] 3 3 2 7 2" xfId="1523"/>
    <cellStyle name="쉼표 [0] 3 3 2 7 2 2" xfId="1524"/>
    <cellStyle name="쉼표 [0] 3 3 2 7 3" xfId="1525"/>
    <cellStyle name="쉼표 [0] 3 3 2 8" xfId="1526"/>
    <cellStyle name="쉼표 [0] 3 3 2 8 2" xfId="1527"/>
    <cellStyle name="쉼표 [0] 3 3 2 9" xfId="1528"/>
    <cellStyle name="쉼표 [0] 3 3 3" xfId="1529"/>
    <cellStyle name="쉼표 [0] 3 3 3 2" xfId="1530"/>
    <cellStyle name="쉼표 [0] 3 3 3 2 2" xfId="1531"/>
    <cellStyle name="쉼표 [0] 3 3 3 2 2 2" xfId="1532"/>
    <cellStyle name="쉼표 [0] 3 3 3 2 2 2 2" xfId="1533"/>
    <cellStyle name="쉼표 [0] 3 3 3 2 2 2 2 2" xfId="1534"/>
    <cellStyle name="쉼표 [0] 3 3 3 2 2 2 2 2 2" xfId="1535"/>
    <cellStyle name="쉼표 [0] 3 3 3 2 2 2 2 2 2 2" xfId="1536"/>
    <cellStyle name="쉼표 [0] 3 3 3 2 2 2 2 2 3" xfId="1537"/>
    <cellStyle name="쉼표 [0] 3 3 3 2 2 2 2 3" xfId="1538"/>
    <cellStyle name="쉼표 [0] 3 3 3 2 2 2 2 3 2" xfId="1539"/>
    <cellStyle name="쉼표 [0] 3 3 3 2 2 2 2 4" xfId="1540"/>
    <cellStyle name="쉼표 [0] 3 3 3 2 2 2 3" xfId="1541"/>
    <cellStyle name="쉼표 [0] 3 3 3 2 2 2 3 2" xfId="1542"/>
    <cellStyle name="쉼표 [0] 3 3 3 2 2 2 3 2 2" xfId="1543"/>
    <cellStyle name="쉼표 [0] 3 3 3 2 2 2 3 3" xfId="1544"/>
    <cellStyle name="쉼표 [0] 3 3 3 2 2 2 4" xfId="1545"/>
    <cellStyle name="쉼표 [0] 3 3 3 2 2 2 4 2" xfId="1546"/>
    <cellStyle name="쉼표 [0] 3 3 3 2 2 2 5" xfId="1547"/>
    <cellStyle name="쉼표 [0] 3 3 3 2 2 3" xfId="1548"/>
    <cellStyle name="쉼표 [0] 3 3 3 2 2 3 2" xfId="1549"/>
    <cellStyle name="쉼표 [0] 3 3 3 2 2 3 2 2" xfId="1550"/>
    <cellStyle name="쉼표 [0] 3 3 3 2 2 3 2 2 2" xfId="1551"/>
    <cellStyle name="쉼표 [0] 3 3 3 2 2 3 2 3" xfId="1552"/>
    <cellStyle name="쉼표 [0] 3 3 3 2 2 3 3" xfId="1553"/>
    <cellStyle name="쉼표 [0] 3 3 3 2 2 3 3 2" xfId="1554"/>
    <cellStyle name="쉼표 [0] 3 3 3 2 2 3 4" xfId="1555"/>
    <cellStyle name="쉼표 [0] 3 3 3 2 2 4" xfId="1556"/>
    <cellStyle name="쉼표 [0] 3 3 3 2 2 4 2" xfId="1557"/>
    <cellStyle name="쉼표 [0] 3 3 3 2 2 4 2 2" xfId="1558"/>
    <cellStyle name="쉼표 [0] 3 3 3 2 2 4 3" xfId="1559"/>
    <cellStyle name="쉼표 [0] 3 3 3 2 2 5" xfId="1560"/>
    <cellStyle name="쉼표 [0] 3 3 3 2 2 5 2" xfId="1561"/>
    <cellStyle name="쉼표 [0] 3 3 3 2 2 6" xfId="1562"/>
    <cellStyle name="쉼표 [0] 3 3 3 2 3" xfId="1563"/>
    <cellStyle name="쉼표 [0] 3 3 3 2 3 2" xfId="1564"/>
    <cellStyle name="쉼표 [0] 3 3 3 2 3 2 2" xfId="1565"/>
    <cellStyle name="쉼표 [0] 3 3 3 2 3 2 2 2" xfId="1566"/>
    <cellStyle name="쉼표 [0] 3 3 3 2 3 2 2 2 2" xfId="1567"/>
    <cellStyle name="쉼표 [0] 3 3 3 2 3 2 2 3" xfId="1568"/>
    <cellStyle name="쉼표 [0] 3 3 3 2 3 2 3" xfId="1569"/>
    <cellStyle name="쉼표 [0] 3 3 3 2 3 2 3 2" xfId="1570"/>
    <cellStyle name="쉼표 [0] 3 3 3 2 3 2 4" xfId="1571"/>
    <cellStyle name="쉼표 [0] 3 3 3 2 3 3" xfId="1572"/>
    <cellStyle name="쉼표 [0] 3 3 3 2 3 3 2" xfId="1573"/>
    <cellStyle name="쉼표 [0] 3 3 3 2 3 3 2 2" xfId="1574"/>
    <cellStyle name="쉼표 [0] 3 3 3 2 3 3 3" xfId="1575"/>
    <cellStyle name="쉼표 [0] 3 3 3 2 3 4" xfId="1576"/>
    <cellStyle name="쉼표 [0] 3 3 3 2 3 4 2" xfId="1577"/>
    <cellStyle name="쉼표 [0] 3 3 3 2 3 5" xfId="1578"/>
    <cellStyle name="쉼표 [0] 3 3 3 2 4" xfId="1579"/>
    <cellStyle name="쉼표 [0] 3 3 3 2 4 2" xfId="1580"/>
    <cellStyle name="쉼표 [0] 3 3 3 2 4 2 2" xfId="1581"/>
    <cellStyle name="쉼표 [0] 3 3 3 2 4 2 2 2" xfId="1582"/>
    <cellStyle name="쉼표 [0] 3 3 3 2 4 2 3" xfId="1583"/>
    <cellStyle name="쉼표 [0] 3 3 3 2 4 3" xfId="1584"/>
    <cellStyle name="쉼표 [0] 3 3 3 2 4 3 2" xfId="1585"/>
    <cellStyle name="쉼표 [0] 3 3 3 2 4 4" xfId="1586"/>
    <cellStyle name="쉼표 [0] 3 3 3 2 5" xfId="1587"/>
    <cellStyle name="쉼표 [0] 3 3 3 2 5 2" xfId="1588"/>
    <cellStyle name="쉼표 [0] 3 3 3 2 5 2 2" xfId="1589"/>
    <cellStyle name="쉼표 [0] 3 3 3 2 5 3" xfId="1590"/>
    <cellStyle name="쉼표 [0] 3 3 3 2 6" xfId="1591"/>
    <cellStyle name="쉼표 [0] 3 3 3 2 6 2" xfId="1592"/>
    <cellStyle name="쉼표 [0] 3 3 3 2 7" xfId="1593"/>
    <cellStyle name="쉼표 [0] 3 3 3 2 8" xfId="1594"/>
    <cellStyle name="쉼표 [0] 3 3 3 3" xfId="1595"/>
    <cellStyle name="쉼표 [0] 3 3 3 3 2" xfId="1596"/>
    <cellStyle name="쉼표 [0] 3 3 3 3 2 2" xfId="1597"/>
    <cellStyle name="쉼표 [0] 3 3 3 3 2 2 2" xfId="1598"/>
    <cellStyle name="쉼표 [0] 3 3 3 3 2 2 2 2" xfId="1599"/>
    <cellStyle name="쉼표 [0] 3 3 3 3 2 2 2 2 2" xfId="1600"/>
    <cellStyle name="쉼표 [0] 3 3 3 3 2 2 2 3" xfId="1601"/>
    <cellStyle name="쉼표 [0] 3 3 3 3 2 2 3" xfId="1602"/>
    <cellStyle name="쉼표 [0] 3 3 3 3 2 2 3 2" xfId="1603"/>
    <cellStyle name="쉼표 [0] 3 3 3 3 2 2 4" xfId="1604"/>
    <cellStyle name="쉼표 [0] 3 3 3 3 2 3" xfId="1605"/>
    <cellStyle name="쉼표 [0] 3 3 3 3 2 3 2" xfId="1606"/>
    <cellStyle name="쉼표 [0] 3 3 3 3 2 3 2 2" xfId="1607"/>
    <cellStyle name="쉼표 [0] 3 3 3 3 2 3 3" xfId="1608"/>
    <cellStyle name="쉼표 [0] 3 3 3 3 2 4" xfId="1609"/>
    <cellStyle name="쉼표 [0] 3 3 3 3 2 4 2" xfId="1610"/>
    <cellStyle name="쉼표 [0] 3 3 3 3 2 5" xfId="1611"/>
    <cellStyle name="쉼표 [0] 3 3 3 3 3" xfId="1612"/>
    <cellStyle name="쉼표 [0] 3 3 3 3 3 2" xfId="1613"/>
    <cellStyle name="쉼표 [0] 3 3 3 3 3 2 2" xfId="1614"/>
    <cellStyle name="쉼표 [0] 3 3 3 3 3 2 2 2" xfId="1615"/>
    <cellStyle name="쉼표 [0] 3 3 3 3 3 2 3" xfId="1616"/>
    <cellStyle name="쉼표 [0] 3 3 3 3 3 3" xfId="1617"/>
    <cellStyle name="쉼표 [0] 3 3 3 3 3 3 2" xfId="1618"/>
    <cellStyle name="쉼표 [0] 3 3 3 3 3 4" xfId="1619"/>
    <cellStyle name="쉼표 [0] 3 3 3 3 4" xfId="1620"/>
    <cellStyle name="쉼표 [0] 3 3 3 3 4 2" xfId="1621"/>
    <cellStyle name="쉼표 [0] 3 3 3 3 4 2 2" xfId="1622"/>
    <cellStyle name="쉼표 [0] 3 3 3 3 4 3" xfId="1623"/>
    <cellStyle name="쉼표 [0] 3 3 3 3 5" xfId="1624"/>
    <cellStyle name="쉼표 [0] 3 3 3 3 5 2" xfId="1625"/>
    <cellStyle name="쉼표 [0] 3 3 3 3 6" xfId="1626"/>
    <cellStyle name="쉼표 [0] 3 3 3 4" xfId="1627"/>
    <cellStyle name="쉼표 [0] 3 3 3 4 2" xfId="1628"/>
    <cellStyle name="쉼표 [0] 3 3 3 4 2 2" xfId="1629"/>
    <cellStyle name="쉼표 [0] 3 3 3 4 2 2 2" xfId="1630"/>
    <cellStyle name="쉼표 [0] 3 3 3 4 2 2 2 2" xfId="1631"/>
    <cellStyle name="쉼표 [0] 3 3 3 4 2 2 3" xfId="1632"/>
    <cellStyle name="쉼표 [0] 3 3 3 4 2 3" xfId="1633"/>
    <cellStyle name="쉼표 [0] 3 3 3 4 2 3 2" xfId="1634"/>
    <cellStyle name="쉼표 [0] 3 3 3 4 2 4" xfId="1635"/>
    <cellStyle name="쉼표 [0] 3 3 3 4 3" xfId="1636"/>
    <cellStyle name="쉼표 [0] 3 3 3 4 3 2" xfId="1637"/>
    <cellStyle name="쉼표 [0] 3 3 3 4 3 2 2" xfId="1638"/>
    <cellStyle name="쉼표 [0] 3 3 3 4 3 3" xfId="1639"/>
    <cellStyle name="쉼표 [0] 3 3 3 4 4" xfId="1640"/>
    <cellStyle name="쉼표 [0] 3 3 3 4 4 2" xfId="1641"/>
    <cellStyle name="쉼표 [0] 3 3 3 4 5" xfId="1642"/>
    <cellStyle name="쉼표 [0] 3 3 3 5" xfId="1643"/>
    <cellStyle name="쉼표 [0] 3 3 3 5 2" xfId="1644"/>
    <cellStyle name="쉼표 [0] 3 3 3 5 2 2" xfId="1645"/>
    <cellStyle name="쉼표 [0] 3 3 3 5 2 2 2" xfId="1646"/>
    <cellStyle name="쉼표 [0] 3 3 3 5 2 3" xfId="1647"/>
    <cellStyle name="쉼표 [0] 3 3 3 5 3" xfId="1648"/>
    <cellStyle name="쉼표 [0] 3 3 3 5 3 2" xfId="1649"/>
    <cellStyle name="쉼표 [0] 3 3 3 5 4" xfId="1650"/>
    <cellStyle name="쉼표 [0] 3 3 3 6" xfId="1651"/>
    <cellStyle name="쉼표 [0] 3 3 3 6 2" xfId="1652"/>
    <cellStyle name="쉼표 [0] 3 3 3 6 2 2" xfId="1653"/>
    <cellStyle name="쉼표 [0] 3 3 3 6 3" xfId="1654"/>
    <cellStyle name="쉼표 [0] 3 3 3 7" xfId="1655"/>
    <cellStyle name="쉼표 [0] 3 3 3 7 2" xfId="1656"/>
    <cellStyle name="쉼표 [0] 3 3 3 8" xfId="1657"/>
    <cellStyle name="쉼표 [0] 3 3 3 9" xfId="1658"/>
    <cellStyle name="쉼표 [0] 3 3 4" xfId="1659"/>
    <cellStyle name="쉼표 [0] 3 3 4 2" xfId="1660"/>
    <cellStyle name="쉼표 [0] 3 3 4 2 2" xfId="1661"/>
    <cellStyle name="쉼표 [0] 3 3 4 2 2 2" xfId="1662"/>
    <cellStyle name="쉼표 [0] 3 3 4 2 2 2 2" xfId="1663"/>
    <cellStyle name="쉼표 [0] 3 3 4 2 2 2 2 2" xfId="1664"/>
    <cellStyle name="쉼표 [0] 3 3 4 2 2 2 2 2 2" xfId="1665"/>
    <cellStyle name="쉼표 [0] 3 3 4 2 2 2 2 3" xfId="1666"/>
    <cellStyle name="쉼표 [0] 3 3 4 2 2 2 3" xfId="1667"/>
    <cellStyle name="쉼표 [0] 3 3 4 2 2 2 3 2" xfId="1668"/>
    <cellStyle name="쉼표 [0] 3 3 4 2 2 2 4" xfId="1669"/>
    <cellStyle name="쉼표 [0] 3 3 4 2 2 3" xfId="1670"/>
    <cellStyle name="쉼표 [0] 3 3 4 2 2 3 2" xfId="1671"/>
    <cellStyle name="쉼표 [0] 3 3 4 2 2 3 2 2" xfId="1672"/>
    <cellStyle name="쉼표 [0] 3 3 4 2 2 3 3" xfId="1673"/>
    <cellStyle name="쉼표 [0] 3 3 4 2 2 4" xfId="1674"/>
    <cellStyle name="쉼표 [0] 3 3 4 2 2 4 2" xfId="1675"/>
    <cellStyle name="쉼표 [0] 3 3 4 2 2 5" xfId="1676"/>
    <cellStyle name="쉼표 [0] 3 3 4 2 3" xfId="1677"/>
    <cellStyle name="쉼표 [0] 3 3 4 2 3 2" xfId="1678"/>
    <cellStyle name="쉼표 [0] 3 3 4 2 3 2 2" xfId="1679"/>
    <cellStyle name="쉼표 [0] 3 3 4 2 3 2 2 2" xfId="1680"/>
    <cellStyle name="쉼표 [0] 3 3 4 2 3 2 3" xfId="1681"/>
    <cellStyle name="쉼표 [0] 3 3 4 2 3 3" xfId="1682"/>
    <cellStyle name="쉼표 [0] 3 3 4 2 3 3 2" xfId="1683"/>
    <cellStyle name="쉼표 [0] 3 3 4 2 3 4" xfId="1684"/>
    <cellStyle name="쉼표 [0] 3 3 4 2 4" xfId="1685"/>
    <cellStyle name="쉼표 [0] 3 3 4 2 4 2" xfId="1686"/>
    <cellStyle name="쉼표 [0] 3 3 4 2 4 2 2" xfId="1687"/>
    <cellStyle name="쉼표 [0] 3 3 4 2 4 3" xfId="1688"/>
    <cellStyle name="쉼표 [0] 3 3 4 2 5" xfId="1689"/>
    <cellStyle name="쉼표 [0] 3 3 4 2 5 2" xfId="1690"/>
    <cellStyle name="쉼표 [0] 3 3 4 2 6" xfId="1691"/>
    <cellStyle name="쉼표 [0] 3 3 4 3" xfId="1692"/>
    <cellStyle name="쉼표 [0] 3 3 4 3 2" xfId="1693"/>
    <cellStyle name="쉼표 [0] 3 3 4 3 2 2" xfId="1694"/>
    <cellStyle name="쉼표 [0] 3 3 4 3 2 2 2" xfId="1695"/>
    <cellStyle name="쉼표 [0] 3 3 4 3 2 2 2 2" xfId="1696"/>
    <cellStyle name="쉼표 [0] 3 3 4 3 2 2 3" xfId="1697"/>
    <cellStyle name="쉼표 [0] 3 3 4 3 2 3" xfId="1698"/>
    <cellStyle name="쉼표 [0] 3 3 4 3 2 3 2" xfId="1699"/>
    <cellStyle name="쉼표 [0] 3 3 4 3 2 4" xfId="1700"/>
    <cellStyle name="쉼표 [0] 3 3 4 3 3" xfId="1701"/>
    <cellStyle name="쉼표 [0] 3 3 4 3 3 2" xfId="1702"/>
    <cellStyle name="쉼표 [0] 3 3 4 3 3 2 2" xfId="1703"/>
    <cellStyle name="쉼표 [0] 3 3 4 3 3 3" xfId="1704"/>
    <cellStyle name="쉼표 [0] 3 3 4 3 4" xfId="1705"/>
    <cellStyle name="쉼표 [0] 3 3 4 3 4 2" xfId="1706"/>
    <cellStyle name="쉼표 [0] 3 3 4 3 5" xfId="1707"/>
    <cellStyle name="쉼표 [0] 3 3 4 4" xfId="1708"/>
    <cellStyle name="쉼표 [0] 3 3 4 4 2" xfId="1709"/>
    <cellStyle name="쉼표 [0] 3 3 4 4 2 2" xfId="1710"/>
    <cellStyle name="쉼표 [0] 3 3 4 4 2 2 2" xfId="1711"/>
    <cellStyle name="쉼표 [0] 3 3 4 4 2 3" xfId="1712"/>
    <cellStyle name="쉼표 [0] 3 3 4 4 3" xfId="1713"/>
    <cellStyle name="쉼표 [0] 3 3 4 4 3 2" xfId="1714"/>
    <cellStyle name="쉼표 [0] 3 3 4 4 4" xfId="1715"/>
    <cellStyle name="쉼표 [0] 3 3 4 5" xfId="1716"/>
    <cellStyle name="쉼표 [0] 3 3 4 5 2" xfId="1717"/>
    <cellStyle name="쉼표 [0] 3 3 4 5 2 2" xfId="1718"/>
    <cellStyle name="쉼표 [0] 3 3 4 5 3" xfId="1719"/>
    <cellStyle name="쉼표 [0] 3 3 4 6" xfId="1720"/>
    <cellStyle name="쉼표 [0] 3 3 4 6 2" xfId="1721"/>
    <cellStyle name="쉼표 [0] 3 3 4 7" xfId="1722"/>
    <cellStyle name="쉼표 [0] 3 3 4 8" xfId="1723"/>
    <cellStyle name="쉼표 [0] 3 3 5" xfId="1724"/>
    <cellStyle name="쉼표 [0] 3 3 5 2" xfId="1725"/>
    <cellStyle name="쉼표 [0] 3 3 5 2 2" xfId="1726"/>
    <cellStyle name="쉼표 [0] 3 3 5 2 2 2" xfId="1727"/>
    <cellStyle name="쉼표 [0] 3 3 5 2 2 2 2" xfId="1728"/>
    <cellStyle name="쉼표 [0] 3 3 5 2 2 2 2 2" xfId="1729"/>
    <cellStyle name="쉼표 [0] 3 3 5 2 2 2 3" xfId="1730"/>
    <cellStyle name="쉼표 [0] 3 3 5 2 2 3" xfId="1731"/>
    <cellStyle name="쉼표 [0] 3 3 5 2 2 3 2" xfId="1732"/>
    <cellStyle name="쉼표 [0] 3 3 5 2 2 4" xfId="1733"/>
    <cellStyle name="쉼표 [0] 3 3 5 2 3" xfId="1734"/>
    <cellStyle name="쉼표 [0] 3 3 5 2 3 2" xfId="1735"/>
    <cellStyle name="쉼표 [0] 3 3 5 2 3 2 2" xfId="1736"/>
    <cellStyle name="쉼표 [0] 3 3 5 2 3 3" xfId="1737"/>
    <cellStyle name="쉼표 [0] 3 3 5 2 4" xfId="1738"/>
    <cellStyle name="쉼표 [0] 3 3 5 2 4 2" xfId="1739"/>
    <cellStyle name="쉼표 [0] 3 3 5 2 5" xfId="1740"/>
    <cellStyle name="쉼표 [0] 3 3 5 3" xfId="1741"/>
    <cellStyle name="쉼표 [0] 3 3 5 3 2" xfId="1742"/>
    <cellStyle name="쉼표 [0] 3 3 5 3 2 2" xfId="1743"/>
    <cellStyle name="쉼표 [0] 3 3 5 3 2 2 2" xfId="1744"/>
    <cellStyle name="쉼표 [0] 3 3 5 3 2 3" xfId="1745"/>
    <cellStyle name="쉼표 [0] 3 3 5 3 3" xfId="1746"/>
    <cellStyle name="쉼표 [0] 3 3 5 3 3 2" xfId="1747"/>
    <cellStyle name="쉼표 [0] 3 3 5 3 4" xfId="1748"/>
    <cellStyle name="쉼표 [0] 3 3 5 4" xfId="1749"/>
    <cellStyle name="쉼표 [0] 3 3 5 4 2" xfId="1750"/>
    <cellStyle name="쉼표 [0] 3 3 5 4 2 2" xfId="1751"/>
    <cellStyle name="쉼표 [0] 3 3 5 4 3" xfId="1752"/>
    <cellStyle name="쉼표 [0] 3 3 5 5" xfId="1753"/>
    <cellStyle name="쉼표 [0] 3 3 5 5 2" xfId="1754"/>
    <cellStyle name="쉼표 [0] 3 3 5 6" xfId="1755"/>
    <cellStyle name="쉼표 [0] 3 3 6" xfId="1756"/>
    <cellStyle name="쉼표 [0] 3 3 6 2" xfId="1757"/>
    <cellStyle name="쉼표 [0] 3 3 6 2 2" xfId="1758"/>
    <cellStyle name="쉼표 [0] 3 3 6 2 2 2" xfId="1759"/>
    <cellStyle name="쉼표 [0] 3 3 6 2 2 2 2" xfId="1760"/>
    <cellStyle name="쉼표 [0] 3 3 6 2 2 3" xfId="1761"/>
    <cellStyle name="쉼표 [0] 3 3 6 2 3" xfId="1762"/>
    <cellStyle name="쉼표 [0] 3 3 6 2 3 2" xfId="1763"/>
    <cellStyle name="쉼표 [0] 3 3 6 2 4" xfId="1764"/>
    <cellStyle name="쉼표 [0] 3 3 6 3" xfId="1765"/>
    <cellStyle name="쉼표 [0] 3 3 6 3 2" xfId="1766"/>
    <cellStyle name="쉼표 [0] 3 3 6 3 2 2" xfId="1767"/>
    <cellStyle name="쉼표 [0] 3 3 6 3 3" xfId="1768"/>
    <cellStyle name="쉼표 [0] 3 3 6 4" xfId="1769"/>
    <cellStyle name="쉼표 [0] 3 3 6 4 2" xfId="1770"/>
    <cellStyle name="쉼표 [0] 3 3 6 5" xfId="1771"/>
    <cellStyle name="쉼표 [0] 3 3 7" xfId="1772"/>
    <cellStyle name="쉼표 [0] 3 3 7 2" xfId="1773"/>
    <cellStyle name="쉼표 [0] 3 3 7 2 2" xfId="1774"/>
    <cellStyle name="쉼표 [0] 3 3 7 2 2 2" xfId="1775"/>
    <cellStyle name="쉼표 [0] 3 3 7 2 3" xfId="1776"/>
    <cellStyle name="쉼표 [0] 3 3 7 3" xfId="1777"/>
    <cellStyle name="쉼표 [0] 3 3 7 3 2" xfId="1778"/>
    <cellStyle name="쉼표 [0] 3 3 7 4" xfId="1779"/>
    <cellStyle name="쉼표 [0] 3 3 8" xfId="1780"/>
    <cellStyle name="쉼표 [0] 3 3 8 2" xfId="1781"/>
    <cellStyle name="쉼표 [0] 3 3 8 2 2" xfId="1782"/>
    <cellStyle name="쉼표 [0] 3 3 8 3" xfId="1783"/>
    <cellStyle name="쉼표 [0] 3 3 9" xfId="1784"/>
    <cellStyle name="쉼표 [0] 3 3 9 2" xfId="1785"/>
    <cellStyle name="쉼표 [0] 3 30" xfId="1786"/>
    <cellStyle name="쉼표 [0] 3 31" xfId="1787"/>
    <cellStyle name="쉼표 [0] 3 32" xfId="1788"/>
    <cellStyle name="쉼표 [0] 3 33" xfId="1789"/>
    <cellStyle name="쉼표 [0] 3 34" xfId="1790"/>
    <cellStyle name="쉼표 [0] 3 35" xfId="1791"/>
    <cellStyle name="쉼표 [0] 3 36" xfId="1792"/>
    <cellStyle name="쉼표 [0] 3 37" xfId="1793"/>
    <cellStyle name="쉼표 [0] 3 38" xfId="1794"/>
    <cellStyle name="쉼표 [0] 3 39" xfId="1795"/>
    <cellStyle name="쉼표 [0] 3 4" xfId="1796"/>
    <cellStyle name="쉼표 [0] 3 4 10" xfId="1797"/>
    <cellStyle name="쉼표 [0] 3 4 11" xfId="1798"/>
    <cellStyle name="쉼표 [0] 3 4 2" xfId="1799"/>
    <cellStyle name="쉼표 [0] 3 4 2 10" xfId="1800"/>
    <cellStyle name="쉼표 [0] 3 4 2 2" xfId="1801"/>
    <cellStyle name="쉼표 [0] 3 4 2 2 2" xfId="1802"/>
    <cellStyle name="쉼표 [0] 3 4 2 2 2 2" xfId="1803"/>
    <cellStyle name="쉼표 [0] 3 4 2 2 2 2 2" xfId="1804"/>
    <cellStyle name="쉼표 [0] 3 4 2 2 2 2 2 2" xfId="1805"/>
    <cellStyle name="쉼표 [0] 3 4 2 2 2 2 2 2 2" xfId="1806"/>
    <cellStyle name="쉼표 [0] 3 4 2 2 2 2 2 2 2 2" xfId="1807"/>
    <cellStyle name="쉼표 [0] 3 4 2 2 2 2 2 2 2 2 2" xfId="1808"/>
    <cellStyle name="쉼표 [0] 3 4 2 2 2 2 2 2 2 3" xfId="1809"/>
    <cellStyle name="쉼표 [0] 3 4 2 2 2 2 2 2 3" xfId="1810"/>
    <cellStyle name="쉼표 [0] 3 4 2 2 2 2 2 2 3 2" xfId="1811"/>
    <cellStyle name="쉼표 [0] 3 4 2 2 2 2 2 2 4" xfId="1812"/>
    <cellStyle name="쉼표 [0] 3 4 2 2 2 2 2 3" xfId="1813"/>
    <cellStyle name="쉼표 [0] 3 4 2 2 2 2 2 3 2" xfId="1814"/>
    <cellStyle name="쉼표 [0] 3 4 2 2 2 2 2 3 2 2" xfId="1815"/>
    <cellStyle name="쉼표 [0] 3 4 2 2 2 2 2 3 3" xfId="1816"/>
    <cellStyle name="쉼표 [0] 3 4 2 2 2 2 2 4" xfId="1817"/>
    <cellStyle name="쉼표 [0] 3 4 2 2 2 2 2 4 2" xfId="1818"/>
    <cellStyle name="쉼표 [0] 3 4 2 2 2 2 2 5" xfId="1819"/>
    <cellStyle name="쉼표 [0] 3 4 2 2 2 2 3" xfId="1820"/>
    <cellStyle name="쉼표 [0] 3 4 2 2 2 2 3 2" xfId="1821"/>
    <cellStyle name="쉼표 [0] 3 4 2 2 2 2 3 2 2" xfId="1822"/>
    <cellStyle name="쉼표 [0] 3 4 2 2 2 2 3 2 2 2" xfId="1823"/>
    <cellStyle name="쉼표 [0] 3 4 2 2 2 2 3 2 3" xfId="1824"/>
    <cellStyle name="쉼표 [0] 3 4 2 2 2 2 3 3" xfId="1825"/>
    <cellStyle name="쉼표 [0] 3 4 2 2 2 2 3 3 2" xfId="1826"/>
    <cellStyle name="쉼표 [0] 3 4 2 2 2 2 3 4" xfId="1827"/>
    <cellStyle name="쉼표 [0] 3 4 2 2 2 2 4" xfId="1828"/>
    <cellStyle name="쉼표 [0] 3 4 2 2 2 2 4 2" xfId="1829"/>
    <cellStyle name="쉼표 [0] 3 4 2 2 2 2 4 2 2" xfId="1830"/>
    <cellStyle name="쉼표 [0] 3 4 2 2 2 2 4 3" xfId="1831"/>
    <cellStyle name="쉼표 [0] 3 4 2 2 2 2 5" xfId="1832"/>
    <cellStyle name="쉼표 [0] 3 4 2 2 2 2 5 2" xfId="1833"/>
    <cellStyle name="쉼표 [0] 3 4 2 2 2 2 6" xfId="1834"/>
    <cellStyle name="쉼표 [0] 3 4 2 2 2 3" xfId="1835"/>
    <cellStyle name="쉼표 [0] 3 4 2 2 2 3 2" xfId="1836"/>
    <cellStyle name="쉼표 [0] 3 4 2 2 2 3 2 2" xfId="1837"/>
    <cellStyle name="쉼표 [0] 3 4 2 2 2 3 2 2 2" xfId="1838"/>
    <cellStyle name="쉼표 [0] 3 4 2 2 2 3 2 2 2 2" xfId="1839"/>
    <cellStyle name="쉼표 [0] 3 4 2 2 2 3 2 2 3" xfId="1840"/>
    <cellStyle name="쉼표 [0] 3 4 2 2 2 3 2 3" xfId="1841"/>
    <cellStyle name="쉼표 [0] 3 4 2 2 2 3 2 3 2" xfId="1842"/>
    <cellStyle name="쉼표 [0] 3 4 2 2 2 3 2 4" xfId="1843"/>
    <cellStyle name="쉼표 [0] 3 4 2 2 2 3 3" xfId="1844"/>
    <cellStyle name="쉼표 [0] 3 4 2 2 2 3 3 2" xfId="1845"/>
    <cellStyle name="쉼표 [0] 3 4 2 2 2 3 3 2 2" xfId="1846"/>
    <cellStyle name="쉼표 [0] 3 4 2 2 2 3 3 3" xfId="1847"/>
    <cellStyle name="쉼표 [0] 3 4 2 2 2 3 4" xfId="1848"/>
    <cellStyle name="쉼표 [0] 3 4 2 2 2 3 4 2" xfId="1849"/>
    <cellStyle name="쉼표 [0] 3 4 2 2 2 3 5" xfId="1850"/>
    <cellStyle name="쉼표 [0] 3 4 2 2 2 4" xfId="1851"/>
    <cellStyle name="쉼표 [0] 3 4 2 2 2 4 2" xfId="1852"/>
    <cellStyle name="쉼표 [0] 3 4 2 2 2 4 2 2" xfId="1853"/>
    <cellStyle name="쉼표 [0] 3 4 2 2 2 4 2 2 2" xfId="1854"/>
    <cellStyle name="쉼표 [0] 3 4 2 2 2 4 2 3" xfId="1855"/>
    <cellStyle name="쉼표 [0] 3 4 2 2 2 4 3" xfId="1856"/>
    <cellStyle name="쉼표 [0] 3 4 2 2 2 4 3 2" xfId="1857"/>
    <cellStyle name="쉼표 [0] 3 4 2 2 2 4 4" xfId="1858"/>
    <cellStyle name="쉼표 [0] 3 4 2 2 2 5" xfId="1859"/>
    <cellStyle name="쉼표 [0] 3 4 2 2 2 5 2" xfId="1860"/>
    <cellStyle name="쉼표 [0] 3 4 2 2 2 5 2 2" xfId="1861"/>
    <cellStyle name="쉼표 [0] 3 4 2 2 2 5 3" xfId="1862"/>
    <cellStyle name="쉼표 [0] 3 4 2 2 2 6" xfId="1863"/>
    <cellStyle name="쉼표 [0] 3 4 2 2 2 6 2" xfId="1864"/>
    <cellStyle name="쉼표 [0] 3 4 2 2 2 7" xfId="1865"/>
    <cellStyle name="쉼표 [0] 3 4 2 2 2 8" xfId="1866"/>
    <cellStyle name="쉼표 [0] 3 4 2 2 3" xfId="1867"/>
    <cellStyle name="쉼표 [0] 3 4 2 2 3 2" xfId="1868"/>
    <cellStyle name="쉼표 [0] 3 4 2 2 3 2 2" xfId="1869"/>
    <cellStyle name="쉼표 [0] 3 4 2 2 3 2 2 2" xfId="1870"/>
    <cellStyle name="쉼표 [0] 3 4 2 2 3 2 2 2 2" xfId="1871"/>
    <cellStyle name="쉼표 [0] 3 4 2 2 3 2 2 2 2 2" xfId="1872"/>
    <cellStyle name="쉼표 [0] 3 4 2 2 3 2 2 2 3" xfId="1873"/>
    <cellStyle name="쉼표 [0] 3 4 2 2 3 2 2 3" xfId="1874"/>
    <cellStyle name="쉼표 [0] 3 4 2 2 3 2 2 3 2" xfId="1875"/>
    <cellStyle name="쉼표 [0] 3 4 2 2 3 2 2 4" xfId="1876"/>
    <cellStyle name="쉼표 [0] 3 4 2 2 3 2 3" xfId="1877"/>
    <cellStyle name="쉼표 [0] 3 4 2 2 3 2 3 2" xfId="1878"/>
    <cellStyle name="쉼표 [0] 3 4 2 2 3 2 3 2 2" xfId="1879"/>
    <cellStyle name="쉼표 [0] 3 4 2 2 3 2 3 3" xfId="1880"/>
    <cellStyle name="쉼표 [0] 3 4 2 2 3 2 4" xfId="1881"/>
    <cellStyle name="쉼표 [0] 3 4 2 2 3 2 4 2" xfId="1882"/>
    <cellStyle name="쉼표 [0] 3 4 2 2 3 2 5" xfId="1883"/>
    <cellStyle name="쉼표 [0] 3 4 2 2 3 3" xfId="1884"/>
    <cellStyle name="쉼표 [0] 3 4 2 2 3 3 2" xfId="1885"/>
    <cellStyle name="쉼표 [0] 3 4 2 2 3 3 2 2" xfId="1886"/>
    <cellStyle name="쉼표 [0] 3 4 2 2 3 3 2 2 2" xfId="1887"/>
    <cellStyle name="쉼표 [0] 3 4 2 2 3 3 2 3" xfId="1888"/>
    <cellStyle name="쉼표 [0] 3 4 2 2 3 3 3" xfId="1889"/>
    <cellStyle name="쉼표 [0] 3 4 2 2 3 3 3 2" xfId="1890"/>
    <cellStyle name="쉼표 [0] 3 4 2 2 3 3 4" xfId="1891"/>
    <cellStyle name="쉼표 [0] 3 4 2 2 3 4" xfId="1892"/>
    <cellStyle name="쉼표 [0] 3 4 2 2 3 4 2" xfId="1893"/>
    <cellStyle name="쉼표 [0] 3 4 2 2 3 4 2 2" xfId="1894"/>
    <cellStyle name="쉼표 [0] 3 4 2 2 3 4 3" xfId="1895"/>
    <cellStyle name="쉼표 [0] 3 4 2 2 3 5" xfId="1896"/>
    <cellStyle name="쉼표 [0] 3 4 2 2 3 5 2" xfId="1897"/>
    <cellStyle name="쉼표 [0] 3 4 2 2 3 6" xfId="1898"/>
    <cellStyle name="쉼표 [0] 3 4 2 2 4" xfId="1899"/>
    <cellStyle name="쉼표 [0] 3 4 2 2 4 2" xfId="1900"/>
    <cellStyle name="쉼표 [0] 3 4 2 2 4 2 2" xfId="1901"/>
    <cellStyle name="쉼표 [0] 3 4 2 2 4 2 2 2" xfId="1902"/>
    <cellStyle name="쉼표 [0] 3 4 2 2 4 2 2 2 2" xfId="1903"/>
    <cellStyle name="쉼표 [0] 3 4 2 2 4 2 2 3" xfId="1904"/>
    <cellStyle name="쉼표 [0] 3 4 2 2 4 2 3" xfId="1905"/>
    <cellStyle name="쉼표 [0] 3 4 2 2 4 2 3 2" xfId="1906"/>
    <cellStyle name="쉼표 [0] 3 4 2 2 4 2 4" xfId="1907"/>
    <cellStyle name="쉼표 [0] 3 4 2 2 4 3" xfId="1908"/>
    <cellStyle name="쉼표 [0] 3 4 2 2 4 3 2" xfId="1909"/>
    <cellStyle name="쉼표 [0] 3 4 2 2 4 3 2 2" xfId="1910"/>
    <cellStyle name="쉼표 [0] 3 4 2 2 4 3 3" xfId="1911"/>
    <cellStyle name="쉼표 [0] 3 4 2 2 4 4" xfId="1912"/>
    <cellStyle name="쉼표 [0] 3 4 2 2 4 4 2" xfId="1913"/>
    <cellStyle name="쉼표 [0] 3 4 2 2 4 5" xfId="1914"/>
    <cellStyle name="쉼표 [0] 3 4 2 2 5" xfId="1915"/>
    <cellStyle name="쉼표 [0] 3 4 2 2 5 2" xfId="1916"/>
    <cellStyle name="쉼표 [0] 3 4 2 2 5 2 2" xfId="1917"/>
    <cellStyle name="쉼표 [0] 3 4 2 2 5 2 2 2" xfId="1918"/>
    <cellStyle name="쉼표 [0] 3 4 2 2 5 2 3" xfId="1919"/>
    <cellStyle name="쉼표 [0] 3 4 2 2 5 3" xfId="1920"/>
    <cellStyle name="쉼표 [0] 3 4 2 2 5 3 2" xfId="1921"/>
    <cellStyle name="쉼표 [0] 3 4 2 2 5 4" xfId="1922"/>
    <cellStyle name="쉼표 [0] 3 4 2 2 6" xfId="1923"/>
    <cellStyle name="쉼표 [0] 3 4 2 2 6 2" xfId="1924"/>
    <cellStyle name="쉼표 [0] 3 4 2 2 6 2 2" xfId="1925"/>
    <cellStyle name="쉼표 [0] 3 4 2 2 6 3" xfId="1926"/>
    <cellStyle name="쉼표 [0] 3 4 2 2 7" xfId="1927"/>
    <cellStyle name="쉼표 [0] 3 4 2 2 7 2" xfId="1928"/>
    <cellStyle name="쉼표 [0] 3 4 2 2 8" xfId="1929"/>
    <cellStyle name="쉼표 [0] 3 4 2 2 9" xfId="1930"/>
    <cellStyle name="쉼표 [0] 3 4 2 3" xfId="1931"/>
    <cellStyle name="쉼표 [0] 3 4 2 3 2" xfId="1932"/>
    <cellStyle name="쉼표 [0] 3 4 2 3 2 2" xfId="1933"/>
    <cellStyle name="쉼표 [0] 3 4 2 3 2 2 2" xfId="1934"/>
    <cellStyle name="쉼표 [0] 3 4 2 3 2 2 2 2" xfId="1935"/>
    <cellStyle name="쉼표 [0] 3 4 2 3 2 2 2 2 2" xfId="1936"/>
    <cellStyle name="쉼표 [0] 3 4 2 3 2 2 2 2 2 2" xfId="1937"/>
    <cellStyle name="쉼표 [0] 3 4 2 3 2 2 2 2 3" xfId="1938"/>
    <cellStyle name="쉼표 [0] 3 4 2 3 2 2 2 3" xfId="1939"/>
    <cellStyle name="쉼표 [0] 3 4 2 3 2 2 2 3 2" xfId="1940"/>
    <cellStyle name="쉼표 [0] 3 4 2 3 2 2 2 4" xfId="1941"/>
    <cellStyle name="쉼표 [0] 3 4 2 3 2 2 3" xfId="1942"/>
    <cellStyle name="쉼표 [0] 3 4 2 3 2 2 3 2" xfId="1943"/>
    <cellStyle name="쉼표 [0] 3 4 2 3 2 2 3 2 2" xfId="1944"/>
    <cellStyle name="쉼표 [0] 3 4 2 3 2 2 3 3" xfId="1945"/>
    <cellStyle name="쉼표 [0] 3 4 2 3 2 2 4" xfId="1946"/>
    <cellStyle name="쉼표 [0] 3 4 2 3 2 2 4 2" xfId="1947"/>
    <cellStyle name="쉼표 [0] 3 4 2 3 2 2 5" xfId="1948"/>
    <cellStyle name="쉼표 [0] 3 4 2 3 2 3" xfId="1949"/>
    <cellStyle name="쉼표 [0] 3 4 2 3 2 3 2" xfId="1950"/>
    <cellStyle name="쉼표 [0] 3 4 2 3 2 3 2 2" xfId="1951"/>
    <cellStyle name="쉼표 [0] 3 4 2 3 2 3 2 2 2" xfId="1952"/>
    <cellStyle name="쉼표 [0] 3 4 2 3 2 3 2 3" xfId="1953"/>
    <cellStyle name="쉼표 [0] 3 4 2 3 2 3 3" xfId="1954"/>
    <cellStyle name="쉼표 [0] 3 4 2 3 2 3 3 2" xfId="1955"/>
    <cellStyle name="쉼표 [0] 3 4 2 3 2 3 4" xfId="1956"/>
    <cellStyle name="쉼표 [0] 3 4 2 3 2 4" xfId="1957"/>
    <cellStyle name="쉼표 [0] 3 4 2 3 2 4 2" xfId="1958"/>
    <cellStyle name="쉼표 [0] 3 4 2 3 2 4 2 2" xfId="1959"/>
    <cellStyle name="쉼표 [0] 3 4 2 3 2 4 3" xfId="1960"/>
    <cellStyle name="쉼표 [0] 3 4 2 3 2 5" xfId="1961"/>
    <cellStyle name="쉼표 [0] 3 4 2 3 2 5 2" xfId="1962"/>
    <cellStyle name="쉼표 [0] 3 4 2 3 2 6" xfId="1963"/>
    <cellStyle name="쉼표 [0] 3 4 2 3 3" xfId="1964"/>
    <cellStyle name="쉼표 [0] 3 4 2 3 3 2" xfId="1965"/>
    <cellStyle name="쉼표 [0] 3 4 2 3 3 2 2" xfId="1966"/>
    <cellStyle name="쉼표 [0] 3 4 2 3 3 2 2 2" xfId="1967"/>
    <cellStyle name="쉼표 [0] 3 4 2 3 3 2 2 2 2" xfId="1968"/>
    <cellStyle name="쉼표 [0] 3 4 2 3 3 2 2 3" xfId="1969"/>
    <cellStyle name="쉼표 [0] 3 4 2 3 3 2 3" xfId="1970"/>
    <cellStyle name="쉼표 [0] 3 4 2 3 3 2 3 2" xfId="1971"/>
    <cellStyle name="쉼표 [0] 3 4 2 3 3 2 4" xfId="1972"/>
    <cellStyle name="쉼표 [0] 3 4 2 3 3 3" xfId="1973"/>
    <cellStyle name="쉼표 [0] 3 4 2 3 3 3 2" xfId="1974"/>
    <cellStyle name="쉼표 [0] 3 4 2 3 3 3 2 2" xfId="1975"/>
    <cellStyle name="쉼표 [0] 3 4 2 3 3 3 3" xfId="1976"/>
    <cellStyle name="쉼표 [0] 3 4 2 3 3 4" xfId="1977"/>
    <cellStyle name="쉼표 [0] 3 4 2 3 3 4 2" xfId="1978"/>
    <cellStyle name="쉼표 [0] 3 4 2 3 3 5" xfId="1979"/>
    <cellStyle name="쉼표 [0] 3 4 2 3 4" xfId="1980"/>
    <cellStyle name="쉼표 [0] 3 4 2 3 4 2" xfId="1981"/>
    <cellStyle name="쉼표 [0] 3 4 2 3 4 2 2" xfId="1982"/>
    <cellStyle name="쉼표 [0] 3 4 2 3 4 2 2 2" xfId="1983"/>
    <cellStyle name="쉼표 [0] 3 4 2 3 4 2 3" xfId="1984"/>
    <cellStyle name="쉼표 [0] 3 4 2 3 4 3" xfId="1985"/>
    <cellStyle name="쉼표 [0] 3 4 2 3 4 3 2" xfId="1986"/>
    <cellStyle name="쉼표 [0] 3 4 2 3 4 4" xfId="1987"/>
    <cellStyle name="쉼표 [0] 3 4 2 3 5" xfId="1988"/>
    <cellStyle name="쉼표 [0] 3 4 2 3 5 2" xfId="1989"/>
    <cellStyle name="쉼표 [0] 3 4 2 3 5 2 2" xfId="1990"/>
    <cellStyle name="쉼표 [0] 3 4 2 3 5 3" xfId="1991"/>
    <cellStyle name="쉼표 [0] 3 4 2 3 6" xfId="1992"/>
    <cellStyle name="쉼표 [0] 3 4 2 3 6 2" xfId="1993"/>
    <cellStyle name="쉼표 [0] 3 4 2 3 7" xfId="1994"/>
    <cellStyle name="쉼표 [0] 3 4 2 3 8" xfId="1995"/>
    <cellStyle name="쉼표 [0] 3 4 2 4" xfId="1996"/>
    <cellStyle name="쉼표 [0] 3 4 2 4 2" xfId="1997"/>
    <cellStyle name="쉼표 [0] 3 4 2 4 2 2" xfId="1998"/>
    <cellStyle name="쉼표 [0] 3 4 2 4 2 2 2" xfId="1999"/>
    <cellStyle name="쉼표 [0] 3 4 2 4 2 2 2 2" xfId="2000"/>
    <cellStyle name="쉼표 [0] 3 4 2 4 2 2 2 2 2" xfId="2001"/>
    <cellStyle name="쉼표 [0] 3 4 2 4 2 2 2 3" xfId="2002"/>
    <cellStyle name="쉼표 [0] 3 4 2 4 2 2 3" xfId="2003"/>
    <cellStyle name="쉼표 [0] 3 4 2 4 2 2 3 2" xfId="2004"/>
    <cellStyle name="쉼표 [0] 3 4 2 4 2 2 4" xfId="2005"/>
    <cellStyle name="쉼표 [0] 3 4 2 4 2 3" xfId="2006"/>
    <cellStyle name="쉼표 [0] 3 4 2 4 2 3 2" xfId="2007"/>
    <cellStyle name="쉼표 [0] 3 4 2 4 2 3 2 2" xfId="2008"/>
    <cellStyle name="쉼표 [0] 3 4 2 4 2 3 3" xfId="2009"/>
    <cellStyle name="쉼표 [0] 3 4 2 4 2 4" xfId="2010"/>
    <cellStyle name="쉼표 [0] 3 4 2 4 2 4 2" xfId="2011"/>
    <cellStyle name="쉼표 [0] 3 4 2 4 2 5" xfId="2012"/>
    <cellStyle name="쉼표 [0] 3 4 2 4 3" xfId="2013"/>
    <cellStyle name="쉼표 [0] 3 4 2 4 3 2" xfId="2014"/>
    <cellStyle name="쉼표 [0] 3 4 2 4 3 2 2" xfId="2015"/>
    <cellStyle name="쉼표 [0] 3 4 2 4 3 2 2 2" xfId="2016"/>
    <cellStyle name="쉼표 [0] 3 4 2 4 3 2 3" xfId="2017"/>
    <cellStyle name="쉼표 [0] 3 4 2 4 3 3" xfId="2018"/>
    <cellStyle name="쉼표 [0] 3 4 2 4 3 3 2" xfId="2019"/>
    <cellStyle name="쉼표 [0] 3 4 2 4 3 4" xfId="2020"/>
    <cellStyle name="쉼표 [0] 3 4 2 4 4" xfId="2021"/>
    <cellStyle name="쉼표 [0] 3 4 2 4 4 2" xfId="2022"/>
    <cellStyle name="쉼표 [0] 3 4 2 4 4 2 2" xfId="2023"/>
    <cellStyle name="쉼표 [0] 3 4 2 4 4 3" xfId="2024"/>
    <cellStyle name="쉼표 [0] 3 4 2 4 5" xfId="2025"/>
    <cellStyle name="쉼표 [0] 3 4 2 4 5 2" xfId="2026"/>
    <cellStyle name="쉼표 [0] 3 4 2 4 6" xfId="2027"/>
    <cellStyle name="쉼표 [0] 3 4 2 5" xfId="2028"/>
    <cellStyle name="쉼표 [0] 3 4 2 5 2" xfId="2029"/>
    <cellStyle name="쉼표 [0] 3 4 2 5 2 2" xfId="2030"/>
    <cellStyle name="쉼표 [0] 3 4 2 5 2 2 2" xfId="2031"/>
    <cellStyle name="쉼표 [0] 3 4 2 5 2 2 2 2" xfId="2032"/>
    <cellStyle name="쉼표 [0] 3 4 2 5 2 2 3" xfId="2033"/>
    <cellStyle name="쉼표 [0] 3 4 2 5 2 3" xfId="2034"/>
    <cellStyle name="쉼표 [0] 3 4 2 5 2 3 2" xfId="2035"/>
    <cellStyle name="쉼표 [0] 3 4 2 5 2 4" xfId="2036"/>
    <cellStyle name="쉼표 [0] 3 4 2 5 3" xfId="2037"/>
    <cellStyle name="쉼표 [0] 3 4 2 5 3 2" xfId="2038"/>
    <cellStyle name="쉼표 [0] 3 4 2 5 3 2 2" xfId="2039"/>
    <cellStyle name="쉼표 [0] 3 4 2 5 3 3" xfId="2040"/>
    <cellStyle name="쉼표 [0] 3 4 2 5 4" xfId="2041"/>
    <cellStyle name="쉼표 [0] 3 4 2 5 4 2" xfId="2042"/>
    <cellStyle name="쉼표 [0] 3 4 2 5 5" xfId="2043"/>
    <cellStyle name="쉼표 [0] 3 4 2 6" xfId="2044"/>
    <cellStyle name="쉼표 [0] 3 4 2 6 2" xfId="2045"/>
    <cellStyle name="쉼표 [0] 3 4 2 6 2 2" xfId="2046"/>
    <cellStyle name="쉼표 [0] 3 4 2 6 2 2 2" xfId="2047"/>
    <cellStyle name="쉼표 [0] 3 4 2 6 2 3" xfId="2048"/>
    <cellStyle name="쉼표 [0] 3 4 2 6 3" xfId="2049"/>
    <cellStyle name="쉼표 [0] 3 4 2 6 3 2" xfId="2050"/>
    <cellStyle name="쉼표 [0] 3 4 2 6 4" xfId="2051"/>
    <cellStyle name="쉼표 [0] 3 4 2 7" xfId="2052"/>
    <cellStyle name="쉼표 [0] 3 4 2 7 2" xfId="2053"/>
    <cellStyle name="쉼표 [0] 3 4 2 7 2 2" xfId="2054"/>
    <cellStyle name="쉼표 [0] 3 4 2 7 3" xfId="2055"/>
    <cellStyle name="쉼표 [0] 3 4 2 8" xfId="2056"/>
    <cellStyle name="쉼표 [0] 3 4 2 8 2" xfId="2057"/>
    <cellStyle name="쉼표 [0] 3 4 2 9" xfId="2058"/>
    <cellStyle name="쉼표 [0] 3 4 3" xfId="2059"/>
    <cellStyle name="쉼표 [0] 3 4 3 2" xfId="2060"/>
    <cellStyle name="쉼표 [0] 3 4 3 2 2" xfId="2061"/>
    <cellStyle name="쉼표 [0] 3 4 3 2 2 2" xfId="2062"/>
    <cellStyle name="쉼표 [0] 3 4 3 2 2 2 2" xfId="2063"/>
    <cellStyle name="쉼표 [0] 3 4 3 2 2 2 2 2" xfId="2064"/>
    <cellStyle name="쉼표 [0] 3 4 3 2 2 2 2 2 2" xfId="2065"/>
    <cellStyle name="쉼표 [0] 3 4 3 2 2 2 2 2 2 2" xfId="2066"/>
    <cellStyle name="쉼표 [0] 3 4 3 2 2 2 2 2 3" xfId="2067"/>
    <cellStyle name="쉼표 [0] 3 4 3 2 2 2 2 3" xfId="2068"/>
    <cellStyle name="쉼표 [0] 3 4 3 2 2 2 2 3 2" xfId="2069"/>
    <cellStyle name="쉼표 [0] 3 4 3 2 2 2 2 4" xfId="2070"/>
    <cellStyle name="쉼표 [0] 3 4 3 2 2 2 3" xfId="2071"/>
    <cellStyle name="쉼표 [0] 3 4 3 2 2 2 3 2" xfId="2072"/>
    <cellStyle name="쉼표 [0] 3 4 3 2 2 2 3 2 2" xfId="2073"/>
    <cellStyle name="쉼표 [0] 3 4 3 2 2 2 3 3" xfId="2074"/>
    <cellStyle name="쉼표 [0] 3 4 3 2 2 2 4" xfId="2075"/>
    <cellStyle name="쉼표 [0] 3 4 3 2 2 2 4 2" xfId="2076"/>
    <cellStyle name="쉼표 [0] 3 4 3 2 2 2 5" xfId="2077"/>
    <cellStyle name="쉼표 [0] 3 4 3 2 2 3" xfId="2078"/>
    <cellStyle name="쉼표 [0] 3 4 3 2 2 3 2" xfId="2079"/>
    <cellStyle name="쉼표 [0] 3 4 3 2 2 3 2 2" xfId="2080"/>
    <cellStyle name="쉼표 [0] 3 4 3 2 2 3 2 2 2" xfId="2081"/>
    <cellStyle name="쉼표 [0] 3 4 3 2 2 3 2 3" xfId="2082"/>
    <cellStyle name="쉼표 [0] 3 4 3 2 2 3 3" xfId="2083"/>
    <cellStyle name="쉼표 [0] 3 4 3 2 2 3 3 2" xfId="2084"/>
    <cellStyle name="쉼표 [0] 3 4 3 2 2 3 4" xfId="2085"/>
    <cellStyle name="쉼표 [0] 3 4 3 2 2 4" xfId="2086"/>
    <cellStyle name="쉼표 [0] 3 4 3 2 2 4 2" xfId="2087"/>
    <cellStyle name="쉼표 [0] 3 4 3 2 2 4 2 2" xfId="2088"/>
    <cellStyle name="쉼표 [0] 3 4 3 2 2 4 3" xfId="2089"/>
    <cellStyle name="쉼표 [0] 3 4 3 2 2 5" xfId="2090"/>
    <cellStyle name="쉼표 [0] 3 4 3 2 2 5 2" xfId="2091"/>
    <cellStyle name="쉼표 [0] 3 4 3 2 2 6" xfId="2092"/>
    <cellStyle name="쉼표 [0] 3 4 3 2 3" xfId="2093"/>
    <cellStyle name="쉼표 [0] 3 4 3 2 3 2" xfId="2094"/>
    <cellStyle name="쉼표 [0] 3 4 3 2 3 2 2" xfId="2095"/>
    <cellStyle name="쉼표 [0] 3 4 3 2 3 2 2 2" xfId="2096"/>
    <cellStyle name="쉼표 [0] 3 4 3 2 3 2 2 2 2" xfId="2097"/>
    <cellStyle name="쉼표 [0] 3 4 3 2 3 2 2 3" xfId="2098"/>
    <cellStyle name="쉼표 [0] 3 4 3 2 3 2 3" xfId="2099"/>
    <cellStyle name="쉼표 [0] 3 4 3 2 3 2 3 2" xfId="2100"/>
    <cellStyle name="쉼표 [0] 3 4 3 2 3 2 4" xfId="2101"/>
    <cellStyle name="쉼표 [0] 3 4 3 2 3 3" xfId="2102"/>
    <cellStyle name="쉼표 [0] 3 4 3 2 3 3 2" xfId="2103"/>
    <cellStyle name="쉼표 [0] 3 4 3 2 3 3 2 2" xfId="2104"/>
    <cellStyle name="쉼표 [0] 3 4 3 2 3 3 3" xfId="2105"/>
    <cellStyle name="쉼표 [0] 3 4 3 2 3 4" xfId="2106"/>
    <cellStyle name="쉼표 [0] 3 4 3 2 3 4 2" xfId="2107"/>
    <cellStyle name="쉼표 [0] 3 4 3 2 3 5" xfId="2108"/>
    <cellStyle name="쉼표 [0] 3 4 3 2 4" xfId="2109"/>
    <cellStyle name="쉼표 [0] 3 4 3 2 4 2" xfId="2110"/>
    <cellStyle name="쉼표 [0] 3 4 3 2 4 2 2" xfId="2111"/>
    <cellStyle name="쉼표 [0] 3 4 3 2 4 2 2 2" xfId="2112"/>
    <cellStyle name="쉼표 [0] 3 4 3 2 4 2 3" xfId="2113"/>
    <cellStyle name="쉼표 [0] 3 4 3 2 4 3" xfId="2114"/>
    <cellStyle name="쉼표 [0] 3 4 3 2 4 3 2" xfId="2115"/>
    <cellStyle name="쉼표 [0] 3 4 3 2 4 4" xfId="2116"/>
    <cellStyle name="쉼표 [0] 3 4 3 2 5" xfId="2117"/>
    <cellStyle name="쉼표 [0] 3 4 3 2 5 2" xfId="2118"/>
    <cellStyle name="쉼표 [0] 3 4 3 2 5 2 2" xfId="2119"/>
    <cellStyle name="쉼표 [0] 3 4 3 2 5 3" xfId="2120"/>
    <cellStyle name="쉼표 [0] 3 4 3 2 6" xfId="2121"/>
    <cellStyle name="쉼표 [0] 3 4 3 2 6 2" xfId="2122"/>
    <cellStyle name="쉼표 [0] 3 4 3 2 7" xfId="2123"/>
    <cellStyle name="쉼표 [0] 3 4 3 2 8" xfId="2124"/>
    <cellStyle name="쉼표 [0] 3 4 3 3" xfId="2125"/>
    <cellStyle name="쉼표 [0] 3 4 3 3 2" xfId="2126"/>
    <cellStyle name="쉼표 [0] 3 4 3 3 2 2" xfId="2127"/>
    <cellStyle name="쉼표 [0] 3 4 3 3 2 2 2" xfId="2128"/>
    <cellStyle name="쉼표 [0] 3 4 3 3 2 2 2 2" xfId="2129"/>
    <cellStyle name="쉼표 [0] 3 4 3 3 2 2 2 2 2" xfId="2130"/>
    <cellStyle name="쉼표 [0] 3 4 3 3 2 2 2 3" xfId="2131"/>
    <cellStyle name="쉼표 [0] 3 4 3 3 2 2 3" xfId="2132"/>
    <cellStyle name="쉼표 [0] 3 4 3 3 2 2 3 2" xfId="2133"/>
    <cellStyle name="쉼표 [0] 3 4 3 3 2 2 4" xfId="2134"/>
    <cellStyle name="쉼표 [0] 3 4 3 3 2 3" xfId="2135"/>
    <cellStyle name="쉼표 [0] 3 4 3 3 2 3 2" xfId="2136"/>
    <cellStyle name="쉼표 [0] 3 4 3 3 2 3 2 2" xfId="2137"/>
    <cellStyle name="쉼표 [0] 3 4 3 3 2 3 3" xfId="2138"/>
    <cellStyle name="쉼표 [0] 3 4 3 3 2 4" xfId="2139"/>
    <cellStyle name="쉼표 [0] 3 4 3 3 2 4 2" xfId="2140"/>
    <cellStyle name="쉼표 [0] 3 4 3 3 2 5" xfId="2141"/>
    <cellStyle name="쉼표 [0] 3 4 3 3 3" xfId="2142"/>
    <cellStyle name="쉼표 [0] 3 4 3 3 3 2" xfId="2143"/>
    <cellStyle name="쉼표 [0] 3 4 3 3 3 2 2" xfId="2144"/>
    <cellStyle name="쉼표 [0] 3 4 3 3 3 2 2 2" xfId="2145"/>
    <cellStyle name="쉼표 [0] 3 4 3 3 3 2 3" xfId="2146"/>
    <cellStyle name="쉼표 [0] 3 4 3 3 3 3" xfId="2147"/>
    <cellStyle name="쉼표 [0] 3 4 3 3 3 3 2" xfId="2148"/>
    <cellStyle name="쉼표 [0] 3 4 3 3 3 4" xfId="2149"/>
    <cellStyle name="쉼표 [0] 3 4 3 3 4" xfId="2150"/>
    <cellStyle name="쉼표 [0] 3 4 3 3 4 2" xfId="2151"/>
    <cellStyle name="쉼표 [0] 3 4 3 3 4 2 2" xfId="2152"/>
    <cellStyle name="쉼표 [0] 3 4 3 3 4 3" xfId="2153"/>
    <cellStyle name="쉼표 [0] 3 4 3 3 5" xfId="2154"/>
    <cellStyle name="쉼표 [0] 3 4 3 3 5 2" xfId="2155"/>
    <cellStyle name="쉼표 [0] 3 4 3 3 6" xfId="2156"/>
    <cellStyle name="쉼표 [0] 3 4 3 4" xfId="2157"/>
    <cellStyle name="쉼표 [0] 3 4 3 4 2" xfId="2158"/>
    <cellStyle name="쉼표 [0] 3 4 3 4 2 2" xfId="2159"/>
    <cellStyle name="쉼표 [0] 3 4 3 4 2 2 2" xfId="2160"/>
    <cellStyle name="쉼표 [0] 3 4 3 4 2 2 2 2" xfId="2161"/>
    <cellStyle name="쉼표 [0] 3 4 3 4 2 2 3" xfId="2162"/>
    <cellStyle name="쉼표 [0] 3 4 3 4 2 3" xfId="2163"/>
    <cellStyle name="쉼표 [0] 3 4 3 4 2 3 2" xfId="2164"/>
    <cellStyle name="쉼표 [0] 3 4 3 4 2 4" xfId="2165"/>
    <cellStyle name="쉼표 [0] 3 4 3 4 3" xfId="2166"/>
    <cellStyle name="쉼표 [0] 3 4 3 4 3 2" xfId="2167"/>
    <cellStyle name="쉼표 [0] 3 4 3 4 3 2 2" xfId="2168"/>
    <cellStyle name="쉼표 [0] 3 4 3 4 3 3" xfId="2169"/>
    <cellStyle name="쉼표 [0] 3 4 3 4 4" xfId="2170"/>
    <cellStyle name="쉼표 [0] 3 4 3 4 4 2" xfId="2171"/>
    <cellStyle name="쉼표 [0] 3 4 3 4 5" xfId="2172"/>
    <cellStyle name="쉼표 [0] 3 4 3 5" xfId="2173"/>
    <cellStyle name="쉼표 [0] 3 4 3 5 2" xfId="2174"/>
    <cellStyle name="쉼표 [0] 3 4 3 5 2 2" xfId="2175"/>
    <cellStyle name="쉼표 [0] 3 4 3 5 2 2 2" xfId="2176"/>
    <cellStyle name="쉼표 [0] 3 4 3 5 2 3" xfId="2177"/>
    <cellStyle name="쉼표 [0] 3 4 3 5 3" xfId="2178"/>
    <cellStyle name="쉼표 [0] 3 4 3 5 3 2" xfId="2179"/>
    <cellStyle name="쉼표 [0] 3 4 3 5 4" xfId="2180"/>
    <cellStyle name="쉼표 [0] 3 4 3 6" xfId="2181"/>
    <cellStyle name="쉼표 [0] 3 4 3 6 2" xfId="2182"/>
    <cellStyle name="쉼표 [0] 3 4 3 6 2 2" xfId="2183"/>
    <cellStyle name="쉼표 [0] 3 4 3 6 3" xfId="2184"/>
    <cellStyle name="쉼표 [0] 3 4 3 7" xfId="2185"/>
    <cellStyle name="쉼표 [0] 3 4 3 7 2" xfId="2186"/>
    <cellStyle name="쉼표 [0] 3 4 3 8" xfId="2187"/>
    <cellStyle name="쉼표 [0] 3 4 3 9" xfId="2188"/>
    <cellStyle name="쉼표 [0] 3 4 4" xfId="2189"/>
    <cellStyle name="쉼표 [0] 3 4 4 2" xfId="2190"/>
    <cellStyle name="쉼표 [0] 3 4 4 2 2" xfId="2191"/>
    <cellStyle name="쉼표 [0] 3 4 4 2 2 2" xfId="2192"/>
    <cellStyle name="쉼표 [0] 3 4 4 2 2 2 2" xfId="2193"/>
    <cellStyle name="쉼표 [0] 3 4 4 2 2 2 2 2" xfId="2194"/>
    <cellStyle name="쉼표 [0] 3 4 4 2 2 2 2 2 2" xfId="2195"/>
    <cellStyle name="쉼표 [0] 3 4 4 2 2 2 2 3" xfId="2196"/>
    <cellStyle name="쉼표 [0] 3 4 4 2 2 2 3" xfId="2197"/>
    <cellStyle name="쉼표 [0] 3 4 4 2 2 2 3 2" xfId="2198"/>
    <cellStyle name="쉼표 [0] 3 4 4 2 2 2 4" xfId="2199"/>
    <cellStyle name="쉼표 [0] 3 4 4 2 2 3" xfId="2200"/>
    <cellStyle name="쉼표 [0] 3 4 4 2 2 3 2" xfId="2201"/>
    <cellStyle name="쉼표 [0] 3 4 4 2 2 3 2 2" xfId="2202"/>
    <cellStyle name="쉼표 [0] 3 4 4 2 2 3 3" xfId="2203"/>
    <cellStyle name="쉼표 [0] 3 4 4 2 2 4" xfId="2204"/>
    <cellStyle name="쉼표 [0] 3 4 4 2 2 4 2" xfId="2205"/>
    <cellStyle name="쉼표 [0] 3 4 4 2 2 5" xfId="2206"/>
    <cellStyle name="쉼표 [0] 3 4 4 2 3" xfId="2207"/>
    <cellStyle name="쉼표 [0] 3 4 4 2 3 2" xfId="2208"/>
    <cellStyle name="쉼표 [0] 3 4 4 2 3 2 2" xfId="2209"/>
    <cellStyle name="쉼표 [0] 3 4 4 2 3 2 2 2" xfId="2210"/>
    <cellStyle name="쉼표 [0] 3 4 4 2 3 2 3" xfId="2211"/>
    <cellStyle name="쉼표 [0] 3 4 4 2 3 3" xfId="2212"/>
    <cellStyle name="쉼표 [0] 3 4 4 2 3 3 2" xfId="2213"/>
    <cellStyle name="쉼표 [0] 3 4 4 2 3 4" xfId="2214"/>
    <cellStyle name="쉼표 [0] 3 4 4 2 4" xfId="2215"/>
    <cellStyle name="쉼표 [0] 3 4 4 2 4 2" xfId="2216"/>
    <cellStyle name="쉼표 [0] 3 4 4 2 4 2 2" xfId="2217"/>
    <cellStyle name="쉼표 [0] 3 4 4 2 4 3" xfId="2218"/>
    <cellStyle name="쉼표 [0] 3 4 4 2 5" xfId="2219"/>
    <cellStyle name="쉼표 [0] 3 4 4 2 5 2" xfId="2220"/>
    <cellStyle name="쉼표 [0] 3 4 4 2 6" xfId="2221"/>
    <cellStyle name="쉼표 [0] 3 4 4 3" xfId="2222"/>
    <cellStyle name="쉼표 [0] 3 4 4 3 2" xfId="2223"/>
    <cellStyle name="쉼표 [0] 3 4 4 3 2 2" xfId="2224"/>
    <cellStyle name="쉼표 [0] 3 4 4 3 2 2 2" xfId="2225"/>
    <cellStyle name="쉼표 [0] 3 4 4 3 2 2 2 2" xfId="2226"/>
    <cellStyle name="쉼표 [0] 3 4 4 3 2 2 3" xfId="2227"/>
    <cellStyle name="쉼표 [0] 3 4 4 3 2 3" xfId="2228"/>
    <cellStyle name="쉼표 [0] 3 4 4 3 2 3 2" xfId="2229"/>
    <cellStyle name="쉼표 [0] 3 4 4 3 2 4" xfId="2230"/>
    <cellStyle name="쉼표 [0] 3 4 4 3 3" xfId="2231"/>
    <cellStyle name="쉼표 [0] 3 4 4 3 3 2" xfId="2232"/>
    <cellStyle name="쉼표 [0] 3 4 4 3 3 2 2" xfId="2233"/>
    <cellStyle name="쉼표 [0] 3 4 4 3 3 3" xfId="2234"/>
    <cellStyle name="쉼표 [0] 3 4 4 3 4" xfId="2235"/>
    <cellStyle name="쉼표 [0] 3 4 4 3 4 2" xfId="2236"/>
    <cellStyle name="쉼표 [0] 3 4 4 3 5" xfId="2237"/>
    <cellStyle name="쉼표 [0] 3 4 4 4" xfId="2238"/>
    <cellStyle name="쉼표 [0] 3 4 4 4 2" xfId="2239"/>
    <cellStyle name="쉼표 [0] 3 4 4 4 2 2" xfId="2240"/>
    <cellStyle name="쉼표 [0] 3 4 4 4 2 2 2" xfId="2241"/>
    <cellStyle name="쉼표 [0] 3 4 4 4 2 3" xfId="2242"/>
    <cellStyle name="쉼표 [0] 3 4 4 4 3" xfId="2243"/>
    <cellStyle name="쉼표 [0] 3 4 4 4 3 2" xfId="2244"/>
    <cellStyle name="쉼표 [0] 3 4 4 4 4" xfId="2245"/>
    <cellStyle name="쉼표 [0] 3 4 4 5" xfId="2246"/>
    <cellStyle name="쉼표 [0] 3 4 4 5 2" xfId="2247"/>
    <cellStyle name="쉼표 [0] 3 4 4 5 2 2" xfId="2248"/>
    <cellStyle name="쉼표 [0] 3 4 4 5 3" xfId="2249"/>
    <cellStyle name="쉼표 [0] 3 4 4 6" xfId="2250"/>
    <cellStyle name="쉼표 [0] 3 4 4 6 2" xfId="2251"/>
    <cellStyle name="쉼표 [0] 3 4 4 7" xfId="2252"/>
    <cellStyle name="쉼표 [0] 3 4 4 8" xfId="2253"/>
    <cellStyle name="쉼표 [0] 3 4 5" xfId="2254"/>
    <cellStyle name="쉼표 [0] 3 4 5 2" xfId="2255"/>
    <cellStyle name="쉼표 [0] 3 4 5 2 2" xfId="2256"/>
    <cellStyle name="쉼표 [0] 3 4 5 2 2 2" xfId="2257"/>
    <cellStyle name="쉼표 [0] 3 4 5 2 2 2 2" xfId="2258"/>
    <cellStyle name="쉼표 [0] 3 4 5 2 2 2 2 2" xfId="2259"/>
    <cellStyle name="쉼표 [0] 3 4 5 2 2 2 3" xfId="2260"/>
    <cellStyle name="쉼표 [0] 3 4 5 2 2 3" xfId="2261"/>
    <cellStyle name="쉼표 [0] 3 4 5 2 2 3 2" xfId="2262"/>
    <cellStyle name="쉼표 [0] 3 4 5 2 2 4" xfId="2263"/>
    <cellStyle name="쉼표 [0] 3 4 5 2 3" xfId="2264"/>
    <cellStyle name="쉼표 [0] 3 4 5 2 3 2" xfId="2265"/>
    <cellStyle name="쉼표 [0] 3 4 5 2 3 2 2" xfId="2266"/>
    <cellStyle name="쉼표 [0] 3 4 5 2 3 3" xfId="2267"/>
    <cellStyle name="쉼표 [0] 3 4 5 2 4" xfId="2268"/>
    <cellStyle name="쉼표 [0] 3 4 5 2 4 2" xfId="2269"/>
    <cellStyle name="쉼표 [0] 3 4 5 2 5" xfId="2270"/>
    <cellStyle name="쉼표 [0] 3 4 5 3" xfId="2271"/>
    <cellStyle name="쉼표 [0] 3 4 5 3 2" xfId="2272"/>
    <cellStyle name="쉼표 [0] 3 4 5 3 2 2" xfId="2273"/>
    <cellStyle name="쉼표 [0] 3 4 5 3 2 2 2" xfId="2274"/>
    <cellStyle name="쉼표 [0] 3 4 5 3 2 3" xfId="2275"/>
    <cellStyle name="쉼표 [0] 3 4 5 3 3" xfId="2276"/>
    <cellStyle name="쉼표 [0] 3 4 5 3 3 2" xfId="2277"/>
    <cellStyle name="쉼표 [0] 3 4 5 3 4" xfId="2278"/>
    <cellStyle name="쉼표 [0] 3 4 5 4" xfId="2279"/>
    <cellStyle name="쉼표 [0] 3 4 5 4 2" xfId="2280"/>
    <cellStyle name="쉼표 [0] 3 4 5 4 2 2" xfId="2281"/>
    <cellStyle name="쉼표 [0] 3 4 5 4 3" xfId="2282"/>
    <cellStyle name="쉼표 [0] 3 4 5 5" xfId="2283"/>
    <cellStyle name="쉼표 [0] 3 4 5 5 2" xfId="2284"/>
    <cellStyle name="쉼표 [0] 3 4 5 6" xfId="2285"/>
    <cellStyle name="쉼표 [0] 3 4 6" xfId="2286"/>
    <cellStyle name="쉼표 [0] 3 4 6 2" xfId="2287"/>
    <cellStyle name="쉼표 [0] 3 4 6 2 2" xfId="2288"/>
    <cellStyle name="쉼표 [0] 3 4 6 2 2 2" xfId="2289"/>
    <cellStyle name="쉼표 [0] 3 4 6 2 2 2 2" xfId="2290"/>
    <cellStyle name="쉼표 [0] 3 4 6 2 2 3" xfId="2291"/>
    <cellStyle name="쉼표 [0] 3 4 6 2 3" xfId="2292"/>
    <cellStyle name="쉼표 [0] 3 4 6 2 3 2" xfId="2293"/>
    <cellStyle name="쉼표 [0] 3 4 6 2 4" xfId="2294"/>
    <cellStyle name="쉼표 [0] 3 4 6 3" xfId="2295"/>
    <cellStyle name="쉼표 [0] 3 4 6 3 2" xfId="2296"/>
    <cellStyle name="쉼표 [0] 3 4 6 3 2 2" xfId="2297"/>
    <cellStyle name="쉼표 [0] 3 4 6 3 3" xfId="2298"/>
    <cellStyle name="쉼표 [0] 3 4 6 4" xfId="2299"/>
    <cellStyle name="쉼표 [0] 3 4 6 4 2" xfId="2300"/>
    <cellStyle name="쉼표 [0] 3 4 6 5" xfId="2301"/>
    <cellStyle name="쉼표 [0] 3 4 7" xfId="2302"/>
    <cellStyle name="쉼표 [0] 3 4 7 2" xfId="2303"/>
    <cellStyle name="쉼표 [0] 3 4 7 2 2" xfId="2304"/>
    <cellStyle name="쉼표 [0] 3 4 7 2 2 2" xfId="2305"/>
    <cellStyle name="쉼표 [0] 3 4 7 2 3" xfId="2306"/>
    <cellStyle name="쉼표 [0] 3 4 7 3" xfId="2307"/>
    <cellStyle name="쉼표 [0] 3 4 7 3 2" xfId="2308"/>
    <cellStyle name="쉼표 [0] 3 4 7 4" xfId="2309"/>
    <cellStyle name="쉼표 [0] 3 4 8" xfId="2310"/>
    <cellStyle name="쉼표 [0] 3 4 8 2" xfId="2311"/>
    <cellStyle name="쉼표 [0] 3 4 8 2 2" xfId="2312"/>
    <cellStyle name="쉼표 [0] 3 4 8 3" xfId="2313"/>
    <cellStyle name="쉼표 [0] 3 4 9" xfId="2314"/>
    <cellStyle name="쉼표 [0] 3 4 9 2" xfId="2315"/>
    <cellStyle name="쉼표 [0] 3 40" xfId="2316"/>
    <cellStyle name="쉼표 [0] 3 41" xfId="2317"/>
    <cellStyle name="쉼표 [0] 3 42" xfId="2318"/>
    <cellStyle name="쉼표 [0] 3 43" xfId="2319"/>
    <cellStyle name="쉼표 [0] 3 5" xfId="2320"/>
    <cellStyle name="쉼표 [0] 3 5 10" xfId="2321"/>
    <cellStyle name="쉼표 [0] 3 5 11" xfId="2322"/>
    <cellStyle name="쉼표 [0] 3 5 2" xfId="2323"/>
    <cellStyle name="쉼표 [0] 3 5 2 10" xfId="2324"/>
    <cellStyle name="쉼표 [0] 3 5 2 2" xfId="2325"/>
    <cellStyle name="쉼표 [0] 3 5 2 2 2" xfId="2326"/>
    <cellStyle name="쉼표 [0] 3 5 2 2 2 2" xfId="2327"/>
    <cellStyle name="쉼표 [0] 3 5 2 2 2 2 2" xfId="2328"/>
    <cellStyle name="쉼표 [0] 3 5 2 2 2 2 2 2" xfId="2329"/>
    <cellStyle name="쉼표 [0] 3 5 2 2 2 2 2 2 2" xfId="2330"/>
    <cellStyle name="쉼표 [0] 3 5 2 2 2 2 2 2 2 2" xfId="2331"/>
    <cellStyle name="쉼표 [0] 3 5 2 2 2 2 2 2 2 2 2" xfId="2332"/>
    <cellStyle name="쉼표 [0] 3 5 2 2 2 2 2 2 2 3" xfId="2333"/>
    <cellStyle name="쉼표 [0] 3 5 2 2 2 2 2 2 3" xfId="2334"/>
    <cellStyle name="쉼표 [0] 3 5 2 2 2 2 2 2 3 2" xfId="2335"/>
    <cellStyle name="쉼표 [0] 3 5 2 2 2 2 2 2 4" xfId="2336"/>
    <cellStyle name="쉼표 [0] 3 5 2 2 2 2 2 3" xfId="2337"/>
    <cellStyle name="쉼표 [0] 3 5 2 2 2 2 2 3 2" xfId="2338"/>
    <cellStyle name="쉼표 [0] 3 5 2 2 2 2 2 3 2 2" xfId="2339"/>
    <cellStyle name="쉼표 [0] 3 5 2 2 2 2 2 3 3" xfId="2340"/>
    <cellStyle name="쉼표 [0] 3 5 2 2 2 2 2 4" xfId="2341"/>
    <cellStyle name="쉼표 [0] 3 5 2 2 2 2 2 4 2" xfId="2342"/>
    <cellStyle name="쉼표 [0] 3 5 2 2 2 2 2 5" xfId="2343"/>
    <cellStyle name="쉼표 [0] 3 5 2 2 2 2 3" xfId="2344"/>
    <cellStyle name="쉼표 [0] 3 5 2 2 2 2 3 2" xfId="2345"/>
    <cellStyle name="쉼표 [0] 3 5 2 2 2 2 3 2 2" xfId="2346"/>
    <cellStyle name="쉼표 [0] 3 5 2 2 2 2 3 2 2 2" xfId="2347"/>
    <cellStyle name="쉼표 [0] 3 5 2 2 2 2 3 2 3" xfId="2348"/>
    <cellStyle name="쉼표 [0] 3 5 2 2 2 2 3 3" xfId="2349"/>
    <cellStyle name="쉼표 [0] 3 5 2 2 2 2 3 3 2" xfId="2350"/>
    <cellStyle name="쉼표 [0] 3 5 2 2 2 2 3 4" xfId="2351"/>
    <cellStyle name="쉼표 [0] 3 5 2 2 2 2 4" xfId="2352"/>
    <cellStyle name="쉼표 [0] 3 5 2 2 2 2 4 2" xfId="2353"/>
    <cellStyle name="쉼표 [0] 3 5 2 2 2 2 4 2 2" xfId="2354"/>
    <cellStyle name="쉼표 [0] 3 5 2 2 2 2 4 3" xfId="2355"/>
    <cellStyle name="쉼표 [0] 3 5 2 2 2 2 5" xfId="2356"/>
    <cellStyle name="쉼표 [0] 3 5 2 2 2 2 5 2" xfId="2357"/>
    <cellStyle name="쉼표 [0] 3 5 2 2 2 2 6" xfId="2358"/>
    <cellStyle name="쉼표 [0] 3 5 2 2 2 3" xfId="2359"/>
    <cellStyle name="쉼표 [0] 3 5 2 2 2 3 2" xfId="2360"/>
    <cellStyle name="쉼표 [0] 3 5 2 2 2 3 2 2" xfId="2361"/>
    <cellStyle name="쉼표 [0] 3 5 2 2 2 3 2 2 2" xfId="2362"/>
    <cellStyle name="쉼표 [0] 3 5 2 2 2 3 2 2 2 2" xfId="2363"/>
    <cellStyle name="쉼표 [0] 3 5 2 2 2 3 2 2 3" xfId="2364"/>
    <cellStyle name="쉼표 [0] 3 5 2 2 2 3 2 3" xfId="2365"/>
    <cellStyle name="쉼표 [0] 3 5 2 2 2 3 2 3 2" xfId="2366"/>
    <cellStyle name="쉼표 [0] 3 5 2 2 2 3 2 4" xfId="2367"/>
    <cellStyle name="쉼표 [0] 3 5 2 2 2 3 3" xfId="2368"/>
    <cellStyle name="쉼표 [0] 3 5 2 2 2 3 3 2" xfId="2369"/>
    <cellStyle name="쉼표 [0] 3 5 2 2 2 3 3 2 2" xfId="2370"/>
    <cellStyle name="쉼표 [0] 3 5 2 2 2 3 3 3" xfId="2371"/>
    <cellStyle name="쉼표 [0] 3 5 2 2 2 3 4" xfId="2372"/>
    <cellStyle name="쉼표 [0] 3 5 2 2 2 3 4 2" xfId="2373"/>
    <cellStyle name="쉼표 [0] 3 5 2 2 2 3 5" xfId="2374"/>
    <cellStyle name="쉼표 [0] 3 5 2 2 2 4" xfId="2375"/>
    <cellStyle name="쉼표 [0] 3 5 2 2 2 4 2" xfId="2376"/>
    <cellStyle name="쉼표 [0] 3 5 2 2 2 4 2 2" xfId="2377"/>
    <cellStyle name="쉼표 [0] 3 5 2 2 2 4 2 2 2" xfId="2378"/>
    <cellStyle name="쉼표 [0] 3 5 2 2 2 4 2 3" xfId="2379"/>
    <cellStyle name="쉼표 [0] 3 5 2 2 2 4 3" xfId="2380"/>
    <cellStyle name="쉼표 [0] 3 5 2 2 2 4 3 2" xfId="2381"/>
    <cellStyle name="쉼표 [0] 3 5 2 2 2 4 4" xfId="2382"/>
    <cellStyle name="쉼표 [0] 3 5 2 2 2 5" xfId="2383"/>
    <cellStyle name="쉼표 [0] 3 5 2 2 2 5 2" xfId="2384"/>
    <cellStyle name="쉼표 [0] 3 5 2 2 2 5 2 2" xfId="2385"/>
    <cellStyle name="쉼표 [0] 3 5 2 2 2 5 3" xfId="2386"/>
    <cellStyle name="쉼표 [0] 3 5 2 2 2 6" xfId="2387"/>
    <cellStyle name="쉼표 [0] 3 5 2 2 2 6 2" xfId="2388"/>
    <cellStyle name="쉼표 [0] 3 5 2 2 2 7" xfId="2389"/>
    <cellStyle name="쉼표 [0] 3 5 2 2 2 8" xfId="2390"/>
    <cellStyle name="쉼표 [0] 3 5 2 2 3" xfId="2391"/>
    <cellStyle name="쉼표 [0] 3 5 2 2 3 2" xfId="2392"/>
    <cellStyle name="쉼표 [0] 3 5 2 2 3 2 2" xfId="2393"/>
    <cellStyle name="쉼표 [0] 3 5 2 2 3 2 2 2" xfId="2394"/>
    <cellStyle name="쉼표 [0] 3 5 2 2 3 2 2 2 2" xfId="2395"/>
    <cellStyle name="쉼표 [0] 3 5 2 2 3 2 2 2 2 2" xfId="2396"/>
    <cellStyle name="쉼표 [0] 3 5 2 2 3 2 2 2 3" xfId="2397"/>
    <cellStyle name="쉼표 [0] 3 5 2 2 3 2 2 3" xfId="2398"/>
    <cellStyle name="쉼표 [0] 3 5 2 2 3 2 2 3 2" xfId="2399"/>
    <cellStyle name="쉼표 [0] 3 5 2 2 3 2 2 4" xfId="2400"/>
    <cellStyle name="쉼표 [0] 3 5 2 2 3 2 3" xfId="2401"/>
    <cellStyle name="쉼표 [0] 3 5 2 2 3 2 3 2" xfId="2402"/>
    <cellStyle name="쉼표 [0] 3 5 2 2 3 2 3 2 2" xfId="2403"/>
    <cellStyle name="쉼표 [0] 3 5 2 2 3 2 3 3" xfId="2404"/>
    <cellStyle name="쉼표 [0] 3 5 2 2 3 2 4" xfId="2405"/>
    <cellStyle name="쉼표 [0] 3 5 2 2 3 2 4 2" xfId="2406"/>
    <cellStyle name="쉼표 [0] 3 5 2 2 3 2 5" xfId="2407"/>
    <cellStyle name="쉼표 [0] 3 5 2 2 3 3" xfId="2408"/>
    <cellStyle name="쉼표 [0] 3 5 2 2 3 3 2" xfId="2409"/>
    <cellStyle name="쉼표 [0] 3 5 2 2 3 3 2 2" xfId="2410"/>
    <cellStyle name="쉼표 [0] 3 5 2 2 3 3 2 2 2" xfId="2411"/>
    <cellStyle name="쉼표 [0] 3 5 2 2 3 3 2 3" xfId="2412"/>
    <cellStyle name="쉼표 [0] 3 5 2 2 3 3 3" xfId="2413"/>
    <cellStyle name="쉼표 [0] 3 5 2 2 3 3 3 2" xfId="2414"/>
    <cellStyle name="쉼표 [0] 3 5 2 2 3 3 4" xfId="2415"/>
    <cellStyle name="쉼표 [0] 3 5 2 2 3 4" xfId="2416"/>
    <cellStyle name="쉼표 [0] 3 5 2 2 3 4 2" xfId="2417"/>
    <cellStyle name="쉼표 [0] 3 5 2 2 3 4 2 2" xfId="2418"/>
    <cellStyle name="쉼표 [0] 3 5 2 2 3 4 3" xfId="2419"/>
    <cellStyle name="쉼표 [0] 3 5 2 2 3 5" xfId="2420"/>
    <cellStyle name="쉼표 [0] 3 5 2 2 3 5 2" xfId="2421"/>
    <cellStyle name="쉼표 [0] 3 5 2 2 3 6" xfId="2422"/>
    <cellStyle name="쉼표 [0] 3 5 2 2 4" xfId="2423"/>
    <cellStyle name="쉼표 [0] 3 5 2 2 4 2" xfId="2424"/>
    <cellStyle name="쉼표 [0] 3 5 2 2 4 2 2" xfId="2425"/>
    <cellStyle name="쉼표 [0] 3 5 2 2 4 2 2 2" xfId="2426"/>
    <cellStyle name="쉼표 [0] 3 5 2 2 4 2 2 2 2" xfId="2427"/>
    <cellStyle name="쉼표 [0] 3 5 2 2 4 2 2 3" xfId="2428"/>
    <cellStyle name="쉼표 [0] 3 5 2 2 4 2 3" xfId="2429"/>
    <cellStyle name="쉼표 [0] 3 5 2 2 4 2 3 2" xfId="2430"/>
    <cellStyle name="쉼표 [0] 3 5 2 2 4 2 4" xfId="2431"/>
    <cellStyle name="쉼표 [0] 3 5 2 2 4 3" xfId="2432"/>
    <cellStyle name="쉼표 [0] 3 5 2 2 4 3 2" xfId="2433"/>
    <cellStyle name="쉼표 [0] 3 5 2 2 4 3 2 2" xfId="2434"/>
    <cellStyle name="쉼표 [0] 3 5 2 2 4 3 3" xfId="2435"/>
    <cellStyle name="쉼표 [0] 3 5 2 2 4 4" xfId="2436"/>
    <cellStyle name="쉼표 [0] 3 5 2 2 4 4 2" xfId="2437"/>
    <cellStyle name="쉼표 [0] 3 5 2 2 4 5" xfId="2438"/>
    <cellStyle name="쉼표 [0] 3 5 2 2 5" xfId="2439"/>
    <cellStyle name="쉼표 [0] 3 5 2 2 5 2" xfId="2440"/>
    <cellStyle name="쉼표 [0] 3 5 2 2 5 2 2" xfId="2441"/>
    <cellStyle name="쉼표 [0] 3 5 2 2 5 2 2 2" xfId="2442"/>
    <cellStyle name="쉼표 [0] 3 5 2 2 5 2 3" xfId="2443"/>
    <cellStyle name="쉼표 [0] 3 5 2 2 5 3" xfId="2444"/>
    <cellStyle name="쉼표 [0] 3 5 2 2 5 3 2" xfId="2445"/>
    <cellStyle name="쉼표 [0] 3 5 2 2 5 4" xfId="2446"/>
    <cellStyle name="쉼표 [0] 3 5 2 2 6" xfId="2447"/>
    <cellStyle name="쉼표 [0] 3 5 2 2 6 2" xfId="2448"/>
    <cellStyle name="쉼표 [0] 3 5 2 2 6 2 2" xfId="2449"/>
    <cellStyle name="쉼표 [0] 3 5 2 2 6 3" xfId="2450"/>
    <cellStyle name="쉼표 [0] 3 5 2 2 7" xfId="2451"/>
    <cellStyle name="쉼표 [0] 3 5 2 2 7 2" xfId="2452"/>
    <cellStyle name="쉼표 [0] 3 5 2 2 8" xfId="2453"/>
    <cellStyle name="쉼표 [0] 3 5 2 2 9" xfId="2454"/>
    <cellStyle name="쉼표 [0] 3 5 2 3" xfId="2455"/>
    <cellStyle name="쉼표 [0] 3 5 2 3 2" xfId="2456"/>
    <cellStyle name="쉼표 [0] 3 5 2 3 2 2" xfId="2457"/>
    <cellStyle name="쉼표 [0] 3 5 2 3 2 2 2" xfId="2458"/>
    <cellStyle name="쉼표 [0] 3 5 2 3 2 2 2 2" xfId="2459"/>
    <cellStyle name="쉼표 [0] 3 5 2 3 2 2 2 2 2" xfId="2460"/>
    <cellStyle name="쉼표 [0] 3 5 2 3 2 2 2 2 2 2" xfId="2461"/>
    <cellStyle name="쉼표 [0] 3 5 2 3 2 2 2 2 3" xfId="2462"/>
    <cellStyle name="쉼표 [0] 3 5 2 3 2 2 2 3" xfId="2463"/>
    <cellStyle name="쉼표 [0] 3 5 2 3 2 2 2 3 2" xfId="2464"/>
    <cellStyle name="쉼표 [0] 3 5 2 3 2 2 2 4" xfId="2465"/>
    <cellStyle name="쉼표 [0] 3 5 2 3 2 2 3" xfId="2466"/>
    <cellStyle name="쉼표 [0] 3 5 2 3 2 2 3 2" xfId="2467"/>
    <cellStyle name="쉼표 [0] 3 5 2 3 2 2 3 2 2" xfId="2468"/>
    <cellStyle name="쉼표 [0] 3 5 2 3 2 2 3 3" xfId="2469"/>
    <cellStyle name="쉼표 [0] 3 5 2 3 2 2 4" xfId="2470"/>
    <cellStyle name="쉼표 [0] 3 5 2 3 2 2 4 2" xfId="2471"/>
    <cellStyle name="쉼표 [0] 3 5 2 3 2 2 5" xfId="2472"/>
    <cellStyle name="쉼표 [0] 3 5 2 3 2 3" xfId="2473"/>
    <cellStyle name="쉼표 [0] 3 5 2 3 2 3 2" xfId="2474"/>
    <cellStyle name="쉼표 [0] 3 5 2 3 2 3 2 2" xfId="2475"/>
    <cellStyle name="쉼표 [0] 3 5 2 3 2 3 2 2 2" xfId="2476"/>
    <cellStyle name="쉼표 [0] 3 5 2 3 2 3 2 3" xfId="2477"/>
    <cellStyle name="쉼표 [0] 3 5 2 3 2 3 3" xfId="2478"/>
    <cellStyle name="쉼표 [0] 3 5 2 3 2 3 3 2" xfId="2479"/>
    <cellStyle name="쉼표 [0] 3 5 2 3 2 3 4" xfId="2480"/>
    <cellStyle name="쉼표 [0] 3 5 2 3 2 4" xfId="2481"/>
    <cellStyle name="쉼표 [0] 3 5 2 3 2 4 2" xfId="2482"/>
    <cellStyle name="쉼표 [0] 3 5 2 3 2 4 2 2" xfId="2483"/>
    <cellStyle name="쉼표 [0] 3 5 2 3 2 4 3" xfId="2484"/>
    <cellStyle name="쉼표 [0] 3 5 2 3 2 5" xfId="2485"/>
    <cellStyle name="쉼표 [0] 3 5 2 3 2 5 2" xfId="2486"/>
    <cellStyle name="쉼표 [0] 3 5 2 3 2 6" xfId="2487"/>
    <cellStyle name="쉼표 [0] 3 5 2 3 3" xfId="2488"/>
    <cellStyle name="쉼표 [0] 3 5 2 3 3 2" xfId="2489"/>
    <cellStyle name="쉼표 [0] 3 5 2 3 3 2 2" xfId="2490"/>
    <cellStyle name="쉼표 [0] 3 5 2 3 3 2 2 2" xfId="2491"/>
    <cellStyle name="쉼표 [0] 3 5 2 3 3 2 2 2 2" xfId="2492"/>
    <cellStyle name="쉼표 [0] 3 5 2 3 3 2 2 3" xfId="2493"/>
    <cellStyle name="쉼표 [0] 3 5 2 3 3 2 3" xfId="2494"/>
    <cellStyle name="쉼표 [0] 3 5 2 3 3 2 3 2" xfId="2495"/>
    <cellStyle name="쉼표 [0] 3 5 2 3 3 2 4" xfId="2496"/>
    <cellStyle name="쉼표 [0] 3 5 2 3 3 3" xfId="2497"/>
    <cellStyle name="쉼표 [0] 3 5 2 3 3 3 2" xfId="2498"/>
    <cellStyle name="쉼표 [0] 3 5 2 3 3 3 2 2" xfId="2499"/>
    <cellStyle name="쉼표 [0] 3 5 2 3 3 3 3" xfId="2500"/>
    <cellStyle name="쉼표 [0] 3 5 2 3 3 4" xfId="2501"/>
    <cellStyle name="쉼표 [0] 3 5 2 3 3 4 2" xfId="2502"/>
    <cellStyle name="쉼표 [0] 3 5 2 3 3 5" xfId="2503"/>
    <cellStyle name="쉼표 [0] 3 5 2 3 4" xfId="2504"/>
    <cellStyle name="쉼표 [0] 3 5 2 3 4 2" xfId="2505"/>
    <cellStyle name="쉼표 [0] 3 5 2 3 4 2 2" xfId="2506"/>
    <cellStyle name="쉼표 [0] 3 5 2 3 4 2 2 2" xfId="2507"/>
    <cellStyle name="쉼표 [0] 3 5 2 3 4 2 3" xfId="2508"/>
    <cellStyle name="쉼표 [0] 3 5 2 3 4 3" xfId="2509"/>
    <cellStyle name="쉼표 [0] 3 5 2 3 4 3 2" xfId="2510"/>
    <cellStyle name="쉼표 [0] 3 5 2 3 4 4" xfId="2511"/>
    <cellStyle name="쉼표 [0] 3 5 2 3 5" xfId="2512"/>
    <cellStyle name="쉼표 [0] 3 5 2 3 5 2" xfId="2513"/>
    <cellStyle name="쉼표 [0] 3 5 2 3 5 2 2" xfId="2514"/>
    <cellStyle name="쉼표 [0] 3 5 2 3 5 3" xfId="2515"/>
    <cellStyle name="쉼표 [0] 3 5 2 3 6" xfId="2516"/>
    <cellStyle name="쉼표 [0] 3 5 2 3 6 2" xfId="2517"/>
    <cellStyle name="쉼표 [0] 3 5 2 3 7" xfId="2518"/>
    <cellStyle name="쉼표 [0] 3 5 2 3 8" xfId="2519"/>
    <cellStyle name="쉼표 [0] 3 5 2 4" xfId="2520"/>
    <cellStyle name="쉼표 [0] 3 5 2 4 2" xfId="2521"/>
    <cellStyle name="쉼표 [0] 3 5 2 4 2 2" xfId="2522"/>
    <cellStyle name="쉼표 [0] 3 5 2 4 2 2 2" xfId="2523"/>
    <cellStyle name="쉼표 [0] 3 5 2 4 2 2 2 2" xfId="2524"/>
    <cellStyle name="쉼표 [0] 3 5 2 4 2 2 2 2 2" xfId="2525"/>
    <cellStyle name="쉼표 [0] 3 5 2 4 2 2 2 3" xfId="2526"/>
    <cellStyle name="쉼표 [0] 3 5 2 4 2 2 3" xfId="2527"/>
    <cellStyle name="쉼표 [0] 3 5 2 4 2 2 3 2" xfId="2528"/>
    <cellStyle name="쉼표 [0] 3 5 2 4 2 2 4" xfId="2529"/>
    <cellStyle name="쉼표 [0] 3 5 2 4 2 3" xfId="2530"/>
    <cellStyle name="쉼표 [0] 3 5 2 4 2 3 2" xfId="2531"/>
    <cellStyle name="쉼표 [0] 3 5 2 4 2 3 2 2" xfId="2532"/>
    <cellStyle name="쉼표 [0] 3 5 2 4 2 3 3" xfId="2533"/>
    <cellStyle name="쉼표 [0] 3 5 2 4 2 4" xfId="2534"/>
    <cellStyle name="쉼표 [0] 3 5 2 4 2 4 2" xfId="2535"/>
    <cellStyle name="쉼표 [0] 3 5 2 4 2 5" xfId="2536"/>
    <cellStyle name="쉼표 [0] 3 5 2 4 3" xfId="2537"/>
    <cellStyle name="쉼표 [0] 3 5 2 4 3 2" xfId="2538"/>
    <cellStyle name="쉼표 [0] 3 5 2 4 3 2 2" xfId="2539"/>
    <cellStyle name="쉼표 [0] 3 5 2 4 3 2 2 2" xfId="2540"/>
    <cellStyle name="쉼표 [0] 3 5 2 4 3 2 3" xfId="2541"/>
    <cellStyle name="쉼표 [0] 3 5 2 4 3 3" xfId="2542"/>
    <cellStyle name="쉼표 [0] 3 5 2 4 3 3 2" xfId="2543"/>
    <cellStyle name="쉼표 [0] 3 5 2 4 3 4" xfId="2544"/>
    <cellStyle name="쉼표 [0] 3 5 2 4 4" xfId="2545"/>
    <cellStyle name="쉼표 [0] 3 5 2 4 4 2" xfId="2546"/>
    <cellStyle name="쉼표 [0] 3 5 2 4 4 2 2" xfId="2547"/>
    <cellStyle name="쉼표 [0] 3 5 2 4 4 3" xfId="2548"/>
    <cellStyle name="쉼표 [0] 3 5 2 4 5" xfId="2549"/>
    <cellStyle name="쉼표 [0] 3 5 2 4 5 2" xfId="2550"/>
    <cellStyle name="쉼표 [0] 3 5 2 4 6" xfId="2551"/>
    <cellStyle name="쉼표 [0] 3 5 2 5" xfId="2552"/>
    <cellStyle name="쉼표 [0] 3 5 2 5 2" xfId="2553"/>
    <cellStyle name="쉼표 [0] 3 5 2 5 2 2" xfId="2554"/>
    <cellStyle name="쉼표 [0] 3 5 2 5 2 2 2" xfId="2555"/>
    <cellStyle name="쉼표 [0] 3 5 2 5 2 2 2 2" xfId="2556"/>
    <cellStyle name="쉼표 [0] 3 5 2 5 2 2 3" xfId="2557"/>
    <cellStyle name="쉼표 [0] 3 5 2 5 2 3" xfId="2558"/>
    <cellStyle name="쉼표 [0] 3 5 2 5 2 3 2" xfId="2559"/>
    <cellStyle name="쉼표 [0] 3 5 2 5 2 4" xfId="2560"/>
    <cellStyle name="쉼표 [0] 3 5 2 5 3" xfId="2561"/>
    <cellStyle name="쉼표 [0] 3 5 2 5 3 2" xfId="2562"/>
    <cellStyle name="쉼표 [0] 3 5 2 5 3 2 2" xfId="2563"/>
    <cellStyle name="쉼표 [0] 3 5 2 5 3 3" xfId="2564"/>
    <cellStyle name="쉼표 [0] 3 5 2 5 4" xfId="2565"/>
    <cellStyle name="쉼표 [0] 3 5 2 5 4 2" xfId="2566"/>
    <cellStyle name="쉼표 [0] 3 5 2 5 5" xfId="2567"/>
    <cellStyle name="쉼표 [0] 3 5 2 6" xfId="2568"/>
    <cellStyle name="쉼표 [0] 3 5 2 6 2" xfId="2569"/>
    <cellStyle name="쉼표 [0] 3 5 2 6 2 2" xfId="2570"/>
    <cellStyle name="쉼표 [0] 3 5 2 6 2 2 2" xfId="2571"/>
    <cellStyle name="쉼표 [0] 3 5 2 6 2 3" xfId="2572"/>
    <cellStyle name="쉼표 [0] 3 5 2 6 3" xfId="2573"/>
    <cellStyle name="쉼표 [0] 3 5 2 6 3 2" xfId="2574"/>
    <cellStyle name="쉼표 [0] 3 5 2 6 4" xfId="2575"/>
    <cellStyle name="쉼표 [0] 3 5 2 7" xfId="2576"/>
    <cellStyle name="쉼표 [0] 3 5 2 7 2" xfId="2577"/>
    <cellStyle name="쉼표 [0] 3 5 2 7 2 2" xfId="2578"/>
    <cellStyle name="쉼표 [0] 3 5 2 7 3" xfId="2579"/>
    <cellStyle name="쉼표 [0] 3 5 2 8" xfId="2580"/>
    <cellStyle name="쉼표 [0] 3 5 2 8 2" xfId="2581"/>
    <cellStyle name="쉼표 [0] 3 5 2 9" xfId="2582"/>
    <cellStyle name="쉼표 [0] 3 5 3" xfId="2583"/>
    <cellStyle name="쉼표 [0] 3 5 3 2" xfId="2584"/>
    <cellStyle name="쉼표 [0] 3 5 3 2 2" xfId="2585"/>
    <cellStyle name="쉼표 [0] 3 5 3 2 2 2" xfId="2586"/>
    <cellStyle name="쉼표 [0] 3 5 3 2 2 2 2" xfId="2587"/>
    <cellStyle name="쉼표 [0] 3 5 3 2 2 2 2 2" xfId="2588"/>
    <cellStyle name="쉼표 [0] 3 5 3 2 2 2 2 2 2" xfId="2589"/>
    <cellStyle name="쉼표 [0] 3 5 3 2 2 2 2 2 2 2" xfId="2590"/>
    <cellStyle name="쉼표 [0] 3 5 3 2 2 2 2 2 3" xfId="2591"/>
    <cellStyle name="쉼표 [0] 3 5 3 2 2 2 2 3" xfId="2592"/>
    <cellStyle name="쉼표 [0] 3 5 3 2 2 2 2 3 2" xfId="2593"/>
    <cellStyle name="쉼표 [0] 3 5 3 2 2 2 2 4" xfId="2594"/>
    <cellStyle name="쉼표 [0] 3 5 3 2 2 2 3" xfId="2595"/>
    <cellStyle name="쉼표 [0] 3 5 3 2 2 2 3 2" xfId="2596"/>
    <cellStyle name="쉼표 [0] 3 5 3 2 2 2 3 2 2" xfId="2597"/>
    <cellStyle name="쉼표 [0] 3 5 3 2 2 2 3 3" xfId="2598"/>
    <cellStyle name="쉼표 [0] 3 5 3 2 2 2 4" xfId="2599"/>
    <cellStyle name="쉼표 [0] 3 5 3 2 2 2 4 2" xfId="2600"/>
    <cellStyle name="쉼표 [0] 3 5 3 2 2 2 5" xfId="2601"/>
    <cellStyle name="쉼표 [0] 3 5 3 2 2 3" xfId="2602"/>
    <cellStyle name="쉼표 [0] 3 5 3 2 2 3 2" xfId="2603"/>
    <cellStyle name="쉼표 [0] 3 5 3 2 2 3 2 2" xfId="2604"/>
    <cellStyle name="쉼표 [0] 3 5 3 2 2 3 2 2 2" xfId="2605"/>
    <cellStyle name="쉼표 [0] 3 5 3 2 2 3 2 3" xfId="2606"/>
    <cellStyle name="쉼표 [0] 3 5 3 2 2 3 3" xfId="2607"/>
    <cellStyle name="쉼표 [0] 3 5 3 2 2 3 3 2" xfId="2608"/>
    <cellStyle name="쉼표 [0] 3 5 3 2 2 3 4" xfId="2609"/>
    <cellStyle name="쉼표 [0] 3 5 3 2 2 4" xfId="2610"/>
    <cellStyle name="쉼표 [0] 3 5 3 2 2 4 2" xfId="2611"/>
    <cellStyle name="쉼표 [0] 3 5 3 2 2 4 2 2" xfId="2612"/>
    <cellStyle name="쉼표 [0] 3 5 3 2 2 4 3" xfId="2613"/>
    <cellStyle name="쉼표 [0] 3 5 3 2 2 5" xfId="2614"/>
    <cellStyle name="쉼표 [0] 3 5 3 2 2 5 2" xfId="2615"/>
    <cellStyle name="쉼표 [0] 3 5 3 2 2 6" xfId="2616"/>
    <cellStyle name="쉼표 [0] 3 5 3 2 3" xfId="2617"/>
    <cellStyle name="쉼표 [0] 3 5 3 2 3 2" xfId="2618"/>
    <cellStyle name="쉼표 [0] 3 5 3 2 3 2 2" xfId="2619"/>
    <cellStyle name="쉼표 [0] 3 5 3 2 3 2 2 2" xfId="2620"/>
    <cellStyle name="쉼표 [0] 3 5 3 2 3 2 2 2 2" xfId="2621"/>
    <cellStyle name="쉼표 [0] 3 5 3 2 3 2 2 3" xfId="2622"/>
    <cellStyle name="쉼표 [0] 3 5 3 2 3 2 3" xfId="2623"/>
    <cellStyle name="쉼표 [0] 3 5 3 2 3 2 3 2" xfId="2624"/>
    <cellStyle name="쉼표 [0] 3 5 3 2 3 2 4" xfId="2625"/>
    <cellStyle name="쉼표 [0] 3 5 3 2 3 3" xfId="2626"/>
    <cellStyle name="쉼표 [0] 3 5 3 2 3 3 2" xfId="2627"/>
    <cellStyle name="쉼표 [0] 3 5 3 2 3 3 2 2" xfId="2628"/>
    <cellStyle name="쉼표 [0] 3 5 3 2 3 3 3" xfId="2629"/>
    <cellStyle name="쉼표 [0] 3 5 3 2 3 4" xfId="2630"/>
    <cellStyle name="쉼표 [0] 3 5 3 2 3 4 2" xfId="2631"/>
    <cellStyle name="쉼표 [0] 3 5 3 2 3 5" xfId="2632"/>
    <cellStyle name="쉼표 [0] 3 5 3 2 4" xfId="2633"/>
    <cellStyle name="쉼표 [0] 3 5 3 2 4 2" xfId="2634"/>
    <cellStyle name="쉼표 [0] 3 5 3 2 4 2 2" xfId="2635"/>
    <cellStyle name="쉼표 [0] 3 5 3 2 4 2 2 2" xfId="2636"/>
    <cellStyle name="쉼표 [0] 3 5 3 2 4 2 3" xfId="2637"/>
    <cellStyle name="쉼표 [0] 3 5 3 2 4 3" xfId="2638"/>
    <cellStyle name="쉼표 [0] 3 5 3 2 4 3 2" xfId="2639"/>
    <cellStyle name="쉼표 [0] 3 5 3 2 4 4" xfId="2640"/>
    <cellStyle name="쉼표 [0] 3 5 3 2 5" xfId="2641"/>
    <cellStyle name="쉼표 [0] 3 5 3 2 5 2" xfId="2642"/>
    <cellStyle name="쉼표 [0] 3 5 3 2 5 2 2" xfId="2643"/>
    <cellStyle name="쉼표 [0] 3 5 3 2 5 3" xfId="2644"/>
    <cellStyle name="쉼표 [0] 3 5 3 2 6" xfId="2645"/>
    <cellStyle name="쉼표 [0] 3 5 3 2 6 2" xfId="2646"/>
    <cellStyle name="쉼표 [0] 3 5 3 2 7" xfId="2647"/>
    <cellStyle name="쉼표 [0] 3 5 3 2 8" xfId="2648"/>
    <cellStyle name="쉼표 [0] 3 5 3 3" xfId="2649"/>
    <cellStyle name="쉼표 [0] 3 5 3 3 2" xfId="2650"/>
    <cellStyle name="쉼표 [0] 3 5 3 3 2 2" xfId="2651"/>
    <cellStyle name="쉼표 [0] 3 5 3 3 2 2 2" xfId="2652"/>
    <cellStyle name="쉼표 [0] 3 5 3 3 2 2 2 2" xfId="2653"/>
    <cellStyle name="쉼표 [0] 3 5 3 3 2 2 2 2 2" xfId="2654"/>
    <cellStyle name="쉼표 [0] 3 5 3 3 2 2 2 3" xfId="2655"/>
    <cellStyle name="쉼표 [0] 3 5 3 3 2 2 3" xfId="2656"/>
    <cellStyle name="쉼표 [0] 3 5 3 3 2 2 3 2" xfId="2657"/>
    <cellStyle name="쉼표 [0] 3 5 3 3 2 2 4" xfId="2658"/>
    <cellStyle name="쉼표 [0] 3 5 3 3 2 3" xfId="2659"/>
    <cellStyle name="쉼표 [0] 3 5 3 3 2 3 2" xfId="2660"/>
    <cellStyle name="쉼표 [0] 3 5 3 3 2 3 2 2" xfId="2661"/>
    <cellStyle name="쉼표 [0] 3 5 3 3 2 3 3" xfId="2662"/>
    <cellStyle name="쉼표 [0] 3 5 3 3 2 4" xfId="2663"/>
    <cellStyle name="쉼표 [0] 3 5 3 3 2 4 2" xfId="2664"/>
    <cellStyle name="쉼표 [0] 3 5 3 3 2 5" xfId="2665"/>
    <cellStyle name="쉼표 [0] 3 5 3 3 3" xfId="2666"/>
    <cellStyle name="쉼표 [0] 3 5 3 3 3 2" xfId="2667"/>
    <cellStyle name="쉼표 [0] 3 5 3 3 3 2 2" xfId="2668"/>
    <cellStyle name="쉼표 [0] 3 5 3 3 3 2 2 2" xfId="2669"/>
    <cellStyle name="쉼표 [0] 3 5 3 3 3 2 3" xfId="2670"/>
    <cellStyle name="쉼표 [0] 3 5 3 3 3 3" xfId="2671"/>
    <cellStyle name="쉼표 [0] 3 5 3 3 3 3 2" xfId="2672"/>
    <cellStyle name="쉼표 [0] 3 5 3 3 3 4" xfId="2673"/>
    <cellStyle name="쉼표 [0] 3 5 3 3 4" xfId="2674"/>
    <cellStyle name="쉼표 [0] 3 5 3 3 4 2" xfId="2675"/>
    <cellStyle name="쉼표 [0] 3 5 3 3 4 2 2" xfId="2676"/>
    <cellStyle name="쉼표 [0] 3 5 3 3 4 3" xfId="2677"/>
    <cellStyle name="쉼표 [0] 3 5 3 3 5" xfId="2678"/>
    <cellStyle name="쉼표 [0] 3 5 3 3 5 2" xfId="2679"/>
    <cellStyle name="쉼표 [0] 3 5 3 3 6" xfId="2680"/>
    <cellStyle name="쉼표 [0] 3 5 3 4" xfId="2681"/>
    <cellStyle name="쉼표 [0] 3 5 3 4 2" xfId="2682"/>
    <cellStyle name="쉼표 [0] 3 5 3 4 2 2" xfId="2683"/>
    <cellStyle name="쉼표 [0] 3 5 3 4 2 2 2" xfId="2684"/>
    <cellStyle name="쉼표 [0] 3 5 3 4 2 2 2 2" xfId="2685"/>
    <cellStyle name="쉼표 [0] 3 5 3 4 2 2 3" xfId="2686"/>
    <cellStyle name="쉼표 [0] 3 5 3 4 2 3" xfId="2687"/>
    <cellStyle name="쉼표 [0] 3 5 3 4 2 3 2" xfId="2688"/>
    <cellStyle name="쉼표 [0] 3 5 3 4 2 4" xfId="2689"/>
    <cellStyle name="쉼표 [0] 3 5 3 4 3" xfId="2690"/>
    <cellStyle name="쉼표 [0] 3 5 3 4 3 2" xfId="2691"/>
    <cellStyle name="쉼표 [0] 3 5 3 4 3 2 2" xfId="2692"/>
    <cellStyle name="쉼표 [0] 3 5 3 4 3 3" xfId="2693"/>
    <cellStyle name="쉼표 [0] 3 5 3 4 4" xfId="2694"/>
    <cellStyle name="쉼표 [0] 3 5 3 4 4 2" xfId="2695"/>
    <cellStyle name="쉼표 [0] 3 5 3 4 5" xfId="2696"/>
    <cellStyle name="쉼표 [0] 3 5 3 5" xfId="2697"/>
    <cellStyle name="쉼표 [0] 3 5 3 5 2" xfId="2698"/>
    <cellStyle name="쉼표 [0] 3 5 3 5 2 2" xfId="2699"/>
    <cellStyle name="쉼표 [0] 3 5 3 5 2 2 2" xfId="2700"/>
    <cellStyle name="쉼표 [0] 3 5 3 5 2 3" xfId="2701"/>
    <cellStyle name="쉼표 [0] 3 5 3 5 3" xfId="2702"/>
    <cellStyle name="쉼표 [0] 3 5 3 5 3 2" xfId="2703"/>
    <cellStyle name="쉼표 [0] 3 5 3 5 4" xfId="2704"/>
    <cellStyle name="쉼표 [0] 3 5 3 6" xfId="2705"/>
    <cellStyle name="쉼표 [0] 3 5 3 6 2" xfId="2706"/>
    <cellStyle name="쉼표 [0] 3 5 3 6 2 2" xfId="2707"/>
    <cellStyle name="쉼표 [0] 3 5 3 6 3" xfId="2708"/>
    <cellStyle name="쉼표 [0] 3 5 3 7" xfId="2709"/>
    <cellStyle name="쉼표 [0] 3 5 3 7 2" xfId="2710"/>
    <cellStyle name="쉼표 [0] 3 5 3 8" xfId="2711"/>
    <cellStyle name="쉼표 [0] 3 5 3 9" xfId="2712"/>
    <cellStyle name="쉼표 [0] 3 5 4" xfId="2713"/>
    <cellStyle name="쉼표 [0] 3 5 4 2" xfId="2714"/>
    <cellStyle name="쉼표 [0] 3 5 4 2 2" xfId="2715"/>
    <cellStyle name="쉼표 [0] 3 5 4 2 2 2" xfId="2716"/>
    <cellStyle name="쉼표 [0] 3 5 4 2 2 2 2" xfId="2717"/>
    <cellStyle name="쉼표 [0] 3 5 4 2 2 2 2 2" xfId="2718"/>
    <cellStyle name="쉼표 [0] 3 5 4 2 2 2 2 2 2" xfId="2719"/>
    <cellStyle name="쉼표 [0] 3 5 4 2 2 2 2 3" xfId="2720"/>
    <cellStyle name="쉼표 [0] 3 5 4 2 2 2 3" xfId="2721"/>
    <cellStyle name="쉼표 [0] 3 5 4 2 2 2 3 2" xfId="2722"/>
    <cellStyle name="쉼표 [0] 3 5 4 2 2 2 4" xfId="2723"/>
    <cellStyle name="쉼표 [0] 3 5 4 2 2 3" xfId="2724"/>
    <cellStyle name="쉼표 [0] 3 5 4 2 2 3 2" xfId="2725"/>
    <cellStyle name="쉼표 [0] 3 5 4 2 2 3 2 2" xfId="2726"/>
    <cellStyle name="쉼표 [0] 3 5 4 2 2 3 3" xfId="2727"/>
    <cellStyle name="쉼표 [0] 3 5 4 2 2 4" xfId="2728"/>
    <cellStyle name="쉼표 [0] 3 5 4 2 2 4 2" xfId="2729"/>
    <cellStyle name="쉼표 [0] 3 5 4 2 2 5" xfId="2730"/>
    <cellStyle name="쉼표 [0] 3 5 4 2 3" xfId="2731"/>
    <cellStyle name="쉼표 [0] 3 5 4 2 3 2" xfId="2732"/>
    <cellStyle name="쉼표 [0] 3 5 4 2 3 2 2" xfId="2733"/>
    <cellStyle name="쉼표 [0] 3 5 4 2 3 2 2 2" xfId="2734"/>
    <cellStyle name="쉼표 [0] 3 5 4 2 3 2 3" xfId="2735"/>
    <cellStyle name="쉼표 [0] 3 5 4 2 3 3" xfId="2736"/>
    <cellStyle name="쉼표 [0] 3 5 4 2 3 3 2" xfId="2737"/>
    <cellStyle name="쉼표 [0] 3 5 4 2 3 4" xfId="2738"/>
    <cellStyle name="쉼표 [0] 3 5 4 2 4" xfId="2739"/>
    <cellStyle name="쉼표 [0] 3 5 4 2 4 2" xfId="2740"/>
    <cellStyle name="쉼표 [0] 3 5 4 2 4 2 2" xfId="2741"/>
    <cellStyle name="쉼표 [0] 3 5 4 2 4 3" xfId="2742"/>
    <cellStyle name="쉼표 [0] 3 5 4 2 5" xfId="2743"/>
    <cellStyle name="쉼표 [0] 3 5 4 2 5 2" xfId="2744"/>
    <cellStyle name="쉼표 [0] 3 5 4 2 6" xfId="2745"/>
    <cellStyle name="쉼표 [0] 3 5 4 3" xfId="2746"/>
    <cellStyle name="쉼표 [0] 3 5 4 3 2" xfId="2747"/>
    <cellStyle name="쉼표 [0] 3 5 4 3 2 2" xfId="2748"/>
    <cellStyle name="쉼표 [0] 3 5 4 3 2 2 2" xfId="2749"/>
    <cellStyle name="쉼표 [0] 3 5 4 3 2 2 2 2" xfId="2750"/>
    <cellStyle name="쉼표 [0] 3 5 4 3 2 2 3" xfId="2751"/>
    <cellStyle name="쉼표 [0] 3 5 4 3 2 3" xfId="2752"/>
    <cellStyle name="쉼표 [0] 3 5 4 3 2 3 2" xfId="2753"/>
    <cellStyle name="쉼표 [0] 3 5 4 3 2 4" xfId="2754"/>
    <cellStyle name="쉼표 [0] 3 5 4 3 3" xfId="2755"/>
    <cellStyle name="쉼표 [0] 3 5 4 3 3 2" xfId="2756"/>
    <cellStyle name="쉼표 [0] 3 5 4 3 3 2 2" xfId="2757"/>
    <cellStyle name="쉼표 [0] 3 5 4 3 3 3" xfId="2758"/>
    <cellStyle name="쉼표 [0] 3 5 4 3 4" xfId="2759"/>
    <cellStyle name="쉼표 [0] 3 5 4 3 4 2" xfId="2760"/>
    <cellStyle name="쉼표 [0] 3 5 4 3 5" xfId="2761"/>
    <cellStyle name="쉼표 [0] 3 5 4 4" xfId="2762"/>
    <cellStyle name="쉼표 [0] 3 5 4 4 2" xfId="2763"/>
    <cellStyle name="쉼표 [0] 3 5 4 4 2 2" xfId="2764"/>
    <cellStyle name="쉼표 [0] 3 5 4 4 2 2 2" xfId="2765"/>
    <cellStyle name="쉼표 [0] 3 5 4 4 2 3" xfId="2766"/>
    <cellStyle name="쉼표 [0] 3 5 4 4 3" xfId="2767"/>
    <cellStyle name="쉼표 [0] 3 5 4 4 3 2" xfId="2768"/>
    <cellStyle name="쉼표 [0] 3 5 4 4 4" xfId="2769"/>
    <cellStyle name="쉼표 [0] 3 5 4 5" xfId="2770"/>
    <cellStyle name="쉼표 [0] 3 5 4 5 2" xfId="2771"/>
    <cellStyle name="쉼표 [0] 3 5 4 5 2 2" xfId="2772"/>
    <cellStyle name="쉼표 [0] 3 5 4 5 3" xfId="2773"/>
    <cellStyle name="쉼표 [0] 3 5 4 6" xfId="2774"/>
    <cellStyle name="쉼표 [0] 3 5 4 6 2" xfId="2775"/>
    <cellStyle name="쉼표 [0] 3 5 4 7" xfId="2776"/>
    <cellStyle name="쉼표 [0] 3 5 4 8" xfId="2777"/>
    <cellStyle name="쉼표 [0] 3 5 5" xfId="2778"/>
    <cellStyle name="쉼표 [0] 3 5 5 2" xfId="2779"/>
    <cellStyle name="쉼표 [0] 3 5 5 2 2" xfId="2780"/>
    <cellStyle name="쉼표 [0] 3 5 5 2 2 2" xfId="2781"/>
    <cellStyle name="쉼표 [0] 3 5 5 2 2 2 2" xfId="2782"/>
    <cellStyle name="쉼표 [0] 3 5 5 2 2 2 2 2" xfId="2783"/>
    <cellStyle name="쉼표 [0] 3 5 5 2 2 2 3" xfId="2784"/>
    <cellStyle name="쉼표 [0] 3 5 5 2 2 3" xfId="2785"/>
    <cellStyle name="쉼표 [0] 3 5 5 2 2 3 2" xfId="2786"/>
    <cellStyle name="쉼표 [0] 3 5 5 2 2 4" xfId="2787"/>
    <cellStyle name="쉼표 [0] 3 5 5 2 3" xfId="2788"/>
    <cellStyle name="쉼표 [0] 3 5 5 2 3 2" xfId="2789"/>
    <cellStyle name="쉼표 [0] 3 5 5 2 3 2 2" xfId="2790"/>
    <cellStyle name="쉼표 [0] 3 5 5 2 3 3" xfId="2791"/>
    <cellStyle name="쉼표 [0] 3 5 5 2 4" xfId="2792"/>
    <cellStyle name="쉼표 [0] 3 5 5 2 4 2" xfId="2793"/>
    <cellStyle name="쉼표 [0] 3 5 5 2 5" xfId="2794"/>
    <cellStyle name="쉼표 [0] 3 5 5 3" xfId="2795"/>
    <cellStyle name="쉼표 [0] 3 5 5 3 2" xfId="2796"/>
    <cellStyle name="쉼표 [0] 3 5 5 3 2 2" xfId="2797"/>
    <cellStyle name="쉼표 [0] 3 5 5 3 2 2 2" xfId="2798"/>
    <cellStyle name="쉼표 [0] 3 5 5 3 2 3" xfId="2799"/>
    <cellStyle name="쉼표 [0] 3 5 5 3 3" xfId="2800"/>
    <cellStyle name="쉼표 [0] 3 5 5 3 3 2" xfId="2801"/>
    <cellStyle name="쉼표 [0] 3 5 5 3 4" xfId="2802"/>
    <cellStyle name="쉼표 [0] 3 5 5 4" xfId="2803"/>
    <cellStyle name="쉼표 [0] 3 5 5 4 2" xfId="2804"/>
    <cellStyle name="쉼표 [0] 3 5 5 4 2 2" xfId="2805"/>
    <cellStyle name="쉼표 [0] 3 5 5 4 3" xfId="2806"/>
    <cellStyle name="쉼표 [0] 3 5 5 5" xfId="2807"/>
    <cellStyle name="쉼표 [0] 3 5 5 5 2" xfId="2808"/>
    <cellStyle name="쉼표 [0] 3 5 5 6" xfId="2809"/>
    <cellStyle name="쉼표 [0] 3 5 6" xfId="2810"/>
    <cellStyle name="쉼표 [0] 3 5 6 2" xfId="2811"/>
    <cellStyle name="쉼표 [0] 3 5 6 2 2" xfId="2812"/>
    <cellStyle name="쉼표 [0] 3 5 6 2 2 2" xfId="2813"/>
    <cellStyle name="쉼표 [0] 3 5 6 2 2 2 2" xfId="2814"/>
    <cellStyle name="쉼표 [0] 3 5 6 2 2 3" xfId="2815"/>
    <cellStyle name="쉼표 [0] 3 5 6 2 3" xfId="2816"/>
    <cellStyle name="쉼표 [0] 3 5 6 2 3 2" xfId="2817"/>
    <cellStyle name="쉼표 [0] 3 5 6 2 4" xfId="2818"/>
    <cellStyle name="쉼표 [0] 3 5 6 3" xfId="2819"/>
    <cellStyle name="쉼표 [0] 3 5 6 3 2" xfId="2820"/>
    <cellStyle name="쉼표 [0] 3 5 6 3 2 2" xfId="2821"/>
    <cellStyle name="쉼표 [0] 3 5 6 3 3" xfId="2822"/>
    <cellStyle name="쉼표 [0] 3 5 6 4" xfId="2823"/>
    <cellStyle name="쉼표 [0] 3 5 6 4 2" xfId="2824"/>
    <cellStyle name="쉼표 [0] 3 5 6 5" xfId="2825"/>
    <cellStyle name="쉼표 [0] 3 5 7" xfId="2826"/>
    <cellStyle name="쉼표 [0] 3 5 7 2" xfId="2827"/>
    <cellStyle name="쉼표 [0] 3 5 7 2 2" xfId="2828"/>
    <cellStyle name="쉼표 [0] 3 5 7 2 2 2" xfId="2829"/>
    <cellStyle name="쉼표 [0] 3 5 7 2 3" xfId="2830"/>
    <cellStyle name="쉼표 [0] 3 5 7 3" xfId="2831"/>
    <cellStyle name="쉼표 [0] 3 5 7 3 2" xfId="2832"/>
    <cellStyle name="쉼표 [0] 3 5 7 4" xfId="2833"/>
    <cellStyle name="쉼표 [0] 3 5 8" xfId="2834"/>
    <cellStyle name="쉼표 [0] 3 5 8 2" xfId="2835"/>
    <cellStyle name="쉼표 [0] 3 5 8 2 2" xfId="2836"/>
    <cellStyle name="쉼표 [0] 3 5 8 3" xfId="2837"/>
    <cellStyle name="쉼표 [0] 3 5 9" xfId="2838"/>
    <cellStyle name="쉼표 [0] 3 5 9 2" xfId="2839"/>
    <cellStyle name="쉼표 [0] 3 6" xfId="2840"/>
    <cellStyle name="쉼표 [0] 3 6 10" xfId="2841"/>
    <cellStyle name="쉼표 [0] 3 6 2" xfId="2842"/>
    <cellStyle name="쉼표 [0] 3 6 2 2" xfId="2843"/>
    <cellStyle name="쉼표 [0] 3 6 2 2 2" xfId="2844"/>
    <cellStyle name="쉼표 [0] 3 6 2 2 2 2" xfId="2845"/>
    <cellStyle name="쉼표 [0] 3 6 2 2 2 2 2" xfId="2846"/>
    <cellStyle name="쉼표 [0] 3 6 2 2 2 2 2 2" xfId="2847"/>
    <cellStyle name="쉼표 [0] 3 6 2 2 2 2 2 2 2" xfId="2848"/>
    <cellStyle name="쉼표 [0] 3 6 2 2 2 2 2 2 2 2" xfId="2849"/>
    <cellStyle name="쉼표 [0] 3 6 2 2 2 2 2 2 3" xfId="2850"/>
    <cellStyle name="쉼표 [0] 3 6 2 2 2 2 2 3" xfId="2851"/>
    <cellStyle name="쉼표 [0] 3 6 2 2 2 2 2 3 2" xfId="2852"/>
    <cellStyle name="쉼표 [0] 3 6 2 2 2 2 2 4" xfId="2853"/>
    <cellStyle name="쉼표 [0] 3 6 2 2 2 2 3" xfId="2854"/>
    <cellStyle name="쉼표 [0] 3 6 2 2 2 2 3 2" xfId="2855"/>
    <cellStyle name="쉼표 [0] 3 6 2 2 2 2 3 2 2" xfId="2856"/>
    <cellStyle name="쉼표 [0] 3 6 2 2 2 2 3 3" xfId="2857"/>
    <cellStyle name="쉼표 [0] 3 6 2 2 2 2 4" xfId="2858"/>
    <cellStyle name="쉼표 [0] 3 6 2 2 2 2 4 2" xfId="2859"/>
    <cellStyle name="쉼표 [0] 3 6 2 2 2 2 5" xfId="2860"/>
    <cellStyle name="쉼표 [0] 3 6 2 2 2 3" xfId="2861"/>
    <cellStyle name="쉼표 [0] 3 6 2 2 2 3 2" xfId="2862"/>
    <cellStyle name="쉼표 [0] 3 6 2 2 2 3 2 2" xfId="2863"/>
    <cellStyle name="쉼표 [0] 3 6 2 2 2 3 2 2 2" xfId="2864"/>
    <cellStyle name="쉼표 [0] 3 6 2 2 2 3 2 3" xfId="2865"/>
    <cellStyle name="쉼표 [0] 3 6 2 2 2 3 3" xfId="2866"/>
    <cellStyle name="쉼표 [0] 3 6 2 2 2 3 3 2" xfId="2867"/>
    <cellStyle name="쉼표 [0] 3 6 2 2 2 3 4" xfId="2868"/>
    <cellStyle name="쉼표 [0] 3 6 2 2 2 4" xfId="2869"/>
    <cellStyle name="쉼표 [0] 3 6 2 2 2 4 2" xfId="2870"/>
    <cellStyle name="쉼표 [0] 3 6 2 2 2 4 2 2" xfId="2871"/>
    <cellStyle name="쉼표 [0] 3 6 2 2 2 4 3" xfId="2872"/>
    <cellStyle name="쉼표 [0] 3 6 2 2 2 5" xfId="2873"/>
    <cellStyle name="쉼표 [0] 3 6 2 2 2 5 2" xfId="2874"/>
    <cellStyle name="쉼표 [0] 3 6 2 2 2 6" xfId="2875"/>
    <cellStyle name="쉼표 [0] 3 6 2 2 3" xfId="2876"/>
    <cellStyle name="쉼표 [0] 3 6 2 2 3 2" xfId="2877"/>
    <cellStyle name="쉼표 [0] 3 6 2 2 3 2 2" xfId="2878"/>
    <cellStyle name="쉼표 [0] 3 6 2 2 3 2 2 2" xfId="2879"/>
    <cellStyle name="쉼표 [0] 3 6 2 2 3 2 2 2 2" xfId="2880"/>
    <cellStyle name="쉼표 [0] 3 6 2 2 3 2 2 3" xfId="2881"/>
    <cellStyle name="쉼표 [0] 3 6 2 2 3 2 3" xfId="2882"/>
    <cellStyle name="쉼표 [0] 3 6 2 2 3 2 3 2" xfId="2883"/>
    <cellStyle name="쉼표 [0] 3 6 2 2 3 2 4" xfId="2884"/>
    <cellStyle name="쉼표 [0] 3 6 2 2 3 3" xfId="2885"/>
    <cellStyle name="쉼표 [0] 3 6 2 2 3 3 2" xfId="2886"/>
    <cellStyle name="쉼표 [0] 3 6 2 2 3 3 2 2" xfId="2887"/>
    <cellStyle name="쉼표 [0] 3 6 2 2 3 3 3" xfId="2888"/>
    <cellStyle name="쉼표 [0] 3 6 2 2 3 4" xfId="2889"/>
    <cellStyle name="쉼표 [0] 3 6 2 2 3 4 2" xfId="2890"/>
    <cellStyle name="쉼표 [0] 3 6 2 2 3 5" xfId="2891"/>
    <cellStyle name="쉼표 [0] 3 6 2 2 4" xfId="2892"/>
    <cellStyle name="쉼표 [0] 3 6 2 2 4 2" xfId="2893"/>
    <cellStyle name="쉼표 [0] 3 6 2 2 4 2 2" xfId="2894"/>
    <cellStyle name="쉼표 [0] 3 6 2 2 4 2 2 2" xfId="2895"/>
    <cellStyle name="쉼표 [0] 3 6 2 2 4 2 3" xfId="2896"/>
    <cellStyle name="쉼표 [0] 3 6 2 2 4 3" xfId="2897"/>
    <cellStyle name="쉼표 [0] 3 6 2 2 4 3 2" xfId="2898"/>
    <cellStyle name="쉼표 [0] 3 6 2 2 4 4" xfId="2899"/>
    <cellStyle name="쉼표 [0] 3 6 2 2 5" xfId="2900"/>
    <cellStyle name="쉼표 [0] 3 6 2 2 5 2" xfId="2901"/>
    <cellStyle name="쉼표 [0] 3 6 2 2 5 2 2" xfId="2902"/>
    <cellStyle name="쉼표 [0] 3 6 2 2 5 3" xfId="2903"/>
    <cellStyle name="쉼표 [0] 3 6 2 2 6" xfId="2904"/>
    <cellStyle name="쉼표 [0] 3 6 2 2 6 2" xfId="2905"/>
    <cellStyle name="쉼표 [0] 3 6 2 2 7" xfId="2906"/>
    <cellStyle name="쉼표 [0] 3 6 2 2 8" xfId="2907"/>
    <cellStyle name="쉼표 [0] 3 6 2 3" xfId="2908"/>
    <cellStyle name="쉼표 [0] 3 6 2 3 2" xfId="2909"/>
    <cellStyle name="쉼표 [0] 3 6 2 3 2 2" xfId="2910"/>
    <cellStyle name="쉼표 [0] 3 6 2 3 2 2 2" xfId="2911"/>
    <cellStyle name="쉼표 [0] 3 6 2 3 2 2 2 2" xfId="2912"/>
    <cellStyle name="쉼표 [0] 3 6 2 3 2 2 2 2 2" xfId="2913"/>
    <cellStyle name="쉼표 [0] 3 6 2 3 2 2 2 3" xfId="2914"/>
    <cellStyle name="쉼표 [0] 3 6 2 3 2 2 3" xfId="2915"/>
    <cellStyle name="쉼표 [0] 3 6 2 3 2 2 3 2" xfId="2916"/>
    <cellStyle name="쉼표 [0] 3 6 2 3 2 2 4" xfId="2917"/>
    <cellStyle name="쉼표 [0] 3 6 2 3 2 3" xfId="2918"/>
    <cellStyle name="쉼표 [0] 3 6 2 3 2 3 2" xfId="2919"/>
    <cellStyle name="쉼표 [0] 3 6 2 3 2 3 2 2" xfId="2920"/>
    <cellStyle name="쉼표 [0] 3 6 2 3 2 3 3" xfId="2921"/>
    <cellStyle name="쉼표 [0] 3 6 2 3 2 4" xfId="2922"/>
    <cellStyle name="쉼표 [0] 3 6 2 3 2 4 2" xfId="2923"/>
    <cellStyle name="쉼표 [0] 3 6 2 3 2 5" xfId="2924"/>
    <cellStyle name="쉼표 [0] 3 6 2 3 3" xfId="2925"/>
    <cellStyle name="쉼표 [0] 3 6 2 3 3 2" xfId="2926"/>
    <cellStyle name="쉼표 [0] 3 6 2 3 3 2 2" xfId="2927"/>
    <cellStyle name="쉼표 [0] 3 6 2 3 3 2 2 2" xfId="2928"/>
    <cellStyle name="쉼표 [0] 3 6 2 3 3 2 3" xfId="2929"/>
    <cellStyle name="쉼표 [0] 3 6 2 3 3 3" xfId="2930"/>
    <cellStyle name="쉼표 [0] 3 6 2 3 3 3 2" xfId="2931"/>
    <cellStyle name="쉼표 [0] 3 6 2 3 3 4" xfId="2932"/>
    <cellStyle name="쉼표 [0] 3 6 2 3 4" xfId="2933"/>
    <cellStyle name="쉼표 [0] 3 6 2 3 4 2" xfId="2934"/>
    <cellStyle name="쉼표 [0] 3 6 2 3 4 2 2" xfId="2935"/>
    <cellStyle name="쉼표 [0] 3 6 2 3 4 3" xfId="2936"/>
    <cellStyle name="쉼표 [0] 3 6 2 3 5" xfId="2937"/>
    <cellStyle name="쉼표 [0] 3 6 2 3 5 2" xfId="2938"/>
    <cellStyle name="쉼표 [0] 3 6 2 3 6" xfId="2939"/>
    <cellStyle name="쉼표 [0] 3 6 2 4" xfId="2940"/>
    <cellStyle name="쉼표 [0] 3 6 2 4 2" xfId="2941"/>
    <cellStyle name="쉼표 [0] 3 6 2 4 2 2" xfId="2942"/>
    <cellStyle name="쉼표 [0] 3 6 2 4 2 2 2" xfId="2943"/>
    <cellStyle name="쉼표 [0] 3 6 2 4 2 2 2 2" xfId="2944"/>
    <cellStyle name="쉼표 [0] 3 6 2 4 2 2 3" xfId="2945"/>
    <cellStyle name="쉼표 [0] 3 6 2 4 2 3" xfId="2946"/>
    <cellStyle name="쉼표 [0] 3 6 2 4 2 3 2" xfId="2947"/>
    <cellStyle name="쉼표 [0] 3 6 2 4 2 4" xfId="2948"/>
    <cellStyle name="쉼표 [0] 3 6 2 4 3" xfId="2949"/>
    <cellStyle name="쉼표 [0] 3 6 2 4 3 2" xfId="2950"/>
    <cellStyle name="쉼표 [0] 3 6 2 4 3 2 2" xfId="2951"/>
    <cellStyle name="쉼표 [0] 3 6 2 4 3 3" xfId="2952"/>
    <cellStyle name="쉼표 [0] 3 6 2 4 4" xfId="2953"/>
    <cellStyle name="쉼표 [0] 3 6 2 4 4 2" xfId="2954"/>
    <cellStyle name="쉼표 [0] 3 6 2 4 5" xfId="2955"/>
    <cellStyle name="쉼표 [0] 3 6 2 5" xfId="2956"/>
    <cellStyle name="쉼표 [0] 3 6 2 5 2" xfId="2957"/>
    <cellStyle name="쉼표 [0] 3 6 2 5 2 2" xfId="2958"/>
    <cellStyle name="쉼표 [0] 3 6 2 5 2 2 2" xfId="2959"/>
    <cellStyle name="쉼표 [0] 3 6 2 5 2 3" xfId="2960"/>
    <cellStyle name="쉼표 [0] 3 6 2 5 3" xfId="2961"/>
    <cellStyle name="쉼표 [0] 3 6 2 5 3 2" xfId="2962"/>
    <cellStyle name="쉼표 [0] 3 6 2 5 4" xfId="2963"/>
    <cellStyle name="쉼표 [0] 3 6 2 6" xfId="2964"/>
    <cellStyle name="쉼표 [0] 3 6 2 6 2" xfId="2965"/>
    <cellStyle name="쉼표 [0] 3 6 2 6 2 2" xfId="2966"/>
    <cellStyle name="쉼표 [0] 3 6 2 6 3" xfId="2967"/>
    <cellStyle name="쉼표 [0] 3 6 2 7" xfId="2968"/>
    <cellStyle name="쉼표 [0] 3 6 2 7 2" xfId="2969"/>
    <cellStyle name="쉼표 [0] 3 6 2 8" xfId="2970"/>
    <cellStyle name="쉼표 [0] 3 6 2 9" xfId="2971"/>
    <cellStyle name="쉼표 [0] 3 6 3" xfId="2972"/>
    <cellStyle name="쉼표 [0] 3 6 3 2" xfId="2973"/>
    <cellStyle name="쉼표 [0] 3 6 3 2 2" xfId="2974"/>
    <cellStyle name="쉼표 [0] 3 6 3 2 2 2" xfId="2975"/>
    <cellStyle name="쉼표 [0] 3 6 3 2 2 2 2" xfId="2976"/>
    <cellStyle name="쉼표 [0] 3 6 3 2 2 2 2 2" xfId="2977"/>
    <cellStyle name="쉼표 [0] 3 6 3 2 2 2 2 2 2" xfId="2978"/>
    <cellStyle name="쉼표 [0] 3 6 3 2 2 2 2 3" xfId="2979"/>
    <cellStyle name="쉼표 [0] 3 6 3 2 2 2 3" xfId="2980"/>
    <cellStyle name="쉼표 [0] 3 6 3 2 2 2 3 2" xfId="2981"/>
    <cellStyle name="쉼표 [0] 3 6 3 2 2 2 4" xfId="2982"/>
    <cellStyle name="쉼표 [0] 3 6 3 2 2 3" xfId="2983"/>
    <cellStyle name="쉼표 [0] 3 6 3 2 2 3 2" xfId="2984"/>
    <cellStyle name="쉼표 [0] 3 6 3 2 2 3 2 2" xfId="2985"/>
    <cellStyle name="쉼표 [0] 3 6 3 2 2 3 3" xfId="2986"/>
    <cellStyle name="쉼표 [0] 3 6 3 2 2 4" xfId="2987"/>
    <cellStyle name="쉼표 [0] 3 6 3 2 2 4 2" xfId="2988"/>
    <cellStyle name="쉼표 [0] 3 6 3 2 2 5" xfId="2989"/>
    <cellStyle name="쉼표 [0] 3 6 3 2 3" xfId="2990"/>
    <cellStyle name="쉼표 [0] 3 6 3 2 3 2" xfId="2991"/>
    <cellStyle name="쉼표 [0] 3 6 3 2 3 2 2" xfId="2992"/>
    <cellStyle name="쉼표 [0] 3 6 3 2 3 2 2 2" xfId="2993"/>
    <cellStyle name="쉼표 [0] 3 6 3 2 3 2 3" xfId="2994"/>
    <cellStyle name="쉼표 [0] 3 6 3 2 3 3" xfId="2995"/>
    <cellStyle name="쉼표 [0] 3 6 3 2 3 3 2" xfId="2996"/>
    <cellStyle name="쉼표 [0] 3 6 3 2 3 4" xfId="2997"/>
    <cellStyle name="쉼표 [0] 3 6 3 2 4" xfId="2998"/>
    <cellStyle name="쉼표 [0] 3 6 3 2 4 2" xfId="2999"/>
    <cellStyle name="쉼표 [0] 3 6 3 2 4 2 2" xfId="3000"/>
    <cellStyle name="쉼표 [0] 3 6 3 2 4 3" xfId="3001"/>
    <cellStyle name="쉼표 [0] 3 6 3 2 5" xfId="3002"/>
    <cellStyle name="쉼표 [0] 3 6 3 2 5 2" xfId="3003"/>
    <cellStyle name="쉼표 [0] 3 6 3 2 6" xfId="3004"/>
    <cellStyle name="쉼표 [0] 3 6 3 3" xfId="3005"/>
    <cellStyle name="쉼표 [0] 3 6 3 3 2" xfId="3006"/>
    <cellStyle name="쉼표 [0] 3 6 3 3 2 2" xfId="3007"/>
    <cellStyle name="쉼표 [0] 3 6 3 3 2 2 2" xfId="3008"/>
    <cellStyle name="쉼표 [0] 3 6 3 3 2 2 2 2" xfId="3009"/>
    <cellStyle name="쉼표 [0] 3 6 3 3 2 2 3" xfId="3010"/>
    <cellStyle name="쉼표 [0] 3 6 3 3 2 3" xfId="3011"/>
    <cellStyle name="쉼표 [0] 3 6 3 3 2 3 2" xfId="3012"/>
    <cellStyle name="쉼표 [0] 3 6 3 3 2 4" xfId="3013"/>
    <cellStyle name="쉼표 [0] 3 6 3 3 3" xfId="3014"/>
    <cellStyle name="쉼표 [0] 3 6 3 3 3 2" xfId="3015"/>
    <cellStyle name="쉼표 [0] 3 6 3 3 3 2 2" xfId="3016"/>
    <cellStyle name="쉼표 [0] 3 6 3 3 3 3" xfId="3017"/>
    <cellStyle name="쉼표 [0] 3 6 3 3 4" xfId="3018"/>
    <cellStyle name="쉼표 [0] 3 6 3 3 4 2" xfId="3019"/>
    <cellStyle name="쉼표 [0] 3 6 3 3 5" xfId="3020"/>
    <cellStyle name="쉼표 [0] 3 6 3 4" xfId="3021"/>
    <cellStyle name="쉼표 [0] 3 6 3 4 2" xfId="3022"/>
    <cellStyle name="쉼표 [0] 3 6 3 4 2 2" xfId="3023"/>
    <cellStyle name="쉼표 [0] 3 6 3 4 2 2 2" xfId="3024"/>
    <cellStyle name="쉼표 [0] 3 6 3 4 2 3" xfId="3025"/>
    <cellStyle name="쉼표 [0] 3 6 3 4 3" xfId="3026"/>
    <cellStyle name="쉼표 [0] 3 6 3 4 3 2" xfId="3027"/>
    <cellStyle name="쉼표 [0] 3 6 3 4 4" xfId="3028"/>
    <cellStyle name="쉼표 [0] 3 6 3 5" xfId="3029"/>
    <cellStyle name="쉼표 [0] 3 6 3 5 2" xfId="3030"/>
    <cellStyle name="쉼표 [0] 3 6 3 5 2 2" xfId="3031"/>
    <cellStyle name="쉼표 [0] 3 6 3 5 3" xfId="3032"/>
    <cellStyle name="쉼표 [0] 3 6 3 6" xfId="3033"/>
    <cellStyle name="쉼표 [0] 3 6 3 6 2" xfId="3034"/>
    <cellStyle name="쉼표 [0] 3 6 3 7" xfId="3035"/>
    <cellStyle name="쉼표 [0] 3 6 3 8" xfId="3036"/>
    <cellStyle name="쉼표 [0] 3 6 4" xfId="3037"/>
    <cellStyle name="쉼표 [0] 3 6 4 2" xfId="3038"/>
    <cellStyle name="쉼표 [0] 3 6 4 2 2" xfId="3039"/>
    <cellStyle name="쉼표 [0] 3 6 4 2 2 2" xfId="3040"/>
    <cellStyle name="쉼표 [0] 3 6 4 2 2 2 2" xfId="3041"/>
    <cellStyle name="쉼표 [0] 3 6 4 2 2 2 2 2" xfId="3042"/>
    <cellStyle name="쉼표 [0] 3 6 4 2 2 2 3" xfId="3043"/>
    <cellStyle name="쉼표 [0] 3 6 4 2 2 3" xfId="3044"/>
    <cellStyle name="쉼표 [0] 3 6 4 2 2 3 2" xfId="3045"/>
    <cellStyle name="쉼표 [0] 3 6 4 2 2 4" xfId="3046"/>
    <cellStyle name="쉼표 [0] 3 6 4 2 3" xfId="3047"/>
    <cellStyle name="쉼표 [0] 3 6 4 2 3 2" xfId="3048"/>
    <cellStyle name="쉼표 [0] 3 6 4 2 3 2 2" xfId="3049"/>
    <cellStyle name="쉼표 [0] 3 6 4 2 3 3" xfId="3050"/>
    <cellStyle name="쉼표 [0] 3 6 4 2 4" xfId="3051"/>
    <cellStyle name="쉼표 [0] 3 6 4 2 4 2" xfId="3052"/>
    <cellStyle name="쉼표 [0] 3 6 4 2 5" xfId="3053"/>
    <cellStyle name="쉼표 [0] 3 6 4 3" xfId="3054"/>
    <cellStyle name="쉼표 [0] 3 6 4 3 2" xfId="3055"/>
    <cellStyle name="쉼표 [0] 3 6 4 3 2 2" xfId="3056"/>
    <cellStyle name="쉼표 [0] 3 6 4 3 2 2 2" xfId="3057"/>
    <cellStyle name="쉼표 [0] 3 6 4 3 2 3" xfId="3058"/>
    <cellStyle name="쉼표 [0] 3 6 4 3 3" xfId="3059"/>
    <cellStyle name="쉼표 [0] 3 6 4 3 3 2" xfId="3060"/>
    <cellStyle name="쉼표 [0] 3 6 4 3 4" xfId="3061"/>
    <cellStyle name="쉼표 [0] 3 6 4 4" xfId="3062"/>
    <cellStyle name="쉼표 [0] 3 6 4 4 2" xfId="3063"/>
    <cellStyle name="쉼표 [0] 3 6 4 4 2 2" xfId="3064"/>
    <cellStyle name="쉼표 [0] 3 6 4 4 3" xfId="3065"/>
    <cellStyle name="쉼표 [0] 3 6 4 5" xfId="3066"/>
    <cellStyle name="쉼표 [0] 3 6 4 5 2" xfId="3067"/>
    <cellStyle name="쉼표 [0] 3 6 4 6" xfId="3068"/>
    <cellStyle name="쉼표 [0] 3 6 5" xfId="3069"/>
    <cellStyle name="쉼표 [0] 3 6 5 2" xfId="3070"/>
    <cellStyle name="쉼표 [0] 3 6 5 2 2" xfId="3071"/>
    <cellStyle name="쉼표 [0] 3 6 5 2 2 2" xfId="3072"/>
    <cellStyle name="쉼표 [0] 3 6 5 2 2 2 2" xfId="3073"/>
    <cellStyle name="쉼표 [0] 3 6 5 2 2 3" xfId="3074"/>
    <cellStyle name="쉼표 [0] 3 6 5 2 3" xfId="3075"/>
    <cellStyle name="쉼표 [0] 3 6 5 2 3 2" xfId="3076"/>
    <cellStyle name="쉼표 [0] 3 6 5 2 4" xfId="3077"/>
    <cellStyle name="쉼표 [0] 3 6 5 3" xfId="3078"/>
    <cellStyle name="쉼표 [0] 3 6 5 3 2" xfId="3079"/>
    <cellStyle name="쉼표 [0] 3 6 5 3 2 2" xfId="3080"/>
    <cellStyle name="쉼표 [0] 3 6 5 3 3" xfId="3081"/>
    <cellStyle name="쉼표 [0] 3 6 5 4" xfId="3082"/>
    <cellStyle name="쉼표 [0] 3 6 5 4 2" xfId="3083"/>
    <cellStyle name="쉼표 [0] 3 6 5 5" xfId="3084"/>
    <cellStyle name="쉼표 [0] 3 6 6" xfId="3085"/>
    <cellStyle name="쉼표 [0] 3 6 6 2" xfId="3086"/>
    <cellStyle name="쉼표 [0] 3 6 6 2 2" xfId="3087"/>
    <cellStyle name="쉼표 [0] 3 6 6 2 2 2" xfId="3088"/>
    <cellStyle name="쉼표 [0] 3 6 6 2 3" xfId="3089"/>
    <cellStyle name="쉼표 [0] 3 6 6 3" xfId="3090"/>
    <cellStyle name="쉼표 [0] 3 6 6 3 2" xfId="3091"/>
    <cellStyle name="쉼표 [0] 3 6 6 4" xfId="3092"/>
    <cellStyle name="쉼표 [0] 3 6 7" xfId="3093"/>
    <cellStyle name="쉼표 [0] 3 6 7 2" xfId="3094"/>
    <cellStyle name="쉼표 [0] 3 6 7 2 2" xfId="3095"/>
    <cellStyle name="쉼표 [0] 3 6 7 3" xfId="3096"/>
    <cellStyle name="쉼표 [0] 3 6 8" xfId="3097"/>
    <cellStyle name="쉼표 [0] 3 6 8 2" xfId="3098"/>
    <cellStyle name="쉼표 [0] 3 6 9" xfId="3099"/>
    <cellStyle name="쉼표 [0] 3 7" xfId="3100"/>
    <cellStyle name="쉼표 [0] 3 7 2" xfId="3101"/>
    <cellStyle name="쉼표 [0] 3 7 2 2" xfId="3102"/>
    <cellStyle name="쉼표 [0] 3 7 2 2 2" xfId="3103"/>
    <cellStyle name="쉼표 [0] 3 7 2 2 2 2" xfId="3104"/>
    <cellStyle name="쉼표 [0] 3 7 2 2 2 2 2" xfId="3105"/>
    <cellStyle name="쉼표 [0] 3 7 2 2 2 2 2 2" xfId="3106"/>
    <cellStyle name="쉼표 [0] 3 7 2 2 2 2 2 2 2" xfId="3107"/>
    <cellStyle name="쉼표 [0] 3 7 2 2 2 2 2 3" xfId="3108"/>
    <cellStyle name="쉼표 [0] 3 7 2 2 2 2 3" xfId="3109"/>
    <cellStyle name="쉼표 [0] 3 7 2 2 2 2 3 2" xfId="3110"/>
    <cellStyle name="쉼표 [0] 3 7 2 2 2 2 4" xfId="3111"/>
    <cellStyle name="쉼표 [0] 3 7 2 2 2 3" xfId="3112"/>
    <cellStyle name="쉼표 [0] 3 7 2 2 2 3 2" xfId="3113"/>
    <cellStyle name="쉼표 [0] 3 7 2 2 2 3 2 2" xfId="3114"/>
    <cellStyle name="쉼표 [0] 3 7 2 2 2 3 3" xfId="3115"/>
    <cellStyle name="쉼표 [0] 3 7 2 2 2 4" xfId="3116"/>
    <cellStyle name="쉼표 [0] 3 7 2 2 2 4 2" xfId="3117"/>
    <cellStyle name="쉼표 [0] 3 7 2 2 2 5" xfId="3118"/>
    <cellStyle name="쉼표 [0] 3 7 2 2 3" xfId="3119"/>
    <cellStyle name="쉼표 [0] 3 7 2 2 3 2" xfId="3120"/>
    <cellStyle name="쉼표 [0] 3 7 2 2 3 2 2" xfId="3121"/>
    <cellStyle name="쉼표 [0] 3 7 2 2 3 2 2 2" xfId="3122"/>
    <cellStyle name="쉼표 [0] 3 7 2 2 3 2 3" xfId="3123"/>
    <cellStyle name="쉼표 [0] 3 7 2 2 3 3" xfId="3124"/>
    <cellStyle name="쉼표 [0] 3 7 2 2 3 3 2" xfId="3125"/>
    <cellStyle name="쉼표 [0] 3 7 2 2 3 4" xfId="3126"/>
    <cellStyle name="쉼표 [0] 3 7 2 2 4" xfId="3127"/>
    <cellStyle name="쉼표 [0] 3 7 2 2 4 2" xfId="3128"/>
    <cellStyle name="쉼표 [0] 3 7 2 2 4 2 2" xfId="3129"/>
    <cellStyle name="쉼표 [0] 3 7 2 2 4 3" xfId="3130"/>
    <cellStyle name="쉼표 [0] 3 7 2 2 5" xfId="3131"/>
    <cellStyle name="쉼표 [0] 3 7 2 2 5 2" xfId="3132"/>
    <cellStyle name="쉼표 [0] 3 7 2 2 6" xfId="3133"/>
    <cellStyle name="쉼표 [0] 3 7 2 3" xfId="3134"/>
    <cellStyle name="쉼표 [0] 3 7 2 3 2" xfId="3135"/>
    <cellStyle name="쉼표 [0] 3 7 2 3 2 2" xfId="3136"/>
    <cellStyle name="쉼표 [0] 3 7 2 3 2 2 2" xfId="3137"/>
    <cellStyle name="쉼표 [0] 3 7 2 3 2 2 2 2" xfId="3138"/>
    <cellStyle name="쉼표 [0] 3 7 2 3 2 2 3" xfId="3139"/>
    <cellStyle name="쉼표 [0] 3 7 2 3 2 3" xfId="3140"/>
    <cellStyle name="쉼표 [0] 3 7 2 3 2 3 2" xfId="3141"/>
    <cellStyle name="쉼표 [0] 3 7 2 3 2 4" xfId="3142"/>
    <cellStyle name="쉼표 [0] 3 7 2 3 3" xfId="3143"/>
    <cellStyle name="쉼표 [0] 3 7 2 3 3 2" xfId="3144"/>
    <cellStyle name="쉼표 [0] 3 7 2 3 3 2 2" xfId="3145"/>
    <cellStyle name="쉼표 [0] 3 7 2 3 3 3" xfId="3146"/>
    <cellStyle name="쉼표 [0] 3 7 2 3 4" xfId="3147"/>
    <cellStyle name="쉼표 [0] 3 7 2 3 4 2" xfId="3148"/>
    <cellStyle name="쉼표 [0] 3 7 2 3 5" xfId="3149"/>
    <cellStyle name="쉼표 [0] 3 7 2 4" xfId="3150"/>
    <cellStyle name="쉼표 [0] 3 7 2 4 2" xfId="3151"/>
    <cellStyle name="쉼표 [0] 3 7 2 4 2 2" xfId="3152"/>
    <cellStyle name="쉼표 [0] 3 7 2 4 2 2 2" xfId="3153"/>
    <cellStyle name="쉼표 [0] 3 7 2 4 2 3" xfId="3154"/>
    <cellStyle name="쉼표 [0] 3 7 2 4 3" xfId="3155"/>
    <cellStyle name="쉼표 [0] 3 7 2 4 3 2" xfId="3156"/>
    <cellStyle name="쉼표 [0] 3 7 2 4 4" xfId="3157"/>
    <cellStyle name="쉼표 [0] 3 7 2 5" xfId="3158"/>
    <cellStyle name="쉼표 [0] 3 7 2 5 2" xfId="3159"/>
    <cellStyle name="쉼표 [0] 3 7 2 5 2 2" xfId="3160"/>
    <cellStyle name="쉼표 [0] 3 7 2 5 3" xfId="3161"/>
    <cellStyle name="쉼표 [0] 3 7 2 6" xfId="3162"/>
    <cellStyle name="쉼표 [0] 3 7 2 6 2" xfId="3163"/>
    <cellStyle name="쉼표 [0] 3 7 2 7" xfId="3164"/>
    <cellStyle name="쉼표 [0] 3 7 2 8" xfId="3165"/>
    <cellStyle name="쉼표 [0] 3 7 3" xfId="3166"/>
    <cellStyle name="쉼표 [0] 3 7 3 2" xfId="3167"/>
    <cellStyle name="쉼표 [0] 3 7 3 2 2" xfId="3168"/>
    <cellStyle name="쉼표 [0] 3 7 3 2 2 2" xfId="3169"/>
    <cellStyle name="쉼표 [0] 3 7 3 2 2 2 2" xfId="3170"/>
    <cellStyle name="쉼표 [0] 3 7 3 2 2 2 2 2" xfId="3171"/>
    <cellStyle name="쉼표 [0] 3 7 3 2 2 2 3" xfId="3172"/>
    <cellStyle name="쉼표 [0] 3 7 3 2 2 3" xfId="3173"/>
    <cellStyle name="쉼표 [0] 3 7 3 2 2 3 2" xfId="3174"/>
    <cellStyle name="쉼표 [0] 3 7 3 2 2 4" xfId="3175"/>
    <cellStyle name="쉼표 [0] 3 7 3 2 3" xfId="3176"/>
    <cellStyle name="쉼표 [0] 3 7 3 2 3 2" xfId="3177"/>
    <cellStyle name="쉼표 [0] 3 7 3 2 3 2 2" xfId="3178"/>
    <cellStyle name="쉼표 [0] 3 7 3 2 3 3" xfId="3179"/>
    <cellStyle name="쉼표 [0] 3 7 3 2 4" xfId="3180"/>
    <cellStyle name="쉼표 [0] 3 7 3 2 4 2" xfId="3181"/>
    <cellStyle name="쉼표 [0] 3 7 3 2 5" xfId="3182"/>
    <cellStyle name="쉼표 [0] 3 7 3 3" xfId="3183"/>
    <cellStyle name="쉼표 [0] 3 7 3 3 2" xfId="3184"/>
    <cellStyle name="쉼표 [0] 3 7 3 3 2 2" xfId="3185"/>
    <cellStyle name="쉼표 [0] 3 7 3 3 2 2 2" xfId="3186"/>
    <cellStyle name="쉼표 [0] 3 7 3 3 2 3" xfId="3187"/>
    <cellStyle name="쉼표 [0] 3 7 3 3 3" xfId="3188"/>
    <cellStyle name="쉼표 [0] 3 7 3 3 3 2" xfId="3189"/>
    <cellStyle name="쉼표 [0] 3 7 3 3 4" xfId="3190"/>
    <cellStyle name="쉼표 [0] 3 7 3 4" xfId="3191"/>
    <cellStyle name="쉼표 [0] 3 7 3 4 2" xfId="3192"/>
    <cellStyle name="쉼표 [0] 3 7 3 4 2 2" xfId="3193"/>
    <cellStyle name="쉼표 [0] 3 7 3 4 3" xfId="3194"/>
    <cellStyle name="쉼표 [0] 3 7 3 5" xfId="3195"/>
    <cellStyle name="쉼표 [0] 3 7 3 5 2" xfId="3196"/>
    <cellStyle name="쉼표 [0] 3 7 3 6" xfId="3197"/>
    <cellStyle name="쉼표 [0] 3 7 4" xfId="3198"/>
    <cellStyle name="쉼표 [0] 3 7 4 2" xfId="3199"/>
    <cellStyle name="쉼표 [0] 3 7 4 2 2" xfId="3200"/>
    <cellStyle name="쉼표 [0] 3 7 4 2 2 2" xfId="3201"/>
    <cellStyle name="쉼표 [0] 3 7 4 2 2 2 2" xfId="3202"/>
    <cellStyle name="쉼표 [0] 3 7 4 2 2 3" xfId="3203"/>
    <cellStyle name="쉼표 [0] 3 7 4 2 3" xfId="3204"/>
    <cellStyle name="쉼표 [0] 3 7 4 2 3 2" xfId="3205"/>
    <cellStyle name="쉼표 [0] 3 7 4 2 4" xfId="3206"/>
    <cellStyle name="쉼표 [0] 3 7 4 3" xfId="3207"/>
    <cellStyle name="쉼표 [0] 3 7 4 3 2" xfId="3208"/>
    <cellStyle name="쉼표 [0] 3 7 4 3 2 2" xfId="3209"/>
    <cellStyle name="쉼표 [0] 3 7 4 3 3" xfId="3210"/>
    <cellStyle name="쉼표 [0] 3 7 4 4" xfId="3211"/>
    <cellStyle name="쉼표 [0] 3 7 4 4 2" xfId="3212"/>
    <cellStyle name="쉼표 [0] 3 7 4 5" xfId="3213"/>
    <cellStyle name="쉼표 [0] 3 7 5" xfId="3214"/>
    <cellStyle name="쉼표 [0] 3 7 5 2" xfId="3215"/>
    <cellStyle name="쉼표 [0] 3 7 5 2 2" xfId="3216"/>
    <cellStyle name="쉼표 [0] 3 7 5 2 2 2" xfId="3217"/>
    <cellStyle name="쉼표 [0] 3 7 5 2 3" xfId="3218"/>
    <cellStyle name="쉼표 [0] 3 7 5 3" xfId="3219"/>
    <cellStyle name="쉼표 [0] 3 7 5 3 2" xfId="3220"/>
    <cellStyle name="쉼표 [0] 3 7 5 4" xfId="3221"/>
    <cellStyle name="쉼표 [0] 3 7 6" xfId="3222"/>
    <cellStyle name="쉼표 [0] 3 7 6 2" xfId="3223"/>
    <cellStyle name="쉼표 [0] 3 7 6 2 2" xfId="3224"/>
    <cellStyle name="쉼표 [0] 3 7 6 3" xfId="3225"/>
    <cellStyle name="쉼표 [0] 3 7 7" xfId="3226"/>
    <cellStyle name="쉼표 [0] 3 7 7 2" xfId="3227"/>
    <cellStyle name="쉼표 [0] 3 7 8" xfId="3228"/>
    <cellStyle name="쉼표 [0] 3 7 9" xfId="3229"/>
    <cellStyle name="쉼표 [0] 3 8" xfId="3230"/>
    <cellStyle name="쉼표 [0] 3 8 2" xfId="3231"/>
    <cellStyle name="쉼표 [0] 3 8 2 2" xfId="3232"/>
    <cellStyle name="쉼표 [0] 3 8 2 2 2" xfId="3233"/>
    <cellStyle name="쉼표 [0] 3 8 2 2 2 2" xfId="3234"/>
    <cellStyle name="쉼표 [0] 3 8 2 2 2 2 2" xfId="3235"/>
    <cellStyle name="쉼표 [0] 3 8 2 2 2 2 2 2" xfId="3236"/>
    <cellStyle name="쉼표 [0] 3 8 2 2 2 2 3" xfId="3237"/>
    <cellStyle name="쉼표 [0] 3 8 2 2 2 3" xfId="3238"/>
    <cellStyle name="쉼표 [0] 3 8 2 2 2 3 2" xfId="3239"/>
    <cellStyle name="쉼표 [0] 3 8 2 2 2 4" xfId="3240"/>
    <cellStyle name="쉼표 [0] 3 8 2 2 3" xfId="3241"/>
    <cellStyle name="쉼표 [0] 3 8 2 2 3 2" xfId="3242"/>
    <cellStyle name="쉼표 [0] 3 8 2 2 3 2 2" xfId="3243"/>
    <cellStyle name="쉼표 [0] 3 8 2 2 3 3" xfId="3244"/>
    <cellStyle name="쉼표 [0] 3 8 2 2 4" xfId="3245"/>
    <cellStyle name="쉼표 [0] 3 8 2 2 4 2" xfId="3246"/>
    <cellStyle name="쉼표 [0] 3 8 2 2 5" xfId="3247"/>
    <cellStyle name="쉼표 [0] 3 8 2 3" xfId="3248"/>
    <cellStyle name="쉼표 [0] 3 8 2 3 2" xfId="3249"/>
    <cellStyle name="쉼표 [0] 3 8 2 3 2 2" xfId="3250"/>
    <cellStyle name="쉼표 [0] 3 8 2 3 2 2 2" xfId="3251"/>
    <cellStyle name="쉼표 [0] 3 8 2 3 2 3" xfId="3252"/>
    <cellStyle name="쉼표 [0] 3 8 2 3 3" xfId="3253"/>
    <cellStyle name="쉼표 [0] 3 8 2 3 3 2" xfId="3254"/>
    <cellStyle name="쉼표 [0] 3 8 2 3 4" xfId="3255"/>
    <cellStyle name="쉼표 [0] 3 8 2 4" xfId="3256"/>
    <cellStyle name="쉼표 [0] 3 8 2 4 2" xfId="3257"/>
    <cellStyle name="쉼표 [0] 3 8 2 4 2 2" xfId="3258"/>
    <cellStyle name="쉼표 [0] 3 8 2 4 3" xfId="3259"/>
    <cellStyle name="쉼표 [0] 3 8 2 5" xfId="3260"/>
    <cellStyle name="쉼표 [0] 3 8 2 5 2" xfId="3261"/>
    <cellStyle name="쉼표 [0] 3 8 2 6" xfId="3262"/>
    <cellStyle name="쉼표 [0] 3 8 3" xfId="3263"/>
    <cellStyle name="쉼표 [0] 3 8 3 2" xfId="3264"/>
    <cellStyle name="쉼표 [0] 3 8 3 2 2" xfId="3265"/>
    <cellStyle name="쉼표 [0] 3 8 3 2 2 2" xfId="3266"/>
    <cellStyle name="쉼표 [0] 3 8 3 2 2 2 2" xfId="3267"/>
    <cellStyle name="쉼표 [0] 3 8 3 2 2 3" xfId="3268"/>
    <cellStyle name="쉼표 [0] 3 8 3 2 3" xfId="3269"/>
    <cellStyle name="쉼표 [0] 3 8 3 2 3 2" xfId="3270"/>
    <cellStyle name="쉼표 [0] 3 8 3 2 4" xfId="3271"/>
    <cellStyle name="쉼표 [0] 3 8 3 3" xfId="3272"/>
    <cellStyle name="쉼표 [0] 3 8 3 3 2" xfId="3273"/>
    <cellStyle name="쉼표 [0] 3 8 3 3 2 2" xfId="3274"/>
    <cellStyle name="쉼표 [0] 3 8 3 3 3" xfId="3275"/>
    <cellStyle name="쉼표 [0] 3 8 3 4" xfId="3276"/>
    <cellStyle name="쉼표 [0] 3 8 3 4 2" xfId="3277"/>
    <cellStyle name="쉼표 [0] 3 8 3 5" xfId="3278"/>
    <cellStyle name="쉼표 [0] 3 8 4" xfId="3279"/>
    <cellStyle name="쉼표 [0] 3 8 4 2" xfId="3280"/>
    <cellStyle name="쉼표 [0] 3 8 4 2 2" xfId="3281"/>
    <cellStyle name="쉼표 [0] 3 8 4 2 2 2" xfId="3282"/>
    <cellStyle name="쉼표 [0] 3 8 4 2 3" xfId="3283"/>
    <cellStyle name="쉼표 [0] 3 8 4 3" xfId="3284"/>
    <cellStyle name="쉼표 [0] 3 8 4 3 2" xfId="3285"/>
    <cellStyle name="쉼표 [0] 3 8 4 4" xfId="3286"/>
    <cellStyle name="쉼표 [0] 3 8 5" xfId="3287"/>
    <cellStyle name="쉼표 [0] 3 8 5 2" xfId="3288"/>
    <cellStyle name="쉼표 [0] 3 8 5 2 2" xfId="3289"/>
    <cellStyle name="쉼표 [0] 3 8 5 3" xfId="3290"/>
    <cellStyle name="쉼표 [0] 3 8 6" xfId="3291"/>
    <cellStyle name="쉼표 [0] 3 8 6 2" xfId="3292"/>
    <cellStyle name="쉼표 [0] 3 8 7" xfId="3293"/>
    <cellStyle name="쉼표 [0] 3 8 8" xfId="3294"/>
    <cellStyle name="쉼표 [0] 3 9" xfId="3295"/>
    <cellStyle name="쉼표 [0] 3 9 2" xfId="3296"/>
    <cellStyle name="쉼표 [0] 3 9 2 2" xfId="3297"/>
    <cellStyle name="쉼표 [0] 3 9 2 2 2" xfId="3298"/>
    <cellStyle name="쉼표 [0] 3 9 2 2 2 2" xfId="3299"/>
    <cellStyle name="쉼표 [0] 3 9 2 2 2 2 2" xfId="3300"/>
    <cellStyle name="쉼표 [0] 3 9 2 2 2 3" xfId="3301"/>
    <cellStyle name="쉼표 [0] 3 9 2 2 3" xfId="3302"/>
    <cellStyle name="쉼표 [0] 3 9 2 2 3 2" xfId="3303"/>
    <cellStyle name="쉼표 [0] 3 9 2 2 4" xfId="3304"/>
    <cellStyle name="쉼표 [0] 3 9 2 3" xfId="3305"/>
    <cellStyle name="쉼표 [0] 3 9 2 3 2" xfId="3306"/>
    <cellStyle name="쉼표 [0] 3 9 2 3 2 2" xfId="3307"/>
    <cellStyle name="쉼표 [0] 3 9 2 3 3" xfId="3308"/>
    <cellStyle name="쉼표 [0] 3 9 2 4" xfId="3309"/>
    <cellStyle name="쉼표 [0] 3 9 2 4 2" xfId="3310"/>
    <cellStyle name="쉼표 [0] 3 9 2 5" xfId="3311"/>
    <cellStyle name="쉼표 [0] 3 9 3" xfId="3312"/>
    <cellStyle name="쉼표 [0] 3 9 3 2" xfId="3313"/>
    <cellStyle name="쉼표 [0] 3 9 3 2 2" xfId="3314"/>
    <cellStyle name="쉼표 [0] 3 9 3 2 2 2" xfId="3315"/>
    <cellStyle name="쉼표 [0] 3 9 3 2 3" xfId="3316"/>
    <cellStyle name="쉼표 [0] 3 9 3 3" xfId="3317"/>
    <cellStyle name="쉼표 [0] 3 9 3 3 2" xfId="3318"/>
    <cellStyle name="쉼표 [0] 3 9 3 4" xfId="3319"/>
    <cellStyle name="쉼표 [0] 3 9 4" xfId="3320"/>
    <cellStyle name="쉼표 [0] 3 9 4 2" xfId="3321"/>
    <cellStyle name="쉼표 [0] 3 9 4 2 2" xfId="3322"/>
    <cellStyle name="쉼표 [0] 3 9 4 3" xfId="3323"/>
    <cellStyle name="쉼표 [0] 3 9 5" xfId="3324"/>
    <cellStyle name="쉼표 [0] 3 9 5 2" xfId="3325"/>
    <cellStyle name="쉼표 [0] 3 9 6" xfId="3326"/>
    <cellStyle name="쉼표 [0] 4" xfId="9"/>
    <cellStyle name="쉼표 [0] 4 10" xfId="3327"/>
    <cellStyle name="쉼표 [0] 4 11" xfId="3328"/>
    <cellStyle name="쉼표 [0] 4 2" xfId="3329"/>
    <cellStyle name="쉼표 [0] 4 2 10" xfId="3330"/>
    <cellStyle name="쉼표 [0] 4 2 2" xfId="3331"/>
    <cellStyle name="쉼표 [0] 4 2 2 2" xfId="3332"/>
    <cellStyle name="쉼표 [0] 4 2 2 2 2" xfId="3333"/>
    <cellStyle name="쉼표 [0] 4 2 2 2 2 2" xfId="3334"/>
    <cellStyle name="쉼표 [0] 4 2 2 2 2 2 2" xfId="3335"/>
    <cellStyle name="쉼표 [0] 4 2 2 2 2 2 2 2" xfId="3336"/>
    <cellStyle name="쉼표 [0] 4 2 2 2 2 2 2 2 2" xfId="3337"/>
    <cellStyle name="쉼표 [0] 4 2 2 2 2 2 2 2 2 2" xfId="3338"/>
    <cellStyle name="쉼표 [0] 4 2 2 2 2 2 2 2 3" xfId="3339"/>
    <cellStyle name="쉼표 [0] 4 2 2 2 2 2 2 3" xfId="3340"/>
    <cellStyle name="쉼표 [0] 4 2 2 2 2 2 2 3 2" xfId="3341"/>
    <cellStyle name="쉼표 [0] 4 2 2 2 2 2 2 4" xfId="3342"/>
    <cellStyle name="쉼표 [0] 4 2 2 2 2 2 3" xfId="3343"/>
    <cellStyle name="쉼표 [0] 4 2 2 2 2 2 3 2" xfId="3344"/>
    <cellStyle name="쉼표 [0] 4 2 2 2 2 2 3 2 2" xfId="3345"/>
    <cellStyle name="쉼표 [0] 4 2 2 2 2 2 3 3" xfId="3346"/>
    <cellStyle name="쉼표 [0] 4 2 2 2 2 2 4" xfId="3347"/>
    <cellStyle name="쉼표 [0] 4 2 2 2 2 2 4 2" xfId="3348"/>
    <cellStyle name="쉼표 [0] 4 2 2 2 2 2 5" xfId="3349"/>
    <cellStyle name="쉼표 [0] 4 2 2 2 2 3" xfId="3350"/>
    <cellStyle name="쉼표 [0] 4 2 2 2 2 3 2" xfId="3351"/>
    <cellStyle name="쉼표 [0] 4 2 2 2 2 3 2 2" xfId="3352"/>
    <cellStyle name="쉼표 [0] 4 2 2 2 2 3 2 2 2" xfId="3353"/>
    <cellStyle name="쉼표 [0] 4 2 2 2 2 3 2 3" xfId="3354"/>
    <cellStyle name="쉼표 [0] 4 2 2 2 2 3 3" xfId="3355"/>
    <cellStyle name="쉼표 [0] 4 2 2 2 2 3 3 2" xfId="3356"/>
    <cellStyle name="쉼표 [0] 4 2 2 2 2 3 4" xfId="3357"/>
    <cellStyle name="쉼표 [0] 4 2 2 2 2 4" xfId="3358"/>
    <cellStyle name="쉼표 [0] 4 2 2 2 2 4 2" xfId="3359"/>
    <cellStyle name="쉼표 [0] 4 2 2 2 2 4 2 2" xfId="3360"/>
    <cellStyle name="쉼표 [0] 4 2 2 2 2 4 3" xfId="3361"/>
    <cellStyle name="쉼표 [0] 4 2 2 2 2 5" xfId="3362"/>
    <cellStyle name="쉼표 [0] 4 2 2 2 2 5 2" xfId="3363"/>
    <cellStyle name="쉼표 [0] 4 2 2 2 2 6" xfId="3364"/>
    <cellStyle name="쉼표 [0] 4 2 2 2 3" xfId="3365"/>
    <cellStyle name="쉼표 [0] 4 2 2 2 3 2" xfId="3366"/>
    <cellStyle name="쉼표 [0] 4 2 2 2 3 2 2" xfId="3367"/>
    <cellStyle name="쉼표 [0] 4 2 2 2 3 2 2 2" xfId="3368"/>
    <cellStyle name="쉼표 [0] 4 2 2 2 3 2 2 2 2" xfId="3369"/>
    <cellStyle name="쉼표 [0] 4 2 2 2 3 2 2 3" xfId="3370"/>
    <cellStyle name="쉼표 [0] 4 2 2 2 3 2 3" xfId="3371"/>
    <cellStyle name="쉼표 [0] 4 2 2 2 3 2 3 2" xfId="3372"/>
    <cellStyle name="쉼표 [0] 4 2 2 2 3 2 4" xfId="3373"/>
    <cellStyle name="쉼표 [0] 4 2 2 2 3 3" xfId="3374"/>
    <cellStyle name="쉼표 [0] 4 2 2 2 3 3 2" xfId="3375"/>
    <cellStyle name="쉼표 [0] 4 2 2 2 3 3 2 2" xfId="3376"/>
    <cellStyle name="쉼표 [0] 4 2 2 2 3 3 3" xfId="3377"/>
    <cellStyle name="쉼표 [0] 4 2 2 2 3 4" xfId="3378"/>
    <cellStyle name="쉼표 [0] 4 2 2 2 3 4 2" xfId="3379"/>
    <cellStyle name="쉼표 [0] 4 2 2 2 3 5" xfId="3380"/>
    <cellStyle name="쉼표 [0] 4 2 2 2 4" xfId="3381"/>
    <cellStyle name="쉼표 [0] 4 2 2 2 4 2" xfId="3382"/>
    <cellStyle name="쉼표 [0] 4 2 2 2 4 2 2" xfId="3383"/>
    <cellStyle name="쉼표 [0] 4 2 2 2 4 2 2 2" xfId="3384"/>
    <cellStyle name="쉼표 [0] 4 2 2 2 4 2 3" xfId="3385"/>
    <cellStyle name="쉼표 [0] 4 2 2 2 4 3" xfId="3386"/>
    <cellStyle name="쉼표 [0] 4 2 2 2 4 3 2" xfId="3387"/>
    <cellStyle name="쉼표 [0] 4 2 2 2 4 4" xfId="3388"/>
    <cellStyle name="쉼표 [0] 4 2 2 2 5" xfId="3389"/>
    <cellStyle name="쉼표 [0] 4 2 2 2 5 2" xfId="3390"/>
    <cellStyle name="쉼표 [0] 4 2 2 2 5 2 2" xfId="3391"/>
    <cellStyle name="쉼표 [0] 4 2 2 2 5 3" xfId="3392"/>
    <cellStyle name="쉼표 [0] 4 2 2 2 6" xfId="3393"/>
    <cellStyle name="쉼표 [0] 4 2 2 2 6 2" xfId="3394"/>
    <cellStyle name="쉼표 [0] 4 2 2 2 7" xfId="3395"/>
    <cellStyle name="쉼표 [0] 4 2 2 2 8" xfId="3396"/>
    <cellStyle name="쉼표 [0] 4 2 2 3" xfId="3397"/>
    <cellStyle name="쉼표 [0] 4 2 2 3 2" xfId="3398"/>
    <cellStyle name="쉼표 [0] 4 2 2 3 2 2" xfId="3399"/>
    <cellStyle name="쉼표 [0] 4 2 2 3 2 2 2" xfId="3400"/>
    <cellStyle name="쉼표 [0] 4 2 2 3 2 2 2 2" xfId="3401"/>
    <cellStyle name="쉼표 [0] 4 2 2 3 2 2 2 2 2" xfId="3402"/>
    <cellStyle name="쉼표 [0] 4 2 2 3 2 2 2 3" xfId="3403"/>
    <cellStyle name="쉼표 [0] 4 2 2 3 2 2 3" xfId="3404"/>
    <cellStyle name="쉼표 [0] 4 2 2 3 2 2 3 2" xfId="3405"/>
    <cellStyle name="쉼표 [0] 4 2 2 3 2 2 4" xfId="3406"/>
    <cellStyle name="쉼표 [0] 4 2 2 3 2 3" xfId="3407"/>
    <cellStyle name="쉼표 [0] 4 2 2 3 2 3 2" xfId="3408"/>
    <cellStyle name="쉼표 [0] 4 2 2 3 2 3 2 2" xfId="3409"/>
    <cellStyle name="쉼표 [0] 4 2 2 3 2 3 3" xfId="3410"/>
    <cellStyle name="쉼표 [0] 4 2 2 3 2 4" xfId="3411"/>
    <cellStyle name="쉼표 [0] 4 2 2 3 2 4 2" xfId="3412"/>
    <cellStyle name="쉼표 [0] 4 2 2 3 2 5" xfId="3413"/>
    <cellStyle name="쉼표 [0] 4 2 2 3 3" xfId="3414"/>
    <cellStyle name="쉼표 [0] 4 2 2 3 3 2" xfId="3415"/>
    <cellStyle name="쉼표 [0] 4 2 2 3 3 2 2" xfId="3416"/>
    <cellStyle name="쉼표 [0] 4 2 2 3 3 2 2 2" xfId="3417"/>
    <cellStyle name="쉼표 [0] 4 2 2 3 3 2 3" xfId="3418"/>
    <cellStyle name="쉼표 [0] 4 2 2 3 3 3" xfId="3419"/>
    <cellStyle name="쉼표 [0] 4 2 2 3 3 3 2" xfId="3420"/>
    <cellStyle name="쉼표 [0] 4 2 2 3 3 4" xfId="3421"/>
    <cellStyle name="쉼표 [0] 4 2 2 3 4" xfId="3422"/>
    <cellStyle name="쉼표 [0] 4 2 2 3 4 2" xfId="3423"/>
    <cellStyle name="쉼표 [0] 4 2 2 3 4 2 2" xfId="3424"/>
    <cellStyle name="쉼표 [0] 4 2 2 3 4 3" xfId="3425"/>
    <cellStyle name="쉼표 [0] 4 2 2 3 5" xfId="3426"/>
    <cellStyle name="쉼표 [0] 4 2 2 3 5 2" xfId="3427"/>
    <cellStyle name="쉼표 [0] 4 2 2 3 6" xfId="3428"/>
    <cellStyle name="쉼표 [0] 4 2 2 4" xfId="3429"/>
    <cellStyle name="쉼표 [0] 4 2 2 4 2" xfId="3430"/>
    <cellStyle name="쉼표 [0] 4 2 2 4 2 2" xfId="3431"/>
    <cellStyle name="쉼표 [0] 4 2 2 4 2 2 2" xfId="3432"/>
    <cellStyle name="쉼표 [0] 4 2 2 4 2 2 2 2" xfId="3433"/>
    <cellStyle name="쉼표 [0] 4 2 2 4 2 2 3" xfId="3434"/>
    <cellStyle name="쉼표 [0] 4 2 2 4 2 3" xfId="3435"/>
    <cellStyle name="쉼표 [0] 4 2 2 4 2 3 2" xfId="3436"/>
    <cellStyle name="쉼표 [0] 4 2 2 4 2 4" xfId="3437"/>
    <cellStyle name="쉼표 [0] 4 2 2 4 3" xfId="3438"/>
    <cellStyle name="쉼표 [0] 4 2 2 4 3 2" xfId="3439"/>
    <cellStyle name="쉼표 [0] 4 2 2 4 3 2 2" xfId="3440"/>
    <cellStyle name="쉼표 [0] 4 2 2 4 3 3" xfId="3441"/>
    <cellStyle name="쉼표 [0] 4 2 2 4 4" xfId="3442"/>
    <cellStyle name="쉼표 [0] 4 2 2 4 4 2" xfId="3443"/>
    <cellStyle name="쉼표 [0] 4 2 2 4 5" xfId="3444"/>
    <cellStyle name="쉼표 [0] 4 2 2 5" xfId="3445"/>
    <cellStyle name="쉼표 [0] 4 2 2 5 2" xfId="3446"/>
    <cellStyle name="쉼표 [0] 4 2 2 5 2 2" xfId="3447"/>
    <cellStyle name="쉼표 [0] 4 2 2 5 2 2 2" xfId="3448"/>
    <cellStyle name="쉼표 [0] 4 2 2 5 2 3" xfId="3449"/>
    <cellStyle name="쉼표 [0] 4 2 2 5 3" xfId="3450"/>
    <cellStyle name="쉼표 [0] 4 2 2 5 3 2" xfId="3451"/>
    <cellStyle name="쉼표 [0] 4 2 2 5 4" xfId="3452"/>
    <cellStyle name="쉼표 [0] 4 2 2 6" xfId="3453"/>
    <cellStyle name="쉼표 [0] 4 2 2 6 2" xfId="3454"/>
    <cellStyle name="쉼표 [0] 4 2 2 6 2 2" xfId="3455"/>
    <cellStyle name="쉼표 [0] 4 2 2 6 3" xfId="3456"/>
    <cellStyle name="쉼표 [0] 4 2 2 7" xfId="3457"/>
    <cellStyle name="쉼표 [0] 4 2 2 7 2" xfId="3458"/>
    <cellStyle name="쉼표 [0] 4 2 2 8" xfId="3459"/>
    <cellStyle name="쉼표 [0] 4 2 2 9" xfId="3460"/>
    <cellStyle name="쉼표 [0] 4 2 3" xfId="3461"/>
    <cellStyle name="쉼표 [0] 4 2 3 2" xfId="3462"/>
    <cellStyle name="쉼표 [0] 4 2 3 2 2" xfId="3463"/>
    <cellStyle name="쉼표 [0] 4 2 3 2 2 2" xfId="3464"/>
    <cellStyle name="쉼표 [0] 4 2 3 2 2 2 2" xfId="3465"/>
    <cellStyle name="쉼표 [0] 4 2 3 2 2 2 2 2" xfId="3466"/>
    <cellStyle name="쉼표 [0] 4 2 3 2 2 2 2 2 2" xfId="3467"/>
    <cellStyle name="쉼표 [0] 4 2 3 2 2 2 2 3" xfId="3468"/>
    <cellStyle name="쉼표 [0] 4 2 3 2 2 2 3" xfId="3469"/>
    <cellStyle name="쉼표 [0] 4 2 3 2 2 2 3 2" xfId="3470"/>
    <cellStyle name="쉼표 [0] 4 2 3 2 2 2 4" xfId="3471"/>
    <cellStyle name="쉼표 [0] 4 2 3 2 2 3" xfId="3472"/>
    <cellStyle name="쉼표 [0] 4 2 3 2 2 3 2" xfId="3473"/>
    <cellStyle name="쉼표 [0] 4 2 3 2 2 3 2 2" xfId="3474"/>
    <cellStyle name="쉼표 [0] 4 2 3 2 2 3 3" xfId="3475"/>
    <cellStyle name="쉼표 [0] 4 2 3 2 2 4" xfId="3476"/>
    <cellStyle name="쉼표 [0] 4 2 3 2 2 4 2" xfId="3477"/>
    <cellStyle name="쉼표 [0] 4 2 3 2 2 5" xfId="3478"/>
    <cellStyle name="쉼표 [0] 4 2 3 2 3" xfId="3479"/>
    <cellStyle name="쉼표 [0] 4 2 3 2 3 2" xfId="3480"/>
    <cellStyle name="쉼표 [0] 4 2 3 2 3 2 2" xfId="3481"/>
    <cellStyle name="쉼표 [0] 4 2 3 2 3 2 2 2" xfId="3482"/>
    <cellStyle name="쉼표 [0] 4 2 3 2 3 2 3" xfId="3483"/>
    <cellStyle name="쉼표 [0] 4 2 3 2 3 3" xfId="3484"/>
    <cellStyle name="쉼표 [0] 4 2 3 2 3 3 2" xfId="3485"/>
    <cellStyle name="쉼표 [0] 4 2 3 2 3 4" xfId="3486"/>
    <cellStyle name="쉼표 [0] 4 2 3 2 4" xfId="3487"/>
    <cellStyle name="쉼표 [0] 4 2 3 2 4 2" xfId="3488"/>
    <cellStyle name="쉼표 [0] 4 2 3 2 4 2 2" xfId="3489"/>
    <cellStyle name="쉼표 [0] 4 2 3 2 4 3" xfId="3490"/>
    <cellStyle name="쉼표 [0] 4 2 3 2 5" xfId="3491"/>
    <cellStyle name="쉼표 [0] 4 2 3 2 5 2" xfId="3492"/>
    <cellStyle name="쉼표 [0] 4 2 3 2 6" xfId="3493"/>
    <cellStyle name="쉼표 [0] 4 2 3 3" xfId="3494"/>
    <cellStyle name="쉼표 [0] 4 2 3 3 2" xfId="3495"/>
    <cellStyle name="쉼표 [0] 4 2 3 3 2 2" xfId="3496"/>
    <cellStyle name="쉼표 [0] 4 2 3 3 2 2 2" xfId="3497"/>
    <cellStyle name="쉼표 [0] 4 2 3 3 2 2 2 2" xfId="3498"/>
    <cellStyle name="쉼표 [0] 4 2 3 3 2 2 3" xfId="3499"/>
    <cellStyle name="쉼표 [0] 4 2 3 3 2 3" xfId="3500"/>
    <cellStyle name="쉼표 [0] 4 2 3 3 2 3 2" xfId="3501"/>
    <cellStyle name="쉼표 [0] 4 2 3 3 2 4" xfId="3502"/>
    <cellStyle name="쉼표 [0] 4 2 3 3 3" xfId="3503"/>
    <cellStyle name="쉼표 [0] 4 2 3 3 3 2" xfId="3504"/>
    <cellStyle name="쉼표 [0] 4 2 3 3 3 2 2" xfId="3505"/>
    <cellStyle name="쉼표 [0] 4 2 3 3 3 3" xfId="3506"/>
    <cellStyle name="쉼표 [0] 4 2 3 3 4" xfId="3507"/>
    <cellStyle name="쉼표 [0] 4 2 3 3 4 2" xfId="3508"/>
    <cellStyle name="쉼표 [0] 4 2 3 3 5" xfId="3509"/>
    <cellStyle name="쉼표 [0] 4 2 3 4" xfId="3510"/>
    <cellStyle name="쉼표 [0] 4 2 3 4 2" xfId="3511"/>
    <cellStyle name="쉼표 [0] 4 2 3 4 2 2" xfId="3512"/>
    <cellStyle name="쉼표 [0] 4 2 3 4 2 2 2" xfId="3513"/>
    <cellStyle name="쉼표 [0] 4 2 3 4 2 3" xfId="3514"/>
    <cellStyle name="쉼표 [0] 4 2 3 4 3" xfId="3515"/>
    <cellStyle name="쉼표 [0] 4 2 3 4 3 2" xfId="3516"/>
    <cellStyle name="쉼표 [0] 4 2 3 4 4" xfId="3517"/>
    <cellStyle name="쉼표 [0] 4 2 3 5" xfId="3518"/>
    <cellStyle name="쉼표 [0] 4 2 3 5 2" xfId="3519"/>
    <cellStyle name="쉼표 [0] 4 2 3 5 2 2" xfId="3520"/>
    <cellStyle name="쉼표 [0] 4 2 3 5 3" xfId="3521"/>
    <cellStyle name="쉼표 [0] 4 2 3 6" xfId="3522"/>
    <cellStyle name="쉼표 [0] 4 2 3 6 2" xfId="3523"/>
    <cellStyle name="쉼표 [0] 4 2 3 7" xfId="3524"/>
    <cellStyle name="쉼표 [0] 4 2 3 8" xfId="3525"/>
    <cellStyle name="쉼표 [0] 4 2 4" xfId="3526"/>
    <cellStyle name="쉼표 [0] 4 2 4 2" xfId="3527"/>
    <cellStyle name="쉼표 [0] 4 2 4 2 2" xfId="3528"/>
    <cellStyle name="쉼표 [0] 4 2 4 2 2 2" xfId="3529"/>
    <cellStyle name="쉼표 [0] 4 2 4 2 2 2 2" xfId="3530"/>
    <cellStyle name="쉼표 [0] 4 2 4 2 2 2 2 2" xfId="3531"/>
    <cellStyle name="쉼표 [0] 4 2 4 2 2 2 3" xfId="3532"/>
    <cellStyle name="쉼표 [0] 4 2 4 2 2 3" xfId="3533"/>
    <cellStyle name="쉼표 [0] 4 2 4 2 2 3 2" xfId="3534"/>
    <cellStyle name="쉼표 [0] 4 2 4 2 2 4" xfId="3535"/>
    <cellStyle name="쉼표 [0] 4 2 4 2 3" xfId="3536"/>
    <cellStyle name="쉼표 [0] 4 2 4 2 3 2" xfId="3537"/>
    <cellStyle name="쉼표 [0] 4 2 4 2 3 2 2" xfId="3538"/>
    <cellStyle name="쉼표 [0] 4 2 4 2 3 3" xfId="3539"/>
    <cellStyle name="쉼표 [0] 4 2 4 2 4" xfId="3540"/>
    <cellStyle name="쉼표 [0] 4 2 4 2 4 2" xfId="3541"/>
    <cellStyle name="쉼표 [0] 4 2 4 2 5" xfId="3542"/>
    <cellStyle name="쉼표 [0] 4 2 4 3" xfId="3543"/>
    <cellStyle name="쉼표 [0] 4 2 4 3 2" xfId="3544"/>
    <cellStyle name="쉼표 [0] 4 2 4 3 2 2" xfId="3545"/>
    <cellStyle name="쉼표 [0] 4 2 4 3 2 2 2" xfId="3546"/>
    <cellStyle name="쉼표 [0] 4 2 4 3 2 3" xfId="3547"/>
    <cellStyle name="쉼표 [0] 4 2 4 3 3" xfId="3548"/>
    <cellStyle name="쉼표 [0] 4 2 4 3 3 2" xfId="3549"/>
    <cellStyle name="쉼표 [0] 4 2 4 3 4" xfId="3550"/>
    <cellStyle name="쉼표 [0] 4 2 4 4" xfId="3551"/>
    <cellStyle name="쉼표 [0] 4 2 4 4 2" xfId="3552"/>
    <cellStyle name="쉼표 [0] 4 2 4 4 2 2" xfId="3553"/>
    <cellStyle name="쉼표 [0] 4 2 4 4 3" xfId="3554"/>
    <cellStyle name="쉼표 [0] 4 2 4 5" xfId="3555"/>
    <cellStyle name="쉼표 [0] 4 2 4 5 2" xfId="3556"/>
    <cellStyle name="쉼표 [0] 4 2 4 6" xfId="3557"/>
    <cellStyle name="쉼표 [0] 4 2 5" xfId="3558"/>
    <cellStyle name="쉼표 [0] 4 2 5 2" xfId="3559"/>
    <cellStyle name="쉼표 [0] 4 2 5 2 2" xfId="3560"/>
    <cellStyle name="쉼표 [0] 4 2 5 2 2 2" xfId="3561"/>
    <cellStyle name="쉼표 [0] 4 2 5 2 2 2 2" xfId="3562"/>
    <cellStyle name="쉼표 [0] 4 2 5 2 2 3" xfId="3563"/>
    <cellStyle name="쉼표 [0] 4 2 5 2 3" xfId="3564"/>
    <cellStyle name="쉼표 [0] 4 2 5 2 3 2" xfId="3565"/>
    <cellStyle name="쉼표 [0] 4 2 5 2 4" xfId="3566"/>
    <cellStyle name="쉼표 [0] 4 2 5 3" xfId="3567"/>
    <cellStyle name="쉼표 [0] 4 2 5 3 2" xfId="3568"/>
    <cellStyle name="쉼표 [0] 4 2 5 3 2 2" xfId="3569"/>
    <cellStyle name="쉼표 [0] 4 2 5 3 3" xfId="3570"/>
    <cellStyle name="쉼표 [0] 4 2 5 4" xfId="3571"/>
    <cellStyle name="쉼표 [0] 4 2 5 4 2" xfId="3572"/>
    <cellStyle name="쉼표 [0] 4 2 5 5" xfId="3573"/>
    <cellStyle name="쉼표 [0] 4 2 6" xfId="3574"/>
    <cellStyle name="쉼표 [0] 4 2 6 2" xfId="3575"/>
    <cellStyle name="쉼표 [0] 4 2 6 2 2" xfId="3576"/>
    <cellStyle name="쉼표 [0] 4 2 6 2 2 2" xfId="3577"/>
    <cellStyle name="쉼표 [0] 4 2 6 2 3" xfId="3578"/>
    <cellStyle name="쉼표 [0] 4 2 6 3" xfId="3579"/>
    <cellStyle name="쉼표 [0] 4 2 6 3 2" xfId="3580"/>
    <cellStyle name="쉼표 [0] 4 2 6 4" xfId="3581"/>
    <cellStyle name="쉼표 [0] 4 2 7" xfId="3582"/>
    <cellStyle name="쉼표 [0] 4 2 7 2" xfId="3583"/>
    <cellStyle name="쉼표 [0] 4 2 7 2 2" xfId="3584"/>
    <cellStyle name="쉼표 [0] 4 2 7 3" xfId="3585"/>
    <cellStyle name="쉼표 [0] 4 2 8" xfId="3586"/>
    <cellStyle name="쉼표 [0] 4 2 8 2" xfId="3587"/>
    <cellStyle name="쉼표 [0] 4 2 9" xfId="3588"/>
    <cellStyle name="쉼표 [0] 4 3" xfId="3589"/>
    <cellStyle name="쉼표 [0] 4 3 2" xfId="3590"/>
    <cellStyle name="쉼표 [0] 4 3 2 2" xfId="3591"/>
    <cellStyle name="쉼표 [0] 4 3 2 2 2" xfId="3592"/>
    <cellStyle name="쉼표 [0] 4 3 2 2 2 2" xfId="3593"/>
    <cellStyle name="쉼표 [0] 4 3 2 2 2 2 2" xfId="3594"/>
    <cellStyle name="쉼표 [0] 4 3 2 2 2 2 2 2" xfId="3595"/>
    <cellStyle name="쉼표 [0] 4 3 2 2 2 2 2 2 2" xfId="3596"/>
    <cellStyle name="쉼표 [0] 4 3 2 2 2 2 2 3" xfId="3597"/>
    <cellStyle name="쉼표 [0] 4 3 2 2 2 2 3" xfId="3598"/>
    <cellStyle name="쉼표 [0] 4 3 2 2 2 2 3 2" xfId="3599"/>
    <cellStyle name="쉼표 [0] 4 3 2 2 2 2 4" xfId="3600"/>
    <cellStyle name="쉼표 [0] 4 3 2 2 2 3" xfId="3601"/>
    <cellStyle name="쉼표 [0] 4 3 2 2 2 3 2" xfId="3602"/>
    <cellStyle name="쉼표 [0] 4 3 2 2 2 3 2 2" xfId="3603"/>
    <cellStyle name="쉼표 [0] 4 3 2 2 2 3 3" xfId="3604"/>
    <cellStyle name="쉼표 [0] 4 3 2 2 2 4" xfId="3605"/>
    <cellStyle name="쉼표 [0] 4 3 2 2 2 4 2" xfId="3606"/>
    <cellStyle name="쉼표 [0] 4 3 2 2 2 5" xfId="3607"/>
    <cellStyle name="쉼표 [0] 4 3 2 2 3" xfId="3608"/>
    <cellStyle name="쉼표 [0] 4 3 2 2 3 2" xfId="3609"/>
    <cellStyle name="쉼표 [0] 4 3 2 2 3 2 2" xfId="3610"/>
    <cellStyle name="쉼표 [0] 4 3 2 2 3 2 2 2" xfId="3611"/>
    <cellStyle name="쉼표 [0] 4 3 2 2 3 2 3" xfId="3612"/>
    <cellStyle name="쉼표 [0] 4 3 2 2 3 3" xfId="3613"/>
    <cellStyle name="쉼표 [0] 4 3 2 2 3 3 2" xfId="3614"/>
    <cellStyle name="쉼표 [0] 4 3 2 2 3 4" xfId="3615"/>
    <cellStyle name="쉼표 [0] 4 3 2 2 4" xfId="3616"/>
    <cellStyle name="쉼표 [0] 4 3 2 2 4 2" xfId="3617"/>
    <cellStyle name="쉼표 [0] 4 3 2 2 4 2 2" xfId="3618"/>
    <cellStyle name="쉼표 [0] 4 3 2 2 4 3" xfId="3619"/>
    <cellStyle name="쉼표 [0] 4 3 2 2 5" xfId="3620"/>
    <cellStyle name="쉼표 [0] 4 3 2 2 5 2" xfId="3621"/>
    <cellStyle name="쉼표 [0] 4 3 2 2 6" xfId="3622"/>
    <cellStyle name="쉼표 [0] 4 3 2 3" xfId="3623"/>
    <cellStyle name="쉼표 [0] 4 3 2 3 2" xfId="3624"/>
    <cellStyle name="쉼표 [0] 4 3 2 3 2 2" xfId="3625"/>
    <cellStyle name="쉼표 [0] 4 3 2 3 2 2 2" xfId="3626"/>
    <cellStyle name="쉼표 [0] 4 3 2 3 2 2 2 2" xfId="3627"/>
    <cellStyle name="쉼표 [0] 4 3 2 3 2 2 3" xfId="3628"/>
    <cellStyle name="쉼표 [0] 4 3 2 3 2 3" xfId="3629"/>
    <cellStyle name="쉼표 [0] 4 3 2 3 2 3 2" xfId="3630"/>
    <cellStyle name="쉼표 [0] 4 3 2 3 2 4" xfId="3631"/>
    <cellStyle name="쉼표 [0] 4 3 2 3 3" xfId="3632"/>
    <cellStyle name="쉼표 [0] 4 3 2 3 3 2" xfId="3633"/>
    <cellStyle name="쉼표 [0] 4 3 2 3 3 2 2" xfId="3634"/>
    <cellStyle name="쉼표 [0] 4 3 2 3 3 3" xfId="3635"/>
    <cellStyle name="쉼표 [0] 4 3 2 3 4" xfId="3636"/>
    <cellStyle name="쉼표 [0] 4 3 2 3 4 2" xfId="3637"/>
    <cellStyle name="쉼표 [0] 4 3 2 3 5" xfId="3638"/>
    <cellStyle name="쉼표 [0] 4 3 2 4" xfId="3639"/>
    <cellStyle name="쉼표 [0] 4 3 2 4 2" xfId="3640"/>
    <cellStyle name="쉼표 [0] 4 3 2 4 2 2" xfId="3641"/>
    <cellStyle name="쉼표 [0] 4 3 2 4 2 2 2" xfId="3642"/>
    <cellStyle name="쉼표 [0] 4 3 2 4 2 3" xfId="3643"/>
    <cellStyle name="쉼표 [0] 4 3 2 4 3" xfId="3644"/>
    <cellStyle name="쉼표 [0] 4 3 2 4 3 2" xfId="3645"/>
    <cellStyle name="쉼표 [0] 4 3 2 4 4" xfId="3646"/>
    <cellStyle name="쉼표 [0] 4 3 2 5" xfId="3647"/>
    <cellStyle name="쉼표 [0] 4 3 2 5 2" xfId="3648"/>
    <cellStyle name="쉼표 [0] 4 3 2 5 2 2" xfId="3649"/>
    <cellStyle name="쉼표 [0] 4 3 2 5 3" xfId="3650"/>
    <cellStyle name="쉼표 [0] 4 3 2 6" xfId="3651"/>
    <cellStyle name="쉼표 [0] 4 3 2 6 2" xfId="3652"/>
    <cellStyle name="쉼표 [0] 4 3 2 7" xfId="3653"/>
    <cellStyle name="쉼표 [0] 4 3 2 8" xfId="3654"/>
    <cellStyle name="쉼표 [0] 4 3 3" xfId="3655"/>
    <cellStyle name="쉼표 [0] 4 3 3 2" xfId="3656"/>
    <cellStyle name="쉼표 [0] 4 3 3 2 2" xfId="3657"/>
    <cellStyle name="쉼표 [0] 4 3 3 2 2 2" xfId="3658"/>
    <cellStyle name="쉼표 [0] 4 3 3 2 2 2 2" xfId="3659"/>
    <cellStyle name="쉼표 [0] 4 3 3 2 2 2 2 2" xfId="3660"/>
    <cellStyle name="쉼표 [0] 4 3 3 2 2 2 3" xfId="3661"/>
    <cellStyle name="쉼표 [0] 4 3 3 2 2 3" xfId="3662"/>
    <cellStyle name="쉼표 [0] 4 3 3 2 2 3 2" xfId="3663"/>
    <cellStyle name="쉼표 [0] 4 3 3 2 2 4" xfId="3664"/>
    <cellStyle name="쉼표 [0] 4 3 3 2 3" xfId="3665"/>
    <cellStyle name="쉼표 [0] 4 3 3 2 3 2" xfId="3666"/>
    <cellStyle name="쉼표 [0] 4 3 3 2 3 2 2" xfId="3667"/>
    <cellStyle name="쉼표 [0] 4 3 3 2 3 3" xfId="3668"/>
    <cellStyle name="쉼표 [0] 4 3 3 2 4" xfId="3669"/>
    <cellStyle name="쉼표 [0] 4 3 3 2 4 2" xfId="3670"/>
    <cellStyle name="쉼표 [0] 4 3 3 2 5" xfId="3671"/>
    <cellStyle name="쉼표 [0] 4 3 3 3" xfId="3672"/>
    <cellStyle name="쉼표 [0] 4 3 3 3 2" xfId="3673"/>
    <cellStyle name="쉼표 [0] 4 3 3 3 2 2" xfId="3674"/>
    <cellStyle name="쉼표 [0] 4 3 3 3 2 2 2" xfId="3675"/>
    <cellStyle name="쉼표 [0] 4 3 3 3 2 3" xfId="3676"/>
    <cellStyle name="쉼표 [0] 4 3 3 3 3" xfId="3677"/>
    <cellStyle name="쉼표 [0] 4 3 3 3 3 2" xfId="3678"/>
    <cellStyle name="쉼표 [0] 4 3 3 3 4" xfId="3679"/>
    <cellStyle name="쉼표 [0] 4 3 3 4" xfId="3680"/>
    <cellStyle name="쉼표 [0] 4 3 3 4 2" xfId="3681"/>
    <cellStyle name="쉼표 [0] 4 3 3 4 2 2" xfId="3682"/>
    <cellStyle name="쉼표 [0] 4 3 3 4 3" xfId="3683"/>
    <cellStyle name="쉼표 [0] 4 3 3 5" xfId="3684"/>
    <cellStyle name="쉼표 [0] 4 3 3 5 2" xfId="3685"/>
    <cellStyle name="쉼표 [0] 4 3 3 6" xfId="3686"/>
    <cellStyle name="쉼표 [0] 4 3 4" xfId="3687"/>
    <cellStyle name="쉼표 [0] 4 3 4 2" xfId="3688"/>
    <cellStyle name="쉼표 [0] 4 3 4 2 2" xfId="3689"/>
    <cellStyle name="쉼표 [0] 4 3 4 2 2 2" xfId="3690"/>
    <cellStyle name="쉼표 [0] 4 3 4 2 2 2 2" xfId="3691"/>
    <cellStyle name="쉼표 [0] 4 3 4 2 2 3" xfId="3692"/>
    <cellStyle name="쉼표 [0] 4 3 4 2 3" xfId="3693"/>
    <cellStyle name="쉼표 [0] 4 3 4 2 3 2" xfId="3694"/>
    <cellStyle name="쉼표 [0] 4 3 4 2 4" xfId="3695"/>
    <cellStyle name="쉼표 [0] 4 3 4 3" xfId="3696"/>
    <cellStyle name="쉼표 [0] 4 3 4 3 2" xfId="3697"/>
    <cellStyle name="쉼표 [0] 4 3 4 3 2 2" xfId="3698"/>
    <cellStyle name="쉼표 [0] 4 3 4 3 3" xfId="3699"/>
    <cellStyle name="쉼표 [0] 4 3 4 4" xfId="3700"/>
    <cellStyle name="쉼표 [0] 4 3 4 4 2" xfId="3701"/>
    <cellStyle name="쉼표 [0] 4 3 4 5" xfId="3702"/>
    <cellStyle name="쉼표 [0] 4 3 5" xfId="3703"/>
    <cellStyle name="쉼표 [0] 4 3 5 2" xfId="3704"/>
    <cellStyle name="쉼표 [0] 4 3 5 2 2" xfId="3705"/>
    <cellStyle name="쉼표 [0] 4 3 5 2 2 2" xfId="3706"/>
    <cellStyle name="쉼표 [0] 4 3 5 2 3" xfId="3707"/>
    <cellStyle name="쉼표 [0] 4 3 5 3" xfId="3708"/>
    <cellStyle name="쉼표 [0] 4 3 5 3 2" xfId="3709"/>
    <cellStyle name="쉼표 [0] 4 3 5 4" xfId="3710"/>
    <cellStyle name="쉼표 [0] 4 3 6" xfId="3711"/>
    <cellStyle name="쉼표 [0] 4 3 6 2" xfId="3712"/>
    <cellStyle name="쉼표 [0] 4 3 6 2 2" xfId="3713"/>
    <cellStyle name="쉼표 [0] 4 3 6 3" xfId="3714"/>
    <cellStyle name="쉼표 [0] 4 3 7" xfId="3715"/>
    <cellStyle name="쉼표 [0] 4 3 7 2" xfId="3716"/>
    <cellStyle name="쉼표 [0] 4 3 8" xfId="3717"/>
    <cellStyle name="쉼표 [0] 4 3 9" xfId="3718"/>
    <cellStyle name="쉼표 [0] 4 4" xfId="3719"/>
    <cellStyle name="쉼표 [0] 4 4 2" xfId="3720"/>
    <cellStyle name="쉼표 [0] 4 4 2 2" xfId="3721"/>
    <cellStyle name="쉼표 [0] 4 4 2 2 2" xfId="3722"/>
    <cellStyle name="쉼표 [0] 4 4 2 2 2 2" xfId="3723"/>
    <cellStyle name="쉼표 [0] 4 4 2 2 2 2 2" xfId="3724"/>
    <cellStyle name="쉼표 [0] 4 4 2 2 2 2 2 2" xfId="3725"/>
    <cellStyle name="쉼표 [0] 4 4 2 2 2 2 3" xfId="3726"/>
    <cellStyle name="쉼표 [0] 4 4 2 2 2 3" xfId="3727"/>
    <cellStyle name="쉼표 [0] 4 4 2 2 2 3 2" xfId="3728"/>
    <cellStyle name="쉼표 [0] 4 4 2 2 2 4" xfId="3729"/>
    <cellStyle name="쉼표 [0] 4 4 2 2 3" xfId="3730"/>
    <cellStyle name="쉼표 [0] 4 4 2 2 3 2" xfId="3731"/>
    <cellStyle name="쉼표 [0] 4 4 2 2 3 2 2" xfId="3732"/>
    <cellStyle name="쉼표 [0] 4 4 2 2 3 3" xfId="3733"/>
    <cellStyle name="쉼표 [0] 4 4 2 2 4" xfId="3734"/>
    <cellStyle name="쉼표 [0] 4 4 2 2 4 2" xfId="3735"/>
    <cellStyle name="쉼표 [0] 4 4 2 2 5" xfId="3736"/>
    <cellStyle name="쉼표 [0] 4 4 2 3" xfId="3737"/>
    <cellStyle name="쉼표 [0] 4 4 2 3 2" xfId="3738"/>
    <cellStyle name="쉼표 [0] 4 4 2 3 2 2" xfId="3739"/>
    <cellStyle name="쉼표 [0] 4 4 2 3 2 2 2" xfId="3740"/>
    <cellStyle name="쉼표 [0] 4 4 2 3 2 3" xfId="3741"/>
    <cellStyle name="쉼표 [0] 4 4 2 3 3" xfId="3742"/>
    <cellStyle name="쉼표 [0] 4 4 2 3 3 2" xfId="3743"/>
    <cellStyle name="쉼표 [0] 4 4 2 3 4" xfId="3744"/>
    <cellStyle name="쉼표 [0] 4 4 2 4" xfId="3745"/>
    <cellStyle name="쉼표 [0] 4 4 2 4 2" xfId="3746"/>
    <cellStyle name="쉼표 [0] 4 4 2 4 2 2" xfId="3747"/>
    <cellStyle name="쉼표 [0] 4 4 2 4 3" xfId="3748"/>
    <cellStyle name="쉼표 [0] 4 4 2 5" xfId="3749"/>
    <cellStyle name="쉼표 [0] 4 4 2 5 2" xfId="3750"/>
    <cellStyle name="쉼표 [0] 4 4 2 6" xfId="3751"/>
    <cellStyle name="쉼표 [0] 4 4 3" xfId="3752"/>
    <cellStyle name="쉼표 [0] 4 4 3 2" xfId="3753"/>
    <cellStyle name="쉼표 [0] 4 4 3 2 2" xfId="3754"/>
    <cellStyle name="쉼표 [0] 4 4 3 2 2 2" xfId="3755"/>
    <cellStyle name="쉼표 [0] 4 4 3 2 2 2 2" xfId="3756"/>
    <cellStyle name="쉼표 [0] 4 4 3 2 2 3" xfId="3757"/>
    <cellStyle name="쉼표 [0] 4 4 3 2 3" xfId="3758"/>
    <cellStyle name="쉼표 [0] 4 4 3 2 3 2" xfId="3759"/>
    <cellStyle name="쉼표 [0] 4 4 3 2 4" xfId="3760"/>
    <cellStyle name="쉼표 [0] 4 4 3 3" xfId="3761"/>
    <cellStyle name="쉼표 [0] 4 4 3 3 2" xfId="3762"/>
    <cellStyle name="쉼표 [0] 4 4 3 3 2 2" xfId="3763"/>
    <cellStyle name="쉼표 [0] 4 4 3 3 3" xfId="3764"/>
    <cellStyle name="쉼표 [0] 4 4 3 4" xfId="3765"/>
    <cellStyle name="쉼표 [0] 4 4 3 4 2" xfId="3766"/>
    <cellStyle name="쉼표 [0] 4 4 3 5" xfId="3767"/>
    <cellStyle name="쉼표 [0] 4 4 4" xfId="3768"/>
    <cellStyle name="쉼표 [0] 4 4 4 2" xfId="3769"/>
    <cellStyle name="쉼표 [0] 4 4 4 2 2" xfId="3770"/>
    <cellStyle name="쉼표 [0] 4 4 4 2 2 2" xfId="3771"/>
    <cellStyle name="쉼표 [0] 4 4 4 2 3" xfId="3772"/>
    <cellStyle name="쉼표 [0] 4 4 4 3" xfId="3773"/>
    <cellStyle name="쉼표 [0] 4 4 4 3 2" xfId="3774"/>
    <cellStyle name="쉼표 [0] 4 4 4 4" xfId="3775"/>
    <cellStyle name="쉼표 [0] 4 4 5" xfId="3776"/>
    <cellStyle name="쉼표 [0] 4 4 5 2" xfId="3777"/>
    <cellStyle name="쉼표 [0] 4 4 5 2 2" xfId="3778"/>
    <cellStyle name="쉼표 [0] 4 4 5 3" xfId="3779"/>
    <cellStyle name="쉼표 [0] 4 4 6" xfId="3780"/>
    <cellStyle name="쉼표 [0] 4 4 6 2" xfId="3781"/>
    <cellStyle name="쉼표 [0] 4 4 7" xfId="3782"/>
    <cellStyle name="쉼표 [0] 4 4 8" xfId="3783"/>
    <cellStyle name="쉼표 [0] 4 5" xfId="3784"/>
    <cellStyle name="쉼표 [0] 4 5 2" xfId="3785"/>
    <cellStyle name="쉼표 [0] 4 5 2 2" xfId="3786"/>
    <cellStyle name="쉼표 [0] 4 5 2 2 2" xfId="3787"/>
    <cellStyle name="쉼표 [0] 4 5 2 2 2 2" xfId="3788"/>
    <cellStyle name="쉼표 [0] 4 5 2 2 2 2 2" xfId="3789"/>
    <cellStyle name="쉼표 [0] 4 5 2 2 2 3" xfId="3790"/>
    <cellStyle name="쉼표 [0] 4 5 2 2 3" xfId="3791"/>
    <cellStyle name="쉼표 [0] 4 5 2 2 3 2" xfId="3792"/>
    <cellStyle name="쉼표 [0] 4 5 2 2 4" xfId="3793"/>
    <cellStyle name="쉼표 [0] 4 5 2 3" xfId="3794"/>
    <cellStyle name="쉼표 [0] 4 5 2 3 2" xfId="3795"/>
    <cellStyle name="쉼표 [0] 4 5 2 3 2 2" xfId="3796"/>
    <cellStyle name="쉼표 [0] 4 5 2 3 3" xfId="3797"/>
    <cellStyle name="쉼표 [0] 4 5 2 4" xfId="3798"/>
    <cellStyle name="쉼표 [0] 4 5 2 4 2" xfId="3799"/>
    <cellStyle name="쉼표 [0] 4 5 2 5" xfId="3800"/>
    <cellStyle name="쉼표 [0] 4 5 3" xfId="3801"/>
    <cellStyle name="쉼표 [0] 4 5 3 2" xfId="3802"/>
    <cellStyle name="쉼표 [0] 4 5 3 2 2" xfId="3803"/>
    <cellStyle name="쉼표 [0] 4 5 3 2 2 2" xfId="3804"/>
    <cellStyle name="쉼표 [0] 4 5 3 2 3" xfId="3805"/>
    <cellStyle name="쉼표 [0] 4 5 3 3" xfId="3806"/>
    <cellStyle name="쉼표 [0] 4 5 3 3 2" xfId="3807"/>
    <cellStyle name="쉼표 [0] 4 5 3 4" xfId="3808"/>
    <cellStyle name="쉼표 [0] 4 5 4" xfId="3809"/>
    <cellStyle name="쉼표 [0] 4 5 4 2" xfId="3810"/>
    <cellStyle name="쉼표 [0] 4 5 4 2 2" xfId="3811"/>
    <cellStyle name="쉼표 [0] 4 5 4 3" xfId="3812"/>
    <cellStyle name="쉼표 [0] 4 5 5" xfId="3813"/>
    <cellStyle name="쉼표 [0] 4 5 5 2" xfId="3814"/>
    <cellStyle name="쉼표 [0] 4 5 6" xfId="3815"/>
    <cellStyle name="쉼표 [0] 4 6" xfId="3816"/>
    <cellStyle name="쉼표 [0] 4 6 2" xfId="3817"/>
    <cellStyle name="쉼표 [0] 4 6 2 2" xfId="3818"/>
    <cellStyle name="쉼표 [0] 4 6 2 2 2" xfId="3819"/>
    <cellStyle name="쉼표 [0] 4 6 2 2 2 2" xfId="3820"/>
    <cellStyle name="쉼표 [0] 4 6 2 2 3" xfId="3821"/>
    <cellStyle name="쉼표 [0] 4 6 2 3" xfId="3822"/>
    <cellStyle name="쉼표 [0] 4 6 2 3 2" xfId="3823"/>
    <cellStyle name="쉼표 [0] 4 6 2 4" xfId="3824"/>
    <cellStyle name="쉼표 [0] 4 6 3" xfId="3825"/>
    <cellStyle name="쉼표 [0] 4 6 3 2" xfId="3826"/>
    <cellStyle name="쉼표 [0] 4 6 3 2 2" xfId="3827"/>
    <cellStyle name="쉼표 [0] 4 6 3 3" xfId="3828"/>
    <cellStyle name="쉼표 [0] 4 6 4" xfId="3829"/>
    <cellStyle name="쉼표 [0] 4 6 4 2" xfId="3830"/>
    <cellStyle name="쉼표 [0] 4 6 5" xfId="3831"/>
    <cellStyle name="쉼표 [0] 4 7" xfId="3832"/>
    <cellStyle name="쉼표 [0] 4 7 2" xfId="3833"/>
    <cellStyle name="쉼표 [0] 4 7 2 2" xfId="3834"/>
    <cellStyle name="쉼표 [0] 4 7 2 2 2" xfId="3835"/>
    <cellStyle name="쉼표 [0] 4 7 2 3" xfId="3836"/>
    <cellStyle name="쉼표 [0] 4 7 3" xfId="3837"/>
    <cellStyle name="쉼표 [0] 4 7 3 2" xfId="3838"/>
    <cellStyle name="쉼표 [0] 4 7 4" xfId="3839"/>
    <cellStyle name="쉼표 [0] 4 8" xfId="3840"/>
    <cellStyle name="쉼표 [0] 4 8 2" xfId="3841"/>
    <cellStyle name="쉼표 [0] 4 8 2 2" xfId="3842"/>
    <cellStyle name="쉼표 [0] 4 8 3" xfId="3843"/>
    <cellStyle name="쉼표 [0] 4 9" xfId="3844"/>
    <cellStyle name="쉼표 [0] 4 9 2" xfId="3845"/>
    <cellStyle name="쉼표 [0] 5" xfId="67"/>
    <cellStyle name="쉼표 [0] 5 10" xfId="3846"/>
    <cellStyle name="쉼표 [0] 5 11" xfId="3847"/>
    <cellStyle name="쉼표 [0] 5 2" xfId="3848"/>
    <cellStyle name="쉼표 [0] 5 2 10" xfId="3849"/>
    <cellStyle name="쉼표 [0] 5 2 2" xfId="3850"/>
    <cellStyle name="쉼표 [0] 5 2 2 2" xfId="3851"/>
    <cellStyle name="쉼표 [0] 5 2 2 2 2" xfId="3852"/>
    <cellStyle name="쉼표 [0] 5 2 2 2 2 2" xfId="3853"/>
    <cellStyle name="쉼표 [0] 5 2 2 2 2 2 2" xfId="3854"/>
    <cellStyle name="쉼표 [0] 5 2 2 2 2 2 2 2" xfId="3855"/>
    <cellStyle name="쉼표 [0] 5 2 2 2 2 2 2 2 2" xfId="3856"/>
    <cellStyle name="쉼표 [0] 5 2 2 2 2 2 2 2 2 2" xfId="3857"/>
    <cellStyle name="쉼표 [0] 5 2 2 2 2 2 2 2 3" xfId="3858"/>
    <cellStyle name="쉼표 [0] 5 2 2 2 2 2 2 3" xfId="3859"/>
    <cellStyle name="쉼표 [0] 5 2 2 2 2 2 2 3 2" xfId="3860"/>
    <cellStyle name="쉼표 [0] 5 2 2 2 2 2 2 4" xfId="3861"/>
    <cellStyle name="쉼표 [0] 5 2 2 2 2 2 3" xfId="3862"/>
    <cellStyle name="쉼표 [0] 5 2 2 2 2 2 3 2" xfId="3863"/>
    <cellStyle name="쉼표 [0] 5 2 2 2 2 2 3 2 2" xfId="3864"/>
    <cellStyle name="쉼표 [0] 5 2 2 2 2 2 3 3" xfId="3865"/>
    <cellStyle name="쉼표 [0] 5 2 2 2 2 2 4" xfId="3866"/>
    <cellStyle name="쉼표 [0] 5 2 2 2 2 2 4 2" xfId="3867"/>
    <cellStyle name="쉼표 [0] 5 2 2 2 2 2 5" xfId="3868"/>
    <cellStyle name="쉼표 [0] 5 2 2 2 2 3" xfId="3869"/>
    <cellStyle name="쉼표 [0] 5 2 2 2 2 3 2" xfId="3870"/>
    <cellStyle name="쉼표 [0] 5 2 2 2 2 3 2 2" xfId="3871"/>
    <cellStyle name="쉼표 [0] 5 2 2 2 2 3 2 2 2" xfId="3872"/>
    <cellStyle name="쉼표 [0] 5 2 2 2 2 3 2 3" xfId="3873"/>
    <cellStyle name="쉼표 [0] 5 2 2 2 2 3 3" xfId="3874"/>
    <cellStyle name="쉼표 [0] 5 2 2 2 2 3 3 2" xfId="3875"/>
    <cellStyle name="쉼표 [0] 5 2 2 2 2 3 4" xfId="3876"/>
    <cellStyle name="쉼표 [0] 5 2 2 2 2 4" xfId="3877"/>
    <cellStyle name="쉼표 [0] 5 2 2 2 2 4 2" xfId="3878"/>
    <cellStyle name="쉼표 [0] 5 2 2 2 2 4 2 2" xfId="3879"/>
    <cellStyle name="쉼표 [0] 5 2 2 2 2 4 3" xfId="3880"/>
    <cellStyle name="쉼표 [0] 5 2 2 2 2 5" xfId="3881"/>
    <cellStyle name="쉼표 [0] 5 2 2 2 2 5 2" xfId="3882"/>
    <cellStyle name="쉼표 [0] 5 2 2 2 2 6" xfId="3883"/>
    <cellStyle name="쉼표 [0] 5 2 2 2 3" xfId="3884"/>
    <cellStyle name="쉼표 [0] 5 2 2 2 3 2" xfId="3885"/>
    <cellStyle name="쉼표 [0] 5 2 2 2 3 2 2" xfId="3886"/>
    <cellStyle name="쉼표 [0] 5 2 2 2 3 2 2 2" xfId="3887"/>
    <cellStyle name="쉼표 [0] 5 2 2 2 3 2 2 2 2" xfId="3888"/>
    <cellStyle name="쉼표 [0] 5 2 2 2 3 2 2 3" xfId="3889"/>
    <cellStyle name="쉼표 [0] 5 2 2 2 3 2 3" xfId="3890"/>
    <cellStyle name="쉼표 [0] 5 2 2 2 3 2 3 2" xfId="3891"/>
    <cellStyle name="쉼표 [0] 5 2 2 2 3 2 4" xfId="3892"/>
    <cellStyle name="쉼표 [0] 5 2 2 2 3 3" xfId="3893"/>
    <cellStyle name="쉼표 [0] 5 2 2 2 3 3 2" xfId="3894"/>
    <cellStyle name="쉼표 [0] 5 2 2 2 3 3 2 2" xfId="3895"/>
    <cellStyle name="쉼표 [0] 5 2 2 2 3 3 3" xfId="3896"/>
    <cellStyle name="쉼표 [0] 5 2 2 2 3 4" xfId="3897"/>
    <cellStyle name="쉼표 [0] 5 2 2 2 3 4 2" xfId="3898"/>
    <cellStyle name="쉼표 [0] 5 2 2 2 3 5" xfId="3899"/>
    <cellStyle name="쉼표 [0] 5 2 2 2 4" xfId="3900"/>
    <cellStyle name="쉼표 [0] 5 2 2 2 4 2" xfId="3901"/>
    <cellStyle name="쉼표 [0] 5 2 2 2 4 2 2" xfId="3902"/>
    <cellStyle name="쉼표 [0] 5 2 2 2 4 2 2 2" xfId="3903"/>
    <cellStyle name="쉼표 [0] 5 2 2 2 4 2 3" xfId="3904"/>
    <cellStyle name="쉼표 [0] 5 2 2 2 4 3" xfId="3905"/>
    <cellStyle name="쉼표 [0] 5 2 2 2 4 3 2" xfId="3906"/>
    <cellStyle name="쉼표 [0] 5 2 2 2 4 4" xfId="3907"/>
    <cellStyle name="쉼표 [0] 5 2 2 2 5" xfId="3908"/>
    <cellStyle name="쉼표 [0] 5 2 2 2 5 2" xfId="3909"/>
    <cellStyle name="쉼표 [0] 5 2 2 2 5 2 2" xfId="3910"/>
    <cellStyle name="쉼표 [0] 5 2 2 2 5 3" xfId="3911"/>
    <cellStyle name="쉼표 [0] 5 2 2 2 6" xfId="3912"/>
    <cellStyle name="쉼표 [0] 5 2 2 2 6 2" xfId="3913"/>
    <cellStyle name="쉼표 [0] 5 2 2 2 7" xfId="3914"/>
    <cellStyle name="쉼표 [0] 5 2 2 2 8" xfId="3915"/>
    <cellStyle name="쉼표 [0] 5 2 2 3" xfId="3916"/>
    <cellStyle name="쉼표 [0] 5 2 2 3 2" xfId="3917"/>
    <cellStyle name="쉼표 [0] 5 2 2 3 2 2" xfId="3918"/>
    <cellStyle name="쉼표 [0] 5 2 2 3 2 2 2" xfId="3919"/>
    <cellStyle name="쉼표 [0] 5 2 2 3 2 2 2 2" xfId="3920"/>
    <cellStyle name="쉼표 [0] 5 2 2 3 2 2 2 2 2" xfId="3921"/>
    <cellStyle name="쉼표 [0] 5 2 2 3 2 2 2 3" xfId="3922"/>
    <cellStyle name="쉼표 [0] 5 2 2 3 2 2 3" xfId="3923"/>
    <cellStyle name="쉼표 [0] 5 2 2 3 2 2 3 2" xfId="3924"/>
    <cellStyle name="쉼표 [0] 5 2 2 3 2 2 4" xfId="3925"/>
    <cellStyle name="쉼표 [0] 5 2 2 3 2 3" xfId="3926"/>
    <cellStyle name="쉼표 [0] 5 2 2 3 2 3 2" xfId="3927"/>
    <cellStyle name="쉼표 [0] 5 2 2 3 2 3 2 2" xfId="3928"/>
    <cellStyle name="쉼표 [0] 5 2 2 3 2 3 3" xfId="3929"/>
    <cellStyle name="쉼표 [0] 5 2 2 3 2 4" xfId="3930"/>
    <cellStyle name="쉼표 [0] 5 2 2 3 2 4 2" xfId="3931"/>
    <cellStyle name="쉼표 [0] 5 2 2 3 2 5" xfId="3932"/>
    <cellStyle name="쉼표 [0] 5 2 2 3 3" xfId="3933"/>
    <cellStyle name="쉼표 [0] 5 2 2 3 3 2" xfId="3934"/>
    <cellStyle name="쉼표 [0] 5 2 2 3 3 2 2" xfId="3935"/>
    <cellStyle name="쉼표 [0] 5 2 2 3 3 2 2 2" xfId="3936"/>
    <cellStyle name="쉼표 [0] 5 2 2 3 3 2 3" xfId="3937"/>
    <cellStyle name="쉼표 [0] 5 2 2 3 3 3" xfId="3938"/>
    <cellStyle name="쉼표 [0] 5 2 2 3 3 3 2" xfId="3939"/>
    <cellStyle name="쉼표 [0] 5 2 2 3 3 4" xfId="3940"/>
    <cellStyle name="쉼표 [0] 5 2 2 3 4" xfId="3941"/>
    <cellStyle name="쉼표 [0] 5 2 2 3 4 2" xfId="3942"/>
    <cellStyle name="쉼표 [0] 5 2 2 3 4 2 2" xfId="3943"/>
    <cellStyle name="쉼표 [0] 5 2 2 3 4 3" xfId="3944"/>
    <cellStyle name="쉼표 [0] 5 2 2 3 5" xfId="3945"/>
    <cellStyle name="쉼표 [0] 5 2 2 3 5 2" xfId="3946"/>
    <cellStyle name="쉼표 [0] 5 2 2 3 6" xfId="3947"/>
    <cellStyle name="쉼표 [0] 5 2 2 4" xfId="3948"/>
    <cellStyle name="쉼표 [0] 5 2 2 4 2" xfId="3949"/>
    <cellStyle name="쉼표 [0] 5 2 2 4 2 2" xfId="3950"/>
    <cellStyle name="쉼표 [0] 5 2 2 4 2 2 2" xfId="3951"/>
    <cellStyle name="쉼표 [0] 5 2 2 4 2 2 2 2" xfId="3952"/>
    <cellStyle name="쉼표 [0] 5 2 2 4 2 2 3" xfId="3953"/>
    <cellStyle name="쉼표 [0] 5 2 2 4 2 3" xfId="3954"/>
    <cellStyle name="쉼표 [0] 5 2 2 4 2 3 2" xfId="3955"/>
    <cellStyle name="쉼표 [0] 5 2 2 4 2 4" xfId="3956"/>
    <cellStyle name="쉼표 [0] 5 2 2 4 3" xfId="3957"/>
    <cellStyle name="쉼표 [0] 5 2 2 4 3 2" xfId="3958"/>
    <cellStyle name="쉼표 [0] 5 2 2 4 3 2 2" xfId="3959"/>
    <cellStyle name="쉼표 [0] 5 2 2 4 3 3" xfId="3960"/>
    <cellStyle name="쉼표 [0] 5 2 2 4 4" xfId="3961"/>
    <cellStyle name="쉼표 [0] 5 2 2 4 4 2" xfId="3962"/>
    <cellStyle name="쉼표 [0] 5 2 2 4 5" xfId="3963"/>
    <cellStyle name="쉼표 [0] 5 2 2 5" xfId="3964"/>
    <cellStyle name="쉼표 [0] 5 2 2 5 2" xfId="3965"/>
    <cellStyle name="쉼표 [0] 5 2 2 5 2 2" xfId="3966"/>
    <cellStyle name="쉼표 [0] 5 2 2 5 2 2 2" xfId="3967"/>
    <cellStyle name="쉼표 [0] 5 2 2 5 2 3" xfId="3968"/>
    <cellStyle name="쉼표 [0] 5 2 2 5 3" xfId="3969"/>
    <cellStyle name="쉼표 [0] 5 2 2 5 3 2" xfId="3970"/>
    <cellStyle name="쉼표 [0] 5 2 2 5 4" xfId="3971"/>
    <cellStyle name="쉼표 [0] 5 2 2 6" xfId="3972"/>
    <cellStyle name="쉼표 [0] 5 2 2 6 2" xfId="3973"/>
    <cellStyle name="쉼표 [0] 5 2 2 6 2 2" xfId="3974"/>
    <cellStyle name="쉼표 [0] 5 2 2 6 3" xfId="3975"/>
    <cellStyle name="쉼표 [0] 5 2 2 7" xfId="3976"/>
    <cellStyle name="쉼표 [0] 5 2 2 7 2" xfId="3977"/>
    <cellStyle name="쉼표 [0] 5 2 2 8" xfId="3978"/>
    <cellStyle name="쉼표 [0] 5 2 2 9" xfId="3979"/>
    <cellStyle name="쉼표 [0] 5 2 3" xfId="3980"/>
    <cellStyle name="쉼표 [0] 5 2 3 2" xfId="3981"/>
    <cellStyle name="쉼표 [0] 5 2 3 2 2" xfId="3982"/>
    <cellStyle name="쉼표 [0] 5 2 3 2 2 2" xfId="3983"/>
    <cellStyle name="쉼표 [0] 5 2 3 2 2 2 2" xfId="3984"/>
    <cellStyle name="쉼표 [0] 5 2 3 2 2 2 2 2" xfId="3985"/>
    <cellStyle name="쉼표 [0] 5 2 3 2 2 2 2 2 2" xfId="3986"/>
    <cellStyle name="쉼표 [0] 5 2 3 2 2 2 2 3" xfId="3987"/>
    <cellStyle name="쉼표 [0] 5 2 3 2 2 2 3" xfId="3988"/>
    <cellStyle name="쉼표 [0] 5 2 3 2 2 2 3 2" xfId="3989"/>
    <cellStyle name="쉼표 [0] 5 2 3 2 2 2 4" xfId="3990"/>
    <cellStyle name="쉼표 [0] 5 2 3 2 2 3" xfId="3991"/>
    <cellStyle name="쉼표 [0] 5 2 3 2 2 3 2" xfId="3992"/>
    <cellStyle name="쉼표 [0] 5 2 3 2 2 3 2 2" xfId="3993"/>
    <cellStyle name="쉼표 [0] 5 2 3 2 2 3 3" xfId="3994"/>
    <cellStyle name="쉼표 [0] 5 2 3 2 2 4" xfId="3995"/>
    <cellStyle name="쉼표 [0] 5 2 3 2 2 4 2" xfId="3996"/>
    <cellStyle name="쉼표 [0] 5 2 3 2 2 5" xfId="3997"/>
    <cellStyle name="쉼표 [0] 5 2 3 2 3" xfId="3998"/>
    <cellStyle name="쉼표 [0] 5 2 3 2 3 2" xfId="3999"/>
    <cellStyle name="쉼표 [0] 5 2 3 2 3 2 2" xfId="4000"/>
    <cellStyle name="쉼표 [0] 5 2 3 2 3 2 2 2" xfId="4001"/>
    <cellStyle name="쉼표 [0] 5 2 3 2 3 2 3" xfId="4002"/>
    <cellStyle name="쉼표 [0] 5 2 3 2 3 3" xfId="4003"/>
    <cellStyle name="쉼표 [0] 5 2 3 2 3 3 2" xfId="4004"/>
    <cellStyle name="쉼표 [0] 5 2 3 2 3 4" xfId="4005"/>
    <cellStyle name="쉼표 [0] 5 2 3 2 4" xfId="4006"/>
    <cellStyle name="쉼표 [0] 5 2 3 2 4 2" xfId="4007"/>
    <cellStyle name="쉼표 [0] 5 2 3 2 4 2 2" xfId="4008"/>
    <cellStyle name="쉼표 [0] 5 2 3 2 4 3" xfId="4009"/>
    <cellStyle name="쉼표 [0] 5 2 3 2 5" xfId="4010"/>
    <cellStyle name="쉼표 [0] 5 2 3 2 5 2" xfId="4011"/>
    <cellStyle name="쉼표 [0] 5 2 3 2 6" xfId="4012"/>
    <cellStyle name="쉼표 [0] 5 2 3 3" xfId="4013"/>
    <cellStyle name="쉼표 [0] 5 2 3 3 2" xfId="4014"/>
    <cellStyle name="쉼표 [0] 5 2 3 3 2 2" xfId="4015"/>
    <cellStyle name="쉼표 [0] 5 2 3 3 2 2 2" xfId="4016"/>
    <cellStyle name="쉼표 [0] 5 2 3 3 2 2 2 2" xfId="4017"/>
    <cellStyle name="쉼표 [0] 5 2 3 3 2 2 3" xfId="4018"/>
    <cellStyle name="쉼표 [0] 5 2 3 3 2 3" xfId="4019"/>
    <cellStyle name="쉼표 [0] 5 2 3 3 2 3 2" xfId="4020"/>
    <cellStyle name="쉼표 [0] 5 2 3 3 2 4" xfId="4021"/>
    <cellStyle name="쉼표 [0] 5 2 3 3 3" xfId="4022"/>
    <cellStyle name="쉼표 [0] 5 2 3 3 3 2" xfId="4023"/>
    <cellStyle name="쉼표 [0] 5 2 3 3 3 2 2" xfId="4024"/>
    <cellStyle name="쉼표 [0] 5 2 3 3 3 3" xfId="4025"/>
    <cellStyle name="쉼표 [0] 5 2 3 3 4" xfId="4026"/>
    <cellStyle name="쉼표 [0] 5 2 3 3 4 2" xfId="4027"/>
    <cellStyle name="쉼표 [0] 5 2 3 3 5" xfId="4028"/>
    <cellStyle name="쉼표 [0] 5 2 3 4" xfId="4029"/>
    <cellStyle name="쉼표 [0] 5 2 3 4 2" xfId="4030"/>
    <cellStyle name="쉼표 [0] 5 2 3 4 2 2" xfId="4031"/>
    <cellStyle name="쉼표 [0] 5 2 3 4 2 2 2" xfId="4032"/>
    <cellStyle name="쉼표 [0] 5 2 3 4 2 3" xfId="4033"/>
    <cellStyle name="쉼표 [0] 5 2 3 4 3" xfId="4034"/>
    <cellStyle name="쉼표 [0] 5 2 3 4 3 2" xfId="4035"/>
    <cellStyle name="쉼표 [0] 5 2 3 4 4" xfId="4036"/>
    <cellStyle name="쉼표 [0] 5 2 3 5" xfId="4037"/>
    <cellStyle name="쉼표 [0] 5 2 3 5 2" xfId="4038"/>
    <cellStyle name="쉼표 [0] 5 2 3 5 2 2" xfId="4039"/>
    <cellStyle name="쉼표 [0] 5 2 3 5 3" xfId="4040"/>
    <cellStyle name="쉼표 [0] 5 2 3 6" xfId="4041"/>
    <cellStyle name="쉼표 [0] 5 2 3 6 2" xfId="4042"/>
    <cellStyle name="쉼표 [0] 5 2 3 7" xfId="4043"/>
    <cellStyle name="쉼표 [0] 5 2 3 8" xfId="4044"/>
    <cellStyle name="쉼표 [0] 5 2 4" xfId="4045"/>
    <cellStyle name="쉼표 [0] 5 2 4 2" xfId="4046"/>
    <cellStyle name="쉼표 [0] 5 2 4 2 2" xfId="4047"/>
    <cellStyle name="쉼표 [0] 5 2 4 2 2 2" xfId="4048"/>
    <cellStyle name="쉼표 [0] 5 2 4 2 2 2 2" xfId="4049"/>
    <cellStyle name="쉼표 [0] 5 2 4 2 2 2 2 2" xfId="4050"/>
    <cellStyle name="쉼표 [0] 5 2 4 2 2 2 3" xfId="4051"/>
    <cellStyle name="쉼표 [0] 5 2 4 2 2 3" xfId="4052"/>
    <cellStyle name="쉼표 [0] 5 2 4 2 2 3 2" xfId="4053"/>
    <cellStyle name="쉼표 [0] 5 2 4 2 2 4" xfId="4054"/>
    <cellStyle name="쉼표 [0] 5 2 4 2 3" xfId="4055"/>
    <cellStyle name="쉼표 [0] 5 2 4 2 3 2" xfId="4056"/>
    <cellStyle name="쉼표 [0] 5 2 4 2 3 2 2" xfId="4057"/>
    <cellStyle name="쉼표 [0] 5 2 4 2 3 3" xfId="4058"/>
    <cellStyle name="쉼표 [0] 5 2 4 2 4" xfId="4059"/>
    <cellStyle name="쉼표 [0] 5 2 4 2 4 2" xfId="4060"/>
    <cellStyle name="쉼표 [0] 5 2 4 2 5" xfId="4061"/>
    <cellStyle name="쉼표 [0] 5 2 4 3" xfId="4062"/>
    <cellStyle name="쉼표 [0] 5 2 4 3 2" xfId="4063"/>
    <cellStyle name="쉼표 [0] 5 2 4 3 2 2" xfId="4064"/>
    <cellStyle name="쉼표 [0] 5 2 4 3 2 2 2" xfId="4065"/>
    <cellStyle name="쉼표 [0] 5 2 4 3 2 3" xfId="4066"/>
    <cellStyle name="쉼표 [0] 5 2 4 3 3" xfId="4067"/>
    <cellStyle name="쉼표 [0] 5 2 4 3 3 2" xfId="4068"/>
    <cellStyle name="쉼표 [0] 5 2 4 3 4" xfId="4069"/>
    <cellStyle name="쉼표 [0] 5 2 4 4" xfId="4070"/>
    <cellStyle name="쉼표 [0] 5 2 4 4 2" xfId="4071"/>
    <cellStyle name="쉼표 [0] 5 2 4 4 2 2" xfId="4072"/>
    <cellStyle name="쉼표 [0] 5 2 4 4 3" xfId="4073"/>
    <cellStyle name="쉼표 [0] 5 2 4 5" xfId="4074"/>
    <cellStyle name="쉼표 [0] 5 2 4 5 2" xfId="4075"/>
    <cellStyle name="쉼표 [0] 5 2 4 6" xfId="4076"/>
    <cellStyle name="쉼표 [0] 5 2 5" xfId="4077"/>
    <cellStyle name="쉼표 [0] 5 2 5 2" xfId="4078"/>
    <cellStyle name="쉼표 [0] 5 2 5 2 2" xfId="4079"/>
    <cellStyle name="쉼표 [0] 5 2 5 2 2 2" xfId="4080"/>
    <cellStyle name="쉼표 [0] 5 2 5 2 2 2 2" xfId="4081"/>
    <cellStyle name="쉼표 [0] 5 2 5 2 2 3" xfId="4082"/>
    <cellStyle name="쉼표 [0] 5 2 5 2 3" xfId="4083"/>
    <cellStyle name="쉼표 [0] 5 2 5 2 3 2" xfId="4084"/>
    <cellStyle name="쉼표 [0] 5 2 5 2 4" xfId="4085"/>
    <cellStyle name="쉼표 [0] 5 2 5 3" xfId="4086"/>
    <cellStyle name="쉼표 [0] 5 2 5 3 2" xfId="4087"/>
    <cellStyle name="쉼표 [0] 5 2 5 3 2 2" xfId="4088"/>
    <cellStyle name="쉼표 [0] 5 2 5 3 3" xfId="4089"/>
    <cellStyle name="쉼표 [0] 5 2 5 4" xfId="4090"/>
    <cellStyle name="쉼표 [0] 5 2 5 4 2" xfId="4091"/>
    <cellStyle name="쉼표 [0] 5 2 5 5" xfId="4092"/>
    <cellStyle name="쉼표 [0] 5 2 6" xfId="4093"/>
    <cellStyle name="쉼표 [0] 5 2 6 2" xfId="4094"/>
    <cellStyle name="쉼표 [0] 5 2 6 2 2" xfId="4095"/>
    <cellStyle name="쉼표 [0] 5 2 6 2 2 2" xfId="4096"/>
    <cellStyle name="쉼표 [0] 5 2 6 2 3" xfId="4097"/>
    <cellStyle name="쉼표 [0] 5 2 6 3" xfId="4098"/>
    <cellStyle name="쉼표 [0] 5 2 6 3 2" xfId="4099"/>
    <cellStyle name="쉼표 [0] 5 2 6 4" xfId="4100"/>
    <cellStyle name="쉼표 [0] 5 2 7" xfId="4101"/>
    <cellStyle name="쉼표 [0] 5 2 7 2" xfId="4102"/>
    <cellStyle name="쉼표 [0] 5 2 7 2 2" xfId="4103"/>
    <cellStyle name="쉼표 [0] 5 2 7 3" xfId="4104"/>
    <cellStyle name="쉼표 [0] 5 2 8" xfId="4105"/>
    <cellStyle name="쉼표 [0] 5 2 8 2" xfId="4106"/>
    <cellStyle name="쉼표 [0] 5 2 9" xfId="4107"/>
    <cellStyle name="쉼표 [0] 5 3" xfId="4108"/>
    <cellStyle name="쉼표 [0] 5 3 2" xfId="4109"/>
    <cellStyle name="쉼표 [0] 5 3 2 2" xfId="4110"/>
    <cellStyle name="쉼표 [0] 5 3 2 2 2" xfId="4111"/>
    <cellStyle name="쉼표 [0] 5 3 2 2 2 2" xfId="4112"/>
    <cellStyle name="쉼표 [0] 5 3 2 2 2 2 2" xfId="4113"/>
    <cellStyle name="쉼표 [0] 5 3 2 2 2 2 2 2" xfId="4114"/>
    <cellStyle name="쉼표 [0] 5 3 2 2 2 2 2 2 2" xfId="4115"/>
    <cellStyle name="쉼표 [0] 5 3 2 2 2 2 2 3" xfId="4116"/>
    <cellStyle name="쉼표 [0] 5 3 2 2 2 2 3" xfId="4117"/>
    <cellStyle name="쉼표 [0] 5 3 2 2 2 2 3 2" xfId="4118"/>
    <cellStyle name="쉼표 [0] 5 3 2 2 2 2 4" xfId="4119"/>
    <cellStyle name="쉼표 [0] 5 3 2 2 2 3" xfId="4120"/>
    <cellStyle name="쉼표 [0] 5 3 2 2 2 3 2" xfId="4121"/>
    <cellStyle name="쉼표 [0] 5 3 2 2 2 3 2 2" xfId="4122"/>
    <cellStyle name="쉼표 [0] 5 3 2 2 2 3 3" xfId="4123"/>
    <cellStyle name="쉼표 [0] 5 3 2 2 2 4" xfId="4124"/>
    <cellStyle name="쉼표 [0] 5 3 2 2 2 4 2" xfId="4125"/>
    <cellStyle name="쉼표 [0] 5 3 2 2 2 5" xfId="4126"/>
    <cellStyle name="쉼표 [0] 5 3 2 2 3" xfId="4127"/>
    <cellStyle name="쉼표 [0] 5 3 2 2 3 2" xfId="4128"/>
    <cellStyle name="쉼표 [0] 5 3 2 2 3 2 2" xfId="4129"/>
    <cellStyle name="쉼표 [0] 5 3 2 2 3 2 2 2" xfId="4130"/>
    <cellStyle name="쉼표 [0] 5 3 2 2 3 2 3" xfId="4131"/>
    <cellStyle name="쉼표 [0] 5 3 2 2 3 3" xfId="4132"/>
    <cellStyle name="쉼표 [0] 5 3 2 2 3 3 2" xfId="4133"/>
    <cellStyle name="쉼표 [0] 5 3 2 2 3 4" xfId="4134"/>
    <cellStyle name="쉼표 [0] 5 3 2 2 4" xfId="4135"/>
    <cellStyle name="쉼표 [0] 5 3 2 2 4 2" xfId="4136"/>
    <cellStyle name="쉼표 [0] 5 3 2 2 4 2 2" xfId="4137"/>
    <cellStyle name="쉼표 [0] 5 3 2 2 4 3" xfId="4138"/>
    <cellStyle name="쉼표 [0] 5 3 2 2 5" xfId="4139"/>
    <cellStyle name="쉼표 [0] 5 3 2 2 5 2" xfId="4140"/>
    <cellStyle name="쉼표 [0] 5 3 2 2 6" xfId="4141"/>
    <cellStyle name="쉼표 [0] 5 3 2 3" xfId="4142"/>
    <cellStyle name="쉼표 [0] 5 3 2 3 2" xfId="4143"/>
    <cellStyle name="쉼표 [0] 5 3 2 3 2 2" xfId="4144"/>
    <cellStyle name="쉼표 [0] 5 3 2 3 2 2 2" xfId="4145"/>
    <cellStyle name="쉼표 [0] 5 3 2 3 2 2 2 2" xfId="4146"/>
    <cellStyle name="쉼표 [0] 5 3 2 3 2 2 3" xfId="4147"/>
    <cellStyle name="쉼표 [0] 5 3 2 3 2 3" xfId="4148"/>
    <cellStyle name="쉼표 [0] 5 3 2 3 2 3 2" xfId="4149"/>
    <cellStyle name="쉼표 [0] 5 3 2 3 2 4" xfId="4150"/>
    <cellStyle name="쉼표 [0] 5 3 2 3 3" xfId="4151"/>
    <cellStyle name="쉼표 [0] 5 3 2 3 3 2" xfId="4152"/>
    <cellStyle name="쉼표 [0] 5 3 2 3 3 2 2" xfId="4153"/>
    <cellStyle name="쉼표 [0] 5 3 2 3 3 3" xfId="4154"/>
    <cellStyle name="쉼표 [0] 5 3 2 3 4" xfId="4155"/>
    <cellStyle name="쉼표 [0] 5 3 2 3 4 2" xfId="4156"/>
    <cellStyle name="쉼표 [0] 5 3 2 3 5" xfId="4157"/>
    <cellStyle name="쉼표 [0] 5 3 2 4" xfId="4158"/>
    <cellStyle name="쉼표 [0] 5 3 2 4 2" xfId="4159"/>
    <cellStyle name="쉼표 [0] 5 3 2 4 2 2" xfId="4160"/>
    <cellStyle name="쉼표 [0] 5 3 2 4 2 2 2" xfId="4161"/>
    <cellStyle name="쉼표 [0] 5 3 2 4 2 3" xfId="4162"/>
    <cellStyle name="쉼표 [0] 5 3 2 4 3" xfId="4163"/>
    <cellStyle name="쉼표 [0] 5 3 2 4 3 2" xfId="4164"/>
    <cellStyle name="쉼표 [0] 5 3 2 4 4" xfId="4165"/>
    <cellStyle name="쉼표 [0] 5 3 2 5" xfId="4166"/>
    <cellStyle name="쉼표 [0] 5 3 2 5 2" xfId="4167"/>
    <cellStyle name="쉼표 [0] 5 3 2 5 2 2" xfId="4168"/>
    <cellStyle name="쉼표 [0] 5 3 2 5 3" xfId="4169"/>
    <cellStyle name="쉼표 [0] 5 3 2 6" xfId="4170"/>
    <cellStyle name="쉼표 [0] 5 3 2 6 2" xfId="4171"/>
    <cellStyle name="쉼표 [0] 5 3 2 7" xfId="4172"/>
    <cellStyle name="쉼표 [0] 5 3 2 8" xfId="4173"/>
    <cellStyle name="쉼표 [0] 5 3 3" xfId="4174"/>
    <cellStyle name="쉼표 [0] 5 3 3 2" xfId="4175"/>
    <cellStyle name="쉼표 [0] 5 3 3 2 2" xfId="4176"/>
    <cellStyle name="쉼표 [0] 5 3 3 2 2 2" xfId="4177"/>
    <cellStyle name="쉼표 [0] 5 3 3 2 2 2 2" xfId="4178"/>
    <cellStyle name="쉼표 [0] 5 3 3 2 2 2 2 2" xfId="4179"/>
    <cellStyle name="쉼표 [0] 5 3 3 2 2 2 3" xfId="4180"/>
    <cellStyle name="쉼표 [0] 5 3 3 2 2 3" xfId="4181"/>
    <cellStyle name="쉼표 [0] 5 3 3 2 2 3 2" xfId="4182"/>
    <cellStyle name="쉼표 [0] 5 3 3 2 2 4" xfId="4183"/>
    <cellStyle name="쉼표 [0] 5 3 3 2 3" xfId="4184"/>
    <cellStyle name="쉼표 [0] 5 3 3 2 3 2" xfId="4185"/>
    <cellStyle name="쉼표 [0] 5 3 3 2 3 2 2" xfId="4186"/>
    <cellStyle name="쉼표 [0] 5 3 3 2 3 3" xfId="4187"/>
    <cellStyle name="쉼표 [0] 5 3 3 2 4" xfId="4188"/>
    <cellStyle name="쉼표 [0] 5 3 3 2 4 2" xfId="4189"/>
    <cellStyle name="쉼표 [0] 5 3 3 2 5" xfId="4190"/>
    <cellStyle name="쉼표 [0] 5 3 3 3" xfId="4191"/>
    <cellStyle name="쉼표 [0] 5 3 3 3 2" xfId="4192"/>
    <cellStyle name="쉼표 [0] 5 3 3 3 2 2" xfId="4193"/>
    <cellStyle name="쉼표 [0] 5 3 3 3 2 2 2" xfId="4194"/>
    <cellStyle name="쉼표 [0] 5 3 3 3 2 3" xfId="4195"/>
    <cellStyle name="쉼표 [0] 5 3 3 3 3" xfId="4196"/>
    <cellStyle name="쉼표 [0] 5 3 3 3 3 2" xfId="4197"/>
    <cellStyle name="쉼표 [0] 5 3 3 3 4" xfId="4198"/>
    <cellStyle name="쉼표 [0] 5 3 3 4" xfId="4199"/>
    <cellStyle name="쉼표 [0] 5 3 3 4 2" xfId="4200"/>
    <cellStyle name="쉼표 [0] 5 3 3 4 2 2" xfId="4201"/>
    <cellStyle name="쉼표 [0] 5 3 3 4 3" xfId="4202"/>
    <cellStyle name="쉼표 [0] 5 3 3 5" xfId="4203"/>
    <cellStyle name="쉼표 [0] 5 3 3 5 2" xfId="4204"/>
    <cellStyle name="쉼표 [0] 5 3 3 6" xfId="4205"/>
    <cellStyle name="쉼표 [0] 5 3 4" xfId="4206"/>
    <cellStyle name="쉼표 [0] 5 3 4 2" xfId="4207"/>
    <cellStyle name="쉼표 [0] 5 3 4 2 2" xfId="4208"/>
    <cellStyle name="쉼표 [0] 5 3 4 2 2 2" xfId="4209"/>
    <cellStyle name="쉼표 [0] 5 3 4 2 2 2 2" xfId="4210"/>
    <cellStyle name="쉼표 [0] 5 3 4 2 2 3" xfId="4211"/>
    <cellStyle name="쉼표 [0] 5 3 4 2 3" xfId="4212"/>
    <cellStyle name="쉼표 [0] 5 3 4 2 3 2" xfId="4213"/>
    <cellStyle name="쉼표 [0] 5 3 4 2 4" xfId="4214"/>
    <cellStyle name="쉼표 [0] 5 3 4 3" xfId="4215"/>
    <cellStyle name="쉼표 [0] 5 3 4 3 2" xfId="4216"/>
    <cellStyle name="쉼표 [0] 5 3 4 3 2 2" xfId="4217"/>
    <cellStyle name="쉼표 [0] 5 3 4 3 3" xfId="4218"/>
    <cellStyle name="쉼표 [0] 5 3 4 4" xfId="4219"/>
    <cellStyle name="쉼표 [0] 5 3 4 4 2" xfId="4220"/>
    <cellStyle name="쉼표 [0] 5 3 4 5" xfId="4221"/>
    <cellStyle name="쉼표 [0] 5 3 5" xfId="4222"/>
    <cellStyle name="쉼표 [0] 5 3 5 2" xfId="4223"/>
    <cellStyle name="쉼표 [0] 5 3 5 2 2" xfId="4224"/>
    <cellStyle name="쉼표 [0] 5 3 5 2 2 2" xfId="4225"/>
    <cellStyle name="쉼표 [0] 5 3 5 2 3" xfId="4226"/>
    <cellStyle name="쉼표 [0] 5 3 5 3" xfId="4227"/>
    <cellStyle name="쉼표 [0] 5 3 5 3 2" xfId="4228"/>
    <cellStyle name="쉼표 [0] 5 3 5 4" xfId="4229"/>
    <cellStyle name="쉼표 [0] 5 3 6" xfId="4230"/>
    <cellStyle name="쉼표 [0] 5 3 6 2" xfId="4231"/>
    <cellStyle name="쉼표 [0] 5 3 6 2 2" xfId="4232"/>
    <cellStyle name="쉼표 [0] 5 3 6 3" xfId="4233"/>
    <cellStyle name="쉼표 [0] 5 3 7" xfId="4234"/>
    <cellStyle name="쉼표 [0] 5 3 7 2" xfId="4235"/>
    <cellStyle name="쉼표 [0] 5 3 8" xfId="4236"/>
    <cellStyle name="쉼표 [0] 5 3 9" xfId="4237"/>
    <cellStyle name="쉼표 [0] 5 4" xfId="4238"/>
    <cellStyle name="쉼표 [0] 5 4 2" xfId="4239"/>
    <cellStyle name="쉼표 [0] 5 4 2 2" xfId="4240"/>
    <cellStyle name="쉼표 [0] 5 4 2 2 2" xfId="4241"/>
    <cellStyle name="쉼표 [0] 5 4 2 2 2 2" xfId="4242"/>
    <cellStyle name="쉼표 [0] 5 4 2 2 2 2 2" xfId="4243"/>
    <cellStyle name="쉼표 [0] 5 4 2 2 2 2 2 2" xfId="4244"/>
    <cellStyle name="쉼표 [0] 5 4 2 2 2 2 3" xfId="4245"/>
    <cellStyle name="쉼표 [0] 5 4 2 2 2 3" xfId="4246"/>
    <cellStyle name="쉼표 [0] 5 4 2 2 2 3 2" xfId="4247"/>
    <cellStyle name="쉼표 [0] 5 4 2 2 2 4" xfId="4248"/>
    <cellStyle name="쉼표 [0] 5 4 2 2 3" xfId="4249"/>
    <cellStyle name="쉼표 [0] 5 4 2 2 3 2" xfId="4250"/>
    <cellStyle name="쉼표 [0] 5 4 2 2 3 2 2" xfId="4251"/>
    <cellStyle name="쉼표 [0] 5 4 2 2 3 3" xfId="4252"/>
    <cellStyle name="쉼표 [0] 5 4 2 2 4" xfId="4253"/>
    <cellStyle name="쉼표 [0] 5 4 2 2 4 2" xfId="4254"/>
    <cellStyle name="쉼표 [0] 5 4 2 2 5" xfId="4255"/>
    <cellStyle name="쉼표 [0] 5 4 2 3" xfId="4256"/>
    <cellStyle name="쉼표 [0] 5 4 2 3 2" xfId="4257"/>
    <cellStyle name="쉼표 [0] 5 4 2 3 2 2" xfId="4258"/>
    <cellStyle name="쉼표 [0] 5 4 2 3 2 2 2" xfId="4259"/>
    <cellStyle name="쉼표 [0] 5 4 2 3 2 3" xfId="4260"/>
    <cellStyle name="쉼표 [0] 5 4 2 3 3" xfId="4261"/>
    <cellStyle name="쉼표 [0] 5 4 2 3 3 2" xfId="4262"/>
    <cellStyle name="쉼표 [0] 5 4 2 3 4" xfId="4263"/>
    <cellStyle name="쉼표 [0] 5 4 2 4" xfId="4264"/>
    <cellStyle name="쉼표 [0] 5 4 2 4 2" xfId="4265"/>
    <cellStyle name="쉼표 [0] 5 4 2 4 2 2" xfId="4266"/>
    <cellStyle name="쉼표 [0] 5 4 2 4 3" xfId="4267"/>
    <cellStyle name="쉼표 [0] 5 4 2 5" xfId="4268"/>
    <cellStyle name="쉼표 [0] 5 4 2 5 2" xfId="4269"/>
    <cellStyle name="쉼표 [0] 5 4 2 6" xfId="4270"/>
    <cellStyle name="쉼표 [0] 5 4 3" xfId="4271"/>
    <cellStyle name="쉼표 [0] 5 4 3 2" xfId="4272"/>
    <cellStyle name="쉼표 [0] 5 4 3 2 2" xfId="4273"/>
    <cellStyle name="쉼표 [0] 5 4 3 2 2 2" xfId="4274"/>
    <cellStyle name="쉼표 [0] 5 4 3 2 2 2 2" xfId="4275"/>
    <cellStyle name="쉼표 [0] 5 4 3 2 2 3" xfId="4276"/>
    <cellStyle name="쉼표 [0] 5 4 3 2 3" xfId="4277"/>
    <cellStyle name="쉼표 [0] 5 4 3 2 3 2" xfId="4278"/>
    <cellStyle name="쉼표 [0] 5 4 3 2 4" xfId="4279"/>
    <cellStyle name="쉼표 [0] 5 4 3 3" xfId="4280"/>
    <cellStyle name="쉼표 [0] 5 4 3 3 2" xfId="4281"/>
    <cellStyle name="쉼표 [0] 5 4 3 3 2 2" xfId="4282"/>
    <cellStyle name="쉼표 [0] 5 4 3 3 3" xfId="4283"/>
    <cellStyle name="쉼표 [0] 5 4 3 4" xfId="4284"/>
    <cellStyle name="쉼표 [0] 5 4 3 4 2" xfId="4285"/>
    <cellStyle name="쉼표 [0] 5 4 3 5" xfId="4286"/>
    <cellStyle name="쉼표 [0] 5 4 4" xfId="4287"/>
    <cellStyle name="쉼표 [0] 5 4 4 2" xfId="4288"/>
    <cellStyle name="쉼표 [0] 5 4 4 2 2" xfId="4289"/>
    <cellStyle name="쉼표 [0] 5 4 4 2 2 2" xfId="4290"/>
    <cellStyle name="쉼표 [0] 5 4 4 2 3" xfId="4291"/>
    <cellStyle name="쉼표 [0] 5 4 4 3" xfId="4292"/>
    <cellStyle name="쉼표 [0] 5 4 4 3 2" xfId="4293"/>
    <cellStyle name="쉼표 [0] 5 4 4 4" xfId="4294"/>
    <cellStyle name="쉼표 [0] 5 4 5" xfId="4295"/>
    <cellStyle name="쉼표 [0] 5 4 5 2" xfId="4296"/>
    <cellStyle name="쉼표 [0] 5 4 5 2 2" xfId="4297"/>
    <cellStyle name="쉼표 [0] 5 4 5 3" xfId="4298"/>
    <cellStyle name="쉼표 [0] 5 4 6" xfId="4299"/>
    <cellStyle name="쉼표 [0] 5 4 6 2" xfId="4300"/>
    <cellStyle name="쉼표 [0] 5 4 7" xfId="4301"/>
    <cellStyle name="쉼표 [0] 5 4 8" xfId="4302"/>
    <cellStyle name="쉼표 [0] 5 5" xfId="4303"/>
    <cellStyle name="쉼표 [0] 5 5 2" xfId="4304"/>
    <cellStyle name="쉼표 [0] 5 5 2 2" xfId="4305"/>
    <cellStyle name="쉼표 [0] 5 5 2 2 2" xfId="4306"/>
    <cellStyle name="쉼표 [0] 5 5 2 2 2 2" xfId="4307"/>
    <cellStyle name="쉼표 [0] 5 5 2 2 2 2 2" xfId="4308"/>
    <cellStyle name="쉼표 [0] 5 5 2 2 2 3" xfId="4309"/>
    <cellStyle name="쉼표 [0] 5 5 2 2 3" xfId="4310"/>
    <cellStyle name="쉼표 [0] 5 5 2 2 3 2" xfId="4311"/>
    <cellStyle name="쉼표 [0] 5 5 2 2 4" xfId="4312"/>
    <cellStyle name="쉼표 [0] 5 5 2 3" xfId="4313"/>
    <cellStyle name="쉼표 [0] 5 5 2 3 2" xfId="4314"/>
    <cellStyle name="쉼표 [0] 5 5 2 3 2 2" xfId="4315"/>
    <cellStyle name="쉼표 [0] 5 5 2 3 3" xfId="4316"/>
    <cellStyle name="쉼표 [0] 5 5 2 4" xfId="4317"/>
    <cellStyle name="쉼표 [0] 5 5 2 4 2" xfId="4318"/>
    <cellStyle name="쉼표 [0] 5 5 2 5" xfId="4319"/>
    <cellStyle name="쉼표 [0] 5 5 3" xfId="4320"/>
    <cellStyle name="쉼표 [0] 5 5 3 2" xfId="4321"/>
    <cellStyle name="쉼표 [0] 5 5 3 2 2" xfId="4322"/>
    <cellStyle name="쉼표 [0] 5 5 3 2 2 2" xfId="4323"/>
    <cellStyle name="쉼표 [0] 5 5 3 2 3" xfId="4324"/>
    <cellStyle name="쉼표 [0] 5 5 3 3" xfId="4325"/>
    <cellStyle name="쉼표 [0] 5 5 3 3 2" xfId="4326"/>
    <cellStyle name="쉼표 [0] 5 5 3 4" xfId="4327"/>
    <cellStyle name="쉼표 [0] 5 5 4" xfId="4328"/>
    <cellStyle name="쉼표 [0] 5 5 4 2" xfId="4329"/>
    <cellStyle name="쉼표 [0] 5 5 4 2 2" xfId="4330"/>
    <cellStyle name="쉼표 [0] 5 5 4 3" xfId="4331"/>
    <cellStyle name="쉼표 [0] 5 5 5" xfId="4332"/>
    <cellStyle name="쉼표 [0] 5 5 5 2" xfId="4333"/>
    <cellStyle name="쉼표 [0] 5 5 6" xfId="4334"/>
    <cellStyle name="쉼표 [0] 5 6" xfId="4335"/>
    <cellStyle name="쉼표 [0] 5 6 2" xfId="4336"/>
    <cellStyle name="쉼표 [0] 5 6 2 2" xfId="4337"/>
    <cellStyle name="쉼표 [0] 5 6 2 2 2" xfId="4338"/>
    <cellStyle name="쉼표 [0] 5 6 2 2 2 2" xfId="4339"/>
    <cellStyle name="쉼표 [0] 5 6 2 2 3" xfId="4340"/>
    <cellStyle name="쉼표 [0] 5 6 2 3" xfId="4341"/>
    <cellStyle name="쉼표 [0] 5 6 2 3 2" xfId="4342"/>
    <cellStyle name="쉼표 [0] 5 6 2 4" xfId="4343"/>
    <cellStyle name="쉼표 [0] 5 6 3" xfId="4344"/>
    <cellStyle name="쉼표 [0] 5 6 3 2" xfId="4345"/>
    <cellStyle name="쉼표 [0] 5 6 3 2 2" xfId="4346"/>
    <cellStyle name="쉼표 [0] 5 6 3 3" xfId="4347"/>
    <cellStyle name="쉼표 [0] 5 6 4" xfId="4348"/>
    <cellStyle name="쉼표 [0] 5 6 4 2" xfId="4349"/>
    <cellStyle name="쉼표 [0] 5 6 5" xfId="4350"/>
    <cellStyle name="쉼표 [0] 5 7" xfId="4351"/>
    <cellStyle name="쉼표 [0] 5 7 2" xfId="4352"/>
    <cellStyle name="쉼표 [0] 5 7 2 2" xfId="4353"/>
    <cellStyle name="쉼표 [0] 5 7 2 2 2" xfId="4354"/>
    <cellStyle name="쉼표 [0] 5 7 2 3" xfId="4355"/>
    <cellStyle name="쉼표 [0] 5 7 3" xfId="4356"/>
    <cellStyle name="쉼표 [0] 5 7 3 2" xfId="4357"/>
    <cellStyle name="쉼표 [0] 5 7 4" xfId="4358"/>
    <cellStyle name="쉼표 [0] 5 8" xfId="4359"/>
    <cellStyle name="쉼표 [0] 5 8 2" xfId="4360"/>
    <cellStyle name="쉼표 [0] 5 8 2 2" xfId="4361"/>
    <cellStyle name="쉼표 [0] 5 8 3" xfId="4362"/>
    <cellStyle name="쉼표 [0] 5 9" xfId="4363"/>
    <cellStyle name="쉼표 [0] 5 9 2" xfId="4364"/>
    <cellStyle name="쉼표 [0] 6" xfId="4365"/>
    <cellStyle name="쉼표 [0] 6 10" xfId="4366"/>
    <cellStyle name="쉼표 [0] 6 11" xfId="4367"/>
    <cellStyle name="쉼표 [0] 6 13" xfId="4368"/>
    <cellStyle name="쉼표 [0] 6 2" xfId="4369"/>
    <cellStyle name="쉼표 [0] 6 2 10" xfId="4370"/>
    <cellStyle name="쉼표 [0] 6 2 2" xfId="4371"/>
    <cellStyle name="쉼표 [0] 6 2 2 2" xfId="4372"/>
    <cellStyle name="쉼표 [0] 6 2 2 2 2" xfId="4373"/>
    <cellStyle name="쉼표 [0] 6 2 2 2 2 2" xfId="4374"/>
    <cellStyle name="쉼표 [0] 6 2 2 2 2 2 2" xfId="4375"/>
    <cellStyle name="쉼표 [0] 6 2 2 2 2 2 2 2" xfId="4376"/>
    <cellStyle name="쉼표 [0] 6 2 2 2 2 2 2 2 2" xfId="4377"/>
    <cellStyle name="쉼표 [0] 6 2 2 2 2 2 2 2 2 2" xfId="4378"/>
    <cellStyle name="쉼표 [0] 6 2 2 2 2 2 2 2 3" xfId="4379"/>
    <cellStyle name="쉼표 [0] 6 2 2 2 2 2 2 3" xfId="4380"/>
    <cellStyle name="쉼표 [0] 6 2 2 2 2 2 2 3 2" xfId="4381"/>
    <cellStyle name="쉼표 [0] 6 2 2 2 2 2 2 4" xfId="4382"/>
    <cellStyle name="쉼표 [0] 6 2 2 2 2 2 3" xfId="4383"/>
    <cellStyle name="쉼표 [0] 6 2 2 2 2 2 3 2" xfId="4384"/>
    <cellStyle name="쉼표 [0] 6 2 2 2 2 2 3 2 2" xfId="4385"/>
    <cellStyle name="쉼표 [0] 6 2 2 2 2 2 3 3" xfId="4386"/>
    <cellStyle name="쉼표 [0] 6 2 2 2 2 2 4" xfId="4387"/>
    <cellStyle name="쉼표 [0] 6 2 2 2 2 2 4 2" xfId="4388"/>
    <cellStyle name="쉼표 [0] 6 2 2 2 2 2 5" xfId="4389"/>
    <cellStyle name="쉼표 [0] 6 2 2 2 2 3" xfId="4390"/>
    <cellStyle name="쉼표 [0] 6 2 2 2 2 3 2" xfId="4391"/>
    <cellStyle name="쉼표 [0] 6 2 2 2 2 3 2 2" xfId="4392"/>
    <cellStyle name="쉼표 [0] 6 2 2 2 2 3 2 2 2" xfId="4393"/>
    <cellStyle name="쉼표 [0] 6 2 2 2 2 3 2 3" xfId="4394"/>
    <cellStyle name="쉼표 [0] 6 2 2 2 2 3 3" xfId="4395"/>
    <cellStyle name="쉼표 [0] 6 2 2 2 2 3 3 2" xfId="4396"/>
    <cellStyle name="쉼표 [0] 6 2 2 2 2 3 4" xfId="4397"/>
    <cellStyle name="쉼표 [0] 6 2 2 2 2 4" xfId="4398"/>
    <cellStyle name="쉼표 [0] 6 2 2 2 2 4 2" xfId="4399"/>
    <cellStyle name="쉼표 [0] 6 2 2 2 2 4 2 2" xfId="4400"/>
    <cellStyle name="쉼표 [0] 6 2 2 2 2 4 3" xfId="4401"/>
    <cellStyle name="쉼표 [0] 6 2 2 2 2 5" xfId="4402"/>
    <cellStyle name="쉼표 [0] 6 2 2 2 2 5 2" xfId="4403"/>
    <cellStyle name="쉼표 [0] 6 2 2 2 2 6" xfId="4404"/>
    <cellStyle name="쉼표 [0] 6 2 2 2 3" xfId="4405"/>
    <cellStyle name="쉼표 [0] 6 2 2 2 3 2" xfId="4406"/>
    <cellStyle name="쉼표 [0] 6 2 2 2 3 2 2" xfId="4407"/>
    <cellStyle name="쉼표 [0] 6 2 2 2 3 2 2 2" xfId="4408"/>
    <cellStyle name="쉼표 [0] 6 2 2 2 3 2 2 2 2" xfId="4409"/>
    <cellStyle name="쉼표 [0] 6 2 2 2 3 2 2 3" xfId="4410"/>
    <cellStyle name="쉼표 [0] 6 2 2 2 3 2 3" xfId="4411"/>
    <cellStyle name="쉼표 [0] 6 2 2 2 3 2 3 2" xfId="4412"/>
    <cellStyle name="쉼표 [0] 6 2 2 2 3 2 4" xfId="4413"/>
    <cellStyle name="쉼표 [0] 6 2 2 2 3 3" xfId="4414"/>
    <cellStyle name="쉼표 [0] 6 2 2 2 3 3 2" xfId="4415"/>
    <cellStyle name="쉼표 [0] 6 2 2 2 3 3 2 2" xfId="4416"/>
    <cellStyle name="쉼표 [0] 6 2 2 2 3 3 3" xfId="4417"/>
    <cellStyle name="쉼표 [0] 6 2 2 2 3 4" xfId="4418"/>
    <cellStyle name="쉼표 [0] 6 2 2 2 3 4 2" xfId="4419"/>
    <cellStyle name="쉼표 [0] 6 2 2 2 3 5" xfId="4420"/>
    <cellStyle name="쉼표 [0] 6 2 2 2 4" xfId="4421"/>
    <cellStyle name="쉼표 [0] 6 2 2 2 4 2" xfId="4422"/>
    <cellStyle name="쉼표 [0] 6 2 2 2 4 2 2" xfId="4423"/>
    <cellStyle name="쉼표 [0] 6 2 2 2 4 2 2 2" xfId="4424"/>
    <cellStyle name="쉼표 [0] 6 2 2 2 4 2 3" xfId="4425"/>
    <cellStyle name="쉼표 [0] 6 2 2 2 4 3" xfId="4426"/>
    <cellStyle name="쉼표 [0] 6 2 2 2 4 3 2" xfId="4427"/>
    <cellStyle name="쉼표 [0] 6 2 2 2 4 4" xfId="4428"/>
    <cellStyle name="쉼표 [0] 6 2 2 2 5" xfId="4429"/>
    <cellStyle name="쉼표 [0] 6 2 2 2 5 2" xfId="4430"/>
    <cellStyle name="쉼표 [0] 6 2 2 2 5 2 2" xfId="4431"/>
    <cellStyle name="쉼표 [0] 6 2 2 2 5 3" xfId="4432"/>
    <cellStyle name="쉼표 [0] 6 2 2 2 6" xfId="4433"/>
    <cellStyle name="쉼표 [0] 6 2 2 2 6 2" xfId="4434"/>
    <cellStyle name="쉼표 [0] 6 2 2 2 7" xfId="4435"/>
    <cellStyle name="쉼표 [0] 6 2 2 2 8" xfId="4436"/>
    <cellStyle name="쉼표 [0] 6 2 2 3" xfId="4437"/>
    <cellStyle name="쉼표 [0] 6 2 2 3 2" xfId="4438"/>
    <cellStyle name="쉼표 [0] 6 2 2 3 2 2" xfId="4439"/>
    <cellStyle name="쉼표 [0] 6 2 2 3 2 2 2" xfId="4440"/>
    <cellStyle name="쉼표 [0] 6 2 2 3 2 2 2 2" xfId="4441"/>
    <cellStyle name="쉼표 [0] 6 2 2 3 2 2 2 2 2" xfId="4442"/>
    <cellStyle name="쉼표 [0] 6 2 2 3 2 2 2 3" xfId="4443"/>
    <cellStyle name="쉼표 [0] 6 2 2 3 2 2 3" xfId="4444"/>
    <cellStyle name="쉼표 [0] 6 2 2 3 2 2 3 2" xfId="4445"/>
    <cellStyle name="쉼표 [0] 6 2 2 3 2 2 4" xfId="4446"/>
    <cellStyle name="쉼표 [0] 6 2 2 3 2 3" xfId="4447"/>
    <cellStyle name="쉼표 [0] 6 2 2 3 2 3 2" xfId="4448"/>
    <cellStyle name="쉼표 [0] 6 2 2 3 2 3 2 2" xfId="4449"/>
    <cellStyle name="쉼표 [0] 6 2 2 3 2 3 3" xfId="4450"/>
    <cellStyle name="쉼표 [0] 6 2 2 3 2 4" xfId="4451"/>
    <cellStyle name="쉼표 [0] 6 2 2 3 2 4 2" xfId="4452"/>
    <cellStyle name="쉼표 [0] 6 2 2 3 2 5" xfId="4453"/>
    <cellStyle name="쉼표 [0] 6 2 2 3 3" xfId="4454"/>
    <cellStyle name="쉼표 [0] 6 2 2 3 3 2" xfId="4455"/>
    <cellStyle name="쉼표 [0] 6 2 2 3 3 2 2" xfId="4456"/>
    <cellStyle name="쉼표 [0] 6 2 2 3 3 2 2 2" xfId="4457"/>
    <cellStyle name="쉼표 [0] 6 2 2 3 3 2 3" xfId="4458"/>
    <cellStyle name="쉼표 [0] 6 2 2 3 3 3" xfId="4459"/>
    <cellStyle name="쉼표 [0] 6 2 2 3 3 3 2" xfId="4460"/>
    <cellStyle name="쉼표 [0] 6 2 2 3 3 4" xfId="4461"/>
    <cellStyle name="쉼표 [0] 6 2 2 3 4" xfId="4462"/>
    <cellStyle name="쉼표 [0] 6 2 2 3 4 2" xfId="4463"/>
    <cellStyle name="쉼표 [0] 6 2 2 3 4 2 2" xfId="4464"/>
    <cellStyle name="쉼표 [0] 6 2 2 3 4 3" xfId="4465"/>
    <cellStyle name="쉼표 [0] 6 2 2 3 5" xfId="4466"/>
    <cellStyle name="쉼표 [0] 6 2 2 3 5 2" xfId="4467"/>
    <cellStyle name="쉼표 [0] 6 2 2 3 6" xfId="4468"/>
    <cellStyle name="쉼표 [0] 6 2 2 4" xfId="4469"/>
    <cellStyle name="쉼표 [0] 6 2 2 4 2" xfId="4470"/>
    <cellStyle name="쉼표 [0] 6 2 2 4 2 2" xfId="4471"/>
    <cellStyle name="쉼표 [0] 6 2 2 4 2 2 2" xfId="4472"/>
    <cellStyle name="쉼표 [0] 6 2 2 4 2 2 2 2" xfId="4473"/>
    <cellStyle name="쉼표 [0] 6 2 2 4 2 2 3" xfId="4474"/>
    <cellStyle name="쉼표 [0] 6 2 2 4 2 3" xfId="4475"/>
    <cellStyle name="쉼표 [0] 6 2 2 4 2 3 2" xfId="4476"/>
    <cellStyle name="쉼표 [0] 6 2 2 4 2 4" xfId="4477"/>
    <cellStyle name="쉼표 [0] 6 2 2 4 3" xfId="4478"/>
    <cellStyle name="쉼표 [0] 6 2 2 4 3 2" xfId="4479"/>
    <cellStyle name="쉼표 [0] 6 2 2 4 3 2 2" xfId="4480"/>
    <cellStyle name="쉼표 [0] 6 2 2 4 3 3" xfId="4481"/>
    <cellStyle name="쉼표 [0] 6 2 2 4 4" xfId="4482"/>
    <cellStyle name="쉼표 [0] 6 2 2 4 4 2" xfId="4483"/>
    <cellStyle name="쉼표 [0] 6 2 2 4 5" xfId="4484"/>
    <cellStyle name="쉼표 [0] 6 2 2 5" xfId="4485"/>
    <cellStyle name="쉼표 [0] 6 2 2 5 2" xfId="4486"/>
    <cellStyle name="쉼표 [0] 6 2 2 5 2 2" xfId="4487"/>
    <cellStyle name="쉼표 [0] 6 2 2 5 2 2 2" xfId="4488"/>
    <cellStyle name="쉼표 [0] 6 2 2 5 2 3" xfId="4489"/>
    <cellStyle name="쉼표 [0] 6 2 2 5 3" xfId="4490"/>
    <cellStyle name="쉼표 [0] 6 2 2 5 3 2" xfId="4491"/>
    <cellStyle name="쉼표 [0] 6 2 2 5 4" xfId="4492"/>
    <cellStyle name="쉼표 [0] 6 2 2 6" xfId="4493"/>
    <cellStyle name="쉼표 [0] 6 2 2 6 2" xfId="4494"/>
    <cellStyle name="쉼표 [0] 6 2 2 6 2 2" xfId="4495"/>
    <cellStyle name="쉼표 [0] 6 2 2 6 3" xfId="4496"/>
    <cellStyle name="쉼표 [0] 6 2 2 7" xfId="4497"/>
    <cellStyle name="쉼표 [0] 6 2 2 7 2" xfId="4498"/>
    <cellStyle name="쉼표 [0] 6 2 2 8" xfId="4499"/>
    <cellStyle name="쉼표 [0] 6 2 2 9" xfId="4500"/>
    <cellStyle name="쉼표 [0] 6 2 3" xfId="4501"/>
    <cellStyle name="쉼표 [0] 6 2 3 2" xfId="4502"/>
    <cellStyle name="쉼표 [0] 6 2 3 2 2" xfId="4503"/>
    <cellStyle name="쉼표 [0] 6 2 3 2 2 2" xfId="4504"/>
    <cellStyle name="쉼표 [0] 6 2 3 2 2 2 2" xfId="4505"/>
    <cellStyle name="쉼표 [0] 6 2 3 2 2 2 2 2" xfId="4506"/>
    <cellStyle name="쉼표 [0] 6 2 3 2 2 2 2 2 2" xfId="4507"/>
    <cellStyle name="쉼표 [0] 6 2 3 2 2 2 2 3" xfId="4508"/>
    <cellStyle name="쉼표 [0] 6 2 3 2 2 2 3" xfId="4509"/>
    <cellStyle name="쉼표 [0] 6 2 3 2 2 2 3 2" xfId="4510"/>
    <cellStyle name="쉼표 [0] 6 2 3 2 2 2 4" xfId="4511"/>
    <cellStyle name="쉼표 [0] 6 2 3 2 2 3" xfId="4512"/>
    <cellStyle name="쉼표 [0] 6 2 3 2 2 3 2" xfId="4513"/>
    <cellStyle name="쉼표 [0] 6 2 3 2 2 3 2 2" xfId="4514"/>
    <cellStyle name="쉼표 [0] 6 2 3 2 2 3 3" xfId="4515"/>
    <cellStyle name="쉼표 [0] 6 2 3 2 2 4" xfId="4516"/>
    <cellStyle name="쉼표 [0] 6 2 3 2 2 4 2" xfId="4517"/>
    <cellStyle name="쉼표 [0] 6 2 3 2 2 5" xfId="4518"/>
    <cellStyle name="쉼표 [0] 6 2 3 2 3" xfId="4519"/>
    <cellStyle name="쉼표 [0] 6 2 3 2 3 2" xfId="4520"/>
    <cellStyle name="쉼표 [0] 6 2 3 2 3 2 2" xfId="4521"/>
    <cellStyle name="쉼표 [0] 6 2 3 2 3 2 2 2" xfId="4522"/>
    <cellStyle name="쉼표 [0] 6 2 3 2 3 2 3" xfId="4523"/>
    <cellStyle name="쉼표 [0] 6 2 3 2 3 3" xfId="4524"/>
    <cellStyle name="쉼표 [0] 6 2 3 2 3 3 2" xfId="4525"/>
    <cellStyle name="쉼표 [0] 6 2 3 2 3 4" xfId="4526"/>
    <cellStyle name="쉼표 [0] 6 2 3 2 4" xfId="4527"/>
    <cellStyle name="쉼표 [0] 6 2 3 2 4 2" xfId="4528"/>
    <cellStyle name="쉼표 [0] 6 2 3 2 4 2 2" xfId="4529"/>
    <cellStyle name="쉼표 [0] 6 2 3 2 4 3" xfId="4530"/>
    <cellStyle name="쉼표 [0] 6 2 3 2 5" xfId="4531"/>
    <cellStyle name="쉼표 [0] 6 2 3 2 5 2" xfId="4532"/>
    <cellStyle name="쉼표 [0] 6 2 3 2 6" xfId="4533"/>
    <cellStyle name="쉼표 [0] 6 2 3 3" xfId="4534"/>
    <cellStyle name="쉼표 [0] 6 2 3 3 2" xfId="4535"/>
    <cellStyle name="쉼표 [0] 6 2 3 3 2 2" xfId="4536"/>
    <cellStyle name="쉼표 [0] 6 2 3 3 2 2 2" xfId="4537"/>
    <cellStyle name="쉼표 [0] 6 2 3 3 2 2 2 2" xfId="4538"/>
    <cellStyle name="쉼표 [0] 6 2 3 3 2 2 3" xfId="4539"/>
    <cellStyle name="쉼표 [0] 6 2 3 3 2 3" xfId="4540"/>
    <cellStyle name="쉼표 [0] 6 2 3 3 2 3 2" xfId="4541"/>
    <cellStyle name="쉼표 [0] 6 2 3 3 2 4" xfId="4542"/>
    <cellStyle name="쉼표 [0] 6 2 3 3 3" xfId="4543"/>
    <cellStyle name="쉼표 [0] 6 2 3 3 3 2" xfId="4544"/>
    <cellStyle name="쉼표 [0] 6 2 3 3 3 2 2" xfId="4545"/>
    <cellStyle name="쉼표 [0] 6 2 3 3 3 3" xfId="4546"/>
    <cellStyle name="쉼표 [0] 6 2 3 3 4" xfId="4547"/>
    <cellStyle name="쉼표 [0] 6 2 3 3 4 2" xfId="4548"/>
    <cellStyle name="쉼표 [0] 6 2 3 3 5" xfId="4549"/>
    <cellStyle name="쉼표 [0] 6 2 3 4" xfId="4550"/>
    <cellStyle name="쉼표 [0] 6 2 3 4 2" xfId="4551"/>
    <cellStyle name="쉼표 [0] 6 2 3 4 2 2" xfId="4552"/>
    <cellStyle name="쉼표 [0] 6 2 3 4 2 2 2" xfId="4553"/>
    <cellStyle name="쉼표 [0] 6 2 3 4 2 3" xfId="4554"/>
    <cellStyle name="쉼표 [0] 6 2 3 4 3" xfId="4555"/>
    <cellStyle name="쉼표 [0] 6 2 3 4 3 2" xfId="4556"/>
    <cellStyle name="쉼표 [0] 6 2 3 4 4" xfId="4557"/>
    <cellStyle name="쉼표 [0] 6 2 3 5" xfId="4558"/>
    <cellStyle name="쉼표 [0] 6 2 3 5 2" xfId="4559"/>
    <cellStyle name="쉼표 [0] 6 2 3 5 2 2" xfId="4560"/>
    <cellStyle name="쉼표 [0] 6 2 3 5 3" xfId="4561"/>
    <cellStyle name="쉼표 [0] 6 2 3 6" xfId="4562"/>
    <cellStyle name="쉼표 [0] 6 2 3 6 2" xfId="4563"/>
    <cellStyle name="쉼표 [0] 6 2 3 7" xfId="4564"/>
    <cellStyle name="쉼표 [0] 6 2 3 8" xfId="4565"/>
    <cellStyle name="쉼표 [0] 6 2 4" xfId="4566"/>
    <cellStyle name="쉼표 [0] 6 2 4 2" xfId="4567"/>
    <cellStyle name="쉼표 [0] 6 2 4 2 2" xfId="4568"/>
    <cellStyle name="쉼표 [0] 6 2 4 2 2 2" xfId="4569"/>
    <cellStyle name="쉼표 [0] 6 2 4 2 2 2 2" xfId="4570"/>
    <cellStyle name="쉼표 [0] 6 2 4 2 2 2 2 2" xfId="4571"/>
    <cellStyle name="쉼표 [0] 6 2 4 2 2 2 3" xfId="4572"/>
    <cellStyle name="쉼표 [0] 6 2 4 2 2 3" xfId="4573"/>
    <cellStyle name="쉼표 [0] 6 2 4 2 2 3 2" xfId="4574"/>
    <cellStyle name="쉼표 [0] 6 2 4 2 2 4" xfId="4575"/>
    <cellStyle name="쉼표 [0] 6 2 4 2 3" xfId="4576"/>
    <cellStyle name="쉼표 [0] 6 2 4 2 3 2" xfId="4577"/>
    <cellStyle name="쉼표 [0] 6 2 4 2 3 2 2" xfId="4578"/>
    <cellStyle name="쉼표 [0] 6 2 4 2 3 3" xfId="4579"/>
    <cellStyle name="쉼표 [0] 6 2 4 2 4" xfId="4580"/>
    <cellStyle name="쉼표 [0] 6 2 4 2 4 2" xfId="4581"/>
    <cellStyle name="쉼표 [0] 6 2 4 2 5" xfId="4582"/>
    <cellStyle name="쉼표 [0] 6 2 4 3" xfId="4583"/>
    <cellStyle name="쉼표 [0] 6 2 4 3 2" xfId="4584"/>
    <cellStyle name="쉼표 [0] 6 2 4 3 2 2" xfId="4585"/>
    <cellStyle name="쉼표 [0] 6 2 4 3 2 2 2" xfId="4586"/>
    <cellStyle name="쉼표 [0] 6 2 4 3 2 3" xfId="4587"/>
    <cellStyle name="쉼표 [0] 6 2 4 3 3" xfId="4588"/>
    <cellStyle name="쉼표 [0] 6 2 4 3 3 2" xfId="4589"/>
    <cellStyle name="쉼표 [0] 6 2 4 3 4" xfId="4590"/>
    <cellStyle name="쉼표 [0] 6 2 4 4" xfId="4591"/>
    <cellStyle name="쉼표 [0] 6 2 4 4 2" xfId="4592"/>
    <cellStyle name="쉼표 [0] 6 2 4 4 2 2" xfId="4593"/>
    <cellStyle name="쉼표 [0] 6 2 4 4 3" xfId="4594"/>
    <cellStyle name="쉼표 [0] 6 2 4 5" xfId="4595"/>
    <cellStyle name="쉼표 [0] 6 2 4 5 2" xfId="4596"/>
    <cellStyle name="쉼표 [0] 6 2 4 6" xfId="4597"/>
    <cellStyle name="쉼표 [0] 6 2 5" xfId="4598"/>
    <cellStyle name="쉼표 [0] 6 2 5 2" xfId="4599"/>
    <cellStyle name="쉼표 [0] 6 2 5 2 2" xfId="4600"/>
    <cellStyle name="쉼표 [0] 6 2 5 2 2 2" xfId="4601"/>
    <cellStyle name="쉼표 [0] 6 2 5 2 2 2 2" xfId="4602"/>
    <cellStyle name="쉼표 [0] 6 2 5 2 2 3" xfId="4603"/>
    <cellStyle name="쉼표 [0] 6 2 5 2 3" xfId="4604"/>
    <cellStyle name="쉼표 [0] 6 2 5 2 3 2" xfId="4605"/>
    <cellStyle name="쉼표 [0] 6 2 5 2 4" xfId="4606"/>
    <cellStyle name="쉼표 [0] 6 2 5 3" xfId="4607"/>
    <cellStyle name="쉼표 [0] 6 2 5 3 2" xfId="4608"/>
    <cellStyle name="쉼표 [0] 6 2 5 3 2 2" xfId="4609"/>
    <cellStyle name="쉼표 [0] 6 2 5 3 3" xfId="4610"/>
    <cellStyle name="쉼표 [0] 6 2 5 4" xfId="4611"/>
    <cellStyle name="쉼표 [0] 6 2 5 4 2" xfId="4612"/>
    <cellStyle name="쉼표 [0] 6 2 5 5" xfId="4613"/>
    <cellStyle name="쉼표 [0] 6 2 6" xfId="4614"/>
    <cellStyle name="쉼표 [0] 6 2 6 2" xfId="4615"/>
    <cellStyle name="쉼표 [0] 6 2 6 2 2" xfId="4616"/>
    <cellStyle name="쉼표 [0] 6 2 6 2 2 2" xfId="4617"/>
    <cellStyle name="쉼표 [0] 6 2 6 2 3" xfId="4618"/>
    <cellStyle name="쉼표 [0] 6 2 6 3" xfId="4619"/>
    <cellStyle name="쉼표 [0] 6 2 6 3 2" xfId="4620"/>
    <cellStyle name="쉼표 [0] 6 2 6 4" xfId="4621"/>
    <cellStyle name="쉼표 [0] 6 2 7" xfId="4622"/>
    <cellStyle name="쉼표 [0] 6 2 7 2" xfId="4623"/>
    <cellStyle name="쉼표 [0] 6 2 7 2 2" xfId="4624"/>
    <cellStyle name="쉼표 [0] 6 2 7 3" xfId="4625"/>
    <cellStyle name="쉼표 [0] 6 2 8" xfId="4626"/>
    <cellStyle name="쉼표 [0] 6 2 8 2" xfId="4627"/>
    <cellStyle name="쉼표 [0] 6 2 9" xfId="4628"/>
    <cellStyle name="쉼표 [0] 6 3" xfId="4629"/>
    <cellStyle name="쉼표 [0] 6 3 2" xfId="4630"/>
    <cellStyle name="쉼표 [0] 6 3 2 2" xfId="4631"/>
    <cellStyle name="쉼표 [0] 6 3 2 2 2" xfId="4632"/>
    <cellStyle name="쉼표 [0] 6 3 2 2 2 2" xfId="4633"/>
    <cellStyle name="쉼표 [0] 6 3 2 2 2 2 2" xfId="4634"/>
    <cellStyle name="쉼표 [0] 6 3 2 2 2 2 2 2" xfId="4635"/>
    <cellStyle name="쉼표 [0] 6 3 2 2 2 2 2 2 2" xfId="4636"/>
    <cellStyle name="쉼표 [0] 6 3 2 2 2 2 2 3" xfId="4637"/>
    <cellStyle name="쉼표 [0] 6 3 2 2 2 2 3" xfId="4638"/>
    <cellStyle name="쉼표 [0] 6 3 2 2 2 2 3 2" xfId="4639"/>
    <cellStyle name="쉼표 [0] 6 3 2 2 2 2 4" xfId="4640"/>
    <cellStyle name="쉼표 [0] 6 3 2 2 2 3" xfId="4641"/>
    <cellStyle name="쉼표 [0] 6 3 2 2 2 3 2" xfId="4642"/>
    <cellStyle name="쉼표 [0] 6 3 2 2 2 3 2 2" xfId="4643"/>
    <cellStyle name="쉼표 [0] 6 3 2 2 2 3 3" xfId="4644"/>
    <cellStyle name="쉼표 [0] 6 3 2 2 2 4" xfId="4645"/>
    <cellStyle name="쉼표 [0] 6 3 2 2 2 4 2" xfId="4646"/>
    <cellStyle name="쉼표 [0] 6 3 2 2 2 5" xfId="4647"/>
    <cellStyle name="쉼표 [0] 6 3 2 2 3" xfId="4648"/>
    <cellStyle name="쉼표 [0] 6 3 2 2 3 2" xfId="4649"/>
    <cellStyle name="쉼표 [0] 6 3 2 2 3 2 2" xfId="4650"/>
    <cellStyle name="쉼표 [0] 6 3 2 2 3 2 2 2" xfId="4651"/>
    <cellStyle name="쉼표 [0] 6 3 2 2 3 2 3" xfId="4652"/>
    <cellStyle name="쉼표 [0] 6 3 2 2 3 3" xfId="4653"/>
    <cellStyle name="쉼표 [0] 6 3 2 2 3 3 2" xfId="4654"/>
    <cellStyle name="쉼표 [0] 6 3 2 2 3 4" xfId="4655"/>
    <cellStyle name="쉼표 [0] 6 3 2 2 4" xfId="4656"/>
    <cellStyle name="쉼표 [0] 6 3 2 2 4 2" xfId="4657"/>
    <cellStyle name="쉼표 [0] 6 3 2 2 4 2 2" xfId="4658"/>
    <cellStyle name="쉼표 [0] 6 3 2 2 4 3" xfId="4659"/>
    <cellStyle name="쉼표 [0] 6 3 2 2 5" xfId="4660"/>
    <cellStyle name="쉼표 [0] 6 3 2 2 5 2" xfId="4661"/>
    <cellStyle name="쉼표 [0] 6 3 2 2 6" xfId="4662"/>
    <cellStyle name="쉼표 [0] 6 3 2 3" xfId="4663"/>
    <cellStyle name="쉼표 [0] 6 3 2 3 2" xfId="4664"/>
    <cellStyle name="쉼표 [0] 6 3 2 3 2 2" xfId="4665"/>
    <cellStyle name="쉼표 [0] 6 3 2 3 2 2 2" xfId="4666"/>
    <cellStyle name="쉼표 [0] 6 3 2 3 2 2 2 2" xfId="4667"/>
    <cellStyle name="쉼표 [0] 6 3 2 3 2 2 3" xfId="4668"/>
    <cellStyle name="쉼표 [0] 6 3 2 3 2 3" xfId="4669"/>
    <cellStyle name="쉼표 [0] 6 3 2 3 2 3 2" xfId="4670"/>
    <cellStyle name="쉼표 [0] 6 3 2 3 2 4" xfId="4671"/>
    <cellStyle name="쉼표 [0] 6 3 2 3 3" xfId="4672"/>
    <cellStyle name="쉼표 [0] 6 3 2 3 3 2" xfId="4673"/>
    <cellStyle name="쉼표 [0] 6 3 2 3 3 2 2" xfId="4674"/>
    <cellStyle name="쉼표 [0] 6 3 2 3 3 3" xfId="4675"/>
    <cellStyle name="쉼표 [0] 6 3 2 3 4" xfId="4676"/>
    <cellStyle name="쉼표 [0] 6 3 2 3 4 2" xfId="4677"/>
    <cellStyle name="쉼표 [0] 6 3 2 3 5" xfId="4678"/>
    <cellStyle name="쉼표 [0] 6 3 2 4" xfId="4679"/>
    <cellStyle name="쉼표 [0] 6 3 2 4 2" xfId="4680"/>
    <cellStyle name="쉼표 [0] 6 3 2 4 2 2" xfId="4681"/>
    <cellStyle name="쉼표 [0] 6 3 2 4 2 2 2" xfId="4682"/>
    <cellStyle name="쉼표 [0] 6 3 2 4 2 3" xfId="4683"/>
    <cellStyle name="쉼표 [0] 6 3 2 4 3" xfId="4684"/>
    <cellStyle name="쉼표 [0] 6 3 2 4 3 2" xfId="4685"/>
    <cellStyle name="쉼표 [0] 6 3 2 4 4" xfId="4686"/>
    <cellStyle name="쉼표 [0] 6 3 2 5" xfId="4687"/>
    <cellStyle name="쉼표 [0] 6 3 2 5 2" xfId="4688"/>
    <cellStyle name="쉼표 [0] 6 3 2 5 2 2" xfId="4689"/>
    <cellStyle name="쉼표 [0] 6 3 2 5 3" xfId="4690"/>
    <cellStyle name="쉼표 [0] 6 3 2 6" xfId="4691"/>
    <cellStyle name="쉼표 [0] 6 3 2 6 2" xfId="4692"/>
    <cellStyle name="쉼표 [0] 6 3 2 7" xfId="4693"/>
    <cellStyle name="쉼표 [0] 6 3 2 8" xfId="4694"/>
    <cellStyle name="쉼표 [0] 6 3 3" xfId="4695"/>
    <cellStyle name="쉼표 [0] 6 3 3 2" xfId="4696"/>
    <cellStyle name="쉼표 [0] 6 3 3 2 2" xfId="4697"/>
    <cellStyle name="쉼표 [0] 6 3 3 2 2 2" xfId="4698"/>
    <cellStyle name="쉼표 [0] 6 3 3 2 2 2 2" xfId="4699"/>
    <cellStyle name="쉼표 [0] 6 3 3 2 2 2 2 2" xfId="4700"/>
    <cellStyle name="쉼표 [0] 6 3 3 2 2 2 3" xfId="4701"/>
    <cellStyle name="쉼표 [0] 6 3 3 2 2 3" xfId="4702"/>
    <cellStyle name="쉼표 [0] 6 3 3 2 2 3 2" xfId="4703"/>
    <cellStyle name="쉼표 [0] 6 3 3 2 2 4" xfId="4704"/>
    <cellStyle name="쉼표 [0] 6 3 3 2 3" xfId="4705"/>
    <cellStyle name="쉼표 [0] 6 3 3 2 3 2" xfId="4706"/>
    <cellStyle name="쉼표 [0] 6 3 3 2 3 2 2" xfId="4707"/>
    <cellStyle name="쉼표 [0] 6 3 3 2 3 3" xfId="4708"/>
    <cellStyle name="쉼표 [0] 6 3 3 2 4" xfId="4709"/>
    <cellStyle name="쉼표 [0] 6 3 3 2 4 2" xfId="4710"/>
    <cellStyle name="쉼표 [0] 6 3 3 2 5" xfId="4711"/>
    <cellStyle name="쉼표 [0] 6 3 3 3" xfId="4712"/>
    <cellStyle name="쉼표 [0] 6 3 3 3 2" xfId="4713"/>
    <cellStyle name="쉼표 [0] 6 3 3 3 2 2" xfId="4714"/>
    <cellStyle name="쉼표 [0] 6 3 3 3 2 2 2" xfId="4715"/>
    <cellStyle name="쉼표 [0] 6 3 3 3 2 3" xfId="4716"/>
    <cellStyle name="쉼표 [0] 6 3 3 3 3" xfId="4717"/>
    <cellStyle name="쉼표 [0] 6 3 3 3 3 2" xfId="4718"/>
    <cellStyle name="쉼표 [0] 6 3 3 3 4" xfId="4719"/>
    <cellStyle name="쉼표 [0] 6 3 3 4" xfId="4720"/>
    <cellStyle name="쉼표 [0] 6 3 3 4 2" xfId="4721"/>
    <cellStyle name="쉼표 [0] 6 3 3 4 2 2" xfId="4722"/>
    <cellStyle name="쉼표 [0] 6 3 3 4 3" xfId="4723"/>
    <cellStyle name="쉼표 [0] 6 3 3 5" xfId="4724"/>
    <cellStyle name="쉼표 [0] 6 3 3 5 2" xfId="4725"/>
    <cellStyle name="쉼표 [0] 6 3 3 6" xfId="4726"/>
    <cellStyle name="쉼표 [0] 6 3 4" xfId="4727"/>
    <cellStyle name="쉼표 [0] 6 3 4 2" xfId="4728"/>
    <cellStyle name="쉼표 [0] 6 3 4 2 2" xfId="4729"/>
    <cellStyle name="쉼표 [0] 6 3 4 2 2 2" xfId="4730"/>
    <cellStyle name="쉼표 [0] 6 3 4 2 2 2 2" xfId="4731"/>
    <cellStyle name="쉼표 [0] 6 3 4 2 2 3" xfId="4732"/>
    <cellStyle name="쉼표 [0] 6 3 4 2 3" xfId="4733"/>
    <cellStyle name="쉼표 [0] 6 3 4 2 3 2" xfId="4734"/>
    <cellStyle name="쉼표 [0] 6 3 4 2 4" xfId="4735"/>
    <cellStyle name="쉼표 [0] 6 3 4 3" xfId="4736"/>
    <cellStyle name="쉼표 [0] 6 3 4 3 2" xfId="4737"/>
    <cellStyle name="쉼표 [0] 6 3 4 3 2 2" xfId="4738"/>
    <cellStyle name="쉼표 [0] 6 3 4 3 3" xfId="4739"/>
    <cellStyle name="쉼표 [0] 6 3 4 4" xfId="4740"/>
    <cellStyle name="쉼표 [0] 6 3 4 4 2" xfId="4741"/>
    <cellStyle name="쉼표 [0] 6 3 4 5" xfId="4742"/>
    <cellStyle name="쉼표 [0] 6 3 5" xfId="4743"/>
    <cellStyle name="쉼표 [0] 6 3 5 2" xfId="4744"/>
    <cellStyle name="쉼표 [0] 6 3 5 2 2" xfId="4745"/>
    <cellStyle name="쉼표 [0] 6 3 5 2 2 2" xfId="4746"/>
    <cellStyle name="쉼표 [0] 6 3 5 2 3" xfId="4747"/>
    <cellStyle name="쉼표 [0] 6 3 5 3" xfId="4748"/>
    <cellStyle name="쉼표 [0] 6 3 5 3 2" xfId="4749"/>
    <cellStyle name="쉼표 [0] 6 3 5 4" xfId="4750"/>
    <cellStyle name="쉼표 [0] 6 3 6" xfId="4751"/>
    <cellStyle name="쉼표 [0] 6 3 6 2" xfId="4752"/>
    <cellStyle name="쉼표 [0] 6 3 6 2 2" xfId="4753"/>
    <cellStyle name="쉼표 [0] 6 3 6 3" xfId="4754"/>
    <cellStyle name="쉼표 [0] 6 3 7" xfId="4755"/>
    <cellStyle name="쉼표 [0] 6 3 7 2" xfId="4756"/>
    <cellStyle name="쉼표 [0] 6 3 8" xfId="4757"/>
    <cellStyle name="쉼표 [0] 6 3 9" xfId="4758"/>
    <cellStyle name="쉼표 [0] 6 4" xfId="4759"/>
    <cellStyle name="쉼표 [0] 6 4 2" xfId="4760"/>
    <cellStyle name="쉼표 [0] 6 4 2 2" xfId="4761"/>
    <cellStyle name="쉼표 [0] 6 4 2 2 2" xfId="4762"/>
    <cellStyle name="쉼표 [0] 6 4 2 2 2 2" xfId="4763"/>
    <cellStyle name="쉼표 [0] 6 4 2 2 2 2 2" xfId="4764"/>
    <cellStyle name="쉼표 [0] 6 4 2 2 2 2 2 2" xfId="4765"/>
    <cellStyle name="쉼표 [0] 6 4 2 2 2 2 3" xfId="4766"/>
    <cellStyle name="쉼표 [0] 6 4 2 2 2 3" xfId="4767"/>
    <cellStyle name="쉼표 [0] 6 4 2 2 2 3 2" xfId="4768"/>
    <cellStyle name="쉼표 [0] 6 4 2 2 2 4" xfId="4769"/>
    <cellStyle name="쉼표 [0] 6 4 2 2 3" xfId="4770"/>
    <cellStyle name="쉼표 [0] 6 4 2 2 3 2" xfId="4771"/>
    <cellStyle name="쉼표 [0] 6 4 2 2 3 2 2" xfId="4772"/>
    <cellStyle name="쉼표 [0] 6 4 2 2 3 3" xfId="4773"/>
    <cellStyle name="쉼표 [0] 6 4 2 2 4" xfId="4774"/>
    <cellStyle name="쉼표 [0] 6 4 2 2 4 2" xfId="4775"/>
    <cellStyle name="쉼표 [0] 6 4 2 2 5" xfId="4776"/>
    <cellStyle name="쉼표 [0] 6 4 2 3" xfId="4777"/>
    <cellStyle name="쉼표 [0] 6 4 2 3 2" xfId="4778"/>
    <cellStyle name="쉼표 [0] 6 4 2 3 2 2" xfId="4779"/>
    <cellStyle name="쉼표 [0] 6 4 2 3 2 2 2" xfId="4780"/>
    <cellStyle name="쉼표 [0] 6 4 2 3 2 3" xfId="4781"/>
    <cellStyle name="쉼표 [0] 6 4 2 3 3" xfId="4782"/>
    <cellStyle name="쉼표 [0] 6 4 2 3 3 2" xfId="4783"/>
    <cellStyle name="쉼표 [0] 6 4 2 3 4" xfId="4784"/>
    <cellStyle name="쉼표 [0] 6 4 2 4" xfId="4785"/>
    <cellStyle name="쉼표 [0] 6 4 2 4 2" xfId="4786"/>
    <cellStyle name="쉼표 [0] 6 4 2 4 2 2" xfId="4787"/>
    <cellStyle name="쉼표 [0] 6 4 2 4 3" xfId="4788"/>
    <cellStyle name="쉼표 [0] 6 4 2 5" xfId="4789"/>
    <cellStyle name="쉼표 [0] 6 4 2 5 2" xfId="4790"/>
    <cellStyle name="쉼표 [0] 6 4 2 6" xfId="4791"/>
    <cellStyle name="쉼표 [0] 6 4 3" xfId="4792"/>
    <cellStyle name="쉼표 [0] 6 4 3 2" xfId="4793"/>
    <cellStyle name="쉼표 [0] 6 4 3 2 2" xfId="4794"/>
    <cellStyle name="쉼표 [0] 6 4 3 2 2 2" xfId="4795"/>
    <cellStyle name="쉼표 [0] 6 4 3 2 2 2 2" xfId="4796"/>
    <cellStyle name="쉼표 [0] 6 4 3 2 2 3" xfId="4797"/>
    <cellStyle name="쉼표 [0] 6 4 3 2 3" xfId="4798"/>
    <cellStyle name="쉼표 [0] 6 4 3 2 3 2" xfId="4799"/>
    <cellStyle name="쉼표 [0] 6 4 3 2 4" xfId="4800"/>
    <cellStyle name="쉼표 [0] 6 4 3 3" xfId="4801"/>
    <cellStyle name="쉼표 [0] 6 4 3 3 2" xfId="4802"/>
    <cellStyle name="쉼표 [0] 6 4 3 3 2 2" xfId="4803"/>
    <cellStyle name="쉼표 [0] 6 4 3 3 3" xfId="4804"/>
    <cellStyle name="쉼표 [0] 6 4 3 4" xfId="4805"/>
    <cellStyle name="쉼표 [0] 6 4 3 4 2" xfId="4806"/>
    <cellStyle name="쉼표 [0] 6 4 3 5" xfId="4807"/>
    <cellStyle name="쉼표 [0] 6 4 4" xfId="4808"/>
    <cellStyle name="쉼표 [0] 6 4 4 2" xfId="4809"/>
    <cellStyle name="쉼표 [0] 6 4 4 2 2" xfId="4810"/>
    <cellStyle name="쉼표 [0] 6 4 4 2 2 2" xfId="4811"/>
    <cellStyle name="쉼표 [0] 6 4 4 2 3" xfId="4812"/>
    <cellStyle name="쉼표 [0] 6 4 4 3" xfId="4813"/>
    <cellStyle name="쉼표 [0] 6 4 4 3 2" xfId="4814"/>
    <cellStyle name="쉼표 [0] 6 4 4 4" xfId="4815"/>
    <cellStyle name="쉼표 [0] 6 4 5" xfId="4816"/>
    <cellStyle name="쉼표 [0] 6 4 5 2" xfId="4817"/>
    <cellStyle name="쉼표 [0] 6 4 5 2 2" xfId="4818"/>
    <cellStyle name="쉼표 [0] 6 4 5 3" xfId="4819"/>
    <cellStyle name="쉼표 [0] 6 4 6" xfId="4820"/>
    <cellStyle name="쉼표 [0] 6 4 6 2" xfId="4821"/>
    <cellStyle name="쉼표 [0] 6 4 7" xfId="4822"/>
    <cellStyle name="쉼표 [0] 6 4 8" xfId="4823"/>
    <cellStyle name="쉼표 [0] 6 5" xfId="4824"/>
    <cellStyle name="쉼표 [0] 6 5 2" xfId="4825"/>
    <cellStyle name="쉼표 [0] 6 5 2 2" xfId="4826"/>
    <cellStyle name="쉼표 [0] 6 5 2 2 2" xfId="4827"/>
    <cellStyle name="쉼표 [0] 6 5 2 2 2 2" xfId="4828"/>
    <cellStyle name="쉼표 [0] 6 5 2 2 2 2 2" xfId="4829"/>
    <cellStyle name="쉼표 [0] 6 5 2 2 2 3" xfId="4830"/>
    <cellStyle name="쉼표 [0] 6 5 2 2 3" xfId="4831"/>
    <cellStyle name="쉼표 [0] 6 5 2 2 3 2" xfId="4832"/>
    <cellStyle name="쉼표 [0] 6 5 2 2 4" xfId="4833"/>
    <cellStyle name="쉼표 [0] 6 5 2 3" xfId="4834"/>
    <cellStyle name="쉼표 [0] 6 5 2 3 2" xfId="4835"/>
    <cellStyle name="쉼표 [0] 6 5 2 3 2 2" xfId="4836"/>
    <cellStyle name="쉼표 [0] 6 5 2 3 3" xfId="4837"/>
    <cellStyle name="쉼표 [0] 6 5 2 4" xfId="4838"/>
    <cellStyle name="쉼표 [0] 6 5 2 4 2" xfId="4839"/>
    <cellStyle name="쉼표 [0] 6 5 2 5" xfId="4840"/>
    <cellStyle name="쉼표 [0] 6 5 3" xfId="4841"/>
    <cellStyle name="쉼표 [0] 6 5 3 2" xfId="4842"/>
    <cellStyle name="쉼표 [0] 6 5 3 2 2" xfId="4843"/>
    <cellStyle name="쉼표 [0] 6 5 3 2 2 2" xfId="4844"/>
    <cellStyle name="쉼표 [0] 6 5 3 2 3" xfId="4845"/>
    <cellStyle name="쉼표 [0] 6 5 3 3" xfId="4846"/>
    <cellStyle name="쉼표 [0] 6 5 3 3 2" xfId="4847"/>
    <cellStyle name="쉼표 [0] 6 5 3 4" xfId="4848"/>
    <cellStyle name="쉼표 [0] 6 5 4" xfId="4849"/>
    <cellStyle name="쉼표 [0] 6 5 4 2" xfId="4850"/>
    <cellStyle name="쉼표 [0] 6 5 4 2 2" xfId="4851"/>
    <cellStyle name="쉼표 [0] 6 5 4 3" xfId="4852"/>
    <cellStyle name="쉼표 [0] 6 5 5" xfId="4853"/>
    <cellStyle name="쉼표 [0] 6 5 5 2" xfId="4854"/>
    <cellStyle name="쉼표 [0] 6 5 6" xfId="4855"/>
    <cellStyle name="쉼표 [0] 6 6" xfId="4856"/>
    <cellStyle name="쉼표 [0] 6 6 2" xfId="4857"/>
    <cellStyle name="쉼표 [0] 6 6 2 2" xfId="4858"/>
    <cellStyle name="쉼표 [0] 6 6 2 2 2" xfId="4859"/>
    <cellStyle name="쉼표 [0] 6 6 2 2 2 2" xfId="4860"/>
    <cellStyle name="쉼표 [0] 6 6 2 2 3" xfId="4861"/>
    <cellStyle name="쉼표 [0] 6 6 2 3" xfId="4862"/>
    <cellStyle name="쉼표 [0] 6 6 2 3 2" xfId="4863"/>
    <cellStyle name="쉼표 [0] 6 6 2 4" xfId="4864"/>
    <cellStyle name="쉼표 [0] 6 6 3" xfId="4865"/>
    <cellStyle name="쉼표 [0] 6 6 3 2" xfId="4866"/>
    <cellStyle name="쉼표 [0] 6 6 3 2 2" xfId="4867"/>
    <cellStyle name="쉼표 [0] 6 6 3 3" xfId="4868"/>
    <cellStyle name="쉼표 [0] 6 6 4" xfId="4869"/>
    <cellStyle name="쉼표 [0] 6 6 4 2" xfId="4870"/>
    <cellStyle name="쉼표 [0] 6 6 5" xfId="4871"/>
    <cellStyle name="쉼표 [0] 6 7" xfId="4872"/>
    <cellStyle name="쉼표 [0] 6 7 2" xfId="4873"/>
    <cellStyle name="쉼표 [0] 6 7 2 2" xfId="4874"/>
    <cellStyle name="쉼표 [0] 6 7 2 2 2" xfId="4875"/>
    <cellStyle name="쉼표 [0] 6 7 2 3" xfId="4876"/>
    <cellStyle name="쉼표 [0] 6 7 3" xfId="4877"/>
    <cellStyle name="쉼표 [0] 6 7 3 2" xfId="4878"/>
    <cellStyle name="쉼표 [0] 6 7 4" xfId="4879"/>
    <cellStyle name="쉼표 [0] 6 8" xfId="4880"/>
    <cellStyle name="쉼표 [0] 6 8 2" xfId="4881"/>
    <cellStyle name="쉼표 [0] 6 8 2 2" xfId="4882"/>
    <cellStyle name="쉼표 [0] 6 8 3" xfId="4883"/>
    <cellStyle name="쉼표 [0] 6 9" xfId="4884"/>
    <cellStyle name="쉼표 [0] 6 9 2" xfId="4885"/>
    <cellStyle name="쉼표 [0] 7" xfId="4886"/>
    <cellStyle name="쉼표 [0] 7 2" xfId="4887"/>
    <cellStyle name="쉼표 [0] 7 2 2" xfId="4888"/>
    <cellStyle name="쉼표 [0] 7 2 2 2" xfId="4889"/>
    <cellStyle name="쉼표 [0] 7 2 2 2 2" xfId="4890"/>
    <cellStyle name="쉼표 [0] 7 2 2 2 2 2" xfId="4891"/>
    <cellStyle name="쉼표 [0] 7 2 2 2 2 2 2" xfId="4892"/>
    <cellStyle name="쉼표 [0] 7 2 2 2 2 2 2 2" xfId="4893"/>
    <cellStyle name="쉼표 [0] 7 2 2 2 2 2 3" xfId="4894"/>
    <cellStyle name="쉼표 [0] 7 2 2 2 2 3" xfId="4895"/>
    <cellStyle name="쉼표 [0] 7 2 2 2 2 3 2" xfId="4896"/>
    <cellStyle name="쉼표 [0] 7 2 2 2 2 4" xfId="4897"/>
    <cellStyle name="쉼표 [0] 7 2 2 2 3" xfId="4898"/>
    <cellStyle name="쉼표 [0] 7 2 2 2 3 2" xfId="4899"/>
    <cellStyle name="쉼표 [0] 7 2 2 2 3 2 2" xfId="4900"/>
    <cellStyle name="쉼표 [0] 7 2 2 2 3 3" xfId="4901"/>
    <cellStyle name="쉼표 [0] 7 2 2 2 4" xfId="4902"/>
    <cellStyle name="쉼표 [0] 7 2 2 2 4 2" xfId="4903"/>
    <cellStyle name="쉼표 [0] 7 2 2 2 5" xfId="4904"/>
    <cellStyle name="쉼표 [0] 7 2 2 3" xfId="4905"/>
    <cellStyle name="쉼표 [0] 7 2 2 3 2" xfId="4906"/>
    <cellStyle name="쉼표 [0] 7 2 2 3 2 2" xfId="4907"/>
    <cellStyle name="쉼표 [0] 7 2 2 3 2 2 2" xfId="4908"/>
    <cellStyle name="쉼표 [0] 7 2 2 3 2 3" xfId="4909"/>
    <cellStyle name="쉼표 [0] 7 2 2 3 3" xfId="4910"/>
    <cellStyle name="쉼표 [0] 7 2 2 3 3 2" xfId="4911"/>
    <cellStyle name="쉼표 [0] 7 2 2 3 4" xfId="4912"/>
    <cellStyle name="쉼표 [0] 7 2 2 4" xfId="4913"/>
    <cellStyle name="쉼표 [0] 7 2 2 4 2" xfId="4914"/>
    <cellStyle name="쉼표 [0] 7 2 2 4 2 2" xfId="4915"/>
    <cellStyle name="쉼표 [0] 7 2 2 4 3" xfId="4916"/>
    <cellStyle name="쉼표 [0] 7 2 2 5" xfId="4917"/>
    <cellStyle name="쉼표 [0] 7 2 2 5 2" xfId="4918"/>
    <cellStyle name="쉼표 [0] 7 2 2 6" xfId="4919"/>
    <cellStyle name="쉼표 [0] 7 2 3" xfId="4920"/>
    <cellStyle name="쉼표 [0] 7 2 3 2" xfId="4921"/>
    <cellStyle name="쉼표 [0] 7 2 3 2 2" xfId="4922"/>
    <cellStyle name="쉼표 [0] 7 2 3 2 2 2" xfId="4923"/>
    <cellStyle name="쉼표 [0] 7 2 3 2 2 2 2" xfId="4924"/>
    <cellStyle name="쉼표 [0] 7 2 3 2 2 3" xfId="4925"/>
    <cellStyle name="쉼표 [0] 7 2 3 2 3" xfId="4926"/>
    <cellStyle name="쉼표 [0] 7 2 3 2 3 2" xfId="4927"/>
    <cellStyle name="쉼표 [0] 7 2 3 2 4" xfId="4928"/>
    <cellStyle name="쉼표 [0] 7 2 3 3" xfId="4929"/>
    <cellStyle name="쉼표 [0] 7 2 3 3 2" xfId="4930"/>
    <cellStyle name="쉼표 [0] 7 2 3 3 2 2" xfId="4931"/>
    <cellStyle name="쉼표 [0] 7 2 3 3 3" xfId="4932"/>
    <cellStyle name="쉼표 [0] 7 2 3 4" xfId="4933"/>
    <cellStyle name="쉼표 [0] 7 2 3 4 2" xfId="4934"/>
    <cellStyle name="쉼표 [0] 7 2 3 5" xfId="4935"/>
    <cellStyle name="쉼표 [0] 7 2 4" xfId="4936"/>
    <cellStyle name="쉼표 [0] 7 2 4 2" xfId="4937"/>
    <cellStyle name="쉼표 [0] 7 2 4 2 2" xfId="4938"/>
    <cellStyle name="쉼표 [0] 7 2 4 2 2 2" xfId="4939"/>
    <cellStyle name="쉼표 [0] 7 2 4 2 3" xfId="4940"/>
    <cellStyle name="쉼표 [0] 7 2 4 3" xfId="4941"/>
    <cellStyle name="쉼표 [0] 7 2 4 3 2" xfId="4942"/>
    <cellStyle name="쉼표 [0] 7 2 4 4" xfId="4943"/>
    <cellStyle name="쉼표 [0] 7 2 5" xfId="4944"/>
    <cellStyle name="쉼표 [0] 7 2 5 2" xfId="4945"/>
    <cellStyle name="쉼표 [0] 7 2 5 2 2" xfId="4946"/>
    <cellStyle name="쉼표 [0] 7 2 5 3" xfId="4947"/>
    <cellStyle name="쉼표 [0] 7 2 6" xfId="4948"/>
    <cellStyle name="쉼표 [0] 7 2 6 2" xfId="4949"/>
    <cellStyle name="쉼표 [0] 7 2 7" xfId="4950"/>
    <cellStyle name="쉼표 [0] 7 2 8" xfId="4951"/>
    <cellStyle name="쉼표 [0] 7 3" xfId="4952"/>
    <cellStyle name="쉼표 [0] 7 3 2" xfId="4953"/>
    <cellStyle name="쉼표 [0] 7 3 2 2" xfId="4954"/>
    <cellStyle name="쉼표 [0] 7 3 2 2 2" xfId="4955"/>
    <cellStyle name="쉼표 [0] 7 3 2 2 2 2" xfId="4956"/>
    <cellStyle name="쉼표 [0] 7 3 2 2 2 2 2" xfId="4957"/>
    <cellStyle name="쉼표 [0] 7 3 2 2 2 3" xfId="4958"/>
    <cellStyle name="쉼표 [0] 7 3 2 2 3" xfId="4959"/>
    <cellStyle name="쉼표 [0] 7 3 2 2 3 2" xfId="4960"/>
    <cellStyle name="쉼표 [0] 7 3 2 2 4" xfId="4961"/>
    <cellStyle name="쉼표 [0] 7 3 2 3" xfId="4962"/>
    <cellStyle name="쉼표 [0] 7 3 2 3 2" xfId="4963"/>
    <cellStyle name="쉼표 [0] 7 3 2 3 2 2" xfId="4964"/>
    <cellStyle name="쉼표 [0] 7 3 2 3 3" xfId="4965"/>
    <cellStyle name="쉼표 [0] 7 3 2 4" xfId="4966"/>
    <cellStyle name="쉼표 [0] 7 3 2 4 2" xfId="4967"/>
    <cellStyle name="쉼표 [0] 7 3 2 5" xfId="4968"/>
    <cellStyle name="쉼표 [0] 7 3 3" xfId="4969"/>
    <cellStyle name="쉼표 [0] 7 3 3 2" xfId="4970"/>
    <cellStyle name="쉼표 [0] 7 3 3 2 2" xfId="4971"/>
    <cellStyle name="쉼표 [0] 7 3 3 2 2 2" xfId="4972"/>
    <cellStyle name="쉼표 [0] 7 3 3 2 3" xfId="4973"/>
    <cellStyle name="쉼표 [0] 7 3 3 3" xfId="4974"/>
    <cellStyle name="쉼표 [0] 7 3 3 3 2" xfId="4975"/>
    <cellStyle name="쉼표 [0] 7 3 3 4" xfId="4976"/>
    <cellStyle name="쉼표 [0] 7 3 4" xfId="4977"/>
    <cellStyle name="쉼표 [0] 7 3 4 2" xfId="4978"/>
    <cellStyle name="쉼표 [0] 7 3 4 2 2" xfId="4979"/>
    <cellStyle name="쉼표 [0] 7 3 4 3" xfId="4980"/>
    <cellStyle name="쉼표 [0] 7 3 5" xfId="4981"/>
    <cellStyle name="쉼표 [0] 7 3 5 2" xfId="4982"/>
    <cellStyle name="쉼표 [0] 7 3 6" xfId="4983"/>
    <cellStyle name="쉼표 [0] 7 4" xfId="4984"/>
    <cellStyle name="쉼표 [0] 7 4 2" xfId="4985"/>
    <cellStyle name="쉼표 [0] 7 4 2 2" xfId="4986"/>
    <cellStyle name="쉼표 [0] 7 4 2 2 2" xfId="4987"/>
    <cellStyle name="쉼표 [0] 7 4 2 2 2 2" xfId="4988"/>
    <cellStyle name="쉼표 [0] 7 4 2 2 3" xfId="4989"/>
    <cellStyle name="쉼표 [0] 7 4 2 3" xfId="4990"/>
    <cellStyle name="쉼표 [0] 7 4 2 3 2" xfId="4991"/>
    <cellStyle name="쉼표 [0] 7 4 2 4" xfId="4992"/>
    <cellStyle name="쉼표 [0] 7 4 3" xfId="4993"/>
    <cellStyle name="쉼표 [0] 7 4 3 2" xfId="4994"/>
    <cellStyle name="쉼표 [0] 7 4 3 2 2" xfId="4995"/>
    <cellStyle name="쉼표 [0] 7 4 3 3" xfId="4996"/>
    <cellStyle name="쉼표 [0] 7 4 4" xfId="4997"/>
    <cellStyle name="쉼표 [0] 7 4 4 2" xfId="4998"/>
    <cellStyle name="쉼표 [0] 7 4 5" xfId="4999"/>
    <cellStyle name="쉼표 [0] 7 5" xfId="5000"/>
    <cellStyle name="쉼표 [0] 7 5 2" xfId="5001"/>
    <cellStyle name="쉼표 [0] 7 5 2 2" xfId="5002"/>
    <cellStyle name="쉼표 [0] 7 5 2 2 2" xfId="5003"/>
    <cellStyle name="쉼표 [0] 7 5 2 3" xfId="5004"/>
    <cellStyle name="쉼표 [0] 7 5 3" xfId="5005"/>
    <cellStyle name="쉼표 [0] 7 5 3 2" xfId="5006"/>
    <cellStyle name="쉼표 [0] 7 5 4" xfId="5007"/>
    <cellStyle name="쉼표 [0] 7 6" xfId="5008"/>
    <cellStyle name="쉼표 [0] 7 6 2" xfId="5009"/>
    <cellStyle name="쉼표 [0] 7 6 2 2" xfId="5010"/>
    <cellStyle name="쉼표 [0] 7 6 3" xfId="5011"/>
    <cellStyle name="쉼표 [0] 7 7" xfId="5012"/>
    <cellStyle name="쉼표 [0] 7 7 2" xfId="5013"/>
    <cellStyle name="쉼표 [0] 7 8" xfId="5014"/>
    <cellStyle name="쉼표 [0] 7 9" xfId="5015"/>
    <cellStyle name="쉼표 [0] 8" xfId="5016"/>
    <cellStyle name="쉼표 [0] 8 2" xfId="5017"/>
    <cellStyle name="쉼표 [0] 8 2 2" xfId="5018"/>
    <cellStyle name="쉼표 [0] 8 2 2 2" xfId="5019"/>
    <cellStyle name="쉼표 [0] 8 2 2 2 2" xfId="5020"/>
    <cellStyle name="쉼표 [0] 8 2 2 2 2 2" xfId="5021"/>
    <cellStyle name="쉼표 [0] 8 2 2 2 2 2 2" xfId="5022"/>
    <cellStyle name="쉼표 [0] 8 2 2 2 2 3" xfId="5023"/>
    <cellStyle name="쉼표 [0] 8 2 2 2 3" xfId="5024"/>
    <cellStyle name="쉼표 [0] 8 2 2 2 3 2" xfId="5025"/>
    <cellStyle name="쉼표 [0] 8 2 2 2 4" xfId="5026"/>
    <cellStyle name="쉼표 [0] 8 2 2 3" xfId="5027"/>
    <cellStyle name="쉼표 [0] 8 2 2 3 2" xfId="5028"/>
    <cellStyle name="쉼표 [0] 8 2 2 3 2 2" xfId="5029"/>
    <cellStyle name="쉼표 [0] 8 2 2 3 3" xfId="5030"/>
    <cellStyle name="쉼표 [0] 8 2 2 4" xfId="5031"/>
    <cellStyle name="쉼표 [0] 8 2 2 4 2" xfId="5032"/>
    <cellStyle name="쉼표 [0] 8 2 2 5" xfId="5033"/>
    <cellStyle name="쉼표 [0] 8 2 3" xfId="5034"/>
    <cellStyle name="쉼표 [0] 8 2 3 2" xfId="5035"/>
    <cellStyle name="쉼표 [0] 8 2 3 2 2" xfId="5036"/>
    <cellStyle name="쉼표 [0] 8 2 3 2 2 2" xfId="5037"/>
    <cellStyle name="쉼표 [0] 8 2 3 2 3" xfId="5038"/>
    <cellStyle name="쉼표 [0] 8 2 3 3" xfId="5039"/>
    <cellStyle name="쉼표 [0] 8 2 3 3 2" xfId="5040"/>
    <cellStyle name="쉼표 [0] 8 2 3 4" xfId="5041"/>
    <cellStyle name="쉼표 [0] 8 2 4" xfId="5042"/>
    <cellStyle name="쉼표 [0] 8 2 4 2" xfId="5043"/>
    <cellStyle name="쉼표 [0] 8 2 4 2 2" xfId="5044"/>
    <cellStyle name="쉼표 [0] 8 2 4 3" xfId="5045"/>
    <cellStyle name="쉼표 [0] 8 2 5" xfId="5046"/>
    <cellStyle name="쉼표 [0] 8 2 5 2" xfId="5047"/>
    <cellStyle name="쉼표 [0] 8 2 6" xfId="5048"/>
    <cellStyle name="쉼표 [0] 8 3" xfId="5049"/>
    <cellStyle name="쉼표 [0] 8 3 2" xfId="5050"/>
    <cellStyle name="쉼표 [0] 8 3 2 2" xfId="5051"/>
    <cellStyle name="쉼표 [0] 8 3 2 2 2" xfId="5052"/>
    <cellStyle name="쉼표 [0] 8 3 2 2 2 2" xfId="5053"/>
    <cellStyle name="쉼표 [0] 8 3 2 2 3" xfId="5054"/>
    <cellStyle name="쉼표 [0] 8 3 2 3" xfId="5055"/>
    <cellStyle name="쉼표 [0] 8 3 2 3 2" xfId="5056"/>
    <cellStyle name="쉼표 [0] 8 3 2 4" xfId="5057"/>
    <cellStyle name="쉼표 [0] 8 3 3" xfId="5058"/>
    <cellStyle name="쉼표 [0] 8 3 3 2" xfId="5059"/>
    <cellStyle name="쉼표 [0] 8 3 3 2 2" xfId="5060"/>
    <cellStyle name="쉼표 [0] 8 3 3 3" xfId="5061"/>
    <cellStyle name="쉼표 [0] 8 3 4" xfId="5062"/>
    <cellStyle name="쉼표 [0] 8 3 4 2" xfId="5063"/>
    <cellStyle name="쉼표 [0] 8 3 5" xfId="5064"/>
    <cellStyle name="쉼표 [0] 8 4" xfId="5065"/>
    <cellStyle name="쉼표 [0] 8 4 2" xfId="5066"/>
    <cellStyle name="쉼표 [0] 8 4 2 2" xfId="5067"/>
    <cellStyle name="쉼표 [0] 8 4 2 2 2" xfId="5068"/>
    <cellStyle name="쉼표 [0] 8 4 2 3" xfId="5069"/>
    <cellStyle name="쉼표 [0] 8 4 3" xfId="5070"/>
    <cellStyle name="쉼표 [0] 8 4 3 2" xfId="5071"/>
    <cellStyle name="쉼표 [0] 8 4 4" xfId="5072"/>
    <cellStyle name="쉼표 [0] 8 5" xfId="5073"/>
    <cellStyle name="쉼표 [0] 8 5 2" xfId="5074"/>
    <cellStyle name="쉼표 [0] 8 5 2 2" xfId="5075"/>
    <cellStyle name="쉼표 [0] 8 5 3" xfId="5076"/>
    <cellStyle name="쉼표 [0] 8 6" xfId="5077"/>
    <cellStyle name="쉼표 [0] 8 6 2" xfId="5078"/>
    <cellStyle name="쉼표 [0] 8 7" xfId="5079"/>
    <cellStyle name="쉼표 [0] 8 8" xfId="5080"/>
    <cellStyle name="쉼표 [0] 9" xfId="5081"/>
    <cellStyle name="쉼표 [0] 9 2" xfId="5082"/>
    <cellStyle name="쉼표 [0] 9 2 2" xfId="5083"/>
    <cellStyle name="쉼표 [0] 9 2 2 2" xfId="5084"/>
    <cellStyle name="쉼표 [0] 9 2 2 2 2" xfId="5085"/>
    <cellStyle name="쉼표 [0] 9 2 2 2 2 2" xfId="5086"/>
    <cellStyle name="쉼표 [0] 9 2 2 2 3" xfId="5087"/>
    <cellStyle name="쉼표 [0] 9 2 2 3" xfId="5088"/>
    <cellStyle name="쉼표 [0] 9 2 2 3 2" xfId="5089"/>
    <cellStyle name="쉼표 [0] 9 2 2 4" xfId="5090"/>
    <cellStyle name="쉼표 [0] 9 2 3" xfId="5091"/>
    <cellStyle name="쉼표 [0] 9 2 3 2" xfId="5092"/>
    <cellStyle name="쉼표 [0] 9 2 3 2 2" xfId="5093"/>
    <cellStyle name="쉼표 [0] 9 2 3 3" xfId="5094"/>
    <cellStyle name="쉼표 [0] 9 2 4" xfId="5095"/>
    <cellStyle name="쉼표 [0] 9 2 4 2" xfId="5096"/>
    <cellStyle name="쉼표 [0] 9 2 5" xfId="5097"/>
    <cellStyle name="쉼표 [0] 9 3" xfId="5098"/>
    <cellStyle name="쉼표 [0] 9 3 2" xfId="5099"/>
    <cellStyle name="쉼표 [0] 9 3 2 2" xfId="5100"/>
    <cellStyle name="쉼표 [0] 9 3 2 2 2" xfId="5101"/>
    <cellStyle name="쉼표 [0] 9 3 2 3" xfId="5102"/>
    <cellStyle name="쉼표 [0] 9 3 3" xfId="5103"/>
    <cellStyle name="쉼표 [0] 9 3 3 2" xfId="5104"/>
    <cellStyle name="쉼표 [0] 9 3 4" xfId="5105"/>
    <cellStyle name="쉼표 [0] 9 4" xfId="5106"/>
    <cellStyle name="쉼표 [0] 9 4 2" xfId="5107"/>
    <cellStyle name="쉼표 [0] 9 4 2 2" xfId="5108"/>
    <cellStyle name="쉼표 [0] 9 4 3" xfId="5109"/>
    <cellStyle name="쉼표 [0] 9 5" xfId="5110"/>
    <cellStyle name="쉼표 [0] 9 5 2" xfId="5111"/>
    <cellStyle name="쉼표 [0] 9 6" xfId="5112"/>
    <cellStyle name="통화 [0] 2" xfId="5113"/>
    <cellStyle name="통화 [0] 2 10" xfId="5114"/>
    <cellStyle name="통화 [0] 2 11" xfId="5115"/>
    <cellStyle name="통화 [0] 2 2" xfId="5116"/>
    <cellStyle name="통화 [0] 2 2 10" xfId="5117"/>
    <cellStyle name="통화 [0] 2 2 2" xfId="5118"/>
    <cellStyle name="통화 [0] 2 2 2 2" xfId="5119"/>
    <cellStyle name="통화 [0] 2 2 2 2 2" xfId="5120"/>
    <cellStyle name="통화 [0] 2 2 2 2 2 2" xfId="5121"/>
    <cellStyle name="통화 [0] 2 2 2 2 2 2 2" xfId="5122"/>
    <cellStyle name="통화 [0] 2 2 2 2 2 2 2 2" xfId="5123"/>
    <cellStyle name="통화 [0] 2 2 2 2 2 2 2 2 2" xfId="5124"/>
    <cellStyle name="통화 [0] 2 2 2 2 2 2 2 2 2 2" xfId="5125"/>
    <cellStyle name="통화 [0] 2 2 2 2 2 2 2 2 3" xfId="5126"/>
    <cellStyle name="통화 [0] 2 2 2 2 2 2 2 3" xfId="5127"/>
    <cellStyle name="통화 [0] 2 2 2 2 2 2 2 3 2" xfId="5128"/>
    <cellStyle name="통화 [0] 2 2 2 2 2 2 2 4" xfId="5129"/>
    <cellStyle name="통화 [0] 2 2 2 2 2 2 3" xfId="5130"/>
    <cellStyle name="통화 [0] 2 2 2 2 2 2 3 2" xfId="5131"/>
    <cellStyle name="통화 [0] 2 2 2 2 2 2 3 2 2" xfId="5132"/>
    <cellStyle name="통화 [0] 2 2 2 2 2 2 3 3" xfId="5133"/>
    <cellStyle name="통화 [0] 2 2 2 2 2 2 4" xfId="5134"/>
    <cellStyle name="통화 [0] 2 2 2 2 2 2 4 2" xfId="5135"/>
    <cellStyle name="통화 [0] 2 2 2 2 2 2 5" xfId="5136"/>
    <cellStyle name="통화 [0] 2 2 2 2 2 3" xfId="5137"/>
    <cellStyle name="통화 [0] 2 2 2 2 2 3 2" xfId="5138"/>
    <cellStyle name="통화 [0] 2 2 2 2 2 3 2 2" xfId="5139"/>
    <cellStyle name="통화 [0] 2 2 2 2 2 3 2 2 2" xfId="5140"/>
    <cellStyle name="통화 [0] 2 2 2 2 2 3 2 3" xfId="5141"/>
    <cellStyle name="통화 [0] 2 2 2 2 2 3 3" xfId="5142"/>
    <cellStyle name="통화 [0] 2 2 2 2 2 3 3 2" xfId="5143"/>
    <cellStyle name="통화 [0] 2 2 2 2 2 3 4" xfId="5144"/>
    <cellStyle name="통화 [0] 2 2 2 2 2 4" xfId="5145"/>
    <cellStyle name="통화 [0] 2 2 2 2 2 4 2" xfId="5146"/>
    <cellStyle name="통화 [0] 2 2 2 2 2 4 2 2" xfId="5147"/>
    <cellStyle name="통화 [0] 2 2 2 2 2 4 3" xfId="5148"/>
    <cellStyle name="통화 [0] 2 2 2 2 2 5" xfId="5149"/>
    <cellStyle name="통화 [0] 2 2 2 2 2 5 2" xfId="5150"/>
    <cellStyle name="통화 [0] 2 2 2 2 2 6" xfId="5151"/>
    <cellStyle name="통화 [0] 2 2 2 2 3" xfId="5152"/>
    <cellStyle name="통화 [0] 2 2 2 2 3 2" xfId="5153"/>
    <cellStyle name="통화 [0] 2 2 2 2 3 2 2" xfId="5154"/>
    <cellStyle name="통화 [0] 2 2 2 2 3 2 2 2" xfId="5155"/>
    <cellStyle name="통화 [0] 2 2 2 2 3 2 2 2 2" xfId="5156"/>
    <cellStyle name="통화 [0] 2 2 2 2 3 2 2 3" xfId="5157"/>
    <cellStyle name="통화 [0] 2 2 2 2 3 2 3" xfId="5158"/>
    <cellStyle name="통화 [0] 2 2 2 2 3 2 3 2" xfId="5159"/>
    <cellStyle name="통화 [0] 2 2 2 2 3 2 4" xfId="5160"/>
    <cellStyle name="통화 [0] 2 2 2 2 3 3" xfId="5161"/>
    <cellStyle name="통화 [0] 2 2 2 2 3 3 2" xfId="5162"/>
    <cellStyle name="통화 [0] 2 2 2 2 3 3 2 2" xfId="5163"/>
    <cellStyle name="통화 [0] 2 2 2 2 3 3 3" xfId="5164"/>
    <cellStyle name="통화 [0] 2 2 2 2 3 4" xfId="5165"/>
    <cellStyle name="통화 [0] 2 2 2 2 3 4 2" xfId="5166"/>
    <cellStyle name="통화 [0] 2 2 2 2 3 5" xfId="5167"/>
    <cellStyle name="통화 [0] 2 2 2 2 4" xfId="5168"/>
    <cellStyle name="통화 [0] 2 2 2 2 4 2" xfId="5169"/>
    <cellStyle name="통화 [0] 2 2 2 2 4 2 2" xfId="5170"/>
    <cellStyle name="통화 [0] 2 2 2 2 4 2 2 2" xfId="5171"/>
    <cellStyle name="통화 [0] 2 2 2 2 4 2 3" xfId="5172"/>
    <cellStyle name="통화 [0] 2 2 2 2 4 3" xfId="5173"/>
    <cellStyle name="통화 [0] 2 2 2 2 4 3 2" xfId="5174"/>
    <cellStyle name="통화 [0] 2 2 2 2 4 4" xfId="5175"/>
    <cellStyle name="통화 [0] 2 2 2 2 5" xfId="5176"/>
    <cellStyle name="통화 [0] 2 2 2 2 5 2" xfId="5177"/>
    <cellStyle name="통화 [0] 2 2 2 2 5 2 2" xfId="5178"/>
    <cellStyle name="통화 [0] 2 2 2 2 5 3" xfId="5179"/>
    <cellStyle name="통화 [0] 2 2 2 2 6" xfId="5180"/>
    <cellStyle name="통화 [0] 2 2 2 2 6 2" xfId="5181"/>
    <cellStyle name="통화 [0] 2 2 2 2 7" xfId="5182"/>
    <cellStyle name="통화 [0] 2 2 2 2 8" xfId="5183"/>
    <cellStyle name="통화 [0] 2 2 2 3" xfId="5184"/>
    <cellStyle name="통화 [0] 2 2 2 3 2" xfId="5185"/>
    <cellStyle name="통화 [0] 2 2 2 3 2 2" xfId="5186"/>
    <cellStyle name="통화 [0] 2 2 2 3 2 2 2" xfId="5187"/>
    <cellStyle name="통화 [0] 2 2 2 3 2 2 2 2" xfId="5188"/>
    <cellStyle name="통화 [0] 2 2 2 3 2 2 2 2 2" xfId="5189"/>
    <cellStyle name="통화 [0] 2 2 2 3 2 2 2 3" xfId="5190"/>
    <cellStyle name="통화 [0] 2 2 2 3 2 2 3" xfId="5191"/>
    <cellStyle name="통화 [0] 2 2 2 3 2 2 3 2" xfId="5192"/>
    <cellStyle name="통화 [0] 2 2 2 3 2 2 4" xfId="5193"/>
    <cellStyle name="통화 [0] 2 2 2 3 2 3" xfId="5194"/>
    <cellStyle name="통화 [0] 2 2 2 3 2 3 2" xfId="5195"/>
    <cellStyle name="통화 [0] 2 2 2 3 2 3 2 2" xfId="5196"/>
    <cellStyle name="통화 [0] 2 2 2 3 2 3 3" xfId="5197"/>
    <cellStyle name="통화 [0] 2 2 2 3 2 4" xfId="5198"/>
    <cellStyle name="통화 [0] 2 2 2 3 2 4 2" xfId="5199"/>
    <cellStyle name="통화 [0] 2 2 2 3 2 5" xfId="5200"/>
    <cellStyle name="통화 [0] 2 2 2 3 3" xfId="5201"/>
    <cellStyle name="통화 [0] 2 2 2 3 3 2" xfId="5202"/>
    <cellStyle name="통화 [0] 2 2 2 3 3 2 2" xfId="5203"/>
    <cellStyle name="통화 [0] 2 2 2 3 3 2 2 2" xfId="5204"/>
    <cellStyle name="통화 [0] 2 2 2 3 3 2 3" xfId="5205"/>
    <cellStyle name="통화 [0] 2 2 2 3 3 3" xfId="5206"/>
    <cellStyle name="통화 [0] 2 2 2 3 3 3 2" xfId="5207"/>
    <cellStyle name="통화 [0] 2 2 2 3 3 4" xfId="5208"/>
    <cellStyle name="통화 [0] 2 2 2 3 4" xfId="5209"/>
    <cellStyle name="통화 [0] 2 2 2 3 4 2" xfId="5210"/>
    <cellStyle name="통화 [0] 2 2 2 3 4 2 2" xfId="5211"/>
    <cellStyle name="통화 [0] 2 2 2 3 4 3" xfId="5212"/>
    <cellStyle name="통화 [0] 2 2 2 3 5" xfId="5213"/>
    <cellStyle name="통화 [0] 2 2 2 3 5 2" xfId="5214"/>
    <cellStyle name="통화 [0] 2 2 2 3 6" xfId="5215"/>
    <cellStyle name="통화 [0] 2 2 2 4" xfId="5216"/>
    <cellStyle name="통화 [0] 2 2 2 4 2" xfId="5217"/>
    <cellStyle name="통화 [0] 2 2 2 4 2 2" xfId="5218"/>
    <cellStyle name="통화 [0] 2 2 2 4 2 2 2" xfId="5219"/>
    <cellStyle name="통화 [0] 2 2 2 4 2 2 2 2" xfId="5220"/>
    <cellStyle name="통화 [0] 2 2 2 4 2 2 3" xfId="5221"/>
    <cellStyle name="통화 [0] 2 2 2 4 2 3" xfId="5222"/>
    <cellStyle name="통화 [0] 2 2 2 4 2 3 2" xfId="5223"/>
    <cellStyle name="통화 [0] 2 2 2 4 2 4" xfId="5224"/>
    <cellStyle name="통화 [0] 2 2 2 4 3" xfId="5225"/>
    <cellStyle name="통화 [0] 2 2 2 4 3 2" xfId="5226"/>
    <cellStyle name="통화 [0] 2 2 2 4 3 2 2" xfId="5227"/>
    <cellStyle name="통화 [0] 2 2 2 4 3 3" xfId="5228"/>
    <cellStyle name="통화 [0] 2 2 2 4 4" xfId="5229"/>
    <cellStyle name="통화 [0] 2 2 2 4 4 2" xfId="5230"/>
    <cellStyle name="통화 [0] 2 2 2 4 5" xfId="5231"/>
    <cellStyle name="통화 [0] 2 2 2 5" xfId="5232"/>
    <cellStyle name="통화 [0] 2 2 2 5 2" xfId="5233"/>
    <cellStyle name="통화 [0] 2 2 2 5 2 2" xfId="5234"/>
    <cellStyle name="통화 [0] 2 2 2 5 2 2 2" xfId="5235"/>
    <cellStyle name="통화 [0] 2 2 2 5 2 3" xfId="5236"/>
    <cellStyle name="통화 [0] 2 2 2 5 3" xfId="5237"/>
    <cellStyle name="통화 [0] 2 2 2 5 3 2" xfId="5238"/>
    <cellStyle name="통화 [0] 2 2 2 5 4" xfId="5239"/>
    <cellStyle name="통화 [0] 2 2 2 6" xfId="5240"/>
    <cellStyle name="통화 [0] 2 2 2 6 2" xfId="5241"/>
    <cellStyle name="통화 [0] 2 2 2 6 2 2" xfId="5242"/>
    <cellStyle name="통화 [0] 2 2 2 6 3" xfId="5243"/>
    <cellStyle name="통화 [0] 2 2 2 7" xfId="5244"/>
    <cellStyle name="통화 [0] 2 2 2 7 2" xfId="5245"/>
    <cellStyle name="통화 [0] 2 2 2 8" xfId="5246"/>
    <cellStyle name="통화 [0] 2 2 2 9" xfId="5247"/>
    <cellStyle name="통화 [0] 2 2 3" xfId="5248"/>
    <cellStyle name="통화 [0] 2 2 3 2" xfId="5249"/>
    <cellStyle name="통화 [0] 2 2 3 2 2" xfId="5250"/>
    <cellStyle name="통화 [0] 2 2 3 2 2 2" xfId="5251"/>
    <cellStyle name="통화 [0] 2 2 3 2 2 2 2" xfId="5252"/>
    <cellStyle name="통화 [0] 2 2 3 2 2 2 2 2" xfId="5253"/>
    <cellStyle name="통화 [0] 2 2 3 2 2 2 2 2 2" xfId="5254"/>
    <cellStyle name="통화 [0] 2 2 3 2 2 2 2 3" xfId="5255"/>
    <cellStyle name="통화 [0] 2 2 3 2 2 2 3" xfId="5256"/>
    <cellStyle name="통화 [0] 2 2 3 2 2 2 3 2" xfId="5257"/>
    <cellStyle name="통화 [0] 2 2 3 2 2 2 4" xfId="5258"/>
    <cellStyle name="통화 [0] 2 2 3 2 2 3" xfId="5259"/>
    <cellStyle name="통화 [0] 2 2 3 2 2 3 2" xfId="5260"/>
    <cellStyle name="통화 [0] 2 2 3 2 2 3 2 2" xfId="5261"/>
    <cellStyle name="통화 [0] 2 2 3 2 2 3 3" xfId="5262"/>
    <cellStyle name="통화 [0] 2 2 3 2 2 4" xfId="5263"/>
    <cellStyle name="통화 [0] 2 2 3 2 2 4 2" xfId="5264"/>
    <cellStyle name="통화 [0] 2 2 3 2 2 5" xfId="5265"/>
    <cellStyle name="통화 [0] 2 2 3 2 3" xfId="5266"/>
    <cellStyle name="통화 [0] 2 2 3 2 3 2" xfId="5267"/>
    <cellStyle name="통화 [0] 2 2 3 2 3 2 2" xfId="5268"/>
    <cellStyle name="통화 [0] 2 2 3 2 3 2 2 2" xfId="5269"/>
    <cellStyle name="통화 [0] 2 2 3 2 3 2 3" xfId="5270"/>
    <cellStyle name="통화 [0] 2 2 3 2 3 3" xfId="5271"/>
    <cellStyle name="통화 [0] 2 2 3 2 3 3 2" xfId="5272"/>
    <cellStyle name="통화 [0] 2 2 3 2 3 4" xfId="5273"/>
    <cellStyle name="통화 [0] 2 2 3 2 4" xfId="5274"/>
    <cellStyle name="통화 [0] 2 2 3 2 4 2" xfId="5275"/>
    <cellStyle name="통화 [0] 2 2 3 2 4 2 2" xfId="5276"/>
    <cellStyle name="통화 [0] 2 2 3 2 4 3" xfId="5277"/>
    <cellStyle name="통화 [0] 2 2 3 2 5" xfId="5278"/>
    <cellStyle name="통화 [0] 2 2 3 2 5 2" xfId="5279"/>
    <cellStyle name="통화 [0] 2 2 3 2 6" xfId="5280"/>
    <cellStyle name="통화 [0] 2 2 3 3" xfId="5281"/>
    <cellStyle name="통화 [0] 2 2 3 3 2" xfId="5282"/>
    <cellStyle name="통화 [0] 2 2 3 3 2 2" xfId="5283"/>
    <cellStyle name="통화 [0] 2 2 3 3 2 2 2" xfId="5284"/>
    <cellStyle name="통화 [0] 2 2 3 3 2 2 2 2" xfId="5285"/>
    <cellStyle name="통화 [0] 2 2 3 3 2 2 3" xfId="5286"/>
    <cellStyle name="통화 [0] 2 2 3 3 2 3" xfId="5287"/>
    <cellStyle name="통화 [0] 2 2 3 3 2 3 2" xfId="5288"/>
    <cellStyle name="통화 [0] 2 2 3 3 2 4" xfId="5289"/>
    <cellStyle name="통화 [0] 2 2 3 3 3" xfId="5290"/>
    <cellStyle name="통화 [0] 2 2 3 3 3 2" xfId="5291"/>
    <cellStyle name="통화 [0] 2 2 3 3 3 2 2" xfId="5292"/>
    <cellStyle name="통화 [0] 2 2 3 3 3 3" xfId="5293"/>
    <cellStyle name="통화 [0] 2 2 3 3 4" xfId="5294"/>
    <cellStyle name="통화 [0] 2 2 3 3 4 2" xfId="5295"/>
    <cellStyle name="통화 [0] 2 2 3 3 5" xfId="5296"/>
    <cellStyle name="통화 [0] 2 2 3 4" xfId="5297"/>
    <cellStyle name="통화 [0] 2 2 3 4 2" xfId="5298"/>
    <cellStyle name="통화 [0] 2 2 3 4 2 2" xfId="5299"/>
    <cellStyle name="통화 [0] 2 2 3 4 2 2 2" xfId="5300"/>
    <cellStyle name="통화 [0] 2 2 3 4 2 3" xfId="5301"/>
    <cellStyle name="통화 [0] 2 2 3 4 3" xfId="5302"/>
    <cellStyle name="통화 [0] 2 2 3 4 3 2" xfId="5303"/>
    <cellStyle name="통화 [0] 2 2 3 4 4" xfId="5304"/>
    <cellStyle name="통화 [0] 2 2 3 5" xfId="5305"/>
    <cellStyle name="통화 [0] 2 2 3 5 2" xfId="5306"/>
    <cellStyle name="통화 [0] 2 2 3 5 2 2" xfId="5307"/>
    <cellStyle name="통화 [0] 2 2 3 5 3" xfId="5308"/>
    <cellStyle name="통화 [0] 2 2 3 6" xfId="5309"/>
    <cellStyle name="통화 [0] 2 2 3 6 2" xfId="5310"/>
    <cellStyle name="통화 [0] 2 2 3 7" xfId="5311"/>
    <cellStyle name="통화 [0] 2 2 3 8" xfId="5312"/>
    <cellStyle name="통화 [0] 2 2 4" xfId="5313"/>
    <cellStyle name="통화 [0] 2 2 4 2" xfId="5314"/>
    <cellStyle name="통화 [0] 2 2 4 2 2" xfId="5315"/>
    <cellStyle name="통화 [0] 2 2 4 2 2 2" xfId="5316"/>
    <cellStyle name="통화 [0] 2 2 4 2 2 2 2" xfId="5317"/>
    <cellStyle name="통화 [0] 2 2 4 2 2 2 2 2" xfId="5318"/>
    <cellStyle name="통화 [0] 2 2 4 2 2 2 3" xfId="5319"/>
    <cellStyle name="통화 [0] 2 2 4 2 2 3" xfId="5320"/>
    <cellStyle name="통화 [0] 2 2 4 2 2 3 2" xfId="5321"/>
    <cellStyle name="통화 [0] 2 2 4 2 2 4" xfId="5322"/>
    <cellStyle name="통화 [0] 2 2 4 2 3" xfId="5323"/>
    <cellStyle name="통화 [0] 2 2 4 2 3 2" xfId="5324"/>
    <cellStyle name="통화 [0] 2 2 4 2 3 2 2" xfId="5325"/>
    <cellStyle name="통화 [0] 2 2 4 2 3 3" xfId="5326"/>
    <cellStyle name="통화 [0] 2 2 4 2 4" xfId="5327"/>
    <cellStyle name="통화 [0] 2 2 4 2 4 2" xfId="5328"/>
    <cellStyle name="통화 [0] 2 2 4 2 5" xfId="5329"/>
    <cellStyle name="통화 [0] 2 2 4 3" xfId="5330"/>
    <cellStyle name="통화 [0] 2 2 4 3 2" xfId="5331"/>
    <cellStyle name="통화 [0] 2 2 4 3 2 2" xfId="5332"/>
    <cellStyle name="통화 [0] 2 2 4 3 2 2 2" xfId="5333"/>
    <cellStyle name="통화 [0] 2 2 4 3 2 3" xfId="5334"/>
    <cellStyle name="통화 [0] 2 2 4 3 3" xfId="5335"/>
    <cellStyle name="통화 [0] 2 2 4 3 3 2" xfId="5336"/>
    <cellStyle name="통화 [0] 2 2 4 3 4" xfId="5337"/>
    <cellStyle name="통화 [0] 2 2 4 4" xfId="5338"/>
    <cellStyle name="통화 [0] 2 2 4 4 2" xfId="5339"/>
    <cellStyle name="통화 [0] 2 2 4 4 2 2" xfId="5340"/>
    <cellStyle name="통화 [0] 2 2 4 4 3" xfId="5341"/>
    <cellStyle name="통화 [0] 2 2 4 5" xfId="5342"/>
    <cellStyle name="통화 [0] 2 2 4 5 2" xfId="5343"/>
    <cellStyle name="통화 [0] 2 2 4 6" xfId="5344"/>
    <cellStyle name="통화 [0] 2 2 5" xfId="5345"/>
    <cellStyle name="통화 [0] 2 2 5 2" xfId="5346"/>
    <cellStyle name="통화 [0] 2 2 5 2 2" xfId="5347"/>
    <cellStyle name="통화 [0] 2 2 5 2 2 2" xfId="5348"/>
    <cellStyle name="통화 [0] 2 2 5 2 2 2 2" xfId="5349"/>
    <cellStyle name="통화 [0] 2 2 5 2 2 3" xfId="5350"/>
    <cellStyle name="통화 [0] 2 2 5 2 3" xfId="5351"/>
    <cellStyle name="통화 [0] 2 2 5 2 3 2" xfId="5352"/>
    <cellStyle name="통화 [0] 2 2 5 2 4" xfId="5353"/>
    <cellStyle name="통화 [0] 2 2 5 3" xfId="5354"/>
    <cellStyle name="통화 [0] 2 2 5 3 2" xfId="5355"/>
    <cellStyle name="통화 [0] 2 2 5 3 2 2" xfId="5356"/>
    <cellStyle name="통화 [0] 2 2 5 3 3" xfId="5357"/>
    <cellStyle name="통화 [0] 2 2 5 4" xfId="5358"/>
    <cellStyle name="통화 [0] 2 2 5 4 2" xfId="5359"/>
    <cellStyle name="통화 [0] 2 2 5 5" xfId="5360"/>
    <cellStyle name="통화 [0] 2 2 6" xfId="5361"/>
    <cellStyle name="통화 [0] 2 2 6 2" xfId="5362"/>
    <cellStyle name="통화 [0] 2 2 6 2 2" xfId="5363"/>
    <cellStyle name="통화 [0] 2 2 6 2 2 2" xfId="5364"/>
    <cellStyle name="통화 [0] 2 2 6 2 3" xfId="5365"/>
    <cellStyle name="통화 [0] 2 2 6 3" xfId="5366"/>
    <cellStyle name="통화 [0] 2 2 6 3 2" xfId="5367"/>
    <cellStyle name="통화 [0] 2 2 6 4" xfId="5368"/>
    <cellStyle name="통화 [0] 2 2 7" xfId="5369"/>
    <cellStyle name="통화 [0] 2 2 7 2" xfId="5370"/>
    <cellStyle name="통화 [0] 2 2 7 2 2" xfId="5371"/>
    <cellStyle name="통화 [0] 2 2 7 3" xfId="5372"/>
    <cellStyle name="통화 [0] 2 2 8" xfId="5373"/>
    <cellStyle name="통화 [0] 2 2 8 2" xfId="5374"/>
    <cellStyle name="통화 [0] 2 2 9" xfId="5375"/>
    <cellStyle name="통화 [0] 2 3" xfId="5376"/>
    <cellStyle name="통화 [0] 2 3 2" xfId="5377"/>
    <cellStyle name="통화 [0] 2 3 2 2" xfId="5378"/>
    <cellStyle name="통화 [0] 2 3 2 2 2" xfId="5379"/>
    <cellStyle name="통화 [0] 2 3 2 2 2 2" xfId="5380"/>
    <cellStyle name="통화 [0] 2 3 2 2 2 2 2" xfId="5381"/>
    <cellStyle name="통화 [0] 2 3 2 2 2 2 2 2" xfId="5382"/>
    <cellStyle name="통화 [0] 2 3 2 2 2 2 2 2 2" xfId="5383"/>
    <cellStyle name="통화 [0] 2 3 2 2 2 2 2 3" xfId="5384"/>
    <cellStyle name="통화 [0] 2 3 2 2 2 2 3" xfId="5385"/>
    <cellStyle name="통화 [0] 2 3 2 2 2 2 3 2" xfId="5386"/>
    <cellStyle name="통화 [0] 2 3 2 2 2 2 4" xfId="5387"/>
    <cellStyle name="통화 [0] 2 3 2 2 2 3" xfId="5388"/>
    <cellStyle name="통화 [0] 2 3 2 2 2 3 2" xfId="5389"/>
    <cellStyle name="통화 [0] 2 3 2 2 2 3 2 2" xfId="5390"/>
    <cellStyle name="통화 [0] 2 3 2 2 2 3 3" xfId="5391"/>
    <cellStyle name="통화 [0] 2 3 2 2 2 4" xfId="5392"/>
    <cellStyle name="통화 [0] 2 3 2 2 2 4 2" xfId="5393"/>
    <cellStyle name="통화 [0] 2 3 2 2 2 5" xfId="5394"/>
    <cellStyle name="통화 [0] 2 3 2 2 3" xfId="5395"/>
    <cellStyle name="통화 [0] 2 3 2 2 3 2" xfId="5396"/>
    <cellStyle name="통화 [0] 2 3 2 2 3 2 2" xfId="5397"/>
    <cellStyle name="통화 [0] 2 3 2 2 3 2 2 2" xfId="5398"/>
    <cellStyle name="통화 [0] 2 3 2 2 3 2 3" xfId="5399"/>
    <cellStyle name="통화 [0] 2 3 2 2 3 3" xfId="5400"/>
    <cellStyle name="통화 [0] 2 3 2 2 3 3 2" xfId="5401"/>
    <cellStyle name="통화 [0] 2 3 2 2 3 4" xfId="5402"/>
    <cellStyle name="통화 [0] 2 3 2 2 4" xfId="5403"/>
    <cellStyle name="통화 [0] 2 3 2 2 4 2" xfId="5404"/>
    <cellStyle name="통화 [0] 2 3 2 2 4 2 2" xfId="5405"/>
    <cellStyle name="통화 [0] 2 3 2 2 4 3" xfId="5406"/>
    <cellStyle name="통화 [0] 2 3 2 2 5" xfId="5407"/>
    <cellStyle name="통화 [0] 2 3 2 2 5 2" xfId="5408"/>
    <cellStyle name="통화 [0] 2 3 2 2 6" xfId="5409"/>
    <cellStyle name="통화 [0] 2 3 2 3" xfId="5410"/>
    <cellStyle name="통화 [0] 2 3 2 3 2" xfId="5411"/>
    <cellStyle name="통화 [0] 2 3 2 3 2 2" xfId="5412"/>
    <cellStyle name="통화 [0] 2 3 2 3 2 2 2" xfId="5413"/>
    <cellStyle name="통화 [0] 2 3 2 3 2 2 2 2" xfId="5414"/>
    <cellStyle name="통화 [0] 2 3 2 3 2 2 3" xfId="5415"/>
    <cellStyle name="통화 [0] 2 3 2 3 2 3" xfId="5416"/>
    <cellStyle name="통화 [0] 2 3 2 3 2 3 2" xfId="5417"/>
    <cellStyle name="통화 [0] 2 3 2 3 2 4" xfId="5418"/>
    <cellStyle name="통화 [0] 2 3 2 3 3" xfId="5419"/>
    <cellStyle name="통화 [0] 2 3 2 3 3 2" xfId="5420"/>
    <cellStyle name="통화 [0] 2 3 2 3 3 2 2" xfId="5421"/>
    <cellStyle name="통화 [0] 2 3 2 3 3 3" xfId="5422"/>
    <cellStyle name="통화 [0] 2 3 2 3 4" xfId="5423"/>
    <cellStyle name="통화 [0] 2 3 2 3 4 2" xfId="5424"/>
    <cellStyle name="통화 [0] 2 3 2 3 5" xfId="5425"/>
    <cellStyle name="통화 [0] 2 3 2 4" xfId="5426"/>
    <cellStyle name="통화 [0] 2 3 2 4 2" xfId="5427"/>
    <cellStyle name="통화 [0] 2 3 2 4 2 2" xfId="5428"/>
    <cellStyle name="통화 [0] 2 3 2 4 2 2 2" xfId="5429"/>
    <cellStyle name="통화 [0] 2 3 2 4 2 3" xfId="5430"/>
    <cellStyle name="통화 [0] 2 3 2 4 3" xfId="5431"/>
    <cellStyle name="통화 [0] 2 3 2 4 3 2" xfId="5432"/>
    <cellStyle name="통화 [0] 2 3 2 4 4" xfId="5433"/>
    <cellStyle name="통화 [0] 2 3 2 5" xfId="5434"/>
    <cellStyle name="통화 [0] 2 3 2 5 2" xfId="5435"/>
    <cellStyle name="통화 [0] 2 3 2 5 2 2" xfId="5436"/>
    <cellStyle name="통화 [0] 2 3 2 5 3" xfId="5437"/>
    <cellStyle name="통화 [0] 2 3 2 6" xfId="5438"/>
    <cellStyle name="통화 [0] 2 3 2 6 2" xfId="5439"/>
    <cellStyle name="통화 [0] 2 3 2 7" xfId="5440"/>
    <cellStyle name="통화 [0] 2 3 2 8" xfId="5441"/>
    <cellStyle name="통화 [0] 2 3 3" xfId="5442"/>
    <cellStyle name="통화 [0] 2 3 3 2" xfId="5443"/>
    <cellStyle name="통화 [0] 2 3 3 2 2" xfId="5444"/>
    <cellStyle name="통화 [0] 2 3 3 2 2 2" xfId="5445"/>
    <cellStyle name="통화 [0] 2 3 3 2 2 2 2" xfId="5446"/>
    <cellStyle name="통화 [0] 2 3 3 2 2 2 2 2" xfId="5447"/>
    <cellStyle name="통화 [0] 2 3 3 2 2 2 3" xfId="5448"/>
    <cellStyle name="통화 [0] 2 3 3 2 2 3" xfId="5449"/>
    <cellStyle name="통화 [0] 2 3 3 2 2 3 2" xfId="5450"/>
    <cellStyle name="통화 [0] 2 3 3 2 2 4" xfId="5451"/>
    <cellStyle name="통화 [0] 2 3 3 2 3" xfId="5452"/>
    <cellStyle name="통화 [0] 2 3 3 2 3 2" xfId="5453"/>
    <cellStyle name="통화 [0] 2 3 3 2 3 2 2" xfId="5454"/>
    <cellStyle name="통화 [0] 2 3 3 2 3 3" xfId="5455"/>
    <cellStyle name="통화 [0] 2 3 3 2 4" xfId="5456"/>
    <cellStyle name="통화 [0] 2 3 3 2 4 2" xfId="5457"/>
    <cellStyle name="통화 [0] 2 3 3 2 5" xfId="5458"/>
    <cellStyle name="통화 [0] 2 3 3 3" xfId="5459"/>
    <cellStyle name="통화 [0] 2 3 3 3 2" xfId="5460"/>
    <cellStyle name="통화 [0] 2 3 3 3 2 2" xfId="5461"/>
    <cellStyle name="통화 [0] 2 3 3 3 2 2 2" xfId="5462"/>
    <cellStyle name="통화 [0] 2 3 3 3 2 3" xfId="5463"/>
    <cellStyle name="통화 [0] 2 3 3 3 3" xfId="5464"/>
    <cellStyle name="통화 [0] 2 3 3 3 3 2" xfId="5465"/>
    <cellStyle name="통화 [0] 2 3 3 3 4" xfId="5466"/>
    <cellStyle name="통화 [0] 2 3 3 4" xfId="5467"/>
    <cellStyle name="통화 [0] 2 3 3 4 2" xfId="5468"/>
    <cellStyle name="통화 [0] 2 3 3 4 2 2" xfId="5469"/>
    <cellStyle name="통화 [0] 2 3 3 4 3" xfId="5470"/>
    <cellStyle name="통화 [0] 2 3 3 5" xfId="5471"/>
    <cellStyle name="통화 [0] 2 3 3 5 2" xfId="5472"/>
    <cellStyle name="통화 [0] 2 3 3 6" xfId="5473"/>
    <cellStyle name="통화 [0] 2 3 4" xfId="5474"/>
    <cellStyle name="통화 [0] 2 3 4 2" xfId="5475"/>
    <cellStyle name="통화 [0] 2 3 4 2 2" xfId="5476"/>
    <cellStyle name="통화 [0] 2 3 4 2 2 2" xfId="5477"/>
    <cellStyle name="통화 [0] 2 3 4 2 2 2 2" xfId="5478"/>
    <cellStyle name="통화 [0] 2 3 4 2 2 3" xfId="5479"/>
    <cellStyle name="통화 [0] 2 3 4 2 3" xfId="5480"/>
    <cellStyle name="통화 [0] 2 3 4 2 3 2" xfId="5481"/>
    <cellStyle name="통화 [0] 2 3 4 2 4" xfId="5482"/>
    <cellStyle name="통화 [0] 2 3 4 3" xfId="5483"/>
    <cellStyle name="통화 [0] 2 3 4 3 2" xfId="5484"/>
    <cellStyle name="통화 [0] 2 3 4 3 2 2" xfId="5485"/>
    <cellStyle name="통화 [0] 2 3 4 3 3" xfId="5486"/>
    <cellStyle name="통화 [0] 2 3 4 4" xfId="5487"/>
    <cellStyle name="통화 [0] 2 3 4 4 2" xfId="5488"/>
    <cellStyle name="통화 [0] 2 3 4 5" xfId="5489"/>
    <cellStyle name="통화 [0] 2 3 5" xfId="5490"/>
    <cellStyle name="통화 [0] 2 3 5 2" xfId="5491"/>
    <cellStyle name="통화 [0] 2 3 5 2 2" xfId="5492"/>
    <cellStyle name="통화 [0] 2 3 5 2 2 2" xfId="5493"/>
    <cellStyle name="통화 [0] 2 3 5 2 3" xfId="5494"/>
    <cellStyle name="통화 [0] 2 3 5 3" xfId="5495"/>
    <cellStyle name="통화 [0] 2 3 5 3 2" xfId="5496"/>
    <cellStyle name="통화 [0] 2 3 5 4" xfId="5497"/>
    <cellStyle name="통화 [0] 2 3 6" xfId="5498"/>
    <cellStyle name="통화 [0] 2 3 6 2" xfId="5499"/>
    <cellStyle name="통화 [0] 2 3 6 2 2" xfId="5500"/>
    <cellStyle name="통화 [0] 2 3 6 3" xfId="5501"/>
    <cellStyle name="통화 [0] 2 3 7" xfId="5502"/>
    <cellStyle name="통화 [0] 2 3 7 2" xfId="5503"/>
    <cellStyle name="통화 [0] 2 3 8" xfId="5504"/>
    <cellStyle name="통화 [0] 2 3 9" xfId="5505"/>
    <cellStyle name="통화 [0] 2 4" xfId="5506"/>
    <cellStyle name="통화 [0] 2 4 2" xfId="5507"/>
    <cellStyle name="통화 [0] 2 4 2 2" xfId="5508"/>
    <cellStyle name="통화 [0] 2 4 2 2 2" xfId="5509"/>
    <cellStyle name="통화 [0] 2 4 2 2 2 2" xfId="5510"/>
    <cellStyle name="통화 [0] 2 4 2 2 2 2 2" xfId="5511"/>
    <cellStyle name="통화 [0] 2 4 2 2 2 2 2 2" xfId="5512"/>
    <cellStyle name="통화 [0] 2 4 2 2 2 2 3" xfId="5513"/>
    <cellStyle name="통화 [0] 2 4 2 2 2 3" xfId="5514"/>
    <cellStyle name="통화 [0] 2 4 2 2 2 3 2" xfId="5515"/>
    <cellStyle name="통화 [0] 2 4 2 2 2 4" xfId="5516"/>
    <cellStyle name="통화 [0] 2 4 2 2 3" xfId="5517"/>
    <cellStyle name="통화 [0] 2 4 2 2 3 2" xfId="5518"/>
    <cellStyle name="통화 [0] 2 4 2 2 3 2 2" xfId="5519"/>
    <cellStyle name="통화 [0] 2 4 2 2 3 3" xfId="5520"/>
    <cellStyle name="통화 [0] 2 4 2 2 4" xfId="5521"/>
    <cellStyle name="통화 [0] 2 4 2 2 4 2" xfId="5522"/>
    <cellStyle name="통화 [0] 2 4 2 2 5" xfId="5523"/>
    <cellStyle name="통화 [0] 2 4 2 3" xfId="5524"/>
    <cellStyle name="통화 [0] 2 4 2 3 2" xfId="5525"/>
    <cellStyle name="통화 [0] 2 4 2 3 2 2" xfId="5526"/>
    <cellStyle name="통화 [0] 2 4 2 3 2 2 2" xfId="5527"/>
    <cellStyle name="통화 [0] 2 4 2 3 2 3" xfId="5528"/>
    <cellStyle name="통화 [0] 2 4 2 3 3" xfId="5529"/>
    <cellStyle name="통화 [0] 2 4 2 3 3 2" xfId="5530"/>
    <cellStyle name="통화 [0] 2 4 2 3 4" xfId="5531"/>
    <cellStyle name="통화 [0] 2 4 2 4" xfId="5532"/>
    <cellStyle name="통화 [0] 2 4 2 4 2" xfId="5533"/>
    <cellStyle name="통화 [0] 2 4 2 4 2 2" xfId="5534"/>
    <cellStyle name="통화 [0] 2 4 2 4 3" xfId="5535"/>
    <cellStyle name="통화 [0] 2 4 2 5" xfId="5536"/>
    <cellStyle name="통화 [0] 2 4 2 5 2" xfId="5537"/>
    <cellStyle name="통화 [0] 2 4 2 6" xfId="5538"/>
    <cellStyle name="통화 [0] 2 4 3" xfId="5539"/>
    <cellStyle name="통화 [0] 2 4 3 2" xfId="5540"/>
    <cellStyle name="통화 [0] 2 4 3 2 2" xfId="5541"/>
    <cellStyle name="통화 [0] 2 4 3 2 2 2" xfId="5542"/>
    <cellStyle name="통화 [0] 2 4 3 2 2 2 2" xfId="5543"/>
    <cellStyle name="통화 [0] 2 4 3 2 2 3" xfId="5544"/>
    <cellStyle name="통화 [0] 2 4 3 2 3" xfId="5545"/>
    <cellStyle name="통화 [0] 2 4 3 2 3 2" xfId="5546"/>
    <cellStyle name="통화 [0] 2 4 3 2 4" xfId="5547"/>
    <cellStyle name="통화 [0] 2 4 3 3" xfId="5548"/>
    <cellStyle name="통화 [0] 2 4 3 3 2" xfId="5549"/>
    <cellStyle name="통화 [0] 2 4 3 3 2 2" xfId="5550"/>
    <cellStyle name="통화 [0] 2 4 3 3 3" xfId="5551"/>
    <cellStyle name="통화 [0] 2 4 3 4" xfId="5552"/>
    <cellStyle name="통화 [0] 2 4 3 4 2" xfId="5553"/>
    <cellStyle name="통화 [0] 2 4 3 5" xfId="5554"/>
    <cellStyle name="통화 [0] 2 4 4" xfId="5555"/>
    <cellStyle name="통화 [0] 2 4 4 2" xfId="5556"/>
    <cellStyle name="통화 [0] 2 4 4 2 2" xfId="5557"/>
    <cellStyle name="통화 [0] 2 4 4 2 2 2" xfId="5558"/>
    <cellStyle name="통화 [0] 2 4 4 2 3" xfId="5559"/>
    <cellStyle name="통화 [0] 2 4 4 3" xfId="5560"/>
    <cellStyle name="통화 [0] 2 4 4 3 2" xfId="5561"/>
    <cellStyle name="통화 [0] 2 4 4 4" xfId="5562"/>
    <cellStyle name="통화 [0] 2 4 5" xfId="5563"/>
    <cellStyle name="통화 [0] 2 4 5 2" xfId="5564"/>
    <cellStyle name="통화 [0] 2 4 5 2 2" xfId="5565"/>
    <cellStyle name="통화 [0] 2 4 5 3" xfId="5566"/>
    <cellStyle name="통화 [0] 2 4 6" xfId="5567"/>
    <cellStyle name="통화 [0] 2 4 6 2" xfId="5568"/>
    <cellStyle name="통화 [0] 2 4 7" xfId="5569"/>
    <cellStyle name="통화 [0] 2 4 8" xfId="5570"/>
    <cellStyle name="통화 [0] 2 5" xfId="5571"/>
    <cellStyle name="통화 [0] 2 5 2" xfId="5572"/>
    <cellStyle name="통화 [0] 2 5 2 2" xfId="5573"/>
    <cellStyle name="통화 [0] 2 5 2 2 2" xfId="5574"/>
    <cellStyle name="통화 [0] 2 5 2 2 2 2" xfId="5575"/>
    <cellStyle name="통화 [0] 2 5 2 2 2 2 2" xfId="5576"/>
    <cellStyle name="통화 [0] 2 5 2 2 2 3" xfId="5577"/>
    <cellStyle name="통화 [0] 2 5 2 2 3" xfId="5578"/>
    <cellStyle name="통화 [0] 2 5 2 2 3 2" xfId="5579"/>
    <cellStyle name="통화 [0] 2 5 2 2 4" xfId="5580"/>
    <cellStyle name="통화 [0] 2 5 2 3" xfId="5581"/>
    <cellStyle name="통화 [0] 2 5 2 3 2" xfId="5582"/>
    <cellStyle name="통화 [0] 2 5 2 3 2 2" xfId="5583"/>
    <cellStyle name="통화 [0] 2 5 2 3 3" xfId="5584"/>
    <cellStyle name="통화 [0] 2 5 2 4" xfId="5585"/>
    <cellStyle name="통화 [0] 2 5 2 4 2" xfId="5586"/>
    <cellStyle name="통화 [0] 2 5 2 5" xfId="5587"/>
    <cellStyle name="통화 [0] 2 5 3" xfId="5588"/>
    <cellStyle name="통화 [0] 2 5 3 2" xfId="5589"/>
    <cellStyle name="통화 [0] 2 5 3 2 2" xfId="5590"/>
    <cellStyle name="통화 [0] 2 5 3 2 2 2" xfId="5591"/>
    <cellStyle name="통화 [0] 2 5 3 2 3" xfId="5592"/>
    <cellStyle name="통화 [0] 2 5 3 3" xfId="5593"/>
    <cellStyle name="통화 [0] 2 5 3 3 2" xfId="5594"/>
    <cellStyle name="통화 [0] 2 5 3 4" xfId="5595"/>
    <cellStyle name="통화 [0] 2 5 4" xfId="5596"/>
    <cellStyle name="통화 [0] 2 5 4 2" xfId="5597"/>
    <cellStyle name="통화 [0] 2 5 4 2 2" xfId="5598"/>
    <cellStyle name="통화 [0] 2 5 4 3" xfId="5599"/>
    <cellStyle name="통화 [0] 2 5 5" xfId="5600"/>
    <cellStyle name="통화 [0] 2 5 5 2" xfId="5601"/>
    <cellStyle name="통화 [0] 2 5 6" xfId="5602"/>
    <cellStyle name="통화 [0] 2 6" xfId="5603"/>
    <cellStyle name="통화 [0] 2 6 2" xfId="5604"/>
    <cellStyle name="통화 [0] 2 6 2 2" xfId="5605"/>
    <cellStyle name="통화 [0] 2 6 2 2 2" xfId="5606"/>
    <cellStyle name="통화 [0] 2 6 2 2 2 2" xfId="5607"/>
    <cellStyle name="통화 [0] 2 6 2 2 3" xfId="5608"/>
    <cellStyle name="통화 [0] 2 6 2 3" xfId="5609"/>
    <cellStyle name="통화 [0] 2 6 2 3 2" xfId="5610"/>
    <cellStyle name="통화 [0] 2 6 2 4" xfId="5611"/>
    <cellStyle name="통화 [0] 2 6 3" xfId="5612"/>
    <cellStyle name="통화 [0] 2 6 3 2" xfId="5613"/>
    <cellStyle name="통화 [0] 2 6 3 2 2" xfId="5614"/>
    <cellStyle name="통화 [0] 2 6 3 3" xfId="5615"/>
    <cellStyle name="통화 [0] 2 6 4" xfId="5616"/>
    <cellStyle name="통화 [0] 2 6 4 2" xfId="5617"/>
    <cellStyle name="통화 [0] 2 6 5" xfId="5618"/>
    <cellStyle name="통화 [0] 2 7" xfId="5619"/>
    <cellStyle name="통화 [0] 2 7 2" xfId="5620"/>
    <cellStyle name="통화 [0] 2 7 2 2" xfId="5621"/>
    <cellStyle name="통화 [0] 2 7 2 2 2" xfId="5622"/>
    <cellStyle name="통화 [0] 2 7 2 3" xfId="5623"/>
    <cellStyle name="통화 [0] 2 7 3" xfId="5624"/>
    <cellStyle name="통화 [0] 2 7 3 2" xfId="5625"/>
    <cellStyle name="통화 [0] 2 7 4" xfId="5626"/>
    <cellStyle name="통화 [0] 2 8" xfId="5627"/>
    <cellStyle name="통화 [0] 2 8 2" xfId="5628"/>
    <cellStyle name="통화 [0] 2 8 2 2" xfId="5629"/>
    <cellStyle name="통화 [0] 2 8 3" xfId="5630"/>
    <cellStyle name="통화 [0] 2 9" xfId="5631"/>
    <cellStyle name="통화 [0] 2 9 2" xfId="5632"/>
    <cellStyle name="통화 [0] 3" xfId="5633"/>
    <cellStyle name="통화 [0] 3 2" xfId="5634"/>
    <cellStyle name="통화 [0] 3 2 2" xfId="5635"/>
    <cellStyle name="통화 [0] 3 2 2 2" xfId="5636"/>
    <cellStyle name="통화 [0] 3 2 2 2 2" xfId="5637"/>
    <cellStyle name="통화 [0] 3 2 2 2 2 2" xfId="5638"/>
    <cellStyle name="통화 [0] 3 2 2 2 2 2 2" xfId="5639"/>
    <cellStyle name="통화 [0] 3 2 2 2 2 3" xfId="5640"/>
    <cellStyle name="통화 [0] 3 2 2 2 3" xfId="5641"/>
    <cellStyle name="통화 [0] 3 2 2 2 3 2" xfId="5642"/>
    <cellStyle name="통화 [0] 3 2 2 2 4" xfId="5643"/>
    <cellStyle name="통화 [0] 3 2 2 3" xfId="5644"/>
    <cellStyle name="통화 [0] 3 2 2 3 2" xfId="5645"/>
    <cellStyle name="통화 [0] 3 2 2 3 2 2" xfId="5646"/>
    <cellStyle name="통화 [0] 3 2 2 3 3" xfId="5647"/>
    <cellStyle name="통화 [0] 3 2 2 4" xfId="5648"/>
    <cellStyle name="통화 [0] 3 2 2 4 2" xfId="5649"/>
    <cellStyle name="통화 [0] 3 2 2 5" xfId="5650"/>
    <cellStyle name="통화 [0] 3 2 3" xfId="5651"/>
    <cellStyle name="통화 [0] 3 2 3 2" xfId="5652"/>
    <cellStyle name="통화 [0] 3 2 3 2 2" xfId="5653"/>
    <cellStyle name="통화 [0] 3 2 3 2 2 2" xfId="5654"/>
    <cellStyle name="통화 [0] 3 2 3 2 3" xfId="5655"/>
    <cellStyle name="통화 [0] 3 2 3 3" xfId="5656"/>
    <cellStyle name="통화 [0] 3 2 3 3 2" xfId="5657"/>
    <cellStyle name="통화 [0] 3 2 3 4" xfId="5658"/>
    <cellStyle name="통화 [0] 3 2 4" xfId="5659"/>
    <cellStyle name="통화 [0] 3 2 4 2" xfId="5660"/>
    <cellStyle name="통화 [0] 3 2 4 2 2" xfId="5661"/>
    <cellStyle name="통화 [0] 3 2 4 3" xfId="5662"/>
    <cellStyle name="통화 [0] 3 2 5" xfId="5663"/>
    <cellStyle name="통화 [0] 3 2 5 2" xfId="5664"/>
    <cellStyle name="통화 [0] 3 2 6" xfId="5665"/>
    <cellStyle name="통화 [0] 3 3" xfId="5666"/>
    <cellStyle name="통화 [0] 3 3 2" xfId="5667"/>
    <cellStyle name="통화 [0] 3 3 2 2" xfId="5668"/>
    <cellStyle name="통화 [0] 3 3 2 2 2" xfId="5669"/>
    <cellStyle name="통화 [0] 3 3 2 2 2 2" xfId="5670"/>
    <cellStyle name="통화 [0] 3 3 2 2 3" xfId="5671"/>
    <cellStyle name="통화 [0] 3 3 2 3" xfId="5672"/>
    <cellStyle name="통화 [0] 3 3 2 3 2" xfId="5673"/>
    <cellStyle name="통화 [0] 3 3 2 4" xfId="5674"/>
    <cellStyle name="통화 [0] 3 3 3" xfId="5675"/>
    <cellStyle name="통화 [0] 3 3 3 2" xfId="5676"/>
    <cellStyle name="통화 [0] 3 3 3 2 2" xfId="5677"/>
    <cellStyle name="통화 [0] 3 3 3 3" xfId="5678"/>
    <cellStyle name="통화 [0] 3 3 4" xfId="5679"/>
    <cellStyle name="통화 [0] 3 3 4 2" xfId="5680"/>
    <cellStyle name="통화 [0] 3 3 5" xfId="5681"/>
    <cellStyle name="통화 [0] 3 4" xfId="5682"/>
    <cellStyle name="통화 [0] 3 4 2" xfId="5683"/>
    <cellStyle name="통화 [0] 3 4 2 2" xfId="5684"/>
    <cellStyle name="통화 [0] 3 4 2 2 2" xfId="5685"/>
    <cellStyle name="통화 [0] 3 4 2 3" xfId="5686"/>
    <cellStyle name="통화 [0] 3 4 3" xfId="5687"/>
    <cellStyle name="통화 [0] 3 4 3 2" xfId="5688"/>
    <cellStyle name="통화 [0] 3 4 4" xfId="5689"/>
    <cellStyle name="통화 [0] 3 5" xfId="5690"/>
    <cellStyle name="통화 [0] 3 5 2" xfId="5691"/>
    <cellStyle name="통화 [0] 3 5 2 2" xfId="5692"/>
    <cellStyle name="통화 [0] 3 5 3" xfId="5693"/>
    <cellStyle name="통화 [0] 3 6" xfId="5694"/>
    <cellStyle name="통화 [0] 3 6 2" xfId="5695"/>
    <cellStyle name="통화 [0] 3 7" xfId="5696"/>
    <cellStyle name="통화 [0] 3 8" xfId="5697"/>
    <cellStyle name="통화 [0] 4" xfId="5698"/>
    <cellStyle name="통화 [0] 4 2" xfId="5699"/>
    <cellStyle name="통화 [0] 5" xfId="5700"/>
    <cellStyle name="표준" xfId="0" builtinId="0"/>
    <cellStyle name="표준 10" xfId="10"/>
    <cellStyle name="표준 10 2" xfId="61"/>
    <cellStyle name="표준 10 2 10" xfId="5701"/>
    <cellStyle name="표준 10 2 2" xfId="5702"/>
    <cellStyle name="표준 10 2 2 10" xfId="5703"/>
    <cellStyle name="표준 10 2 2 11" xfId="5704"/>
    <cellStyle name="표준 10 2 2 2" xfId="5705"/>
    <cellStyle name="표준 10 2 2 2 2" xfId="5706"/>
    <cellStyle name="표준 10 2 2 2 2 2" xfId="5707"/>
    <cellStyle name="표준 10 2 2 2 2 2 2" xfId="5708"/>
    <cellStyle name="표준 10 2 2 2 2 2 2 2" xfId="5709"/>
    <cellStyle name="표준 10 2 2 2 2 2 2 2 2" xfId="5710"/>
    <cellStyle name="표준 10 2 2 2 2 2 2 2 2 2" xfId="5711"/>
    <cellStyle name="표준 10 2 2 2 2 2 2 2 3" xfId="5712"/>
    <cellStyle name="표준 10 2 2 2 2 2 2 3" xfId="5713"/>
    <cellStyle name="표준 10 2 2 2 2 2 2 3 2" xfId="5714"/>
    <cellStyle name="표준 10 2 2 2 2 2 2 4" xfId="5715"/>
    <cellStyle name="표준 10 2 2 2 2 2 3" xfId="5716"/>
    <cellStyle name="표준 10 2 2 2 2 2 3 2" xfId="5717"/>
    <cellStyle name="표준 10 2 2 2 2 2 3 2 2" xfId="5718"/>
    <cellStyle name="표준 10 2 2 2 2 2 3 3" xfId="5719"/>
    <cellStyle name="표준 10 2 2 2 2 2 4" xfId="5720"/>
    <cellStyle name="표준 10 2 2 2 2 2 4 2" xfId="5721"/>
    <cellStyle name="표준 10 2 2 2 2 2 5" xfId="5722"/>
    <cellStyle name="표준 10 2 2 2 2 3" xfId="5723"/>
    <cellStyle name="표준 10 2 2 2 2 3 2" xfId="5724"/>
    <cellStyle name="표준 10 2 2 2 2 3 2 2" xfId="5725"/>
    <cellStyle name="표준 10 2 2 2 2 3 2 2 2" xfId="5726"/>
    <cellStyle name="표준 10 2 2 2 2 3 2 3" xfId="5727"/>
    <cellStyle name="표준 10 2 2 2 2 3 3" xfId="5728"/>
    <cellStyle name="표준 10 2 2 2 2 3 3 2" xfId="5729"/>
    <cellStyle name="표준 10 2 2 2 2 3 4" xfId="5730"/>
    <cellStyle name="표준 10 2 2 2 2 4" xfId="5731"/>
    <cellStyle name="표준 10 2 2 2 2 4 2" xfId="5732"/>
    <cellStyle name="표준 10 2 2 2 2 4 2 2" xfId="5733"/>
    <cellStyle name="표준 10 2 2 2 2 4 3" xfId="5734"/>
    <cellStyle name="표준 10 2 2 2 2 5" xfId="5735"/>
    <cellStyle name="표준 10 2 2 2 2 5 2" xfId="5736"/>
    <cellStyle name="표준 10 2 2 2 2 6" xfId="5737"/>
    <cellStyle name="표준 10 2 2 2 3" xfId="5738"/>
    <cellStyle name="표준 10 2 2 2 3 2" xfId="5739"/>
    <cellStyle name="표준 10 2 2 2 3 2 2" xfId="5740"/>
    <cellStyle name="표준 10 2 2 2 3 2 2 2" xfId="5741"/>
    <cellStyle name="표준 10 2 2 2 3 2 2 2 2" xfId="5742"/>
    <cellStyle name="표준 10 2 2 2 3 2 2 3" xfId="5743"/>
    <cellStyle name="표준 10 2 2 2 3 2 3" xfId="5744"/>
    <cellStyle name="표준 10 2 2 2 3 2 3 2" xfId="5745"/>
    <cellStyle name="표준 10 2 2 2 3 2 4" xfId="5746"/>
    <cellStyle name="표준 10 2 2 2 3 3" xfId="5747"/>
    <cellStyle name="표준 10 2 2 2 3 3 2" xfId="5748"/>
    <cellStyle name="표준 10 2 2 2 3 3 2 2" xfId="5749"/>
    <cellStyle name="표준 10 2 2 2 3 3 3" xfId="5750"/>
    <cellStyle name="표준 10 2 2 2 3 4" xfId="5751"/>
    <cellStyle name="표준 10 2 2 2 3 4 2" xfId="5752"/>
    <cellStyle name="표준 10 2 2 2 3 5" xfId="5753"/>
    <cellStyle name="표준 10 2 2 2 4" xfId="5754"/>
    <cellStyle name="표준 10 2 2 2 4 2" xfId="5755"/>
    <cellStyle name="표준 10 2 2 2 4 2 2" xfId="5756"/>
    <cellStyle name="표준 10 2 2 2 4 2 2 2" xfId="5757"/>
    <cellStyle name="표준 10 2 2 2 4 2 3" xfId="5758"/>
    <cellStyle name="표준 10 2 2 2 4 3" xfId="5759"/>
    <cellStyle name="표준 10 2 2 2 4 3 2" xfId="5760"/>
    <cellStyle name="표준 10 2 2 2 4 4" xfId="5761"/>
    <cellStyle name="표준 10 2 2 2 5" xfId="5762"/>
    <cellStyle name="표준 10 2 2 2 5 2" xfId="5763"/>
    <cellStyle name="표준 10 2 2 2 5 2 2" xfId="5764"/>
    <cellStyle name="표준 10 2 2 2 5 3" xfId="5765"/>
    <cellStyle name="표준 10 2 2 2 6" xfId="5766"/>
    <cellStyle name="표준 10 2 2 2 6 2" xfId="5767"/>
    <cellStyle name="표준 10 2 2 2 7" xfId="5768"/>
    <cellStyle name="표준 10 2 2 2 8" xfId="5769"/>
    <cellStyle name="표준 10 2 2 3" xfId="5770"/>
    <cellStyle name="표준 10 2 2 3 2" xfId="5771"/>
    <cellStyle name="표준 10 2 2 3 2 2" xfId="5772"/>
    <cellStyle name="표준 10 2 2 3 2 2 2" xfId="5773"/>
    <cellStyle name="표준 10 2 2 3 2 2 2 2" xfId="5774"/>
    <cellStyle name="표준 10 2 2 3 2 2 2 2 2" xfId="5775"/>
    <cellStyle name="표준 10 2 2 3 2 2 2 3" xfId="5776"/>
    <cellStyle name="표준 10 2 2 3 2 2 3" xfId="5777"/>
    <cellStyle name="표준 10 2 2 3 2 2 3 2" xfId="5778"/>
    <cellStyle name="표준 10 2 2 3 2 2 4" xfId="5779"/>
    <cellStyle name="표준 10 2 2 3 2 3" xfId="5780"/>
    <cellStyle name="표준 10 2 2 3 2 3 2" xfId="5781"/>
    <cellStyle name="표준 10 2 2 3 2 3 2 2" xfId="5782"/>
    <cellStyle name="표준 10 2 2 3 2 3 3" xfId="5783"/>
    <cellStyle name="표준 10 2 2 3 2 4" xfId="5784"/>
    <cellStyle name="표준 10 2 2 3 2 4 2" xfId="5785"/>
    <cellStyle name="표준 10 2 2 3 2 5" xfId="5786"/>
    <cellStyle name="표준 10 2 2 3 3" xfId="5787"/>
    <cellStyle name="표준 10 2 2 3 3 2" xfId="5788"/>
    <cellStyle name="표준 10 2 2 3 3 2 2" xfId="5789"/>
    <cellStyle name="표준 10 2 2 3 3 2 2 2" xfId="5790"/>
    <cellStyle name="표준 10 2 2 3 3 2 3" xfId="5791"/>
    <cellStyle name="표준 10 2 2 3 3 3" xfId="5792"/>
    <cellStyle name="표준 10 2 2 3 3 3 2" xfId="5793"/>
    <cellStyle name="표준 10 2 2 3 3 4" xfId="5794"/>
    <cellStyle name="표준 10 2 2 3 4" xfId="5795"/>
    <cellStyle name="표준 10 2 2 3 4 2" xfId="5796"/>
    <cellStyle name="표준 10 2 2 3 4 2 2" xfId="5797"/>
    <cellStyle name="표준 10 2 2 3 4 3" xfId="5798"/>
    <cellStyle name="표준 10 2 2 3 5" xfId="5799"/>
    <cellStyle name="표준 10 2 2 3 5 2" xfId="5800"/>
    <cellStyle name="표준 10 2 2 3 6" xfId="5801"/>
    <cellStyle name="표준 10 2 2 4" xfId="5802"/>
    <cellStyle name="표준 10 2 2 4 2" xfId="5803"/>
    <cellStyle name="표준 10 2 2 4 2 2" xfId="5804"/>
    <cellStyle name="표준 10 2 2 4 2 2 2" xfId="5805"/>
    <cellStyle name="표준 10 2 2 4 2 2 2 2" xfId="5806"/>
    <cellStyle name="표준 10 2 2 4 2 2 3" xfId="5807"/>
    <cellStyle name="표준 10 2 2 4 2 3" xfId="5808"/>
    <cellStyle name="표준 10 2 2 4 2 3 2" xfId="5809"/>
    <cellStyle name="표준 10 2 2 4 2 4" xfId="5810"/>
    <cellStyle name="표준 10 2 2 4 3" xfId="5811"/>
    <cellStyle name="표준 10 2 2 4 3 2" xfId="5812"/>
    <cellStyle name="표준 10 2 2 4 3 2 2" xfId="5813"/>
    <cellStyle name="표준 10 2 2 4 3 3" xfId="5814"/>
    <cellStyle name="표준 10 2 2 4 4" xfId="5815"/>
    <cellStyle name="표준 10 2 2 4 4 2" xfId="5816"/>
    <cellStyle name="표준 10 2 2 4 5" xfId="5817"/>
    <cellStyle name="표준 10 2 2 5" xfId="5818"/>
    <cellStyle name="표준 10 2 2 5 2" xfId="5819"/>
    <cellStyle name="표준 10 2 2 5 2 2" xfId="5820"/>
    <cellStyle name="표준 10 2 2 5 2 2 2" xfId="5821"/>
    <cellStyle name="표준 10 2 2 5 2 3" xfId="5822"/>
    <cellStyle name="표준 10 2 2 5 3" xfId="5823"/>
    <cellStyle name="표준 10 2 2 5 3 2" xfId="5824"/>
    <cellStyle name="표준 10 2 2 5 4" xfId="5825"/>
    <cellStyle name="표준 10 2 2 6" xfId="5826"/>
    <cellStyle name="표준 10 2 2 6 2" xfId="5827"/>
    <cellStyle name="표준 10 2 2 6 2 2" xfId="5828"/>
    <cellStyle name="표준 10 2 2 6 3" xfId="5829"/>
    <cellStyle name="표준 10 2 2 7" xfId="5830"/>
    <cellStyle name="표준 10 2 2 7 2" xfId="5831"/>
    <cellStyle name="표준 10 2 2 8" xfId="5832"/>
    <cellStyle name="표준 10 2 2 9" xfId="5833"/>
    <cellStyle name="표준 10 2 3" xfId="5834"/>
    <cellStyle name="표준 10 2 4" xfId="5835"/>
    <cellStyle name="표준 10 2 4 2" xfId="5836"/>
    <cellStyle name="표준 10 2 4 2 2" xfId="5837"/>
    <cellStyle name="표준 10 2 4 2 2 2" xfId="5838"/>
    <cellStyle name="표준 10 2 4 2 2 2 2" xfId="5839"/>
    <cellStyle name="표준 10 2 4 2 2 2 2 2" xfId="5840"/>
    <cellStyle name="표준 10 2 4 2 2 2 2 2 2" xfId="5841"/>
    <cellStyle name="표준 10 2 4 2 2 2 2 3" xfId="5842"/>
    <cellStyle name="표준 10 2 4 2 2 2 3" xfId="5843"/>
    <cellStyle name="표준 10 2 4 2 2 2 3 2" xfId="5844"/>
    <cellStyle name="표준 10 2 4 2 2 2 4" xfId="5845"/>
    <cellStyle name="표준 10 2 4 2 2 3" xfId="5846"/>
    <cellStyle name="표준 10 2 4 2 2 3 2" xfId="5847"/>
    <cellStyle name="표준 10 2 4 2 2 3 2 2" xfId="5848"/>
    <cellStyle name="표준 10 2 4 2 2 3 3" xfId="5849"/>
    <cellStyle name="표준 10 2 4 2 2 4" xfId="5850"/>
    <cellStyle name="표준 10 2 4 2 2 4 2" xfId="5851"/>
    <cellStyle name="표준 10 2 4 2 2 5" xfId="5852"/>
    <cellStyle name="표준 10 2 4 2 3" xfId="5853"/>
    <cellStyle name="표준 10 2 4 2 3 2" xfId="5854"/>
    <cellStyle name="표준 10 2 4 2 3 2 2" xfId="5855"/>
    <cellStyle name="표준 10 2 4 2 3 2 2 2" xfId="5856"/>
    <cellStyle name="표준 10 2 4 2 3 2 3" xfId="5857"/>
    <cellStyle name="표준 10 2 4 2 3 3" xfId="5858"/>
    <cellStyle name="표준 10 2 4 2 3 3 2" xfId="5859"/>
    <cellStyle name="표준 10 2 4 2 3 4" xfId="5860"/>
    <cellStyle name="표준 10 2 4 2 4" xfId="5861"/>
    <cellStyle name="표준 10 2 4 2 4 2" xfId="5862"/>
    <cellStyle name="표준 10 2 4 2 4 2 2" xfId="5863"/>
    <cellStyle name="표준 10 2 4 2 4 3" xfId="5864"/>
    <cellStyle name="표준 10 2 4 2 5" xfId="5865"/>
    <cellStyle name="표준 10 2 4 2 5 2" xfId="5866"/>
    <cellStyle name="표준 10 2 4 2 6" xfId="5867"/>
    <cellStyle name="표준 10 2 4 3" xfId="5868"/>
    <cellStyle name="표준 10 2 4 3 2" xfId="5869"/>
    <cellStyle name="표준 10 2 4 3 2 2" xfId="5870"/>
    <cellStyle name="표준 10 2 4 3 2 2 2" xfId="5871"/>
    <cellStyle name="표준 10 2 4 3 2 2 2 2" xfId="5872"/>
    <cellStyle name="표준 10 2 4 3 2 2 3" xfId="5873"/>
    <cellStyle name="표준 10 2 4 3 2 3" xfId="5874"/>
    <cellStyle name="표준 10 2 4 3 2 3 2" xfId="5875"/>
    <cellStyle name="표준 10 2 4 3 2 4" xfId="5876"/>
    <cellStyle name="표준 10 2 4 3 3" xfId="5877"/>
    <cellStyle name="표준 10 2 4 3 3 2" xfId="5878"/>
    <cellStyle name="표준 10 2 4 3 3 2 2" xfId="5879"/>
    <cellStyle name="표준 10 2 4 3 3 3" xfId="5880"/>
    <cellStyle name="표준 10 2 4 3 4" xfId="5881"/>
    <cellStyle name="표준 10 2 4 3 4 2" xfId="5882"/>
    <cellStyle name="표준 10 2 4 3 5" xfId="5883"/>
    <cellStyle name="표준 10 2 4 4" xfId="5884"/>
    <cellStyle name="표준 10 2 4 4 2" xfId="5885"/>
    <cellStyle name="표준 10 2 4 4 2 2" xfId="5886"/>
    <cellStyle name="표준 10 2 4 4 2 2 2" xfId="5887"/>
    <cellStyle name="표준 10 2 4 4 2 3" xfId="5888"/>
    <cellStyle name="표준 10 2 4 4 3" xfId="5889"/>
    <cellStyle name="표준 10 2 4 4 3 2" xfId="5890"/>
    <cellStyle name="표준 10 2 4 4 4" xfId="5891"/>
    <cellStyle name="표준 10 2 4 5" xfId="5892"/>
    <cellStyle name="표준 10 2 4 5 2" xfId="5893"/>
    <cellStyle name="표준 10 2 4 5 2 2" xfId="5894"/>
    <cellStyle name="표준 10 2 4 5 3" xfId="5895"/>
    <cellStyle name="표준 10 2 4 6" xfId="5896"/>
    <cellStyle name="표준 10 2 4 6 2" xfId="5897"/>
    <cellStyle name="표준 10 2 4 7" xfId="5898"/>
    <cellStyle name="표준 10 2 4 8" xfId="5899"/>
    <cellStyle name="표준 10 2 5" xfId="5900"/>
    <cellStyle name="표준 10 2 5 2" xfId="5901"/>
    <cellStyle name="표준 10 2 5 2 2" xfId="5902"/>
    <cellStyle name="표준 10 2 5 2 2 2" xfId="5903"/>
    <cellStyle name="표준 10 2 5 2 2 2 2" xfId="5904"/>
    <cellStyle name="표준 10 2 5 2 2 2 2 2" xfId="5905"/>
    <cellStyle name="표준 10 2 5 2 2 2 3" xfId="5906"/>
    <cellStyle name="표준 10 2 5 2 2 3" xfId="5907"/>
    <cellStyle name="표준 10 2 5 2 2 3 2" xfId="5908"/>
    <cellStyle name="표준 10 2 5 2 2 4" xfId="5909"/>
    <cellStyle name="표준 10 2 5 2 3" xfId="5910"/>
    <cellStyle name="표준 10 2 5 2 3 2" xfId="5911"/>
    <cellStyle name="표준 10 2 5 2 3 2 2" xfId="5912"/>
    <cellStyle name="표준 10 2 5 2 3 3" xfId="5913"/>
    <cellStyle name="표준 10 2 5 2 4" xfId="5914"/>
    <cellStyle name="표준 10 2 5 2 4 2" xfId="5915"/>
    <cellStyle name="표준 10 2 5 2 5" xfId="5916"/>
    <cellStyle name="표준 10 2 5 3" xfId="5917"/>
    <cellStyle name="표준 10 2 5 3 2" xfId="5918"/>
    <cellStyle name="표준 10 2 5 3 2 2" xfId="5919"/>
    <cellStyle name="표준 10 2 5 3 2 2 2" xfId="5920"/>
    <cellStyle name="표준 10 2 5 3 2 3" xfId="5921"/>
    <cellStyle name="표준 10 2 5 3 3" xfId="5922"/>
    <cellStyle name="표준 10 2 5 3 3 2" xfId="5923"/>
    <cellStyle name="표준 10 2 5 3 4" xfId="5924"/>
    <cellStyle name="표준 10 2 5 4" xfId="5925"/>
    <cellStyle name="표준 10 2 5 4 2" xfId="5926"/>
    <cellStyle name="표준 10 2 5 4 2 2" xfId="5927"/>
    <cellStyle name="표준 10 2 5 4 3" xfId="5928"/>
    <cellStyle name="표준 10 2 5 5" xfId="5929"/>
    <cellStyle name="표준 10 2 5 5 2" xfId="5930"/>
    <cellStyle name="표준 10 2 5 6" xfId="5931"/>
    <cellStyle name="표준 10 2 5 7" xfId="5932"/>
    <cellStyle name="표준 10 2 6" xfId="5933"/>
    <cellStyle name="표준 10 2 6 2" xfId="5934"/>
    <cellStyle name="표준 10 2 6 2 2" xfId="5935"/>
    <cellStyle name="표준 10 2 6 2 2 2" xfId="5936"/>
    <cellStyle name="표준 10 2 6 2 2 2 2" xfId="5937"/>
    <cellStyle name="표준 10 2 6 2 2 2 2 2" xfId="5938"/>
    <cellStyle name="표준 10 2 6 2 2 2 3" xfId="5939"/>
    <cellStyle name="표준 10 2 6 2 2 3" xfId="5940"/>
    <cellStyle name="표준 10 2 6 2 2 3 2" xfId="5941"/>
    <cellStyle name="표준 10 2 6 2 2 4" xfId="5942"/>
    <cellStyle name="표준 10 2 6 2 3" xfId="5943"/>
    <cellStyle name="표준 10 2 6 2 3 2" xfId="5944"/>
    <cellStyle name="표준 10 2 6 2 3 2 2" xfId="5945"/>
    <cellStyle name="표준 10 2 6 2 3 3" xfId="5946"/>
    <cellStyle name="표준 10 2 6 2 4" xfId="5947"/>
    <cellStyle name="표준 10 2 6 2 4 2" xfId="5948"/>
    <cellStyle name="표준 10 2 6 2 5" xfId="5949"/>
    <cellStyle name="표준 10 2 6 3" xfId="5950"/>
    <cellStyle name="표준 10 2 6 3 2" xfId="5951"/>
    <cellStyle name="표준 10 2 6 3 2 2" xfId="5952"/>
    <cellStyle name="표준 10 2 6 3 2 2 2" xfId="5953"/>
    <cellStyle name="표준 10 2 6 3 2 3" xfId="5954"/>
    <cellStyle name="표준 10 2 6 3 3" xfId="5955"/>
    <cellStyle name="표준 10 2 6 3 3 2" xfId="5956"/>
    <cellStyle name="표준 10 2 6 3 4" xfId="5957"/>
    <cellStyle name="표준 10 2 6 4" xfId="5958"/>
    <cellStyle name="표준 10 2 6 4 2" xfId="5959"/>
    <cellStyle name="표준 10 2 6 4 2 2" xfId="5960"/>
    <cellStyle name="표준 10 2 6 4 3" xfId="5961"/>
    <cellStyle name="표준 10 2 6 5" xfId="5962"/>
    <cellStyle name="표준 10 2 6 5 2" xfId="5963"/>
    <cellStyle name="표준 10 2 6 6" xfId="5964"/>
    <cellStyle name="표준 10 2 6 7" xfId="5965"/>
    <cellStyle name="표준 10 2 7" xfId="5966"/>
    <cellStyle name="표준 10 2 7 2" xfId="5967"/>
    <cellStyle name="표준 10 2 7 2 2" xfId="5968"/>
    <cellStyle name="표준 10 2 7 2 2 2" xfId="5969"/>
    <cellStyle name="표준 10 2 7 2 2 2 2" xfId="5970"/>
    <cellStyle name="표준 10 2 7 2 2 3" xfId="5971"/>
    <cellStyle name="표준 10 2 7 2 3" xfId="5972"/>
    <cellStyle name="표준 10 2 7 2 3 2" xfId="5973"/>
    <cellStyle name="표준 10 2 7 2 4" xfId="5974"/>
    <cellStyle name="표준 10 2 7 3" xfId="5975"/>
    <cellStyle name="표준 10 2 7 3 2" xfId="5976"/>
    <cellStyle name="표준 10 2 7 3 2 2" xfId="5977"/>
    <cellStyle name="표준 10 2 7 3 3" xfId="5978"/>
    <cellStyle name="표준 10 2 7 4" xfId="5979"/>
    <cellStyle name="표준 10 2 7 4 2" xfId="5980"/>
    <cellStyle name="표준 10 2 7 5" xfId="5981"/>
    <cellStyle name="표준 10 2 8" xfId="5982"/>
    <cellStyle name="표준 10 2 8 2" xfId="5983"/>
    <cellStyle name="표준 10 2 8 2 2" xfId="5984"/>
    <cellStyle name="표준 10 2 8 2 2 2" xfId="5985"/>
    <cellStyle name="표준 10 2 8 2 3" xfId="5986"/>
    <cellStyle name="표준 10 2 8 3" xfId="5987"/>
    <cellStyle name="표준 10 2 8 3 2" xfId="5988"/>
    <cellStyle name="표준 10 2 8 4" xfId="5989"/>
    <cellStyle name="표준 10 2 9" xfId="5990"/>
    <cellStyle name="표준 10 2 9 2" xfId="5991"/>
    <cellStyle name="표준 10 2 9 2 2" xfId="5992"/>
    <cellStyle name="표준 10 2 9 3" xfId="5993"/>
    <cellStyle name="표준 10 3" xfId="5994"/>
    <cellStyle name="표준 10 3 2" xfId="5995"/>
    <cellStyle name="표준 10 3 3" xfId="5996"/>
    <cellStyle name="표준 10 3 4" xfId="5997"/>
    <cellStyle name="표준 10 3 4 2" xfId="5998"/>
    <cellStyle name="표준 10 3 4 3" xfId="5999"/>
    <cellStyle name="표준 10 3 4 3 2" xfId="6000"/>
    <cellStyle name="표준 10 3 4 3 3" xfId="6001"/>
    <cellStyle name="표준 10 3 4 3 3 2" xfId="6002"/>
    <cellStyle name="표준 10 3 4 3 3 3" xfId="6003"/>
    <cellStyle name="표준 10 3 4 3 3 4" xfId="6004"/>
    <cellStyle name="표준 10 3 4 4" xfId="6005"/>
    <cellStyle name="표준 10 3 4 4 2" xfId="6006"/>
    <cellStyle name="표준 10 3 4 4 3" xfId="6007"/>
    <cellStyle name="표준 10 3 4 4 4" xfId="6008"/>
    <cellStyle name="표준 10 4" xfId="6009"/>
    <cellStyle name="표준 10 5" xfId="6010"/>
    <cellStyle name="표준 11" xfId="11"/>
    <cellStyle name="표준 11 10" xfId="6011"/>
    <cellStyle name="표준 11 2" xfId="53"/>
    <cellStyle name="표준 11 2 2" xfId="6012"/>
    <cellStyle name="표준 11 2 2 2" xfId="6013"/>
    <cellStyle name="표준 11 2 2 2 2" xfId="6014"/>
    <cellStyle name="표준 11 2 2 2 2 2" xfId="6015"/>
    <cellStyle name="표준 11 2 2 2 2 2 2" xfId="6016"/>
    <cellStyle name="표준 11 2 2 2 2 2 2 2" xfId="6017"/>
    <cellStyle name="표준 11 2 2 2 2 2 2 2 2" xfId="6018"/>
    <cellStyle name="표준 11 2 2 2 2 2 2 3" xfId="6019"/>
    <cellStyle name="표준 11 2 2 2 2 2 3" xfId="6020"/>
    <cellStyle name="표준 11 2 2 2 2 2 3 2" xfId="6021"/>
    <cellStyle name="표준 11 2 2 2 2 2 4" xfId="6022"/>
    <cellStyle name="표준 11 2 2 2 2 3" xfId="6023"/>
    <cellStyle name="표준 11 2 2 2 2 3 2" xfId="6024"/>
    <cellStyle name="표준 11 2 2 2 2 3 2 2" xfId="6025"/>
    <cellStyle name="표준 11 2 2 2 2 3 3" xfId="6026"/>
    <cellStyle name="표준 11 2 2 2 2 4" xfId="6027"/>
    <cellStyle name="표준 11 2 2 2 2 4 2" xfId="6028"/>
    <cellStyle name="표준 11 2 2 2 2 5" xfId="6029"/>
    <cellStyle name="표준 11 2 2 2 3" xfId="6030"/>
    <cellStyle name="표준 11 2 2 2 3 2" xfId="6031"/>
    <cellStyle name="표준 11 2 2 2 3 2 2" xfId="6032"/>
    <cellStyle name="표준 11 2 2 2 3 2 2 2" xfId="6033"/>
    <cellStyle name="표준 11 2 2 2 3 2 3" xfId="6034"/>
    <cellStyle name="표준 11 2 2 2 3 3" xfId="6035"/>
    <cellStyle name="표준 11 2 2 2 3 3 2" xfId="6036"/>
    <cellStyle name="표준 11 2 2 2 3 4" xfId="6037"/>
    <cellStyle name="표준 11 2 2 2 4" xfId="6038"/>
    <cellStyle name="표준 11 2 2 2 4 2" xfId="6039"/>
    <cellStyle name="표준 11 2 2 2 4 2 2" xfId="6040"/>
    <cellStyle name="표준 11 2 2 2 4 3" xfId="6041"/>
    <cellStyle name="표준 11 2 2 2 5" xfId="6042"/>
    <cellStyle name="표준 11 2 2 2 5 2" xfId="6043"/>
    <cellStyle name="표준 11 2 2 2 6" xfId="6044"/>
    <cellStyle name="표준 11 2 2 3" xfId="6045"/>
    <cellStyle name="표준 11 2 2 3 2" xfId="6046"/>
    <cellStyle name="표준 11 2 2 3 2 2" xfId="6047"/>
    <cellStyle name="표준 11 2 2 3 2 2 2" xfId="6048"/>
    <cellStyle name="표준 11 2 2 3 2 2 2 2" xfId="6049"/>
    <cellStyle name="표준 11 2 2 3 2 2 3" xfId="6050"/>
    <cellStyle name="표준 11 2 2 3 2 3" xfId="6051"/>
    <cellStyle name="표준 11 2 2 3 2 3 2" xfId="6052"/>
    <cellStyle name="표준 11 2 2 3 2 4" xfId="6053"/>
    <cellStyle name="표준 11 2 2 3 3" xfId="6054"/>
    <cellStyle name="표준 11 2 2 3 3 2" xfId="6055"/>
    <cellStyle name="표준 11 2 2 3 3 2 2" xfId="6056"/>
    <cellStyle name="표준 11 2 2 3 3 3" xfId="6057"/>
    <cellStyle name="표준 11 2 2 3 4" xfId="6058"/>
    <cellStyle name="표준 11 2 2 3 4 2" xfId="6059"/>
    <cellStyle name="표준 11 2 2 3 5" xfId="6060"/>
    <cellStyle name="표준 11 2 2 4" xfId="6061"/>
    <cellStyle name="표준 11 2 2 4 2" xfId="6062"/>
    <cellStyle name="표준 11 2 2 4 2 2" xfId="6063"/>
    <cellStyle name="표준 11 2 2 4 2 2 2" xfId="6064"/>
    <cellStyle name="표준 11 2 2 4 2 3" xfId="6065"/>
    <cellStyle name="표준 11 2 2 4 3" xfId="6066"/>
    <cellStyle name="표준 11 2 2 4 3 2" xfId="6067"/>
    <cellStyle name="표준 11 2 2 4 4" xfId="6068"/>
    <cellStyle name="표준 11 2 2 5" xfId="6069"/>
    <cellStyle name="표준 11 2 2 5 2" xfId="6070"/>
    <cellStyle name="표준 11 2 2 5 2 2" xfId="6071"/>
    <cellStyle name="표준 11 2 2 5 3" xfId="6072"/>
    <cellStyle name="표준 11 2 2 6" xfId="6073"/>
    <cellStyle name="표준 11 2 2 6 2" xfId="6074"/>
    <cellStyle name="표준 11 2 2 7" xfId="6075"/>
    <cellStyle name="표준 11 2 2 8" xfId="6076"/>
    <cellStyle name="표준 11 2 3" xfId="6077"/>
    <cellStyle name="표준 11 2 3 2" xfId="6078"/>
    <cellStyle name="표준 11 2 3 2 2" xfId="6079"/>
    <cellStyle name="표준 11 2 3 2 2 2" xfId="6080"/>
    <cellStyle name="표준 11 2 3 2 2 2 2" xfId="6081"/>
    <cellStyle name="표준 11 2 3 2 2 2 2 2" xfId="6082"/>
    <cellStyle name="표준 11 2 3 2 2 2 3" xfId="6083"/>
    <cellStyle name="표준 11 2 3 2 2 3" xfId="6084"/>
    <cellStyle name="표준 11 2 3 2 2 3 2" xfId="6085"/>
    <cellStyle name="표준 11 2 3 2 2 4" xfId="6086"/>
    <cellStyle name="표준 11 2 3 2 3" xfId="6087"/>
    <cellStyle name="표준 11 2 3 2 3 2" xfId="6088"/>
    <cellStyle name="표준 11 2 3 2 3 2 2" xfId="6089"/>
    <cellStyle name="표준 11 2 3 2 3 3" xfId="6090"/>
    <cellStyle name="표준 11 2 3 2 4" xfId="6091"/>
    <cellStyle name="표준 11 2 3 2 4 2" xfId="6092"/>
    <cellStyle name="표준 11 2 3 2 5" xfId="6093"/>
    <cellStyle name="표준 11 2 3 3" xfId="6094"/>
    <cellStyle name="표준 11 2 3 3 2" xfId="6095"/>
    <cellStyle name="표준 11 2 3 3 2 2" xfId="6096"/>
    <cellStyle name="표준 11 2 3 3 2 2 2" xfId="6097"/>
    <cellStyle name="표준 11 2 3 3 2 3" xfId="6098"/>
    <cellStyle name="표준 11 2 3 3 3" xfId="6099"/>
    <cellStyle name="표준 11 2 3 3 3 2" xfId="6100"/>
    <cellStyle name="표준 11 2 3 3 4" xfId="6101"/>
    <cellStyle name="표준 11 2 3 4" xfId="6102"/>
    <cellStyle name="표준 11 2 3 4 2" xfId="6103"/>
    <cellStyle name="표준 11 2 3 4 2 2" xfId="6104"/>
    <cellStyle name="표준 11 2 3 4 3" xfId="6105"/>
    <cellStyle name="표준 11 2 3 5" xfId="6106"/>
    <cellStyle name="표준 11 2 3 5 2" xfId="6107"/>
    <cellStyle name="표준 11 2 3 6" xfId="6108"/>
    <cellStyle name="표준 11 2 4" xfId="6109"/>
    <cellStyle name="표준 11 2 4 2" xfId="6110"/>
    <cellStyle name="표준 11 2 4 2 2" xfId="6111"/>
    <cellStyle name="표준 11 2 4 2 2 2" xfId="6112"/>
    <cellStyle name="표준 11 2 4 2 2 2 2" xfId="6113"/>
    <cellStyle name="표준 11 2 4 2 2 3" xfId="6114"/>
    <cellStyle name="표준 11 2 4 2 3" xfId="6115"/>
    <cellStyle name="표준 11 2 4 2 3 2" xfId="6116"/>
    <cellStyle name="표준 11 2 4 2 4" xfId="6117"/>
    <cellStyle name="표준 11 2 4 3" xfId="6118"/>
    <cellStyle name="표준 11 2 4 3 2" xfId="6119"/>
    <cellStyle name="표준 11 2 4 3 2 2" xfId="6120"/>
    <cellStyle name="표준 11 2 4 3 3" xfId="6121"/>
    <cellStyle name="표준 11 2 4 4" xfId="6122"/>
    <cellStyle name="표준 11 2 4 4 2" xfId="6123"/>
    <cellStyle name="표준 11 2 4 5" xfId="6124"/>
    <cellStyle name="표준 11 2 5" xfId="6125"/>
    <cellStyle name="표준 11 2 5 2" xfId="6126"/>
    <cellStyle name="표준 11 2 5 2 2" xfId="6127"/>
    <cellStyle name="표준 11 2 5 2 2 2" xfId="6128"/>
    <cellStyle name="표준 11 2 5 2 3" xfId="6129"/>
    <cellStyle name="표준 11 2 5 3" xfId="6130"/>
    <cellStyle name="표준 11 2 5 3 2" xfId="6131"/>
    <cellStyle name="표준 11 2 5 4" xfId="6132"/>
    <cellStyle name="표준 11 2 6" xfId="6133"/>
    <cellStyle name="표준 11 2 6 2" xfId="6134"/>
    <cellStyle name="표준 11 2 6 2 2" xfId="6135"/>
    <cellStyle name="표준 11 2 6 3" xfId="6136"/>
    <cellStyle name="표준 11 2 7" xfId="6137"/>
    <cellStyle name="표준 11 2 7 2" xfId="6138"/>
    <cellStyle name="표준 11 2 8" xfId="6139"/>
    <cellStyle name="표준 11 2 9" xfId="6140"/>
    <cellStyle name="표준 11 3" xfId="6141"/>
    <cellStyle name="표준 11 3 2" xfId="6142"/>
    <cellStyle name="표준 11 3 2 2" xfId="6143"/>
    <cellStyle name="표준 11 3 2 2 2" xfId="6144"/>
    <cellStyle name="표준 11 3 2 2 2 2" xfId="6145"/>
    <cellStyle name="표준 11 3 2 2 2 2 2" xfId="6146"/>
    <cellStyle name="표준 11 3 2 2 2 2 2 2" xfId="6147"/>
    <cellStyle name="표준 11 3 2 2 2 2 3" xfId="6148"/>
    <cellStyle name="표준 11 3 2 2 2 3" xfId="6149"/>
    <cellStyle name="표준 11 3 2 2 2 3 2" xfId="6150"/>
    <cellStyle name="표준 11 3 2 2 2 4" xfId="6151"/>
    <cellStyle name="표준 11 3 2 2 3" xfId="6152"/>
    <cellStyle name="표준 11 3 2 2 3 2" xfId="6153"/>
    <cellStyle name="표준 11 3 2 2 3 2 2" xfId="6154"/>
    <cellStyle name="표준 11 3 2 2 3 3" xfId="6155"/>
    <cellStyle name="표준 11 3 2 2 4" xfId="6156"/>
    <cellStyle name="표준 11 3 2 2 4 2" xfId="6157"/>
    <cellStyle name="표준 11 3 2 2 5" xfId="6158"/>
    <cellStyle name="표준 11 3 2 3" xfId="6159"/>
    <cellStyle name="표준 11 3 2 3 2" xfId="6160"/>
    <cellStyle name="표준 11 3 2 3 2 2" xfId="6161"/>
    <cellStyle name="표준 11 3 2 3 2 2 2" xfId="6162"/>
    <cellStyle name="표준 11 3 2 3 2 3" xfId="6163"/>
    <cellStyle name="표준 11 3 2 3 3" xfId="6164"/>
    <cellStyle name="표준 11 3 2 3 3 2" xfId="6165"/>
    <cellStyle name="표준 11 3 2 3 4" xfId="6166"/>
    <cellStyle name="표준 11 3 2 4" xfId="6167"/>
    <cellStyle name="표준 11 3 2 4 2" xfId="6168"/>
    <cellStyle name="표준 11 3 2 4 2 2" xfId="6169"/>
    <cellStyle name="표준 11 3 2 4 3" xfId="6170"/>
    <cellStyle name="표준 11 3 2 5" xfId="6171"/>
    <cellStyle name="표준 11 3 2 5 2" xfId="6172"/>
    <cellStyle name="표준 11 3 2 6" xfId="6173"/>
    <cellStyle name="표준 11 3 3" xfId="6174"/>
    <cellStyle name="표준 11 3 3 2" xfId="6175"/>
    <cellStyle name="표준 11 3 3 2 2" xfId="6176"/>
    <cellStyle name="표준 11 3 3 2 2 2" xfId="6177"/>
    <cellStyle name="표준 11 3 3 2 2 2 2" xfId="6178"/>
    <cellStyle name="표준 11 3 3 2 2 3" xfId="6179"/>
    <cellStyle name="표준 11 3 3 2 3" xfId="6180"/>
    <cellStyle name="표준 11 3 3 2 3 2" xfId="6181"/>
    <cellStyle name="표준 11 3 3 2 4" xfId="6182"/>
    <cellStyle name="표준 11 3 3 3" xfId="6183"/>
    <cellStyle name="표준 11 3 3 3 2" xfId="6184"/>
    <cellStyle name="표준 11 3 3 3 2 2" xfId="6185"/>
    <cellStyle name="표준 11 3 3 3 3" xfId="6186"/>
    <cellStyle name="표준 11 3 3 4" xfId="6187"/>
    <cellStyle name="표준 11 3 3 4 2" xfId="6188"/>
    <cellStyle name="표준 11 3 3 5" xfId="6189"/>
    <cellStyle name="표준 11 3 4" xfId="6190"/>
    <cellStyle name="표준 11 3 4 2" xfId="6191"/>
    <cellStyle name="표준 11 3 4 2 2" xfId="6192"/>
    <cellStyle name="표준 11 3 4 2 2 2" xfId="6193"/>
    <cellStyle name="표준 11 3 4 2 3" xfId="6194"/>
    <cellStyle name="표준 11 3 4 3" xfId="6195"/>
    <cellStyle name="표준 11 3 4 3 2" xfId="6196"/>
    <cellStyle name="표준 11 3 4 4" xfId="6197"/>
    <cellStyle name="표준 11 3 5" xfId="6198"/>
    <cellStyle name="표준 11 3 5 2" xfId="6199"/>
    <cellStyle name="표준 11 3 5 2 2" xfId="6200"/>
    <cellStyle name="표준 11 3 5 3" xfId="6201"/>
    <cellStyle name="표준 11 3 6" xfId="6202"/>
    <cellStyle name="표준 11 3 6 2" xfId="6203"/>
    <cellStyle name="표준 11 3 7" xfId="6204"/>
    <cellStyle name="표준 11 3 8" xfId="6205"/>
    <cellStyle name="표준 11 4" xfId="6206"/>
    <cellStyle name="표준 11 4 2" xfId="6207"/>
    <cellStyle name="표준 11 4 2 2" xfId="6208"/>
    <cellStyle name="표준 11 4 2 2 2" xfId="6209"/>
    <cellStyle name="표준 11 4 2 2 2 2" xfId="6210"/>
    <cellStyle name="표준 11 4 2 2 2 2 2" xfId="6211"/>
    <cellStyle name="표준 11 4 2 2 2 3" xfId="6212"/>
    <cellStyle name="표준 11 4 2 2 3" xfId="6213"/>
    <cellStyle name="표준 11 4 2 2 3 2" xfId="6214"/>
    <cellStyle name="표준 11 4 2 2 4" xfId="6215"/>
    <cellStyle name="표준 11 4 2 3" xfId="6216"/>
    <cellStyle name="표준 11 4 2 3 2" xfId="6217"/>
    <cellStyle name="표준 11 4 2 3 2 2" xfId="6218"/>
    <cellStyle name="표준 11 4 2 3 3" xfId="6219"/>
    <cellStyle name="표준 11 4 2 4" xfId="6220"/>
    <cellStyle name="표준 11 4 2 4 2" xfId="6221"/>
    <cellStyle name="표준 11 4 2 5" xfId="6222"/>
    <cellStyle name="표준 11 4 3" xfId="6223"/>
    <cellStyle name="표준 11 4 3 2" xfId="6224"/>
    <cellStyle name="표준 11 4 3 2 2" xfId="6225"/>
    <cellStyle name="표준 11 4 3 2 2 2" xfId="6226"/>
    <cellStyle name="표준 11 4 3 2 3" xfId="6227"/>
    <cellStyle name="표준 11 4 3 3" xfId="6228"/>
    <cellStyle name="표준 11 4 3 3 2" xfId="6229"/>
    <cellStyle name="표준 11 4 3 4" xfId="6230"/>
    <cellStyle name="표준 11 4 4" xfId="6231"/>
    <cellStyle name="표준 11 4 4 2" xfId="6232"/>
    <cellStyle name="표준 11 4 4 2 2" xfId="6233"/>
    <cellStyle name="표준 11 4 4 3" xfId="6234"/>
    <cellStyle name="표준 11 4 5" xfId="6235"/>
    <cellStyle name="표준 11 4 5 2" xfId="6236"/>
    <cellStyle name="표준 11 4 6" xfId="6237"/>
    <cellStyle name="표준 11 5" xfId="6238"/>
    <cellStyle name="표준 11 5 2" xfId="6239"/>
    <cellStyle name="표준 11 5 2 2" xfId="6240"/>
    <cellStyle name="표준 11 5 2 2 2" xfId="6241"/>
    <cellStyle name="표준 11 5 2 2 2 2" xfId="6242"/>
    <cellStyle name="표준 11 5 2 2 3" xfId="6243"/>
    <cellStyle name="표준 11 5 2 3" xfId="6244"/>
    <cellStyle name="표준 11 5 2 3 2" xfId="6245"/>
    <cellStyle name="표준 11 5 2 4" xfId="6246"/>
    <cellStyle name="표준 11 5 3" xfId="6247"/>
    <cellStyle name="표준 11 5 3 2" xfId="6248"/>
    <cellStyle name="표준 11 5 3 2 2" xfId="6249"/>
    <cellStyle name="표준 11 5 3 3" xfId="6250"/>
    <cellStyle name="표준 11 5 4" xfId="6251"/>
    <cellStyle name="표준 11 5 4 2" xfId="6252"/>
    <cellStyle name="표준 11 5 5" xfId="6253"/>
    <cellStyle name="표준 11 6" xfId="6254"/>
    <cellStyle name="표준 11 6 2" xfId="6255"/>
    <cellStyle name="표준 11 6 2 2" xfId="6256"/>
    <cellStyle name="표준 11 6 2 2 2" xfId="6257"/>
    <cellStyle name="표준 11 6 2 3" xfId="6258"/>
    <cellStyle name="표준 11 6 3" xfId="6259"/>
    <cellStyle name="표준 11 6 3 2" xfId="6260"/>
    <cellStyle name="표준 11 6 4" xfId="6261"/>
    <cellStyle name="표준 11 7" xfId="6262"/>
    <cellStyle name="표준 11 7 2" xfId="6263"/>
    <cellStyle name="표준 11 7 2 2" xfId="6264"/>
    <cellStyle name="표준 11 7 3" xfId="6265"/>
    <cellStyle name="표준 11 8" xfId="6266"/>
    <cellStyle name="표준 11 8 2" xfId="6267"/>
    <cellStyle name="표준 11 9" xfId="6268"/>
    <cellStyle name="표준 12" xfId="12"/>
    <cellStyle name="표준 12 14" xfId="6269"/>
    <cellStyle name="표준 12 2" xfId="54"/>
    <cellStyle name="표준 12 2 2" xfId="6270"/>
    <cellStyle name="표준 12 2 2 2" xfId="6271"/>
    <cellStyle name="표준 12 2 2 2 2" xfId="6272"/>
    <cellStyle name="표준 12 2 2 2 2 2" xfId="6273"/>
    <cellStyle name="표준 12 2 2 2 2 2 2" xfId="6274"/>
    <cellStyle name="표준 12 2 2 2 2 2 2 2" xfId="6275"/>
    <cellStyle name="표준 12 2 2 2 2 2 3" xfId="6276"/>
    <cellStyle name="표준 12 2 2 2 2 3" xfId="6277"/>
    <cellStyle name="표준 12 2 2 2 2 3 2" xfId="6278"/>
    <cellStyle name="표준 12 2 2 2 2 4" xfId="6279"/>
    <cellStyle name="표준 12 2 2 2 3" xfId="6280"/>
    <cellStyle name="표준 12 2 2 2 3 2" xfId="6281"/>
    <cellStyle name="표준 12 2 2 2 3 2 2" xfId="6282"/>
    <cellStyle name="표준 12 2 2 2 3 3" xfId="6283"/>
    <cellStyle name="표준 12 2 2 2 4" xfId="6284"/>
    <cellStyle name="표준 12 2 2 2 4 2" xfId="6285"/>
    <cellStyle name="표준 12 2 2 2 5" xfId="6286"/>
    <cellStyle name="표준 12 2 2 3" xfId="6287"/>
    <cellStyle name="표준 12 2 2 3 2" xfId="6288"/>
    <cellStyle name="표준 12 2 2 3 2 2" xfId="6289"/>
    <cellStyle name="표준 12 2 2 3 2 2 2" xfId="6290"/>
    <cellStyle name="표준 12 2 2 3 2 3" xfId="6291"/>
    <cellStyle name="표준 12 2 2 3 3" xfId="6292"/>
    <cellStyle name="표준 12 2 2 3 3 2" xfId="6293"/>
    <cellStyle name="표준 12 2 2 3 4" xfId="6294"/>
    <cellStyle name="표준 12 2 2 4" xfId="6295"/>
    <cellStyle name="표준 12 2 2 4 2" xfId="6296"/>
    <cellStyle name="표준 12 2 2 4 2 2" xfId="6297"/>
    <cellStyle name="표준 12 2 2 4 3" xfId="6298"/>
    <cellStyle name="표준 12 2 2 5" xfId="6299"/>
    <cellStyle name="표준 12 2 2 5 2" xfId="6300"/>
    <cellStyle name="표준 12 2 2 6" xfId="6301"/>
    <cellStyle name="표준 12 2 3" xfId="6302"/>
    <cellStyle name="표준 12 2 3 2" xfId="6303"/>
    <cellStyle name="표준 12 2 3 2 2" xfId="6304"/>
    <cellStyle name="표준 12 2 3 2 2 2" xfId="6305"/>
    <cellStyle name="표준 12 2 3 2 2 2 2" xfId="6306"/>
    <cellStyle name="표준 12 2 3 2 2 3" xfId="6307"/>
    <cellStyle name="표준 12 2 3 2 3" xfId="6308"/>
    <cellStyle name="표준 12 2 3 2 3 2" xfId="6309"/>
    <cellStyle name="표준 12 2 3 2 4" xfId="6310"/>
    <cellStyle name="표준 12 2 3 3" xfId="6311"/>
    <cellStyle name="표준 12 2 3 3 2" xfId="6312"/>
    <cellStyle name="표준 12 2 3 3 2 2" xfId="6313"/>
    <cellStyle name="표준 12 2 3 3 3" xfId="6314"/>
    <cellStyle name="표준 12 2 3 4" xfId="6315"/>
    <cellStyle name="표준 12 2 3 4 2" xfId="6316"/>
    <cellStyle name="표준 12 2 3 5" xfId="6317"/>
    <cellStyle name="표준 12 2 4" xfId="6318"/>
    <cellStyle name="표준 12 2 4 2" xfId="6319"/>
    <cellStyle name="표준 12 2 4 2 2" xfId="6320"/>
    <cellStyle name="표준 12 2 4 2 2 2" xfId="6321"/>
    <cellStyle name="표준 12 2 4 2 3" xfId="6322"/>
    <cellStyle name="표준 12 2 4 3" xfId="6323"/>
    <cellStyle name="표준 12 2 4 3 2" xfId="6324"/>
    <cellStyle name="표준 12 2 4 4" xfId="6325"/>
    <cellStyle name="표준 12 2 5" xfId="6326"/>
    <cellStyle name="표준 12 2 5 2" xfId="6327"/>
    <cellStyle name="표준 12 2 5 2 2" xfId="6328"/>
    <cellStyle name="표준 12 2 5 3" xfId="6329"/>
    <cellStyle name="표준 12 2 6" xfId="6330"/>
    <cellStyle name="표준 12 2 6 2" xfId="6331"/>
    <cellStyle name="표준 12 2 7" xfId="6332"/>
    <cellStyle name="표준 12 2 8" xfId="6333"/>
    <cellStyle name="표준 12 3" xfId="6334"/>
    <cellStyle name="표준 12 3 2" xfId="6335"/>
    <cellStyle name="표준 12 3 2 2" xfId="6336"/>
    <cellStyle name="표준 12 3 2 2 2" xfId="6337"/>
    <cellStyle name="표준 12 3 2 2 2 2" xfId="6338"/>
    <cellStyle name="표준 12 3 2 2 2 2 2" xfId="6339"/>
    <cellStyle name="표준 12 3 2 2 2 3" xfId="6340"/>
    <cellStyle name="표준 12 3 2 2 3" xfId="6341"/>
    <cellStyle name="표준 12 3 2 2 3 2" xfId="6342"/>
    <cellStyle name="표준 12 3 2 2 4" xfId="6343"/>
    <cellStyle name="표준 12 3 2 3" xfId="6344"/>
    <cellStyle name="표준 12 3 2 3 2" xfId="6345"/>
    <cellStyle name="표준 12 3 2 3 2 2" xfId="6346"/>
    <cellStyle name="표준 12 3 2 3 3" xfId="6347"/>
    <cellStyle name="표준 12 3 2 4" xfId="6348"/>
    <cellStyle name="표준 12 3 2 4 2" xfId="6349"/>
    <cellStyle name="표준 12 3 2 5" xfId="6350"/>
    <cellStyle name="표준 12 3 3" xfId="6351"/>
    <cellStyle name="표준 12 3 3 2" xfId="6352"/>
    <cellStyle name="표준 12 3 3 2 2" xfId="6353"/>
    <cellStyle name="표준 12 3 3 2 2 2" xfId="6354"/>
    <cellStyle name="표준 12 3 3 2 3" xfId="6355"/>
    <cellStyle name="표준 12 3 3 3" xfId="6356"/>
    <cellStyle name="표준 12 3 3 3 2" xfId="6357"/>
    <cellStyle name="표준 12 3 3 4" xfId="6358"/>
    <cellStyle name="표준 12 3 4" xfId="6359"/>
    <cellStyle name="표준 12 3 4 2" xfId="6360"/>
    <cellStyle name="표준 12 3 4 2 2" xfId="6361"/>
    <cellStyle name="표준 12 3 4 3" xfId="6362"/>
    <cellStyle name="표준 12 3 5" xfId="6363"/>
    <cellStyle name="표준 12 3 5 2" xfId="6364"/>
    <cellStyle name="표준 12 3 6" xfId="6365"/>
    <cellStyle name="표준 12 4" xfId="6366"/>
    <cellStyle name="표준 12 4 2" xfId="6367"/>
    <cellStyle name="표준 12 4 2 2" xfId="6368"/>
    <cellStyle name="표준 12 4 2 2 2" xfId="6369"/>
    <cellStyle name="표준 12 4 2 2 2 2" xfId="6370"/>
    <cellStyle name="표준 12 4 2 2 3" xfId="6371"/>
    <cellStyle name="표준 12 4 2 3" xfId="6372"/>
    <cellStyle name="표준 12 4 2 3 2" xfId="6373"/>
    <cellStyle name="표준 12 4 2 4" xfId="6374"/>
    <cellStyle name="표준 12 4 3" xfId="6375"/>
    <cellStyle name="표준 12 4 3 2" xfId="6376"/>
    <cellStyle name="표준 12 4 3 2 2" xfId="6377"/>
    <cellStyle name="표준 12 4 3 3" xfId="6378"/>
    <cellStyle name="표준 12 4 4" xfId="6379"/>
    <cellStyle name="표준 12 4 4 2" xfId="6380"/>
    <cellStyle name="표준 12 4 5" xfId="6381"/>
    <cellStyle name="표준 12 5" xfId="6382"/>
    <cellStyle name="표준 12 5 2" xfId="6383"/>
    <cellStyle name="표준 12 5 2 2" xfId="6384"/>
    <cellStyle name="표준 12 5 2 2 2" xfId="6385"/>
    <cellStyle name="표준 12 5 2 3" xfId="6386"/>
    <cellStyle name="표준 12 5 3" xfId="6387"/>
    <cellStyle name="표준 12 5 3 2" xfId="6388"/>
    <cellStyle name="표준 12 5 4" xfId="6389"/>
    <cellStyle name="표준 12 6" xfId="6390"/>
    <cellStyle name="표준 12 6 2" xfId="6391"/>
    <cellStyle name="표준 12 6 2 2" xfId="6392"/>
    <cellStyle name="표준 12 6 3" xfId="6393"/>
    <cellStyle name="표준 12 7" xfId="6394"/>
    <cellStyle name="표준 12 7 2" xfId="6395"/>
    <cellStyle name="표준 12 8" xfId="6396"/>
    <cellStyle name="표준 12 9" xfId="6397"/>
    <cellStyle name="표준 13" xfId="13"/>
    <cellStyle name="표준 13 2" xfId="6398"/>
    <cellStyle name="표준 13 2 10" xfId="6399"/>
    <cellStyle name="표준 13 2 11" xfId="6400"/>
    <cellStyle name="표준 13 2 2" xfId="6401"/>
    <cellStyle name="표준 13 2 2 10" xfId="6402"/>
    <cellStyle name="표준 13 2 2 2" xfId="14"/>
    <cellStyle name="표준 13 2 2 2 10" xfId="6403"/>
    <cellStyle name="표준 13 2 2 2 2" xfId="6404"/>
    <cellStyle name="표준 13 2 2 2 2 2" xfId="6405"/>
    <cellStyle name="표준 13 2 2 2 2 2 2" xfId="6406"/>
    <cellStyle name="표준 13 2 2 2 2 2 2 2" xfId="6407"/>
    <cellStyle name="표준 13 2 2 2 2 2 2 2 2" xfId="6408"/>
    <cellStyle name="표준 13 2 2 2 2 2 2 2 2 2" xfId="6409"/>
    <cellStyle name="표준 13 2 2 2 2 2 2 2 2 2 2" xfId="6410"/>
    <cellStyle name="표준 13 2 2 2 2 2 2 2 2 3" xfId="6411"/>
    <cellStyle name="표준 13 2 2 2 2 2 2 2 3" xfId="6412"/>
    <cellStyle name="표준 13 2 2 2 2 2 2 2 3 2" xfId="6413"/>
    <cellStyle name="표준 13 2 2 2 2 2 2 2 4" xfId="6414"/>
    <cellStyle name="표준 13 2 2 2 2 2 2 3" xfId="6415"/>
    <cellStyle name="표준 13 2 2 2 2 2 2 3 2" xfId="6416"/>
    <cellStyle name="표준 13 2 2 2 2 2 2 3 2 2" xfId="6417"/>
    <cellStyle name="표준 13 2 2 2 2 2 2 3 3" xfId="6418"/>
    <cellStyle name="표준 13 2 2 2 2 2 2 4" xfId="6419"/>
    <cellStyle name="표준 13 2 2 2 2 2 2 4 2" xfId="6420"/>
    <cellStyle name="표준 13 2 2 2 2 2 2 5" xfId="6421"/>
    <cellStyle name="표준 13 2 2 2 2 2 3" xfId="6422"/>
    <cellStyle name="표준 13 2 2 2 2 2 3 2" xfId="6423"/>
    <cellStyle name="표준 13 2 2 2 2 2 3 2 2" xfId="6424"/>
    <cellStyle name="표준 13 2 2 2 2 2 3 2 2 2" xfId="6425"/>
    <cellStyle name="표준 13 2 2 2 2 2 3 2 3" xfId="6426"/>
    <cellStyle name="표준 13 2 2 2 2 2 3 3" xfId="6427"/>
    <cellStyle name="표준 13 2 2 2 2 2 3 3 2" xfId="6428"/>
    <cellStyle name="표준 13 2 2 2 2 2 3 4" xfId="6429"/>
    <cellStyle name="표준 13 2 2 2 2 2 4" xfId="6430"/>
    <cellStyle name="표준 13 2 2 2 2 2 4 2" xfId="6431"/>
    <cellStyle name="표준 13 2 2 2 2 2 4 2 2" xfId="6432"/>
    <cellStyle name="표준 13 2 2 2 2 2 4 3" xfId="6433"/>
    <cellStyle name="표준 13 2 2 2 2 2 5" xfId="6434"/>
    <cellStyle name="표준 13 2 2 2 2 2 5 2" xfId="6435"/>
    <cellStyle name="표준 13 2 2 2 2 2 6" xfId="6436"/>
    <cellStyle name="표준 13 2 2 2 2 3" xfId="6437"/>
    <cellStyle name="표준 13 2 2 2 2 3 2" xfId="6438"/>
    <cellStyle name="표준 13 2 2 2 2 3 2 2" xfId="6439"/>
    <cellStyle name="표준 13 2 2 2 2 3 2 2 2" xfId="6440"/>
    <cellStyle name="표준 13 2 2 2 2 3 2 2 2 2" xfId="6441"/>
    <cellStyle name="표준 13 2 2 2 2 3 2 2 3" xfId="6442"/>
    <cellStyle name="표준 13 2 2 2 2 3 2 3" xfId="6443"/>
    <cellStyle name="표준 13 2 2 2 2 3 2 3 2" xfId="6444"/>
    <cellStyle name="표준 13 2 2 2 2 3 2 4" xfId="6445"/>
    <cellStyle name="표준 13 2 2 2 2 3 3" xfId="6446"/>
    <cellStyle name="표준 13 2 2 2 2 3 3 2" xfId="6447"/>
    <cellStyle name="표준 13 2 2 2 2 3 3 2 2" xfId="6448"/>
    <cellStyle name="표준 13 2 2 2 2 3 3 3" xfId="6449"/>
    <cellStyle name="표준 13 2 2 2 2 3 4" xfId="6450"/>
    <cellStyle name="표준 13 2 2 2 2 3 4 2" xfId="6451"/>
    <cellStyle name="표준 13 2 2 2 2 3 5" xfId="6452"/>
    <cellStyle name="표준 13 2 2 2 2 4" xfId="6453"/>
    <cellStyle name="표준 13 2 2 2 2 4 2" xfId="6454"/>
    <cellStyle name="표준 13 2 2 2 2 4 2 2" xfId="6455"/>
    <cellStyle name="표준 13 2 2 2 2 4 2 2 2" xfId="6456"/>
    <cellStyle name="표준 13 2 2 2 2 4 2 3" xfId="6457"/>
    <cellStyle name="표준 13 2 2 2 2 4 3" xfId="6458"/>
    <cellStyle name="표준 13 2 2 2 2 4 3 2" xfId="6459"/>
    <cellStyle name="표준 13 2 2 2 2 4 4" xfId="6460"/>
    <cellStyle name="표준 13 2 2 2 2 5" xfId="6461"/>
    <cellStyle name="표준 13 2 2 2 2 5 2" xfId="6462"/>
    <cellStyle name="표준 13 2 2 2 2 5 2 2" xfId="6463"/>
    <cellStyle name="표준 13 2 2 2 2 5 3" xfId="6464"/>
    <cellStyle name="표준 13 2 2 2 2 6" xfId="6465"/>
    <cellStyle name="표준 13 2 2 2 2 6 2" xfId="6466"/>
    <cellStyle name="표준 13 2 2 2 2 7" xfId="6467"/>
    <cellStyle name="표준 13 2 2 2 2 8" xfId="6468"/>
    <cellStyle name="표준 13 2 2 2 3" xfId="6469"/>
    <cellStyle name="표준 13 2 2 2 3 2" xfId="6470"/>
    <cellStyle name="표준 13 2 2 2 3 2 2" xfId="6471"/>
    <cellStyle name="표준 13 2 2 2 3 2 2 2" xfId="6472"/>
    <cellStyle name="표준 13 2 2 2 3 2 2 2 2" xfId="6473"/>
    <cellStyle name="표준 13 2 2 2 3 2 2 2 2 2" xfId="6474"/>
    <cellStyle name="표준 13 2 2 2 3 2 2 2 3" xfId="6475"/>
    <cellStyle name="표준 13 2 2 2 3 2 2 3" xfId="6476"/>
    <cellStyle name="표준 13 2 2 2 3 2 2 3 2" xfId="6477"/>
    <cellStyle name="표준 13 2 2 2 3 2 2 4" xfId="6478"/>
    <cellStyle name="표준 13 2 2 2 3 2 3" xfId="6479"/>
    <cellStyle name="표준 13 2 2 2 3 2 3 2" xfId="6480"/>
    <cellStyle name="표준 13 2 2 2 3 2 3 2 2" xfId="6481"/>
    <cellStyle name="표준 13 2 2 2 3 2 3 3" xfId="6482"/>
    <cellStyle name="표준 13 2 2 2 3 2 4" xfId="6483"/>
    <cellStyle name="표준 13 2 2 2 3 2 4 2" xfId="6484"/>
    <cellStyle name="표준 13 2 2 2 3 2 5" xfId="6485"/>
    <cellStyle name="표준 13 2 2 2 3 3" xfId="6486"/>
    <cellStyle name="표준 13 2 2 2 3 3 2" xfId="6487"/>
    <cellStyle name="표준 13 2 2 2 3 3 2 2" xfId="6488"/>
    <cellStyle name="표준 13 2 2 2 3 3 2 2 2" xfId="6489"/>
    <cellStyle name="표준 13 2 2 2 3 3 2 3" xfId="6490"/>
    <cellStyle name="표준 13 2 2 2 3 3 3" xfId="6491"/>
    <cellStyle name="표준 13 2 2 2 3 3 3 2" xfId="6492"/>
    <cellStyle name="표준 13 2 2 2 3 3 4" xfId="6493"/>
    <cellStyle name="표준 13 2 2 2 3 4" xfId="6494"/>
    <cellStyle name="표준 13 2 2 2 3 4 2" xfId="6495"/>
    <cellStyle name="표준 13 2 2 2 3 4 2 2" xfId="6496"/>
    <cellStyle name="표준 13 2 2 2 3 4 3" xfId="6497"/>
    <cellStyle name="표준 13 2 2 2 3 5" xfId="6498"/>
    <cellStyle name="표준 13 2 2 2 3 5 2" xfId="6499"/>
    <cellStyle name="표준 13 2 2 2 3 6" xfId="6500"/>
    <cellStyle name="표준 13 2 2 2 4" xfId="6501"/>
    <cellStyle name="표준 13 2 2 2 4 2" xfId="6502"/>
    <cellStyle name="표준 13 2 2 2 4 2 2" xfId="6503"/>
    <cellStyle name="표준 13 2 2 2 4 2 2 2" xfId="6504"/>
    <cellStyle name="표준 13 2 2 2 4 2 2 2 2" xfId="6505"/>
    <cellStyle name="표준 13 2 2 2 4 2 2 3" xfId="6506"/>
    <cellStyle name="표준 13 2 2 2 4 2 3" xfId="6507"/>
    <cellStyle name="표준 13 2 2 2 4 2 3 2" xfId="6508"/>
    <cellStyle name="표준 13 2 2 2 4 2 4" xfId="6509"/>
    <cellStyle name="표준 13 2 2 2 4 3" xfId="6510"/>
    <cellStyle name="표준 13 2 2 2 4 3 2" xfId="6511"/>
    <cellStyle name="표준 13 2 2 2 4 3 2 2" xfId="6512"/>
    <cellStyle name="표준 13 2 2 2 4 3 3" xfId="6513"/>
    <cellStyle name="표준 13 2 2 2 4 4" xfId="6514"/>
    <cellStyle name="표준 13 2 2 2 4 4 2" xfId="6515"/>
    <cellStyle name="표준 13 2 2 2 4 5" xfId="6516"/>
    <cellStyle name="표준 13 2 2 2 5" xfId="6517"/>
    <cellStyle name="표준 13 2 2 2 5 2" xfId="6518"/>
    <cellStyle name="표준 13 2 2 2 5 2 2" xfId="6519"/>
    <cellStyle name="표준 13 2 2 2 5 2 2 2" xfId="6520"/>
    <cellStyle name="표준 13 2 2 2 5 2 3" xfId="6521"/>
    <cellStyle name="표준 13 2 2 2 5 3" xfId="6522"/>
    <cellStyle name="표준 13 2 2 2 5 3 2" xfId="6523"/>
    <cellStyle name="표준 13 2 2 2 5 4" xfId="6524"/>
    <cellStyle name="표준 13 2 2 2 6" xfId="6525"/>
    <cellStyle name="표준 13 2 2 2 6 2" xfId="6526"/>
    <cellStyle name="표준 13 2 2 2 6 2 2" xfId="6527"/>
    <cellStyle name="표준 13 2 2 2 6 3" xfId="6528"/>
    <cellStyle name="표준 13 2 2 2 7" xfId="6529"/>
    <cellStyle name="표준 13 2 2 2 7 2" xfId="6530"/>
    <cellStyle name="표준 13 2 2 2 8" xfId="6531"/>
    <cellStyle name="표준 13 2 2 2 9" xfId="6532"/>
    <cellStyle name="표준 13 2 2 3" xfId="6533"/>
    <cellStyle name="표준 13 2 2 3 2" xfId="6534"/>
    <cellStyle name="표준 13 2 2 3 2 2" xfId="6535"/>
    <cellStyle name="표준 13 2 2 3 2 2 2" xfId="6536"/>
    <cellStyle name="표준 13 2 2 3 2 2 2 2" xfId="6537"/>
    <cellStyle name="표준 13 2 2 3 2 2 2 2 2" xfId="6538"/>
    <cellStyle name="표준 13 2 2 3 2 2 2 2 2 2" xfId="6539"/>
    <cellStyle name="표준 13 2 2 3 2 2 2 2 3" xfId="6540"/>
    <cellStyle name="표준 13 2 2 3 2 2 2 3" xfId="6541"/>
    <cellStyle name="표준 13 2 2 3 2 2 2 3 2" xfId="6542"/>
    <cellStyle name="표준 13 2 2 3 2 2 2 4" xfId="6543"/>
    <cellStyle name="표준 13 2 2 3 2 2 3" xfId="6544"/>
    <cellStyle name="표준 13 2 2 3 2 2 3 2" xfId="6545"/>
    <cellStyle name="표준 13 2 2 3 2 2 3 2 2" xfId="6546"/>
    <cellStyle name="표준 13 2 2 3 2 2 3 3" xfId="6547"/>
    <cellStyle name="표준 13 2 2 3 2 2 4" xfId="6548"/>
    <cellStyle name="표준 13 2 2 3 2 2 4 2" xfId="6549"/>
    <cellStyle name="표준 13 2 2 3 2 2 5" xfId="6550"/>
    <cellStyle name="표준 13 2 2 3 2 3" xfId="6551"/>
    <cellStyle name="표준 13 2 2 3 2 3 2" xfId="6552"/>
    <cellStyle name="표준 13 2 2 3 2 3 2 2" xfId="6553"/>
    <cellStyle name="표준 13 2 2 3 2 3 2 2 2" xfId="6554"/>
    <cellStyle name="표준 13 2 2 3 2 3 2 3" xfId="6555"/>
    <cellStyle name="표준 13 2 2 3 2 3 3" xfId="6556"/>
    <cellStyle name="표준 13 2 2 3 2 3 3 2" xfId="6557"/>
    <cellStyle name="표준 13 2 2 3 2 3 4" xfId="6558"/>
    <cellStyle name="표준 13 2 2 3 2 4" xfId="6559"/>
    <cellStyle name="표준 13 2 2 3 2 4 2" xfId="6560"/>
    <cellStyle name="표준 13 2 2 3 2 4 2 2" xfId="6561"/>
    <cellStyle name="표준 13 2 2 3 2 4 3" xfId="6562"/>
    <cellStyle name="표준 13 2 2 3 2 5" xfId="6563"/>
    <cellStyle name="표준 13 2 2 3 2 5 2" xfId="6564"/>
    <cellStyle name="표준 13 2 2 3 2 6" xfId="6565"/>
    <cellStyle name="표준 13 2 2 3 3" xfId="6566"/>
    <cellStyle name="표준 13 2 2 3 3 2" xfId="6567"/>
    <cellStyle name="표준 13 2 2 3 3 2 2" xfId="6568"/>
    <cellStyle name="표준 13 2 2 3 3 2 2 2" xfId="6569"/>
    <cellStyle name="표준 13 2 2 3 3 2 2 2 2" xfId="6570"/>
    <cellStyle name="표준 13 2 2 3 3 2 2 3" xfId="6571"/>
    <cellStyle name="표준 13 2 2 3 3 2 3" xfId="6572"/>
    <cellStyle name="표준 13 2 2 3 3 2 3 2" xfId="6573"/>
    <cellStyle name="표준 13 2 2 3 3 2 4" xfId="6574"/>
    <cellStyle name="표준 13 2 2 3 3 3" xfId="6575"/>
    <cellStyle name="표준 13 2 2 3 3 3 2" xfId="6576"/>
    <cellStyle name="표준 13 2 2 3 3 3 2 2" xfId="6577"/>
    <cellStyle name="표준 13 2 2 3 3 3 3" xfId="6578"/>
    <cellStyle name="표준 13 2 2 3 3 4" xfId="6579"/>
    <cellStyle name="표준 13 2 2 3 3 4 2" xfId="6580"/>
    <cellStyle name="표준 13 2 2 3 3 5" xfId="6581"/>
    <cellStyle name="표준 13 2 2 3 4" xfId="6582"/>
    <cellStyle name="표준 13 2 2 3 4 2" xfId="6583"/>
    <cellStyle name="표준 13 2 2 3 4 2 2" xfId="6584"/>
    <cellStyle name="표준 13 2 2 3 4 2 2 2" xfId="6585"/>
    <cellStyle name="표준 13 2 2 3 4 2 3" xfId="6586"/>
    <cellStyle name="표준 13 2 2 3 4 3" xfId="6587"/>
    <cellStyle name="표준 13 2 2 3 4 3 2" xfId="6588"/>
    <cellStyle name="표준 13 2 2 3 4 4" xfId="6589"/>
    <cellStyle name="표준 13 2 2 3 5" xfId="6590"/>
    <cellStyle name="표준 13 2 2 3 5 2" xfId="6591"/>
    <cellStyle name="표준 13 2 2 3 5 2 2" xfId="6592"/>
    <cellStyle name="표준 13 2 2 3 5 3" xfId="6593"/>
    <cellStyle name="표준 13 2 2 3 6" xfId="6594"/>
    <cellStyle name="표준 13 2 2 3 6 2" xfId="6595"/>
    <cellStyle name="표준 13 2 2 3 7" xfId="6596"/>
    <cellStyle name="표준 13 2 2 3 8" xfId="6597"/>
    <cellStyle name="표준 13 2 2 4" xfId="6598"/>
    <cellStyle name="표준 13 2 2 4 2" xfId="6599"/>
    <cellStyle name="표준 13 2 2 4 2 2" xfId="6600"/>
    <cellStyle name="표준 13 2 2 4 2 2 2" xfId="6601"/>
    <cellStyle name="표준 13 2 2 4 2 2 2 2" xfId="6602"/>
    <cellStyle name="표준 13 2 2 4 2 2 2 2 2" xfId="6603"/>
    <cellStyle name="표준 13 2 2 4 2 2 2 3" xfId="6604"/>
    <cellStyle name="표준 13 2 2 4 2 2 3" xfId="6605"/>
    <cellStyle name="표준 13 2 2 4 2 2 3 2" xfId="6606"/>
    <cellStyle name="표준 13 2 2 4 2 2 4" xfId="6607"/>
    <cellStyle name="표준 13 2 2 4 2 3" xfId="6608"/>
    <cellStyle name="표준 13 2 2 4 2 3 2" xfId="6609"/>
    <cellStyle name="표준 13 2 2 4 2 3 2 2" xfId="6610"/>
    <cellStyle name="표준 13 2 2 4 2 3 3" xfId="6611"/>
    <cellStyle name="표준 13 2 2 4 2 4" xfId="6612"/>
    <cellStyle name="표준 13 2 2 4 2 4 2" xfId="6613"/>
    <cellStyle name="표준 13 2 2 4 2 5" xfId="6614"/>
    <cellStyle name="표준 13 2 2 4 3" xfId="6615"/>
    <cellStyle name="표준 13 2 2 4 3 2" xfId="6616"/>
    <cellStyle name="표준 13 2 2 4 3 2 2" xfId="6617"/>
    <cellStyle name="표준 13 2 2 4 3 2 2 2" xfId="6618"/>
    <cellStyle name="표준 13 2 2 4 3 2 3" xfId="6619"/>
    <cellStyle name="표준 13 2 2 4 3 3" xfId="6620"/>
    <cellStyle name="표준 13 2 2 4 3 3 2" xfId="6621"/>
    <cellStyle name="표준 13 2 2 4 3 4" xfId="6622"/>
    <cellStyle name="표준 13 2 2 4 4" xfId="6623"/>
    <cellStyle name="표준 13 2 2 4 4 2" xfId="6624"/>
    <cellStyle name="표준 13 2 2 4 4 2 2" xfId="6625"/>
    <cellStyle name="표준 13 2 2 4 4 3" xfId="6626"/>
    <cellStyle name="표준 13 2 2 4 5" xfId="6627"/>
    <cellStyle name="표준 13 2 2 4 5 2" xfId="6628"/>
    <cellStyle name="표준 13 2 2 4 6" xfId="6629"/>
    <cellStyle name="표준 13 2 2 5" xfId="6630"/>
    <cellStyle name="표준 13 2 2 5 2" xfId="6631"/>
    <cellStyle name="표준 13 2 2 5 2 2" xfId="6632"/>
    <cellStyle name="표준 13 2 2 5 2 2 2" xfId="6633"/>
    <cellStyle name="표준 13 2 2 5 2 2 2 2" xfId="6634"/>
    <cellStyle name="표준 13 2 2 5 2 2 3" xfId="6635"/>
    <cellStyle name="표준 13 2 2 5 2 3" xfId="6636"/>
    <cellStyle name="표준 13 2 2 5 2 3 2" xfId="6637"/>
    <cellStyle name="표준 13 2 2 5 2 4" xfId="6638"/>
    <cellStyle name="표준 13 2 2 5 3" xfId="6639"/>
    <cellStyle name="표준 13 2 2 5 3 2" xfId="6640"/>
    <cellStyle name="표준 13 2 2 5 3 2 2" xfId="6641"/>
    <cellStyle name="표준 13 2 2 5 3 3" xfId="6642"/>
    <cellStyle name="표준 13 2 2 5 4" xfId="6643"/>
    <cellStyle name="표준 13 2 2 5 4 2" xfId="6644"/>
    <cellStyle name="표준 13 2 2 5 5" xfId="6645"/>
    <cellStyle name="표준 13 2 2 6" xfId="6646"/>
    <cellStyle name="표준 13 2 2 6 2" xfId="6647"/>
    <cellStyle name="표준 13 2 2 6 2 2" xfId="6648"/>
    <cellStyle name="표준 13 2 2 6 2 2 2" xfId="6649"/>
    <cellStyle name="표준 13 2 2 6 2 3" xfId="6650"/>
    <cellStyle name="표준 13 2 2 6 3" xfId="6651"/>
    <cellStyle name="표준 13 2 2 6 3 2" xfId="6652"/>
    <cellStyle name="표준 13 2 2 6 4" xfId="6653"/>
    <cellStyle name="표준 13 2 2 7" xfId="6654"/>
    <cellStyle name="표준 13 2 2 7 2" xfId="6655"/>
    <cellStyle name="표준 13 2 2 7 2 2" xfId="6656"/>
    <cellStyle name="표준 13 2 2 7 3" xfId="6657"/>
    <cellStyle name="표준 13 2 2 8" xfId="6658"/>
    <cellStyle name="표준 13 2 2 8 2" xfId="6659"/>
    <cellStyle name="표준 13 2 2 9" xfId="6660"/>
    <cellStyle name="표준 13 2 3" xfId="6661"/>
    <cellStyle name="표준 13 2 3 2" xfId="6662"/>
    <cellStyle name="표준 13 2 3 2 2" xfId="6663"/>
    <cellStyle name="표준 13 2 3 2 2 2" xfId="6664"/>
    <cellStyle name="표준 13 2 3 2 2 2 2" xfId="6665"/>
    <cellStyle name="표준 13 2 3 2 2 2 2 2" xfId="6666"/>
    <cellStyle name="표준 13 2 3 2 2 2 2 2 2" xfId="6667"/>
    <cellStyle name="표준 13 2 3 2 2 2 2 2 2 2" xfId="6668"/>
    <cellStyle name="표준 13 2 3 2 2 2 2 2 3" xfId="6669"/>
    <cellStyle name="표준 13 2 3 2 2 2 2 3" xfId="6670"/>
    <cellStyle name="표준 13 2 3 2 2 2 2 3 2" xfId="6671"/>
    <cellStyle name="표준 13 2 3 2 2 2 2 4" xfId="6672"/>
    <cellStyle name="표준 13 2 3 2 2 2 3" xfId="6673"/>
    <cellStyle name="표준 13 2 3 2 2 2 3 2" xfId="6674"/>
    <cellStyle name="표준 13 2 3 2 2 2 3 2 2" xfId="6675"/>
    <cellStyle name="표준 13 2 3 2 2 2 3 3" xfId="6676"/>
    <cellStyle name="표준 13 2 3 2 2 2 4" xfId="6677"/>
    <cellStyle name="표준 13 2 3 2 2 2 4 2" xfId="6678"/>
    <cellStyle name="표준 13 2 3 2 2 2 5" xfId="6679"/>
    <cellStyle name="표준 13 2 3 2 2 3" xfId="6680"/>
    <cellStyle name="표준 13 2 3 2 2 3 2" xfId="6681"/>
    <cellStyle name="표준 13 2 3 2 2 3 2 2" xfId="6682"/>
    <cellStyle name="표준 13 2 3 2 2 3 2 2 2" xfId="6683"/>
    <cellStyle name="표준 13 2 3 2 2 3 2 3" xfId="6684"/>
    <cellStyle name="표준 13 2 3 2 2 3 3" xfId="6685"/>
    <cellStyle name="표준 13 2 3 2 2 3 3 2" xfId="6686"/>
    <cellStyle name="표준 13 2 3 2 2 3 4" xfId="6687"/>
    <cellStyle name="표준 13 2 3 2 2 4" xfId="6688"/>
    <cellStyle name="표준 13 2 3 2 2 4 2" xfId="6689"/>
    <cellStyle name="표준 13 2 3 2 2 4 2 2" xfId="6690"/>
    <cellStyle name="표준 13 2 3 2 2 4 3" xfId="6691"/>
    <cellStyle name="표준 13 2 3 2 2 5" xfId="6692"/>
    <cellStyle name="표준 13 2 3 2 2 5 2" xfId="6693"/>
    <cellStyle name="표준 13 2 3 2 2 6" xfId="6694"/>
    <cellStyle name="표준 13 2 3 2 3" xfId="6695"/>
    <cellStyle name="표준 13 2 3 2 3 2" xfId="6696"/>
    <cellStyle name="표준 13 2 3 2 3 2 2" xfId="6697"/>
    <cellStyle name="표준 13 2 3 2 3 2 2 2" xfId="6698"/>
    <cellStyle name="표준 13 2 3 2 3 2 2 2 2" xfId="6699"/>
    <cellStyle name="표준 13 2 3 2 3 2 2 3" xfId="6700"/>
    <cellStyle name="표준 13 2 3 2 3 2 3" xfId="6701"/>
    <cellStyle name="표준 13 2 3 2 3 2 3 2" xfId="6702"/>
    <cellStyle name="표준 13 2 3 2 3 2 4" xfId="6703"/>
    <cellStyle name="표준 13 2 3 2 3 3" xfId="6704"/>
    <cellStyle name="표준 13 2 3 2 3 3 2" xfId="6705"/>
    <cellStyle name="표준 13 2 3 2 3 3 2 2" xfId="6706"/>
    <cellStyle name="표준 13 2 3 2 3 3 3" xfId="6707"/>
    <cellStyle name="표준 13 2 3 2 3 4" xfId="6708"/>
    <cellStyle name="표준 13 2 3 2 3 4 2" xfId="6709"/>
    <cellStyle name="표준 13 2 3 2 3 5" xfId="6710"/>
    <cellStyle name="표준 13 2 3 2 4" xfId="6711"/>
    <cellStyle name="표준 13 2 3 2 4 2" xfId="6712"/>
    <cellStyle name="표준 13 2 3 2 4 2 2" xfId="6713"/>
    <cellStyle name="표준 13 2 3 2 4 2 2 2" xfId="6714"/>
    <cellStyle name="표준 13 2 3 2 4 2 3" xfId="6715"/>
    <cellStyle name="표준 13 2 3 2 4 3" xfId="6716"/>
    <cellStyle name="표준 13 2 3 2 4 3 2" xfId="6717"/>
    <cellStyle name="표준 13 2 3 2 4 4" xfId="6718"/>
    <cellStyle name="표준 13 2 3 2 5" xfId="6719"/>
    <cellStyle name="표준 13 2 3 2 5 2" xfId="6720"/>
    <cellStyle name="표준 13 2 3 2 5 2 2" xfId="6721"/>
    <cellStyle name="표준 13 2 3 2 5 3" xfId="6722"/>
    <cellStyle name="표준 13 2 3 2 6" xfId="6723"/>
    <cellStyle name="표준 13 2 3 2 6 2" xfId="6724"/>
    <cellStyle name="표준 13 2 3 2 7" xfId="6725"/>
    <cellStyle name="표준 13 2 3 2 8" xfId="6726"/>
    <cellStyle name="표준 13 2 3 3" xfId="6727"/>
    <cellStyle name="표준 13 2 3 3 2" xfId="6728"/>
    <cellStyle name="표준 13 2 3 3 2 2" xfId="6729"/>
    <cellStyle name="표준 13 2 3 3 2 2 2" xfId="6730"/>
    <cellStyle name="표준 13 2 3 3 2 2 2 2" xfId="6731"/>
    <cellStyle name="표준 13 2 3 3 2 2 2 2 2" xfId="6732"/>
    <cellStyle name="표준 13 2 3 3 2 2 2 3" xfId="6733"/>
    <cellStyle name="표준 13 2 3 3 2 2 3" xfId="6734"/>
    <cellStyle name="표준 13 2 3 3 2 2 3 2" xfId="6735"/>
    <cellStyle name="표준 13 2 3 3 2 2 4" xfId="6736"/>
    <cellStyle name="표준 13 2 3 3 2 3" xfId="6737"/>
    <cellStyle name="표준 13 2 3 3 2 3 2" xfId="6738"/>
    <cellStyle name="표준 13 2 3 3 2 3 2 2" xfId="6739"/>
    <cellStyle name="표준 13 2 3 3 2 3 3" xfId="6740"/>
    <cellStyle name="표준 13 2 3 3 2 4" xfId="6741"/>
    <cellStyle name="표준 13 2 3 3 2 4 2" xfId="6742"/>
    <cellStyle name="표준 13 2 3 3 2 5" xfId="6743"/>
    <cellStyle name="표준 13 2 3 3 3" xfId="6744"/>
    <cellStyle name="표준 13 2 3 3 3 2" xfId="6745"/>
    <cellStyle name="표준 13 2 3 3 3 2 2" xfId="6746"/>
    <cellStyle name="표준 13 2 3 3 3 2 2 2" xfId="6747"/>
    <cellStyle name="표준 13 2 3 3 3 2 3" xfId="6748"/>
    <cellStyle name="표준 13 2 3 3 3 3" xfId="6749"/>
    <cellStyle name="표준 13 2 3 3 3 3 2" xfId="6750"/>
    <cellStyle name="표준 13 2 3 3 3 4" xfId="6751"/>
    <cellStyle name="표준 13 2 3 3 4" xfId="6752"/>
    <cellStyle name="표준 13 2 3 3 4 2" xfId="6753"/>
    <cellStyle name="표준 13 2 3 3 4 2 2" xfId="6754"/>
    <cellStyle name="표준 13 2 3 3 4 3" xfId="6755"/>
    <cellStyle name="표준 13 2 3 3 5" xfId="6756"/>
    <cellStyle name="표준 13 2 3 3 5 2" xfId="6757"/>
    <cellStyle name="표준 13 2 3 3 6" xfId="6758"/>
    <cellStyle name="표준 13 2 3 4" xfId="6759"/>
    <cellStyle name="표준 13 2 3 4 2" xfId="6760"/>
    <cellStyle name="표준 13 2 3 4 2 2" xfId="6761"/>
    <cellStyle name="표준 13 2 3 4 2 2 2" xfId="6762"/>
    <cellStyle name="표준 13 2 3 4 2 2 2 2" xfId="6763"/>
    <cellStyle name="표준 13 2 3 4 2 2 3" xfId="6764"/>
    <cellStyle name="표준 13 2 3 4 2 3" xfId="6765"/>
    <cellStyle name="표준 13 2 3 4 2 3 2" xfId="6766"/>
    <cellStyle name="표준 13 2 3 4 2 4" xfId="6767"/>
    <cellStyle name="표준 13 2 3 4 3" xfId="6768"/>
    <cellStyle name="표준 13 2 3 4 3 2" xfId="6769"/>
    <cellStyle name="표준 13 2 3 4 3 2 2" xfId="6770"/>
    <cellStyle name="표준 13 2 3 4 3 3" xfId="6771"/>
    <cellStyle name="표준 13 2 3 4 4" xfId="6772"/>
    <cellStyle name="표준 13 2 3 4 4 2" xfId="6773"/>
    <cellStyle name="표준 13 2 3 4 5" xfId="6774"/>
    <cellStyle name="표준 13 2 3 5" xfId="6775"/>
    <cellStyle name="표준 13 2 3 5 2" xfId="6776"/>
    <cellStyle name="표준 13 2 3 5 2 2" xfId="6777"/>
    <cellStyle name="표준 13 2 3 5 2 2 2" xfId="6778"/>
    <cellStyle name="표준 13 2 3 5 2 3" xfId="6779"/>
    <cellStyle name="표준 13 2 3 5 3" xfId="6780"/>
    <cellStyle name="표준 13 2 3 5 3 2" xfId="6781"/>
    <cellStyle name="표준 13 2 3 5 4" xfId="6782"/>
    <cellStyle name="표준 13 2 3 6" xfId="6783"/>
    <cellStyle name="표준 13 2 3 6 2" xfId="6784"/>
    <cellStyle name="표준 13 2 3 6 2 2" xfId="6785"/>
    <cellStyle name="표준 13 2 3 6 3" xfId="6786"/>
    <cellStyle name="표준 13 2 3 7" xfId="6787"/>
    <cellStyle name="표준 13 2 3 7 2" xfId="6788"/>
    <cellStyle name="표준 13 2 3 8" xfId="6789"/>
    <cellStyle name="표준 13 2 3 9" xfId="6790"/>
    <cellStyle name="표준 13 2 4" xfId="6791"/>
    <cellStyle name="표준 13 2 4 2" xfId="6792"/>
    <cellStyle name="표준 13 2 4 2 2" xfId="6793"/>
    <cellStyle name="표준 13 2 4 2 2 2" xfId="6794"/>
    <cellStyle name="표준 13 2 4 2 2 2 2" xfId="6795"/>
    <cellStyle name="표준 13 2 4 2 2 2 2 2" xfId="6796"/>
    <cellStyle name="표준 13 2 4 2 2 2 2 2 2" xfId="6797"/>
    <cellStyle name="표준 13 2 4 2 2 2 2 3" xfId="6798"/>
    <cellStyle name="표준 13 2 4 2 2 2 3" xfId="6799"/>
    <cellStyle name="표준 13 2 4 2 2 2 3 2" xfId="6800"/>
    <cellStyle name="표준 13 2 4 2 2 2 4" xfId="6801"/>
    <cellStyle name="표준 13 2 4 2 2 3" xfId="6802"/>
    <cellStyle name="표준 13 2 4 2 2 3 2" xfId="6803"/>
    <cellStyle name="표준 13 2 4 2 2 3 2 2" xfId="6804"/>
    <cellStyle name="표준 13 2 4 2 2 3 3" xfId="6805"/>
    <cellStyle name="표준 13 2 4 2 2 4" xfId="6806"/>
    <cellStyle name="표준 13 2 4 2 2 4 2" xfId="6807"/>
    <cellStyle name="표준 13 2 4 2 2 5" xfId="6808"/>
    <cellStyle name="표준 13 2 4 2 3" xfId="6809"/>
    <cellStyle name="표준 13 2 4 2 3 2" xfId="6810"/>
    <cellStyle name="표준 13 2 4 2 3 2 2" xfId="6811"/>
    <cellStyle name="표준 13 2 4 2 3 2 2 2" xfId="6812"/>
    <cellStyle name="표준 13 2 4 2 3 2 3" xfId="6813"/>
    <cellStyle name="표준 13 2 4 2 3 3" xfId="6814"/>
    <cellStyle name="표준 13 2 4 2 3 3 2" xfId="6815"/>
    <cellStyle name="표준 13 2 4 2 3 4" xfId="6816"/>
    <cellStyle name="표준 13 2 4 2 4" xfId="6817"/>
    <cellStyle name="표준 13 2 4 2 4 2" xfId="6818"/>
    <cellStyle name="표준 13 2 4 2 4 2 2" xfId="6819"/>
    <cellStyle name="표준 13 2 4 2 4 3" xfId="6820"/>
    <cellStyle name="표준 13 2 4 2 5" xfId="6821"/>
    <cellStyle name="표준 13 2 4 2 5 2" xfId="6822"/>
    <cellStyle name="표준 13 2 4 2 6" xfId="6823"/>
    <cellStyle name="표준 13 2 4 3" xfId="6824"/>
    <cellStyle name="표준 13 2 4 3 2" xfId="6825"/>
    <cellStyle name="표준 13 2 4 3 2 2" xfId="6826"/>
    <cellStyle name="표준 13 2 4 3 2 2 2" xfId="6827"/>
    <cellStyle name="표준 13 2 4 3 2 2 2 2" xfId="6828"/>
    <cellStyle name="표준 13 2 4 3 2 2 3" xfId="6829"/>
    <cellStyle name="표준 13 2 4 3 2 3" xfId="6830"/>
    <cellStyle name="표준 13 2 4 3 2 3 2" xfId="6831"/>
    <cellStyle name="표준 13 2 4 3 2 4" xfId="6832"/>
    <cellStyle name="표준 13 2 4 3 3" xfId="6833"/>
    <cellStyle name="표준 13 2 4 3 3 2" xfId="6834"/>
    <cellStyle name="표준 13 2 4 3 3 2 2" xfId="6835"/>
    <cellStyle name="표준 13 2 4 3 3 3" xfId="6836"/>
    <cellStyle name="표준 13 2 4 3 4" xfId="6837"/>
    <cellStyle name="표준 13 2 4 3 4 2" xfId="6838"/>
    <cellStyle name="표준 13 2 4 3 5" xfId="6839"/>
    <cellStyle name="표준 13 2 4 4" xfId="6840"/>
    <cellStyle name="표준 13 2 4 4 2" xfId="6841"/>
    <cellStyle name="표준 13 2 4 4 2 2" xfId="6842"/>
    <cellStyle name="표준 13 2 4 4 2 2 2" xfId="6843"/>
    <cellStyle name="표준 13 2 4 4 2 3" xfId="6844"/>
    <cellStyle name="표준 13 2 4 4 3" xfId="6845"/>
    <cellStyle name="표준 13 2 4 4 3 2" xfId="6846"/>
    <cellStyle name="표준 13 2 4 4 4" xfId="6847"/>
    <cellStyle name="표준 13 2 4 5" xfId="6848"/>
    <cellStyle name="표준 13 2 4 5 2" xfId="6849"/>
    <cellStyle name="표준 13 2 4 5 2 2" xfId="6850"/>
    <cellStyle name="표준 13 2 4 5 3" xfId="6851"/>
    <cellStyle name="표준 13 2 4 6" xfId="6852"/>
    <cellStyle name="표준 13 2 4 6 2" xfId="6853"/>
    <cellStyle name="표준 13 2 4 7" xfId="6854"/>
    <cellStyle name="표준 13 2 4 8" xfId="6855"/>
    <cellStyle name="표준 13 2 5" xfId="6856"/>
    <cellStyle name="표준 13 2 5 2" xfId="6857"/>
    <cellStyle name="표준 13 2 5 2 2" xfId="6858"/>
    <cellStyle name="표준 13 2 5 2 2 2" xfId="6859"/>
    <cellStyle name="표준 13 2 5 2 2 2 2" xfId="6860"/>
    <cellStyle name="표준 13 2 5 2 2 2 2 2" xfId="6861"/>
    <cellStyle name="표준 13 2 5 2 2 2 3" xfId="6862"/>
    <cellStyle name="표준 13 2 5 2 2 3" xfId="6863"/>
    <cellStyle name="표준 13 2 5 2 2 3 2" xfId="6864"/>
    <cellStyle name="표준 13 2 5 2 2 4" xfId="6865"/>
    <cellStyle name="표준 13 2 5 2 3" xfId="6866"/>
    <cellStyle name="표준 13 2 5 2 3 2" xfId="6867"/>
    <cellStyle name="표준 13 2 5 2 3 2 2" xfId="6868"/>
    <cellStyle name="표준 13 2 5 2 3 3" xfId="6869"/>
    <cellStyle name="표준 13 2 5 2 4" xfId="6870"/>
    <cellStyle name="표준 13 2 5 2 4 2" xfId="6871"/>
    <cellStyle name="표준 13 2 5 2 5" xfId="6872"/>
    <cellStyle name="표준 13 2 5 3" xfId="6873"/>
    <cellStyle name="표준 13 2 5 3 2" xfId="6874"/>
    <cellStyle name="표준 13 2 5 3 2 2" xfId="6875"/>
    <cellStyle name="표준 13 2 5 3 2 2 2" xfId="6876"/>
    <cellStyle name="표준 13 2 5 3 2 3" xfId="6877"/>
    <cellStyle name="표준 13 2 5 3 3" xfId="6878"/>
    <cellStyle name="표준 13 2 5 3 3 2" xfId="6879"/>
    <cellStyle name="표준 13 2 5 3 4" xfId="6880"/>
    <cellStyle name="표준 13 2 5 4" xfId="6881"/>
    <cellStyle name="표준 13 2 5 4 2" xfId="6882"/>
    <cellStyle name="표준 13 2 5 4 2 2" xfId="6883"/>
    <cellStyle name="표준 13 2 5 4 3" xfId="6884"/>
    <cellStyle name="표준 13 2 5 5" xfId="6885"/>
    <cellStyle name="표준 13 2 5 5 2" xfId="6886"/>
    <cellStyle name="표준 13 2 5 6" xfId="6887"/>
    <cellStyle name="표준 13 2 6" xfId="6888"/>
    <cellStyle name="표준 13 2 6 2" xfId="6889"/>
    <cellStyle name="표준 13 2 6 2 2" xfId="6890"/>
    <cellStyle name="표준 13 2 6 2 2 2" xfId="6891"/>
    <cellStyle name="표준 13 2 6 2 2 2 2" xfId="6892"/>
    <cellStyle name="표준 13 2 6 2 2 3" xfId="6893"/>
    <cellStyle name="표준 13 2 6 2 3" xfId="6894"/>
    <cellStyle name="표준 13 2 6 2 3 2" xfId="6895"/>
    <cellStyle name="표준 13 2 6 2 4" xfId="6896"/>
    <cellStyle name="표준 13 2 6 3" xfId="6897"/>
    <cellStyle name="표준 13 2 6 3 2" xfId="6898"/>
    <cellStyle name="표준 13 2 6 3 2 2" xfId="6899"/>
    <cellStyle name="표준 13 2 6 3 3" xfId="6900"/>
    <cellStyle name="표준 13 2 6 4" xfId="6901"/>
    <cellStyle name="표준 13 2 6 4 2" xfId="6902"/>
    <cellStyle name="표준 13 2 6 5" xfId="6903"/>
    <cellStyle name="표준 13 2 7" xfId="6904"/>
    <cellStyle name="표준 13 2 7 2" xfId="6905"/>
    <cellStyle name="표준 13 2 7 2 2" xfId="6906"/>
    <cellStyle name="표준 13 2 7 2 2 2" xfId="6907"/>
    <cellStyle name="표준 13 2 7 2 3" xfId="6908"/>
    <cellStyle name="표준 13 2 7 3" xfId="6909"/>
    <cellStyle name="표준 13 2 7 3 2" xfId="6910"/>
    <cellStyle name="표준 13 2 7 4" xfId="6911"/>
    <cellStyle name="표준 13 2 8" xfId="6912"/>
    <cellStyle name="표준 13 2 8 2" xfId="6913"/>
    <cellStyle name="표준 13 2 8 2 2" xfId="6914"/>
    <cellStyle name="표준 13 2 8 3" xfId="6915"/>
    <cellStyle name="표준 13 2 9" xfId="6916"/>
    <cellStyle name="표준 13 2 9 2" xfId="6917"/>
    <cellStyle name="표준 13 3" xfId="6918"/>
    <cellStyle name="표준 13 3 10" xfId="6919"/>
    <cellStyle name="표준 13 3 10 2" xfId="6920"/>
    <cellStyle name="표준 13 3 10 2 2" xfId="6921"/>
    <cellStyle name="표준 13 3 10 3" xfId="6922"/>
    <cellStyle name="표준 13 3 11" xfId="6923"/>
    <cellStyle name="표준 13 3 2" xfId="6924"/>
    <cellStyle name="표준 13 3 2 10" xfId="6925"/>
    <cellStyle name="표준 13 3 2 2" xfId="6926"/>
    <cellStyle name="표준 13 3 2 2 2" xfId="6927"/>
    <cellStyle name="표준 13 3 2 2 2 2" xfId="6928"/>
    <cellStyle name="표준 13 3 2 2 2 2 2" xfId="6929"/>
    <cellStyle name="표준 13 3 2 2 2 2 2 2" xfId="6930"/>
    <cellStyle name="표준 13 3 2 2 2 2 2 2 2" xfId="6931"/>
    <cellStyle name="표준 13 3 2 2 2 2 2 2 2 2" xfId="6932"/>
    <cellStyle name="표준 13 3 2 2 2 2 2 2 2 2 2" xfId="6933"/>
    <cellStyle name="표준 13 3 2 2 2 2 2 2 2 3" xfId="6934"/>
    <cellStyle name="표준 13 3 2 2 2 2 2 2 3" xfId="6935"/>
    <cellStyle name="표준 13 3 2 2 2 2 2 2 3 2" xfId="6936"/>
    <cellStyle name="표준 13 3 2 2 2 2 2 2 4" xfId="6937"/>
    <cellStyle name="표준 13 3 2 2 2 2 2 3" xfId="6938"/>
    <cellStyle name="표준 13 3 2 2 2 2 2 3 2" xfId="6939"/>
    <cellStyle name="표준 13 3 2 2 2 2 2 3 2 2" xfId="6940"/>
    <cellStyle name="표준 13 3 2 2 2 2 2 3 3" xfId="6941"/>
    <cellStyle name="표준 13 3 2 2 2 2 2 4" xfId="6942"/>
    <cellStyle name="표준 13 3 2 2 2 2 2 4 2" xfId="6943"/>
    <cellStyle name="표준 13 3 2 2 2 2 2 5" xfId="6944"/>
    <cellStyle name="표준 13 3 2 2 2 2 3" xfId="6945"/>
    <cellStyle name="표준 13 3 2 2 2 2 3 2" xfId="6946"/>
    <cellStyle name="표준 13 3 2 2 2 2 3 2 2" xfId="6947"/>
    <cellStyle name="표준 13 3 2 2 2 2 3 2 2 2" xfId="6948"/>
    <cellStyle name="표준 13 3 2 2 2 2 3 2 3" xfId="6949"/>
    <cellStyle name="표준 13 3 2 2 2 2 3 3" xfId="6950"/>
    <cellStyle name="표준 13 3 2 2 2 2 3 3 2" xfId="6951"/>
    <cellStyle name="표준 13 3 2 2 2 2 3 4" xfId="6952"/>
    <cellStyle name="표준 13 3 2 2 2 2 4" xfId="6953"/>
    <cellStyle name="표준 13 3 2 2 2 2 4 2" xfId="6954"/>
    <cellStyle name="표준 13 3 2 2 2 2 4 2 2" xfId="6955"/>
    <cellStyle name="표준 13 3 2 2 2 2 4 3" xfId="6956"/>
    <cellStyle name="표준 13 3 2 2 2 2 5" xfId="6957"/>
    <cellStyle name="표준 13 3 2 2 2 2 5 2" xfId="6958"/>
    <cellStyle name="표준 13 3 2 2 2 2 6" xfId="6959"/>
    <cellStyle name="표준 13 3 2 2 2 3" xfId="6960"/>
    <cellStyle name="표준 13 3 2 2 2 3 2" xfId="6961"/>
    <cellStyle name="표준 13 3 2 2 2 3 2 2" xfId="6962"/>
    <cellStyle name="표준 13 3 2 2 2 3 2 2 2" xfId="6963"/>
    <cellStyle name="표준 13 3 2 2 2 3 2 2 2 2" xfId="6964"/>
    <cellStyle name="표준 13 3 2 2 2 3 2 2 3" xfId="6965"/>
    <cellStyle name="표준 13 3 2 2 2 3 2 3" xfId="6966"/>
    <cellStyle name="표준 13 3 2 2 2 3 2 3 2" xfId="6967"/>
    <cellStyle name="표준 13 3 2 2 2 3 2 4" xfId="6968"/>
    <cellStyle name="표준 13 3 2 2 2 3 3" xfId="6969"/>
    <cellStyle name="표준 13 3 2 2 2 3 3 2" xfId="6970"/>
    <cellStyle name="표준 13 3 2 2 2 3 3 2 2" xfId="6971"/>
    <cellStyle name="표준 13 3 2 2 2 3 3 3" xfId="6972"/>
    <cellStyle name="표준 13 3 2 2 2 3 4" xfId="6973"/>
    <cellStyle name="표준 13 3 2 2 2 3 4 2" xfId="6974"/>
    <cellStyle name="표준 13 3 2 2 2 3 5" xfId="6975"/>
    <cellStyle name="표준 13 3 2 2 2 4" xfId="6976"/>
    <cellStyle name="표준 13 3 2 2 2 4 2" xfId="6977"/>
    <cellStyle name="표준 13 3 2 2 2 4 2 2" xfId="6978"/>
    <cellStyle name="표준 13 3 2 2 2 4 2 2 2" xfId="6979"/>
    <cellStyle name="표준 13 3 2 2 2 4 2 3" xfId="6980"/>
    <cellStyle name="표준 13 3 2 2 2 4 3" xfId="6981"/>
    <cellStyle name="표준 13 3 2 2 2 4 3 2" xfId="6982"/>
    <cellStyle name="표준 13 3 2 2 2 4 4" xfId="6983"/>
    <cellStyle name="표준 13 3 2 2 2 5" xfId="6984"/>
    <cellStyle name="표준 13 3 2 2 2 5 2" xfId="6985"/>
    <cellStyle name="표준 13 3 2 2 2 5 2 2" xfId="6986"/>
    <cellStyle name="표준 13 3 2 2 2 5 3" xfId="6987"/>
    <cellStyle name="표준 13 3 2 2 2 6" xfId="6988"/>
    <cellStyle name="표준 13 3 2 2 2 6 2" xfId="6989"/>
    <cellStyle name="표준 13 3 2 2 2 7" xfId="6990"/>
    <cellStyle name="표준 13 3 2 2 2 8" xfId="6991"/>
    <cellStyle name="표준 13 3 2 2 3" xfId="6992"/>
    <cellStyle name="표준 13 3 2 2 3 2" xfId="6993"/>
    <cellStyle name="표준 13 3 2 2 3 2 2" xfId="6994"/>
    <cellStyle name="표준 13 3 2 2 3 2 2 2" xfId="6995"/>
    <cellStyle name="표준 13 3 2 2 3 2 2 2 2" xfId="6996"/>
    <cellStyle name="표준 13 3 2 2 3 2 2 2 2 2" xfId="6997"/>
    <cellStyle name="표준 13 3 2 2 3 2 2 2 3" xfId="6998"/>
    <cellStyle name="표준 13 3 2 2 3 2 2 3" xfId="6999"/>
    <cellStyle name="표준 13 3 2 2 3 2 2 3 2" xfId="7000"/>
    <cellStyle name="표준 13 3 2 2 3 2 2 4" xfId="7001"/>
    <cellStyle name="표준 13 3 2 2 3 2 3" xfId="7002"/>
    <cellStyle name="표준 13 3 2 2 3 2 3 2" xfId="7003"/>
    <cellStyle name="표준 13 3 2 2 3 2 3 2 2" xfId="7004"/>
    <cellStyle name="표준 13 3 2 2 3 2 3 3" xfId="7005"/>
    <cellStyle name="표준 13 3 2 2 3 2 4" xfId="7006"/>
    <cellStyle name="표준 13 3 2 2 3 2 4 2" xfId="7007"/>
    <cellStyle name="표준 13 3 2 2 3 2 5" xfId="7008"/>
    <cellStyle name="표준 13 3 2 2 3 3" xfId="7009"/>
    <cellStyle name="표준 13 3 2 2 3 3 2" xfId="7010"/>
    <cellStyle name="표준 13 3 2 2 3 3 2 2" xfId="7011"/>
    <cellStyle name="표준 13 3 2 2 3 3 2 2 2" xfId="7012"/>
    <cellStyle name="표준 13 3 2 2 3 3 2 3" xfId="7013"/>
    <cellStyle name="표준 13 3 2 2 3 3 3" xfId="7014"/>
    <cellStyle name="표준 13 3 2 2 3 3 3 2" xfId="7015"/>
    <cellStyle name="표준 13 3 2 2 3 3 4" xfId="7016"/>
    <cellStyle name="표준 13 3 2 2 3 4" xfId="7017"/>
    <cellStyle name="표준 13 3 2 2 3 4 2" xfId="7018"/>
    <cellStyle name="표준 13 3 2 2 3 4 2 2" xfId="7019"/>
    <cellStyle name="표준 13 3 2 2 3 4 3" xfId="7020"/>
    <cellStyle name="표준 13 3 2 2 3 5" xfId="7021"/>
    <cellStyle name="표준 13 3 2 2 3 5 2" xfId="7022"/>
    <cellStyle name="표준 13 3 2 2 3 6" xfId="7023"/>
    <cellStyle name="표준 13 3 2 2 4" xfId="7024"/>
    <cellStyle name="표준 13 3 2 2 4 2" xfId="7025"/>
    <cellStyle name="표준 13 3 2 2 4 2 2" xfId="7026"/>
    <cellStyle name="표준 13 3 2 2 4 2 2 2" xfId="7027"/>
    <cellStyle name="표준 13 3 2 2 4 2 2 2 2" xfId="7028"/>
    <cellStyle name="표준 13 3 2 2 4 2 2 3" xfId="7029"/>
    <cellStyle name="표준 13 3 2 2 4 2 3" xfId="7030"/>
    <cellStyle name="표준 13 3 2 2 4 2 3 2" xfId="7031"/>
    <cellStyle name="표준 13 3 2 2 4 2 4" xfId="7032"/>
    <cellStyle name="표준 13 3 2 2 4 3" xfId="7033"/>
    <cellStyle name="표준 13 3 2 2 4 3 2" xfId="7034"/>
    <cellStyle name="표준 13 3 2 2 4 3 2 2" xfId="7035"/>
    <cellStyle name="표준 13 3 2 2 4 3 3" xfId="7036"/>
    <cellStyle name="표준 13 3 2 2 4 4" xfId="7037"/>
    <cellStyle name="표준 13 3 2 2 4 4 2" xfId="7038"/>
    <cellStyle name="표준 13 3 2 2 4 5" xfId="7039"/>
    <cellStyle name="표준 13 3 2 2 5" xfId="7040"/>
    <cellStyle name="표준 13 3 2 2 5 2" xfId="7041"/>
    <cellStyle name="표준 13 3 2 2 5 2 2" xfId="7042"/>
    <cellStyle name="표준 13 3 2 2 5 2 2 2" xfId="7043"/>
    <cellStyle name="표준 13 3 2 2 5 2 3" xfId="7044"/>
    <cellStyle name="표준 13 3 2 2 5 3" xfId="7045"/>
    <cellStyle name="표준 13 3 2 2 5 3 2" xfId="7046"/>
    <cellStyle name="표준 13 3 2 2 5 4" xfId="7047"/>
    <cellStyle name="표준 13 3 2 2 6" xfId="7048"/>
    <cellStyle name="표준 13 3 2 2 6 2" xfId="7049"/>
    <cellStyle name="표준 13 3 2 2 6 2 2" xfId="7050"/>
    <cellStyle name="표준 13 3 2 2 6 3" xfId="7051"/>
    <cellStyle name="표준 13 3 2 2 7" xfId="7052"/>
    <cellStyle name="표준 13 3 2 2 7 2" xfId="7053"/>
    <cellStyle name="표준 13 3 2 2 8" xfId="7054"/>
    <cellStyle name="표준 13 3 2 2 9" xfId="7055"/>
    <cellStyle name="표준 13 3 2 3" xfId="7056"/>
    <cellStyle name="표준 13 3 2 3 2" xfId="7057"/>
    <cellStyle name="표준 13 3 2 3 2 2" xfId="7058"/>
    <cellStyle name="표준 13 3 2 3 2 2 2" xfId="7059"/>
    <cellStyle name="표준 13 3 2 3 2 2 2 2" xfId="7060"/>
    <cellStyle name="표준 13 3 2 3 2 2 2 2 2" xfId="7061"/>
    <cellStyle name="표준 13 3 2 3 2 2 2 2 2 2" xfId="7062"/>
    <cellStyle name="표준 13 3 2 3 2 2 2 2 3" xfId="7063"/>
    <cellStyle name="표준 13 3 2 3 2 2 2 3" xfId="7064"/>
    <cellStyle name="표준 13 3 2 3 2 2 2 3 2" xfId="7065"/>
    <cellStyle name="표준 13 3 2 3 2 2 2 4" xfId="7066"/>
    <cellStyle name="표준 13 3 2 3 2 2 3" xfId="7067"/>
    <cellStyle name="표준 13 3 2 3 2 2 3 2" xfId="7068"/>
    <cellStyle name="표준 13 3 2 3 2 2 3 2 2" xfId="7069"/>
    <cellStyle name="표준 13 3 2 3 2 2 3 3" xfId="7070"/>
    <cellStyle name="표준 13 3 2 3 2 2 4" xfId="7071"/>
    <cellStyle name="표준 13 3 2 3 2 2 4 2" xfId="7072"/>
    <cellStyle name="표준 13 3 2 3 2 2 5" xfId="7073"/>
    <cellStyle name="표준 13 3 2 3 2 3" xfId="7074"/>
    <cellStyle name="표준 13 3 2 3 2 3 2" xfId="7075"/>
    <cellStyle name="표준 13 3 2 3 2 3 2 2" xfId="7076"/>
    <cellStyle name="표준 13 3 2 3 2 3 2 2 2" xfId="7077"/>
    <cellStyle name="표준 13 3 2 3 2 3 2 3" xfId="7078"/>
    <cellStyle name="표준 13 3 2 3 2 3 3" xfId="7079"/>
    <cellStyle name="표준 13 3 2 3 2 3 3 2" xfId="7080"/>
    <cellStyle name="표준 13 3 2 3 2 3 4" xfId="7081"/>
    <cellStyle name="표준 13 3 2 3 2 4" xfId="7082"/>
    <cellStyle name="표준 13 3 2 3 2 4 2" xfId="7083"/>
    <cellStyle name="표준 13 3 2 3 2 4 2 2" xfId="7084"/>
    <cellStyle name="표준 13 3 2 3 2 4 3" xfId="7085"/>
    <cellStyle name="표준 13 3 2 3 2 5" xfId="7086"/>
    <cellStyle name="표준 13 3 2 3 2 5 2" xfId="7087"/>
    <cellStyle name="표준 13 3 2 3 2 6" xfId="7088"/>
    <cellStyle name="표준 13 3 2 3 3" xfId="7089"/>
    <cellStyle name="표준 13 3 2 3 3 2" xfId="7090"/>
    <cellStyle name="표준 13 3 2 3 3 2 2" xfId="7091"/>
    <cellStyle name="표준 13 3 2 3 3 2 2 2" xfId="7092"/>
    <cellStyle name="표준 13 3 2 3 3 2 2 2 2" xfId="7093"/>
    <cellStyle name="표준 13 3 2 3 3 2 2 3" xfId="7094"/>
    <cellStyle name="표준 13 3 2 3 3 2 3" xfId="7095"/>
    <cellStyle name="표준 13 3 2 3 3 2 3 2" xfId="7096"/>
    <cellStyle name="표준 13 3 2 3 3 2 4" xfId="7097"/>
    <cellStyle name="표준 13 3 2 3 3 3" xfId="7098"/>
    <cellStyle name="표준 13 3 2 3 3 3 2" xfId="7099"/>
    <cellStyle name="표준 13 3 2 3 3 3 2 2" xfId="7100"/>
    <cellStyle name="표준 13 3 2 3 3 3 3" xfId="7101"/>
    <cellStyle name="표준 13 3 2 3 3 4" xfId="7102"/>
    <cellStyle name="표준 13 3 2 3 3 4 2" xfId="7103"/>
    <cellStyle name="표준 13 3 2 3 3 5" xfId="7104"/>
    <cellStyle name="표준 13 3 2 3 4" xfId="7105"/>
    <cellStyle name="표준 13 3 2 3 4 2" xfId="7106"/>
    <cellStyle name="표준 13 3 2 3 4 2 2" xfId="7107"/>
    <cellStyle name="표준 13 3 2 3 4 2 2 2" xfId="7108"/>
    <cellStyle name="표준 13 3 2 3 4 2 3" xfId="7109"/>
    <cellStyle name="표준 13 3 2 3 4 3" xfId="7110"/>
    <cellStyle name="표준 13 3 2 3 4 3 2" xfId="7111"/>
    <cellStyle name="표준 13 3 2 3 4 4" xfId="7112"/>
    <cellStyle name="표준 13 3 2 3 5" xfId="7113"/>
    <cellStyle name="표준 13 3 2 3 5 2" xfId="7114"/>
    <cellStyle name="표준 13 3 2 3 5 2 2" xfId="7115"/>
    <cellStyle name="표준 13 3 2 3 5 3" xfId="7116"/>
    <cellStyle name="표준 13 3 2 3 6" xfId="7117"/>
    <cellStyle name="표준 13 3 2 3 6 2" xfId="7118"/>
    <cellStyle name="표준 13 3 2 3 7" xfId="7119"/>
    <cellStyle name="표준 13 3 2 3 8" xfId="7120"/>
    <cellStyle name="표준 13 3 2 4" xfId="7121"/>
    <cellStyle name="표준 13 3 2 4 2" xfId="7122"/>
    <cellStyle name="표준 13 3 2 4 2 2" xfId="7123"/>
    <cellStyle name="표준 13 3 2 4 2 2 2" xfId="7124"/>
    <cellStyle name="표준 13 3 2 4 2 2 2 2" xfId="7125"/>
    <cellStyle name="표준 13 3 2 4 2 2 2 2 2" xfId="7126"/>
    <cellStyle name="표준 13 3 2 4 2 2 2 3" xfId="7127"/>
    <cellStyle name="표준 13 3 2 4 2 2 3" xfId="7128"/>
    <cellStyle name="표준 13 3 2 4 2 2 3 2" xfId="7129"/>
    <cellStyle name="표준 13 3 2 4 2 2 4" xfId="7130"/>
    <cellStyle name="표준 13 3 2 4 2 3" xfId="7131"/>
    <cellStyle name="표준 13 3 2 4 2 3 2" xfId="7132"/>
    <cellStyle name="표준 13 3 2 4 2 3 2 2" xfId="7133"/>
    <cellStyle name="표준 13 3 2 4 2 3 3" xfId="7134"/>
    <cellStyle name="표준 13 3 2 4 2 4" xfId="7135"/>
    <cellStyle name="표준 13 3 2 4 2 4 2" xfId="7136"/>
    <cellStyle name="표준 13 3 2 4 2 5" xfId="7137"/>
    <cellStyle name="표준 13 3 2 4 3" xfId="7138"/>
    <cellStyle name="표준 13 3 2 4 3 2" xfId="7139"/>
    <cellStyle name="표준 13 3 2 4 3 2 2" xfId="7140"/>
    <cellStyle name="표준 13 3 2 4 3 2 2 2" xfId="7141"/>
    <cellStyle name="표준 13 3 2 4 3 2 3" xfId="7142"/>
    <cellStyle name="표준 13 3 2 4 3 3" xfId="7143"/>
    <cellStyle name="표준 13 3 2 4 3 3 2" xfId="7144"/>
    <cellStyle name="표준 13 3 2 4 3 4" xfId="7145"/>
    <cellStyle name="표준 13 3 2 4 4" xfId="7146"/>
    <cellStyle name="표준 13 3 2 4 4 2" xfId="7147"/>
    <cellStyle name="표준 13 3 2 4 4 2 2" xfId="7148"/>
    <cellStyle name="표준 13 3 2 4 4 3" xfId="7149"/>
    <cellStyle name="표준 13 3 2 4 5" xfId="7150"/>
    <cellStyle name="표준 13 3 2 4 5 2" xfId="7151"/>
    <cellStyle name="표준 13 3 2 4 6" xfId="7152"/>
    <cellStyle name="표준 13 3 2 5" xfId="7153"/>
    <cellStyle name="표준 13 3 2 5 2" xfId="7154"/>
    <cellStyle name="표준 13 3 2 5 2 2" xfId="7155"/>
    <cellStyle name="표준 13 3 2 5 2 2 2" xfId="7156"/>
    <cellStyle name="표준 13 3 2 5 2 2 2 2" xfId="7157"/>
    <cellStyle name="표준 13 3 2 5 2 2 3" xfId="7158"/>
    <cellStyle name="표준 13 3 2 5 2 3" xfId="7159"/>
    <cellStyle name="표준 13 3 2 5 2 3 2" xfId="7160"/>
    <cellStyle name="표준 13 3 2 5 2 4" xfId="7161"/>
    <cellStyle name="표준 13 3 2 5 3" xfId="7162"/>
    <cellStyle name="표준 13 3 2 5 3 2" xfId="7163"/>
    <cellStyle name="표준 13 3 2 5 3 2 2" xfId="7164"/>
    <cellStyle name="표준 13 3 2 5 3 3" xfId="7165"/>
    <cellStyle name="표준 13 3 2 5 4" xfId="7166"/>
    <cellStyle name="표준 13 3 2 5 4 2" xfId="7167"/>
    <cellStyle name="표준 13 3 2 5 5" xfId="7168"/>
    <cellStyle name="표준 13 3 2 6" xfId="7169"/>
    <cellStyle name="표준 13 3 2 6 2" xfId="7170"/>
    <cellStyle name="표준 13 3 2 6 2 2" xfId="7171"/>
    <cellStyle name="표준 13 3 2 6 2 2 2" xfId="7172"/>
    <cellStyle name="표준 13 3 2 6 2 3" xfId="7173"/>
    <cellStyle name="표준 13 3 2 6 3" xfId="7174"/>
    <cellStyle name="표준 13 3 2 6 3 2" xfId="7175"/>
    <cellStyle name="표준 13 3 2 6 4" xfId="7176"/>
    <cellStyle name="표준 13 3 2 7" xfId="7177"/>
    <cellStyle name="표준 13 3 2 7 2" xfId="7178"/>
    <cellStyle name="표준 13 3 2 7 2 2" xfId="7179"/>
    <cellStyle name="표준 13 3 2 7 3" xfId="7180"/>
    <cellStyle name="표준 13 3 2 8" xfId="7181"/>
    <cellStyle name="표준 13 3 2 8 2" xfId="7182"/>
    <cellStyle name="표준 13 3 2 9" xfId="7183"/>
    <cellStyle name="표준 13 3 3" xfId="7184"/>
    <cellStyle name="표준 13 3 3 2" xfId="7185"/>
    <cellStyle name="표준 13 3 3 2 2" xfId="7186"/>
    <cellStyle name="표준 13 3 3 2 2 2" xfId="7187"/>
    <cellStyle name="표준 13 3 3 2 2 2 2" xfId="7188"/>
    <cellStyle name="표준 13 3 3 2 2 2 2 2" xfId="7189"/>
    <cellStyle name="표준 13 3 3 2 2 2 2 2 2" xfId="7190"/>
    <cellStyle name="표준 13 3 3 2 2 2 2 2 2 2" xfId="7191"/>
    <cellStyle name="표준 13 3 3 2 2 2 2 2 3" xfId="7192"/>
    <cellStyle name="표준 13 3 3 2 2 2 2 3" xfId="7193"/>
    <cellStyle name="표준 13 3 3 2 2 2 2 3 2" xfId="7194"/>
    <cellStyle name="표준 13 3 3 2 2 2 2 4" xfId="7195"/>
    <cellStyle name="표준 13 3 3 2 2 2 3" xfId="7196"/>
    <cellStyle name="표준 13 3 3 2 2 2 3 2" xfId="7197"/>
    <cellStyle name="표준 13 3 3 2 2 2 3 2 2" xfId="7198"/>
    <cellStyle name="표준 13 3 3 2 2 2 3 3" xfId="7199"/>
    <cellStyle name="표준 13 3 3 2 2 2 4" xfId="7200"/>
    <cellStyle name="표준 13 3 3 2 2 2 4 2" xfId="7201"/>
    <cellStyle name="표준 13 3 3 2 2 2 5" xfId="7202"/>
    <cellStyle name="표준 13 3 3 2 2 3" xfId="7203"/>
    <cellStyle name="표준 13 3 3 2 2 3 2" xfId="7204"/>
    <cellStyle name="표준 13 3 3 2 2 3 2 2" xfId="7205"/>
    <cellStyle name="표준 13 3 3 2 2 3 2 2 2" xfId="7206"/>
    <cellStyle name="표준 13 3 3 2 2 3 2 3" xfId="7207"/>
    <cellStyle name="표준 13 3 3 2 2 3 3" xfId="7208"/>
    <cellStyle name="표준 13 3 3 2 2 3 3 2" xfId="7209"/>
    <cellStyle name="표준 13 3 3 2 2 3 4" xfId="7210"/>
    <cellStyle name="표준 13 3 3 2 2 4" xfId="7211"/>
    <cellStyle name="표준 13 3 3 2 2 4 2" xfId="7212"/>
    <cellStyle name="표준 13 3 3 2 2 4 2 2" xfId="7213"/>
    <cellStyle name="표준 13 3 3 2 2 4 3" xfId="7214"/>
    <cellStyle name="표준 13 3 3 2 2 5" xfId="7215"/>
    <cellStyle name="표준 13 3 3 2 2 5 2" xfId="7216"/>
    <cellStyle name="표준 13 3 3 2 2 6" xfId="7217"/>
    <cellStyle name="표준 13 3 3 2 3" xfId="7218"/>
    <cellStyle name="표준 13 3 3 2 3 2" xfId="7219"/>
    <cellStyle name="표준 13 3 3 2 3 2 2" xfId="7220"/>
    <cellStyle name="표준 13 3 3 2 3 2 2 2" xfId="7221"/>
    <cellStyle name="표준 13 3 3 2 3 2 2 2 2" xfId="7222"/>
    <cellStyle name="표준 13 3 3 2 3 2 2 3" xfId="7223"/>
    <cellStyle name="표준 13 3 3 2 3 2 3" xfId="7224"/>
    <cellStyle name="표준 13 3 3 2 3 2 3 2" xfId="7225"/>
    <cellStyle name="표준 13 3 3 2 3 2 4" xfId="7226"/>
    <cellStyle name="표준 13 3 3 2 3 3" xfId="7227"/>
    <cellStyle name="표준 13 3 3 2 3 3 2" xfId="7228"/>
    <cellStyle name="표준 13 3 3 2 3 3 2 2" xfId="7229"/>
    <cellStyle name="표준 13 3 3 2 3 3 3" xfId="7230"/>
    <cellStyle name="표준 13 3 3 2 3 4" xfId="7231"/>
    <cellStyle name="표준 13 3 3 2 3 4 2" xfId="7232"/>
    <cellStyle name="표준 13 3 3 2 3 5" xfId="7233"/>
    <cellStyle name="표준 13 3 3 2 4" xfId="7234"/>
    <cellStyle name="표준 13 3 3 2 4 2" xfId="7235"/>
    <cellStyle name="표준 13 3 3 2 4 2 2" xfId="7236"/>
    <cellStyle name="표준 13 3 3 2 4 2 2 2" xfId="7237"/>
    <cellStyle name="표준 13 3 3 2 4 2 3" xfId="7238"/>
    <cellStyle name="표준 13 3 3 2 4 3" xfId="7239"/>
    <cellStyle name="표준 13 3 3 2 4 3 2" xfId="7240"/>
    <cellStyle name="표준 13 3 3 2 4 4" xfId="7241"/>
    <cellStyle name="표준 13 3 3 2 5" xfId="7242"/>
    <cellStyle name="표준 13 3 3 2 5 2" xfId="7243"/>
    <cellStyle name="표준 13 3 3 2 5 2 2" xfId="7244"/>
    <cellStyle name="표준 13 3 3 2 5 3" xfId="7245"/>
    <cellStyle name="표준 13 3 3 2 6" xfId="7246"/>
    <cellStyle name="표준 13 3 3 2 6 2" xfId="7247"/>
    <cellStyle name="표준 13 3 3 2 7" xfId="7248"/>
    <cellStyle name="표준 13 3 3 2 8" xfId="7249"/>
    <cellStyle name="표준 13 3 3 3" xfId="7250"/>
    <cellStyle name="표준 13 3 3 3 2" xfId="7251"/>
    <cellStyle name="표준 13 3 3 3 2 2" xfId="7252"/>
    <cellStyle name="표준 13 3 3 3 2 2 2" xfId="7253"/>
    <cellStyle name="표준 13 3 3 3 2 2 2 2" xfId="7254"/>
    <cellStyle name="표준 13 3 3 3 2 2 2 2 2" xfId="7255"/>
    <cellStyle name="표준 13 3 3 3 2 2 2 3" xfId="7256"/>
    <cellStyle name="표준 13 3 3 3 2 2 3" xfId="7257"/>
    <cellStyle name="표준 13 3 3 3 2 2 3 2" xfId="7258"/>
    <cellStyle name="표준 13 3 3 3 2 2 4" xfId="7259"/>
    <cellStyle name="표준 13 3 3 3 2 3" xfId="7260"/>
    <cellStyle name="표준 13 3 3 3 2 3 2" xfId="7261"/>
    <cellStyle name="표준 13 3 3 3 2 3 2 2" xfId="7262"/>
    <cellStyle name="표준 13 3 3 3 2 3 3" xfId="7263"/>
    <cellStyle name="표준 13 3 3 3 2 4" xfId="7264"/>
    <cellStyle name="표준 13 3 3 3 2 4 2" xfId="7265"/>
    <cellStyle name="표준 13 3 3 3 2 5" xfId="7266"/>
    <cellStyle name="표준 13 3 3 3 3" xfId="7267"/>
    <cellStyle name="표준 13 3 3 3 3 2" xfId="7268"/>
    <cellStyle name="표준 13 3 3 3 3 2 2" xfId="7269"/>
    <cellStyle name="표준 13 3 3 3 3 2 2 2" xfId="7270"/>
    <cellStyle name="표준 13 3 3 3 3 2 3" xfId="7271"/>
    <cellStyle name="표준 13 3 3 3 3 3" xfId="7272"/>
    <cellStyle name="표준 13 3 3 3 3 3 2" xfId="7273"/>
    <cellStyle name="표준 13 3 3 3 3 4" xfId="7274"/>
    <cellStyle name="표준 13 3 3 3 4" xfId="7275"/>
    <cellStyle name="표준 13 3 3 3 4 2" xfId="7276"/>
    <cellStyle name="표준 13 3 3 3 4 2 2" xfId="7277"/>
    <cellStyle name="표준 13 3 3 3 4 3" xfId="7278"/>
    <cellStyle name="표준 13 3 3 3 5" xfId="7279"/>
    <cellStyle name="표준 13 3 3 3 5 2" xfId="7280"/>
    <cellStyle name="표준 13 3 3 3 6" xfId="7281"/>
    <cellStyle name="표준 13 3 3 4" xfId="7282"/>
    <cellStyle name="표준 13 3 3 4 2" xfId="7283"/>
    <cellStyle name="표준 13 3 3 4 2 2" xfId="7284"/>
    <cellStyle name="표준 13 3 3 4 2 2 2" xfId="7285"/>
    <cellStyle name="표준 13 3 3 4 2 2 2 2" xfId="7286"/>
    <cellStyle name="표준 13 3 3 4 2 2 3" xfId="7287"/>
    <cellStyle name="표준 13 3 3 4 2 3" xfId="7288"/>
    <cellStyle name="표준 13 3 3 4 2 3 2" xfId="7289"/>
    <cellStyle name="표준 13 3 3 4 2 4" xfId="7290"/>
    <cellStyle name="표준 13 3 3 4 3" xfId="7291"/>
    <cellStyle name="표준 13 3 3 4 3 2" xfId="7292"/>
    <cellStyle name="표준 13 3 3 4 3 2 2" xfId="7293"/>
    <cellStyle name="표준 13 3 3 4 3 3" xfId="7294"/>
    <cellStyle name="표준 13 3 3 4 4" xfId="7295"/>
    <cellStyle name="표준 13 3 3 4 4 2" xfId="7296"/>
    <cellStyle name="표준 13 3 3 4 5" xfId="7297"/>
    <cellStyle name="표준 13 3 3 5" xfId="7298"/>
    <cellStyle name="표준 13 3 3 5 2" xfId="7299"/>
    <cellStyle name="표준 13 3 3 5 2 2" xfId="7300"/>
    <cellStyle name="표준 13 3 3 5 2 2 2" xfId="7301"/>
    <cellStyle name="표준 13 3 3 5 2 3" xfId="7302"/>
    <cellStyle name="표준 13 3 3 5 3" xfId="7303"/>
    <cellStyle name="표준 13 3 3 5 3 2" xfId="7304"/>
    <cellStyle name="표준 13 3 3 5 4" xfId="7305"/>
    <cellStyle name="표준 13 3 3 6" xfId="7306"/>
    <cellStyle name="표준 13 3 3 6 2" xfId="7307"/>
    <cellStyle name="표준 13 3 3 6 2 2" xfId="7308"/>
    <cellStyle name="표준 13 3 3 6 3" xfId="7309"/>
    <cellStyle name="표준 13 3 3 7" xfId="7310"/>
    <cellStyle name="표준 13 3 3 7 2" xfId="7311"/>
    <cellStyle name="표준 13 3 3 8" xfId="7312"/>
    <cellStyle name="표준 13 3 3 9" xfId="7313"/>
    <cellStyle name="표준 13 3 4" xfId="7314"/>
    <cellStyle name="표준 13 3 5" xfId="7315"/>
    <cellStyle name="표준 13 3 5 2" xfId="7316"/>
    <cellStyle name="표준 13 3 5 2 2" xfId="7317"/>
    <cellStyle name="표준 13 3 5 2 2 2" xfId="7318"/>
    <cellStyle name="표준 13 3 5 2 2 2 2" xfId="7319"/>
    <cellStyle name="표준 13 3 5 2 2 2 2 2" xfId="7320"/>
    <cellStyle name="표준 13 3 5 2 2 2 2 2 2" xfId="7321"/>
    <cellStyle name="표준 13 3 5 2 2 2 2 3" xfId="7322"/>
    <cellStyle name="표준 13 3 5 2 2 2 3" xfId="7323"/>
    <cellStyle name="표준 13 3 5 2 2 2 3 2" xfId="7324"/>
    <cellStyle name="표준 13 3 5 2 2 2 4" xfId="7325"/>
    <cellStyle name="표준 13 3 5 2 2 3" xfId="7326"/>
    <cellStyle name="표준 13 3 5 2 2 3 2" xfId="7327"/>
    <cellStyle name="표준 13 3 5 2 2 3 2 2" xfId="7328"/>
    <cellStyle name="표준 13 3 5 2 2 3 3" xfId="7329"/>
    <cellStyle name="표준 13 3 5 2 2 4" xfId="7330"/>
    <cellStyle name="표준 13 3 5 2 2 4 2" xfId="7331"/>
    <cellStyle name="표준 13 3 5 2 2 5" xfId="7332"/>
    <cellStyle name="표준 13 3 5 2 3" xfId="7333"/>
    <cellStyle name="표준 13 3 5 2 3 2" xfId="7334"/>
    <cellStyle name="표준 13 3 5 2 3 2 2" xfId="7335"/>
    <cellStyle name="표준 13 3 5 2 3 2 2 2" xfId="7336"/>
    <cellStyle name="표준 13 3 5 2 3 2 3" xfId="7337"/>
    <cellStyle name="표준 13 3 5 2 3 3" xfId="7338"/>
    <cellStyle name="표준 13 3 5 2 3 3 2" xfId="7339"/>
    <cellStyle name="표준 13 3 5 2 3 4" xfId="7340"/>
    <cellStyle name="표준 13 3 5 2 4" xfId="7341"/>
    <cellStyle name="표준 13 3 5 2 4 2" xfId="7342"/>
    <cellStyle name="표준 13 3 5 2 4 2 2" xfId="7343"/>
    <cellStyle name="표준 13 3 5 2 4 3" xfId="7344"/>
    <cellStyle name="표준 13 3 5 2 5" xfId="7345"/>
    <cellStyle name="표준 13 3 5 2 5 2" xfId="7346"/>
    <cellStyle name="표준 13 3 5 2 6" xfId="7347"/>
    <cellStyle name="표준 13 3 5 3" xfId="7348"/>
    <cellStyle name="표준 13 3 5 3 2" xfId="7349"/>
    <cellStyle name="표준 13 3 5 3 2 2" xfId="7350"/>
    <cellStyle name="표준 13 3 5 3 2 2 2" xfId="7351"/>
    <cellStyle name="표준 13 3 5 3 2 2 2 2" xfId="7352"/>
    <cellStyle name="표준 13 3 5 3 2 2 3" xfId="7353"/>
    <cellStyle name="표준 13 3 5 3 2 3" xfId="7354"/>
    <cellStyle name="표준 13 3 5 3 2 3 2" xfId="7355"/>
    <cellStyle name="표준 13 3 5 3 2 4" xfId="7356"/>
    <cellStyle name="표준 13 3 5 3 3" xfId="7357"/>
    <cellStyle name="표준 13 3 5 3 3 2" xfId="7358"/>
    <cellStyle name="표준 13 3 5 3 3 2 2" xfId="7359"/>
    <cellStyle name="표준 13 3 5 3 3 3" xfId="7360"/>
    <cellStyle name="표준 13 3 5 3 4" xfId="7361"/>
    <cellStyle name="표준 13 3 5 3 4 2" xfId="7362"/>
    <cellStyle name="표준 13 3 5 3 5" xfId="7363"/>
    <cellStyle name="표준 13 3 5 4" xfId="7364"/>
    <cellStyle name="표준 13 3 5 4 2" xfId="7365"/>
    <cellStyle name="표준 13 3 5 4 2 2" xfId="7366"/>
    <cellStyle name="표준 13 3 5 4 2 2 2" xfId="7367"/>
    <cellStyle name="표준 13 3 5 4 2 3" xfId="7368"/>
    <cellStyle name="표준 13 3 5 4 3" xfId="7369"/>
    <cellStyle name="표준 13 3 5 4 3 2" xfId="7370"/>
    <cellStyle name="표준 13 3 5 4 4" xfId="7371"/>
    <cellStyle name="표준 13 3 5 5" xfId="7372"/>
    <cellStyle name="표준 13 3 5 5 2" xfId="7373"/>
    <cellStyle name="표준 13 3 5 5 2 2" xfId="7374"/>
    <cellStyle name="표준 13 3 5 5 3" xfId="7375"/>
    <cellStyle name="표준 13 3 5 6" xfId="7376"/>
    <cellStyle name="표준 13 3 5 6 2" xfId="7377"/>
    <cellStyle name="표준 13 3 5 7" xfId="7378"/>
    <cellStyle name="표준 13 3 5 8" xfId="7379"/>
    <cellStyle name="표준 13 3 6" xfId="7380"/>
    <cellStyle name="표준 13 3 6 2" xfId="7381"/>
    <cellStyle name="표준 13 3 6 2 2" xfId="7382"/>
    <cellStyle name="표준 13 3 6 2 2 2" xfId="7383"/>
    <cellStyle name="표준 13 3 6 2 2 2 2" xfId="7384"/>
    <cellStyle name="표준 13 3 6 2 2 2 2 2" xfId="7385"/>
    <cellStyle name="표준 13 3 6 2 2 2 3" xfId="7386"/>
    <cellStyle name="표준 13 3 6 2 2 3" xfId="7387"/>
    <cellStyle name="표준 13 3 6 2 2 3 2" xfId="7388"/>
    <cellStyle name="표준 13 3 6 2 2 4" xfId="7389"/>
    <cellStyle name="표준 13 3 6 2 3" xfId="7390"/>
    <cellStyle name="표준 13 3 6 2 3 2" xfId="7391"/>
    <cellStyle name="표준 13 3 6 2 3 2 2" xfId="7392"/>
    <cellStyle name="표준 13 3 6 2 3 3" xfId="7393"/>
    <cellStyle name="표준 13 3 6 2 4" xfId="7394"/>
    <cellStyle name="표준 13 3 6 2 4 2" xfId="7395"/>
    <cellStyle name="표준 13 3 6 2 5" xfId="7396"/>
    <cellStyle name="표준 13 3 6 3" xfId="7397"/>
    <cellStyle name="표준 13 3 6 3 2" xfId="7398"/>
    <cellStyle name="표준 13 3 6 3 2 2" xfId="7399"/>
    <cellStyle name="표준 13 3 6 3 2 2 2" xfId="7400"/>
    <cellStyle name="표준 13 3 6 3 2 3" xfId="7401"/>
    <cellStyle name="표준 13 3 6 3 3" xfId="7402"/>
    <cellStyle name="표준 13 3 6 3 3 2" xfId="7403"/>
    <cellStyle name="표준 13 3 6 3 4" xfId="7404"/>
    <cellStyle name="표준 13 3 6 4" xfId="7405"/>
    <cellStyle name="표준 13 3 6 4 2" xfId="7406"/>
    <cellStyle name="표준 13 3 6 4 2 2" xfId="7407"/>
    <cellStyle name="표준 13 3 6 4 3" xfId="7408"/>
    <cellStyle name="표준 13 3 6 5" xfId="7409"/>
    <cellStyle name="표준 13 3 6 5 2" xfId="7410"/>
    <cellStyle name="표준 13 3 6 6" xfId="7411"/>
    <cellStyle name="표준 13 3 6 7" xfId="7412"/>
    <cellStyle name="표준 13 3 7" xfId="7413"/>
    <cellStyle name="표준 13 3 7 2" xfId="7414"/>
    <cellStyle name="표준 13 3 7 2 2" xfId="7415"/>
    <cellStyle name="표준 13 3 7 2 2 2" xfId="7416"/>
    <cellStyle name="표준 13 3 7 2 2 2 2" xfId="7417"/>
    <cellStyle name="표준 13 3 7 2 2 2 2 2" xfId="7418"/>
    <cellStyle name="표준 13 3 7 2 2 2 3" xfId="7419"/>
    <cellStyle name="표준 13 3 7 2 2 3" xfId="7420"/>
    <cellStyle name="표준 13 3 7 2 2 3 2" xfId="7421"/>
    <cellStyle name="표준 13 3 7 2 2 4" xfId="7422"/>
    <cellStyle name="표준 13 3 7 2 3" xfId="7423"/>
    <cellStyle name="표준 13 3 7 2 3 2" xfId="7424"/>
    <cellStyle name="표준 13 3 7 2 3 2 2" xfId="7425"/>
    <cellStyle name="표준 13 3 7 2 3 3" xfId="7426"/>
    <cellStyle name="표준 13 3 7 2 4" xfId="7427"/>
    <cellStyle name="표준 13 3 7 2 4 2" xfId="7428"/>
    <cellStyle name="표준 13 3 7 2 5" xfId="7429"/>
    <cellStyle name="표준 13 3 7 3" xfId="7430"/>
    <cellStyle name="표준 13 3 7 3 2" xfId="7431"/>
    <cellStyle name="표준 13 3 7 3 2 2" xfId="7432"/>
    <cellStyle name="표준 13 3 7 3 2 2 2" xfId="7433"/>
    <cellStyle name="표준 13 3 7 3 2 3" xfId="7434"/>
    <cellStyle name="표준 13 3 7 3 3" xfId="7435"/>
    <cellStyle name="표준 13 3 7 3 3 2" xfId="7436"/>
    <cellStyle name="표준 13 3 7 3 4" xfId="7437"/>
    <cellStyle name="표준 13 3 7 4" xfId="7438"/>
    <cellStyle name="표준 13 3 7 4 2" xfId="7439"/>
    <cellStyle name="표준 13 3 7 4 2 2" xfId="7440"/>
    <cellStyle name="표준 13 3 7 4 3" xfId="7441"/>
    <cellStyle name="표준 13 3 7 5" xfId="7442"/>
    <cellStyle name="표준 13 3 7 5 2" xfId="7443"/>
    <cellStyle name="표준 13 3 7 6" xfId="7444"/>
    <cellStyle name="표준 13 3 8" xfId="7445"/>
    <cellStyle name="표준 13 3 8 2" xfId="7446"/>
    <cellStyle name="표준 13 3 8 2 2" xfId="7447"/>
    <cellStyle name="표준 13 3 8 2 2 2" xfId="7448"/>
    <cellStyle name="표준 13 3 8 2 2 2 2" xfId="7449"/>
    <cellStyle name="표준 13 3 8 2 2 3" xfId="7450"/>
    <cellStyle name="표준 13 3 8 2 3" xfId="7451"/>
    <cellStyle name="표준 13 3 8 2 3 2" xfId="7452"/>
    <cellStyle name="표준 13 3 8 2 4" xfId="7453"/>
    <cellStyle name="표준 13 3 8 3" xfId="7454"/>
    <cellStyle name="표준 13 3 8 3 2" xfId="7455"/>
    <cellStyle name="표준 13 3 8 3 2 2" xfId="7456"/>
    <cellStyle name="표준 13 3 8 3 3" xfId="7457"/>
    <cellStyle name="표준 13 3 8 4" xfId="7458"/>
    <cellStyle name="표준 13 3 8 4 2" xfId="7459"/>
    <cellStyle name="표준 13 3 8 5" xfId="7460"/>
    <cellStyle name="표준 13 3 9" xfId="7461"/>
    <cellStyle name="표준 13 3 9 2" xfId="7462"/>
    <cellStyle name="표준 13 3 9 2 2" xfId="7463"/>
    <cellStyle name="표준 13 3 9 2 2 2" xfId="7464"/>
    <cellStyle name="표준 13 3 9 2 3" xfId="7465"/>
    <cellStyle name="표준 13 3 9 3" xfId="7466"/>
    <cellStyle name="표준 13 3 9 3 2" xfId="7467"/>
    <cellStyle name="표준 13 3 9 4" xfId="7468"/>
    <cellStyle name="표준 13 4" xfId="7469"/>
    <cellStyle name="표준 13 4 2" xfId="7470"/>
    <cellStyle name="표준 13 4 2 2" xfId="7471"/>
    <cellStyle name="표준 13 4 2 2 2" xfId="7472"/>
    <cellStyle name="표준 13 4 2 2 2 2" xfId="7473"/>
    <cellStyle name="표준 13 4 2 2 2 2 2" xfId="7474"/>
    <cellStyle name="표준 13 4 2 2 2 2 2 2" xfId="7475"/>
    <cellStyle name="표준 13 4 2 2 2 2 3" xfId="7476"/>
    <cellStyle name="표준 13 4 2 2 2 3" xfId="7477"/>
    <cellStyle name="표준 13 4 2 2 2 3 2" xfId="7478"/>
    <cellStyle name="표준 13 4 2 2 2 4" xfId="7479"/>
    <cellStyle name="표준 13 4 2 2 3" xfId="7480"/>
    <cellStyle name="표준 13 4 2 2 3 2" xfId="7481"/>
    <cellStyle name="표준 13 4 2 2 3 2 2" xfId="7482"/>
    <cellStyle name="표준 13 4 2 2 3 3" xfId="7483"/>
    <cellStyle name="표준 13 4 2 2 4" xfId="7484"/>
    <cellStyle name="표준 13 4 2 2 4 2" xfId="7485"/>
    <cellStyle name="표준 13 4 2 2 5" xfId="7486"/>
    <cellStyle name="표준 13 4 2 3" xfId="7487"/>
    <cellStyle name="표준 13 4 2 3 2" xfId="7488"/>
    <cellStyle name="표준 13 4 2 3 2 2" xfId="7489"/>
    <cellStyle name="표준 13 4 2 3 2 2 2" xfId="7490"/>
    <cellStyle name="표준 13 4 2 3 2 3" xfId="7491"/>
    <cellStyle name="표준 13 4 2 3 3" xfId="7492"/>
    <cellStyle name="표준 13 4 2 3 3 2" xfId="7493"/>
    <cellStyle name="표준 13 4 2 3 4" xfId="7494"/>
    <cellStyle name="표준 13 4 2 4" xfId="7495"/>
    <cellStyle name="표준 13 4 2 4 2" xfId="7496"/>
    <cellStyle name="표준 13 4 2 4 2 2" xfId="7497"/>
    <cellStyle name="표준 13 4 2 4 3" xfId="7498"/>
    <cellStyle name="표준 13 4 2 5" xfId="7499"/>
    <cellStyle name="표준 13 4 2 5 2" xfId="7500"/>
    <cellStyle name="표준 13 4 2 6" xfId="7501"/>
    <cellStyle name="표준 13 4 3" xfId="7502"/>
    <cellStyle name="표준 13 4 3 2" xfId="7503"/>
    <cellStyle name="표준 13 4 3 2 2" xfId="7504"/>
    <cellStyle name="표준 13 4 3 2 2 2" xfId="7505"/>
    <cellStyle name="표준 13 4 3 2 2 2 2" xfId="7506"/>
    <cellStyle name="표준 13 4 3 2 2 3" xfId="7507"/>
    <cellStyle name="표준 13 4 3 2 3" xfId="7508"/>
    <cellStyle name="표준 13 4 3 2 3 2" xfId="7509"/>
    <cellStyle name="표준 13 4 3 2 4" xfId="7510"/>
    <cellStyle name="표준 13 4 3 3" xfId="7511"/>
    <cellStyle name="표준 13 4 3 3 2" xfId="7512"/>
    <cellStyle name="표준 13 4 3 3 2 2" xfId="7513"/>
    <cellStyle name="표준 13 4 3 3 3" xfId="7514"/>
    <cellStyle name="표준 13 4 3 4" xfId="7515"/>
    <cellStyle name="표준 13 4 3 4 2" xfId="7516"/>
    <cellStyle name="표준 13 4 3 5" xfId="7517"/>
    <cellStyle name="표준 13 4 4" xfId="7518"/>
    <cellStyle name="표준 13 4 4 2" xfId="7519"/>
    <cellStyle name="표준 13 4 4 2 2" xfId="7520"/>
    <cellStyle name="표준 13 4 4 2 2 2" xfId="7521"/>
    <cellStyle name="표준 13 4 4 2 3" xfId="7522"/>
    <cellStyle name="표준 13 4 4 3" xfId="7523"/>
    <cellStyle name="표준 13 4 4 3 2" xfId="7524"/>
    <cellStyle name="표준 13 4 4 4" xfId="7525"/>
    <cellStyle name="표준 13 4 5" xfId="7526"/>
    <cellStyle name="표준 13 4 5 2" xfId="7527"/>
    <cellStyle name="표준 13 4 5 2 2" xfId="7528"/>
    <cellStyle name="표준 13 4 5 3" xfId="7529"/>
    <cellStyle name="표준 13 4 6" xfId="7530"/>
    <cellStyle name="표준 13 4 6 2" xfId="7531"/>
    <cellStyle name="표준 13 4 7" xfId="7532"/>
    <cellStyle name="표준 13 4 8" xfId="7533"/>
    <cellStyle name="표준 13 5" xfId="7534"/>
    <cellStyle name="표준 13 5 2" xfId="7535"/>
    <cellStyle name="표준 13 6" xfId="7536"/>
    <cellStyle name="표준 14" xfId="15"/>
    <cellStyle name="표준 14 2" xfId="55"/>
    <cellStyle name="표준 14 2 2" xfId="7537"/>
    <cellStyle name="표준 14 2 2 2" xfId="7538"/>
    <cellStyle name="표준 14 2 2 2 2" xfId="7539"/>
    <cellStyle name="표준 14 2 2 2 2 2" xfId="7540"/>
    <cellStyle name="표준 14 2 2 2 2 2 2" xfId="7541"/>
    <cellStyle name="표준 14 2 2 2 2 3" xfId="7542"/>
    <cellStyle name="표준 14 2 2 2 3" xfId="7543"/>
    <cellStyle name="표준 14 2 2 2 3 2" xfId="7544"/>
    <cellStyle name="표준 14 2 2 2 4" xfId="7545"/>
    <cellStyle name="표준 14 2 2 3" xfId="7546"/>
    <cellStyle name="표준 14 2 2 3 2" xfId="7547"/>
    <cellStyle name="표준 14 2 2 3 2 2" xfId="7548"/>
    <cellStyle name="표준 14 2 2 3 3" xfId="7549"/>
    <cellStyle name="표준 14 2 2 4" xfId="7550"/>
    <cellStyle name="표준 14 2 2 4 2" xfId="7551"/>
    <cellStyle name="표준 14 2 2 5" xfId="7552"/>
    <cellStyle name="표준 14 2 3" xfId="7553"/>
    <cellStyle name="표준 14 2 3 2" xfId="7554"/>
    <cellStyle name="표준 14 2 3 2 2" xfId="7555"/>
    <cellStyle name="표준 14 2 3 2 2 2" xfId="7556"/>
    <cellStyle name="표준 14 2 3 2 3" xfId="7557"/>
    <cellStyle name="표준 14 2 3 3" xfId="7558"/>
    <cellStyle name="표준 14 2 3 3 2" xfId="7559"/>
    <cellStyle name="표준 14 2 3 4" xfId="7560"/>
    <cellStyle name="표준 14 2 4" xfId="7561"/>
    <cellStyle name="표준 14 2 4 2" xfId="7562"/>
    <cellStyle name="표준 14 2 4 2 2" xfId="7563"/>
    <cellStyle name="표준 14 2 4 3" xfId="7564"/>
    <cellStyle name="표준 14 2 5" xfId="7565"/>
    <cellStyle name="표준 14 2 5 2" xfId="7566"/>
    <cellStyle name="표준 14 2 6" xfId="7567"/>
    <cellStyle name="표준 14 2 8" xfId="7568"/>
    <cellStyle name="표준 14 3" xfId="7569"/>
    <cellStyle name="표준 14 3 2" xfId="7570"/>
    <cellStyle name="표준 14 3 2 2" xfId="7571"/>
    <cellStyle name="표준 14 3 2 2 2" xfId="7572"/>
    <cellStyle name="표준 14 3 2 2 2 2" xfId="7573"/>
    <cellStyle name="표준 14 3 2 2 3" xfId="7574"/>
    <cellStyle name="표준 14 3 2 3" xfId="7575"/>
    <cellStyle name="표준 14 3 2 3 2" xfId="7576"/>
    <cellStyle name="표준 14 3 2 4" xfId="7577"/>
    <cellStyle name="표준 14 3 3" xfId="7578"/>
    <cellStyle name="표준 14 3 3 2" xfId="7579"/>
    <cellStyle name="표준 14 3 3 2 2" xfId="7580"/>
    <cellStyle name="표준 14 3 3 3" xfId="7581"/>
    <cellStyle name="표준 14 3 4" xfId="7582"/>
    <cellStyle name="표준 14 3 4 2" xfId="7583"/>
    <cellStyle name="표준 14 3 5" xfId="7584"/>
    <cellStyle name="표준 14 4" xfId="7585"/>
    <cellStyle name="표준 14 4 2" xfId="7586"/>
    <cellStyle name="표준 14 4 2 2" xfId="7587"/>
    <cellStyle name="표준 14 4 2 2 2" xfId="7588"/>
    <cellStyle name="표준 14 4 2 3" xfId="7589"/>
    <cellStyle name="표준 14 4 3" xfId="7590"/>
    <cellStyle name="표준 14 4 3 2" xfId="7591"/>
    <cellStyle name="표준 14 4 4" xfId="7592"/>
    <cellStyle name="표준 14 5" xfId="7593"/>
    <cellStyle name="표준 14 5 2" xfId="7594"/>
    <cellStyle name="표준 14 5 2 2" xfId="7595"/>
    <cellStyle name="표준 14 5 3" xfId="7596"/>
    <cellStyle name="표준 14 6" xfId="7597"/>
    <cellStyle name="표준 14 6 2" xfId="7598"/>
    <cellStyle name="표준 14 7" xfId="7599"/>
    <cellStyle name="표준 14 8" xfId="7600"/>
    <cellStyle name="표준 14 9" xfId="7601"/>
    <cellStyle name="표준 15" xfId="16"/>
    <cellStyle name="표준 15 2" xfId="56"/>
    <cellStyle name="표준 15 2 2" xfId="7602"/>
    <cellStyle name="표준 15 2 2 2" xfId="7603"/>
    <cellStyle name="표준 15 2 2 2 2" xfId="7604"/>
    <cellStyle name="표준 15 2 2 2 2 2" xfId="7605"/>
    <cellStyle name="표준 15 2 2 2 3" xfId="7606"/>
    <cellStyle name="표준 15 2 2 3" xfId="7607"/>
    <cellStyle name="표준 15 2 2 3 2" xfId="7608"/>
    <cellStyle name="표준 15 2 2 4" xfId="7609"/>
    <cellStyle name="표준 15 2 3" xfId="7610"/>
    <cellStyle name="표준 15 2 3 2" xfId="7611"/>
    <cellStyle name="표준 15 2 3 2 2" xfId="7612"/>
    <cellStyle name="표준 15 2 3 3" xfId="7613"/>
    <cellStyle name="표준 15 2 4" xfId="7614"/>
    <cellStyle name="표준 15 2 4 2" xfId="7615"/>
    <cellStyle name="표준 15 2 5" xfId="7616"/>
    <cellStyle name="표준 15 3" xfId="7617"/>
    <cellStyle name="표준 15 3 2" xfId="7618"/>
    <cellStyle name="표준 15 3 2 2" xfId="7619"/>
    <cellStyle name="표준 15 3 2 2 2" xfId="7620"/>
    <cellStyle name="표준 15 3 2 3" xfId="7621"/>
    <cellStyle name="표준 15 3 3" xfId="7622"/>
    <cellStyle name="표준 15 3 3 2" xfId="7623"/>
    <cellStyle name="표준 15 3 4" xfId="7624"/>
    <cellStyle name="표준 15 4" xfId="7625"/>
    <cellStyle name="표준 15 4 2" xfId="7626"/>
    <cellStyle name="표준 15 4 2 2" xfId="7627"/>
    <cellStyle name="표준 15 4 3" xfId="7628"/>
    <cellStyle name="표준 15 5" xfId="7629"/>
    <cellStyle name="표준 15 5 2" xfId="7630"/>
    <cellStyle name="표준 15 6" xfId="7631"/>
    <cellStyle name="표준 16" xfId="17"/>
    <cellStyle name="표준 16 2" xfId="57"/>
    <cellStyle name="표준 16 2 2" xfId="7632"/>
    <cellStyle name="표준 16 2 2 2" xfId="7633"/>
    <cellStyle name="표준 16 2 2 2 2" xfId="7634"/>
    <cellStyle name="표준 16 2 2 3" xfId="7635"/>
    <cellStyle name="표준 16 2 3" xfId="7636"/>
    <cellStyle name="표준 16 2 3 2" xfId="7637"/>
    <cellStyle name="표준 16 2 4" xfId="7638"/>
    <cellStyle name="표준 16 3" xfId="7639"/>
    <cellStyle name="표준 16 3 2" xfId="7640"/>
    <cellStyle name="표준 16 3 2 2" xfId="7641"/>
    <cellStyle name="표준 16 3 3" xfId="7642"/>
    <cellStyle name="표준 16 4" xfId="7643"/>
    <cellStyle name="표준 16 4 2" xfId="7644"/>
    <cellStyle name="표준 16 5" xfId="7645"/>
    <cellStyle name="표준 17" xfId="18"/>
    <cellStyle name="표준 17 2" xfId="7646"/>
    <cellStyle name="표준 17 2 2" xfId="7647"/>
    <cellStyle name="표준 17 2 2 2" xfId="7648"/>
    <cellStyle name="표준 17 2 3" xfId="7649"/>
    <cellStyle name="표준 17 3" xfId="7650"/>
    <cellStyle name="표준 17 3 2" xfId="7651"/>
    <cellStyle name="표준 17 4" xfId="7652"/>
    <cellStyle name="표준 18" xfId="19"/>
    <cellStyle name="표준 18 2" xfId="58"/>
    <cellStyle name="표준 18 2 10" xfId="7653"/>
    <cellStyle name="표준 18 2 11" xfId="7654"/>
    <cellStyle name="표준 18 2 2" xfId="7655"/>
    <cellStyle name="표준 18 2 2 10" xfId="7656"/>
    <cellStyle name="표준 18 2 2 2" xfId="7657"/>
    <cellStyle name="표준 18 2 2 2 2" xfId="7658"/>
    <cellStyle name="표준 18 2 2 2 2 2" xfId="7659"/>
    <cellStyle name="표준 18 2 2 2 2 2 2" xfId="7660"/>
    <cellStyle name="표준 18 2 2 2 2 2 2 2" xfId="7661"/>
    <cellStyle name="표준 18 2 2 2 2 2 2 2 2" xfId="7662"/>
    <cellStyle name="표준 18 2 2 2 2 2 2 2 2 2" xfId="7663"/>
    <cellStyle name="표준 18 2 2 2 2 2 2 2 2 2 2" xfId="7664"/>
    <cellStyle name="표준 18 2 2 2 2 2 2 2 2 3" xfId="7665"/>
    <cellStyle name="표준 18 2 2 2 2 2 2 2 3" xfId="7666"/>
    <cellStyle name="표준 18 2 2 2 2 2 2 2 3 2" xfId="7667"/>
    <cellStyle name="표준 18 2 2 2 2 2 2 2 4" xfId="7668"/>
    <cellStyle name="표준 18 2 2 2 2 2 2 3" xfId="7669"/>
    <cellStyle name="표준 18 2 2 2 2 2 2 3 2" xfId="7670"/>
    <cellStyle name="표준 18 2 2 2 2 2 2 3 2 2" xfId="7671"/>
    <cellStyle name="표준 18 2 2 2 2 2 2 3 3" xfId="7672"/>
    <cellStyle name="표준 18 2 2 2 2 2 2 4" xfId="7673"/>
    <cellStyle name="표준 18 2 2 2 2 2 2 4 2" xfId="7674"/>
    <cellStyle name="표준 18 2 2 2 2 2 2 5" xfId="7675"/>
    <cellStyle name="표준 18 2 2 2 2 2 3" xfId="7676"/>
    <cellStyle name="표준 18 2 2 2 2 2 3 2" xfId="7677"/>
    <cellStyle name="표준 18 2 2 2 2 2 3 2 2" xfId="7678"/>
    <cellStyle name="표준 18 2 2 2 2 2 3 2 2 2" xfId="7679"/>
    <cellStyle name="표준 18 2 2 2 2 2 3 2 3" xfId="7680"/>
    <cellStyle name="표준 18 2 2 2 2 2 3 3" xfId="7681"/>
    <cellStyle name="표준 18 2 2 2 2 2 3 3 2" xfId="7682"/>
    <cellStyle name="표준 18 2 2 2 2 2 3 4" xfId="7683"/>
    <cellStyle name="표준 18 2 2 2 2 2 4" xfId="7684"/>
    <cellStyle name="표준 18 2 2 2 2 2 4 2" xfId="7685"/>
    <cellStyle name="표준 18 2 2 2 2 2 4 2 2" xfId="7686"/>
    <cellStyle name="표준 18 2 2 2 2 2 4 3" xfId="7687"/>
    <cellStyle name="표준 18 2 2 2 2 2 5" xfId="7688"/>
    <cellStyle name="표준 18 2 2 2 2 2 5 2" xfId="7689"/>
    <cellStyle name="표준 18 2 2 2 2 2 6" xfId="7690"/>
    <cellStyle name="표준 18 2 2 2 2 3" xfId="7691"/>
    <cellStyle name="표준 18 2 2 2 2 3 2" xfId="7692"/>
    <cellStyle name="표준 18 2 2 2 2 3 2 2" xfId="7693"/>
    <cellStyle name="표준 18 2 2 2 2 3 2 2 2" xfId="7694"/>
    <cellStyle name="표준 18 2 2 2 2 3 2 2 2 2" xfId="7695"/>
    <cellStyle name="표준 18 2 2 2 2 3 2 2 3" xfId="7696"/>
    <cellStyle name="표준 18 2 2 2 2 3 2 3" xfId="7697"/>
    <cellStyle name="표준 18 2 2 2 2 3 2 3 2" xfId="7698"/>
    <cellStyle name="표준 18 2 2 2 2 3 2 4" xfId="7699"/>
    <cellStyle name="표준 18 2 2 2 2 3 3" xfId="7700"/>
    <cellStyle name="표준 18 2 2 2 2 3 3 2" xfId="7701"/>
    <cellStyle name="표준 18 2 2 2 2 3 3 2 2" xfId="7702"/>
    <cellStyle name="표준 18 2 2 2 2 3 3 3" xfId="7703"/>
    <cellStyle name="표준 18 2 2 2 2 3 4" xfId="7704"/>
    <cellStyle name="표준 18 2 2 2 2 3 4 2" xfId="7705"/>
    <cellStyle name="표준 18 2 2 2 2 3 5" xfId="7706"/>
    <cellStyle name="표준 18 2 2 2 2 4" xfId="7707"/>
    <cellStyle name="표준 18 2 2 2 2 4 2" xfId="7708"/>
    <cellStyle name="표준 18 2 2 2 2 4 2 2" xfId="7709"/>
    <cellStyle name="표준 18 2 2 2 2 4 2 2 2" xfId="7710"/>
    <cellStyle name="표준 18 2 2 2 2 4 2 3" xfId="7711"/>
    <cellStyle name="표준 18 2 2 2 2 4 3" xfId="7712"/>
    <cellStyle name="표준 18 2 2 2 2 4 3 2" xfId="7713"/>
    <cellStyle name="표준 18 2 2 2 2 4 4" xfId="7714"/>
    <cellStyle name="표준 18 2 2 2 2 5" xfId="7715"/>
    <cellStyle name="표준 18 2 2 2 2 5 2" xfId="7716"/>
    <cellStyle name="표준 18 2 2 2 2 5 2 2" xfId="7717"/>
    <cellStyle name="표준 18 2 2 2 2 5 3" xfId="7718"/>
    <cellStyle name="표준 18 2 2 2 2 6" xfId="7719"/>
    <cellStyle name="표준 18 2 2 2 2 6 2" xfId="7720"/>
    <cellStyle name="표준 18 2 2 2 2 7" xfId="7721"/>
    <cellStyle name="표준 18 2 2 2 2 8" xfId="7722"/>
    <cellStyle name="표준 18 2 2 2 3" xfId="7723"/>
    <cellStyle name="표준 18 2 2 2 3 2" xfId="7724"/>
    <cellStyle name="표준 18 2 2 2 3 2 2" xfId="7725"/>
    <cellStyle name="표준 18 2 2 2 3 2 2 2" xfId="7726"/>
    <cellStyle name="표준 18 2 2 2 3 2 2 2 2" xfId="7727"/>
    <cellStyle name="표준 18 2 2 2 3 2 2 2 2 2" xfId="7728"/>
    <cellStyle name="표준 18 2 2 2 3 2 2 2 3" xfId="7729"/>
    <cellStyle name="표준 18 2 2 2 3 2 2 3" xfId="7730"/>
    <cellStyle name="표준 18 2 2 2 3 2 2 3 2" xfId="7731"/>
    <cellStyle name="표준 18 2 2 2 3 2 2 4" xfId="7732"/>
    <cellStyle name="표준 18 2 2 2 3 2 3" xfId="7733"/>
    <cellStyle name="표준 18 2 2 2 3 2 3 2" xfId="7734"/>
    <cellStyle name="표준 18 2 2 2 3 2 3 2 2" xfId="7735"/>
    <cellStyle name="표준 18 2 2 2 3 2 3 3" xfId="7736"/>
    <cellStyle name="표준 18 2 2 2 3 2 4" xfId="7737"/>
    <cellStyle name="표준 18 2 2 2 3 2 4 2" xfId="7738"/>
    <cellStyle name="표준 18 2 2 2 3 2 5" xfId="7739"/>
    <cellStyle name="표준 18 2 2 2 3 3" xfId="7740"/>
    <cellStyle name="표준 18 2 2 2 3 3 2" xfId="7741"/>
    <cellStyle name="표준 18 2 2 2 3 3 2 2" xfId="7742"/>
    <cellStyle name="표준 18 2 2 2 3 3 2 2 2" xfId="7743"/>
    <cellStyle name="표준 18 2 2 2 3 3 2 3" xfId="7744"/>
    <cellStyle name="표준 18 2 2 2 3 3 3" xfId="7745"/>
    <cellStyle name="표준 18 2 2 2 3 3 3 2" xfId="7746"/>
    <cellStyle name="표준 18 2 2 2 3 3 4" xfId="7747"/>
    <cellStyle name="표준 18 2 2 2 3 4" xfId="7748"/>
    <cellStyle name="표준 18 2 2 2 3 4 2" xfId="7749"/>
    <cellStyle name="표준 18 2 2 2 3 4 2 2" xfId="7750"/>
    <cellStyle name="표준 18 2 2 2 3 4 3" xfId="7751"/>
    <cellStyle name="표준 18 2 2 2 3 5" xfId="7752"/>
    <cellStyle name="표준 18 2 2 2 3 5 2" xfId="7753"/>
    <cellStyle name="표준 18 2 2 2 3 6" xfId="7754"/>
    <cellStyle name="표준 18 2 2 2 4" xfId="7755"/>
    <cellStyle name="표준 18 2 2 2 4 2" xfId="7756"/>
    <cellStyle name="표준 18 2 2 2 4 2 2" xfId="7757"/>
    <cellStyle name="표준 18 2 2 2 4 2 2 2" xfId="7758"/>
    <cellStyle name="표준 18 2 2 2 4 2 2 2 2" xfId="7759"/>
    <cellStyle name="표준 18 2 2 2 4 2 2 3" xfId="7760"/>
    <cellStyle name="표준 18 2 2 2 4 2 3" xfId="7761"/>
    <cellStyle name="표준 18 2 2 2 4 2 3 2" xfId="7762"/>
    <cellStyle name="표준 18 2 2 2 4 2 4" xfId="7763"/>
    <cellStyle name="표준 18 2 2 2 4 3" xfId="7764"/>
    <cellStyle name="표준 18 2 2 2 4 3 2" xfId="7765"/>
    <cellStyle name="표준 18 2 2 2 4 3 2 2" xfId="7766"/>
    <cellStyle name="표준 18 2 2 2 4 3 3" xfId="7767"/>
    <cellStyle name="표준 18 2 2 2 4 4" xfId="7768"/>
    <cellStyle name="표준 18 2 2 2 4 4 2" xfId="7769"/>
    <cellStyle name="표준 18 2 2 2 4 5" xfId="7770"/>
    <cellStyle name="표준 18 2 2 2 5" xfId="7771"/>
    <cellStyle name="표준 18 2 2 2 5 2" xfId="7772"/>
    <cellStyle name="표준 18 2 2 2 5 2 2" xfId="7773"/>
    <cellStyle name="표준 18 2 2 2 5 2 2 2" xfId="7774"/>
    <cellStyle name="표준 18 2 2 2 5 2 3" xfId="7775"/>
    <cellStyle name="표준 18 2 2 2 5 3" xfId="7776"/>
    <cellStyle name="표준 18 2 2 2 5 3 2" xfId="7777"/>
    <cellStyle name="표준 18 2 2 2 5 4" xfId="7778"/>
    <cellStyle name="표준 18 2 2 2 6" xfId="7779"/>
    <cellStyle name="표준 18 2 2 2 6 2" xfId="7780"/>
    <cellStyle name="표준 18 2 2 2 6 2 2" xfId="7781"/>
    <cellStyle name="표준 18 2 2 2 6 3" xfId="7782"/>
    <cellStyle name="표준 18 2 2 2 7" xfId="7783"/>
    <cellStyle name="표준 18 2 2 2 7 2" xfId="7784"/>
    <cellStyle name="표준 18 2 2 2 8" xfId="7785"/>
    <cellStyle name="표준 18 2 2 2 9" xfId="7786"/>
    <cellStyle name="표준 18 2 2 3" xfId="7787"/>
    <cellStyle name="표준 18 2 2 3 2" xfId="7788"/>
    <cellStyle name="표준 18 2 2 3 2 2" xfId="7789"/>
    <cellStyle name="표준 18 2 2 3 2 2 2" xfId="7790"/>
    <cellStyle name="표준 18 2 2 3 2 2 2 2" xfId="7791"/>
    <cellStyle name="표준 18 2 2 3 2 2 2 2 2" xfId="7792"/>
    <cellStyle name="표준 18 2 2 3 2 2 2 2 2 2" xfId="7793"/>
    <cellStyle name="표준 18 2 2 3 2 2 2 2 3" xfId="7794"/>
    <cellStyle name="표준 18 2 2 3 2 2 2 3" xfId="7795"/>
    <cellStyle name="표준 18 2 2 3 2 2 2 3 2" xfId="7796"/>
    <cellStyle name="표준 18 2 2 3 2 2 2 4" xfId="7797"/>
    <cellStyle name="표준 18 2 2 3 2 2 3" xfId="7798"/>
    <cellStyle name="표준 18 2 2 3 2 2 3 2" xfId="7799"/>
    <cellStyle name="표준 18 2 2 3 2 2 3 2 2" xfId="7800"/>
    <cellStyle name="표준 18 2 2 3 2 2 3 3" xfId="7801"/>
    <cellStyle name="표준 18 2 2 3 2 2 4" xfId="7802"/>
    <cellStyle name="표준 18 2 2 3 2 2 4 2" xfId="7803"/>
    <cellStyle name="표준 18 2 2 3 2 2 5" xfId="7804"/>
    <cellStyle name="표준 18 2 2 3 2 3" xfId="7805"/>
    <cellStyle name="표준 18 2 2 3 2 3 2" xfId="7806"/>
    <cellStyle name="표준 18 2 2 3 2 3 2 2" xfId="7807"/>
    <cellStyle name="표준 18 2 2 3 2 3 2 2 2" xfId="7808"/>
    <cellStyle name="표준 18 2 2 3 2 3 2 3" xfId="7809"/>
    <cellStyle name="표준 18 2 2 3 2 3 3" xfId="7810"/>
    <cellStyle name="표준 18 2 2 3 2 3 3 2" xfId="7811"/>
    <cellStyle name="표준 18 2 2 3 2 3 4" xfId="7812"/>
    <cellStyle name="표준 18 2 2 3 2 4" xfId="7813"/>
    <cellStyle name="표준 18 2 2 3 2 4 2" xfId="7814"/>
    <cellStyle name="표준 18 2 2 3 2 4 2 2" xfId="7815"/>
    <cellStyle name="표준 18 2 2 3 2 4 3" xfId="7816"/>
    <cellStyle name="표준 18 2 2 3 2 5" xfId="7817"/>
    <cellStyle name="표준 18 2 2 3 2 5 2" xfId="7818"/>
    <cellStyle name="표준 18 2 2 3 2 6" xfId="7819"/>
    <cellStyle name="표준 18 2 2 3 3" xfId="7820"/>
    <cellStyle name="표준 18 2 2 3 3 2" xfId="7821"/>
    <cellStyle name="표준 18 2 2 3 3 2 2" xfId="7822"/>
    <cellStyle name="표준 18 2 2 3 3 2 2 2" xfId="7823"/>
    <cellStyle name="표준 18 2 2 3 3 2 2 2 2" xfId="7824"/>
    <cellStyle name="표준 18 2 2 3 3 2 2 3" xfId="7825"/>
    <cellStyle name="표준 18 2 2 3 3 2 3" xfId="7826"/>
    <cellStyle name="표준 18 2 2 3 3 2 3 2" xfId="7827"/>
    <cellStyle name="표준 18 2 2 3 3 2 4" xfId="7828"/>
    <cellStyle name="표준 18 2 2 3 3 3" xfId="7829"/>
    <cellStyle name="표준 18 2 2 3 3 3 2" xfId="7830"/>
    <cellStyle name="표준 18 2 2 3 3 3 2 2" xfId="7831"/>
    <cellStyle name="표준 18 2 2 3 3 3 3" xfId="7832"/>
    <cellStyle name="표준 18 2 2 3 3 4" xfId="7833"/>
    <cellStyle name="표준 18 2 2 3 3 4 2" xfId="7834"/>
    <cellStyle name="표준 18 2 2 3 3 5" xfId="7835"/>
    <cellStyle name="표준 18 2 2 3 4" xfId="7836"/>
    <cellStyle name="표준 18 2 2 3 4 2" xfId="7837"/>
    <cellStyle name="표준 18 2 2 3 4 2 2" xfId="7838"/>
    <cellStyle name="표준 18 2 2 3 4 2 2 2" xfId="7839"/>
    <cellStyle name="표준 18 2 2 3 4 2 3" xfId="7840"/>
    <cellStyle name="표준 18 2 2 3 4 3" xfId="7841"/>
    <cellStyle name="표준 18 2 2 3 4 3 2" xfId="7842"/>
    <cellStyle name="표준 18 2 2 3 4 4" xfId="7843"/>
    <cellStyle name="표준 18 2 2 3 5" xfId="7844"/>
    <cellStyle name="표준 18 2 2 3 5 2" xfId="7845"/>
    <cellStyle name="표준 18 2 2 3 5 2 2" xfId="7846"/>
    <cellStyle name="표준 18 2 2 3 5 3" xfId="7847"/>
    <cellStyle name="표준 18 2 2 3 6" xfId="7848"/>
    <cellStyle name="표준 18 2 2 3 6 2" xfId="7849"/>
    <cellStyle name="표준 18 2 2 3 7" xfId="7850"/>
    <cellStyle name="표준 18 2 2 3 8" xfId="7851"/>
    <cellStyle name="표준 18 2 2 4" xfId="7852"/>
    <cellStyle name="표준 18 2 2 4 2" xfId="7853"/>
    <cellStyle name="표준 18 2 2 4 2 2" xfId="7854"/>
    <cellStyle name="표준 18 2 2 4 2 2 2" xfId="7855"/>
    <cellStyle name="표준 18 2 2 4 2 2 2 2" xfId="7856"/>
    <cellStyle name="표준 18 2 2 4 2 2 2 2 2" xfId="7857"/>
    <cellStyle name="표준 18 2 2 4 2 2 2 3" xfId="7858"/>
    <cellStyle name="표준 18 2 2 4 2 2 3" xfId="7859"/>
    <cellStyle name="표준 18 2 2 4 2 2 3 2" xfId="7860"/>
    <cellStyle name="표준 18 2 2 4 2 2 4" xfId="7861"/>
    <cellStyle name="표준 18 2 2 4 2 3" xfId="7862"/>
    <cellStyle name="표준 18 2 2 4 2 3 2" xfId="7863"/>
    <cellStyle name="표준 18 2 2 4 2 3 2 2" xfId="7864"/>
    <cellStyle name="표준 18 2 2 4 2 3 3" xfId="7865"/>
    <cellStyle name="표준 18 2 2 4 2 4" xfId="7866"/>
    <cellStyle name="표준 18 2 2 4 2 4 2" xfId="7867"/>
    <cellStyle name="표준 18 2 2 4 2 5" xfId="7868"/>
    <cellStyle name="표준 18 2 2 4 3" xfId="7869"/>
    <cellStyle name="표준 18 2 2 4 3 2" xfId="7870"/>
    <cellStyle name="표준 18 2 2 4 3 2 2" xfId="7871"/>
    <cellStyle name="표준 18 2 2 4 3 2 2 2" xfId="7872"/>
    <cellStyle name="표준 18 2 2 4 3 2 3" xfId="7873"/>
    <cellStyle name="표준 18 2 2 4 3 3" xfId="7874"/>
    <cellStyle name="표준 18 2 2 4 3 3 2" xfId="7875"/>
    <cellStyle name="표준 18 2 2 4 3 4" xfId="7876"/>
    <cellStyle name="표준 18 2 2 4 4" xfId="7877"/>
    <cellStyle name="표준 18 2 2 4 4 2" xfId="7878"/>
    <cellStyle name="표준 18 2 2 4 4 2 2" xfId="7879"/>
    <cellStyle name="표준 18 2 2 4 4 3" xfId="7880"/>
    <cellStyle name="표준 18 2 2 4 5" xfId="7881"/>
    <cellStyle name="표준 18 2 2 4 5 2" xfId="7882"/>
    <cellStyle name="표준 18 2 2 4 6" xfId="7883"/>
    <cellStyle name="표준 18 2 2 5" xfId="7884"/>
    <cellStyle name="표준 18 2 2 5 2" xfId="7885"/>
    <cellStyle name="표준 18 2 2 5 2 2" xfId="7886"/>
    <cellStyle name="표준 18 2 2 5 2 2 2" xfId="7887"/>
    <cellStyle name="표준 18 2 2 5 2 2 2 2" xfId="7888"/>
    <cellStyle name="표준 18 2 2 5 2 2 3" xfId="7889"/>
    <cellStyle name="표준 18 2 2 5 2 3" xfId="7890"/>
    <cellStyle name="표준 18 2 2 5 2 3 2" xfId="7891"/>
    <cellStyle name="표준 18 2 2 5 2 4" xfId="7892"/>
    <cellStyle name="표준 18 2 2 5 3" xfId="7893"/>
    <cellStyle name="표준 18 2 2 5 3 2" xfId="7894"/>
    <cellStyle name="표준 18 2 2 5 3 2 2" xfId="7895"/>
    <cellStyle name="표준 18 2 2 5 3 3" xfId="7896"/>
    <cellStyle name="표준 18 2 2 5 4" xfId="7897"/>
    <cellStyle name="표준 18 2 2 5 4 2" xfId="7898"/>
    <cellStyle name="표준 18 2 2 5 5" xfId="7899"/>
    <cellStyle name="표준 18 2 2 6" xfId="7900"/>
    <cellStyle name="표준 18 2 2 6 2" xfId="7901"/>
    <cellStyle name="표준 18 2 2 6 2 2" xfId="7902"/>
    <cellStyle name="표준 18 2 2 6 2 2 2" xfId="7903"/>
    <cellStyle name="표준 18 2 2 6 2 3" xfId="7904"/>
    <cellStyle name="표준 18 2 2 6 3" xfId="7905"/>
    <cellStyle name="표준 18 2 2 6 3 2" xfId="7906"/>
    <cellStyle name="표준 18 2 2 6 4" xfId="7907"/>
    <cellStyle name="표준 18 2 2 7" xfId="7908"/>
    <cellStyle name="표준 18 2 2 7 2" xfId="7909"/>
    <cellStyle name="표준 18 2 2 7 2 2" xfId="7910"/>
    <cellStyle name="표준 18 2 2 7 3" xfId="7911"/>
    <cellStyle name="표준 18 2 2 8" xfId="7912"/>
    <cellStyle name="표준 18 2 2 8 2" xfId="7913"/>
    <cellStyle name="표준 18 2 2 9" xfId="7914"/>
    <cellStyle name="표준 18 2 3" xfId="7915"/>
    <cellStyle name="표준 18 2 3 2" xfId="7916"/>
    <cellStyle name="표준 18 2 3 2 2" xfId="7917"/>
    <cellStyle name="표준 18 2 3 2 2 2" xfId="7918"/>
    <cellStyle name="표준 18 2 3 2 2 2 2" xfId="7919"/>
    <cellStyle name="표준 18 2 3 2 2 2 2 2" xfId="7920"/>
    <cellStyle name="표준 18 2 3 2 2 2 2 2 2" xfId="7921"/>
    <cellStyle name="표준 18 2 3 2 2 2 2 2 2 2" xfId="7922"/>
    <cellStyle name="표준 18 2 3 2 2 2 2 2 3" xfId="7923"/>
    <cellStyle name="표준 18 2 3 2 2 2 2 3" xfId="7924"/>
    <cellStyle name="표준 18 2 3 2 2 2 2 3 2" xfId="7925"/>
    <cellStyle name="표준 18 2 3 2 2 2 2 4" xfId="7926"/>
    <cellStyle name="표준 18 2 3 2 2 2 3" xfId="7927"/>
    <cellStyle name="표준 18 2 3 2 2 2 3 2" xfId="7928"/>
    <cellStyle name="표준 18 2 3 2 2 2 3 2 2" xfId="7929"/>
    <cellStyle name="표준 18 2 3 2 2 2 3 3" xfId="7930"/>
    <cellStyle name="표준 18 2 3 2 2 2 4" xfId="7931"/>
    <cellStyle name="표준 18 2 3 2 2 2 4 2" xfId="7932"/>
    <cellStyle name="표준 18 2 3 2 2 2 5" xfId="7933"/>
    <cellStyle name="표준 18 2 3 2 2 3" xfId="7934"/>
    <cellStyle name="표준 18 2 3 2 2 3 2" xfId="7935"/>
    <cellStyle name="표준 18 2 3 2 2 3 2 2" xfId="7936"/>
    <cellStyle name="표준 18 2 3 2 2 3 2 2 2" xfId="7937"/>
    <cellStyle name="표준 18 2 3 2 2 3 2 3" xfId="7938"/>
    <cellStyle name="표준 18 2 3 2 2 3 3" xfId="7939"/>
    <cellStyle name="표준 18 2 3 2 2 3 3 2" xfId="7940"/>
    <cellStyle name="표준 18 2 3 2 2 3 4" xfId="7941"/>
    <cellStyle name="표준 18 2 3 2 2 4" xfId="7942"/>
    <cellStyle name="표준 18 2 3 2 2 4 2" xfId="7943"/>
    <cellStyle name="표준 18 2 3 2 2 4 2 2" xfId="7944"/>
    <cellStyle name="표준 18 2 3 2 2 4 3" xfId="7945"/>
    <cellStyle name="표준 18 2 3 2 2 5" xfId="7946"/>
    <cellStyle name="표준 18 2 3 2 2 5 2" xfId="7947"/>
    <cellStyle name="표준 18 2 3 2 2 6" xfId="7948"/>
    <cellStyle name="표준 18 2 3 2 3" xfId="7949"/>
    <cellStyle name="표준 18 2 3 2 3 2" xfId="7950"/>
    <cellStyle name="표준 18 2 3 2 3 2 2" xfId="7951"/>
    <cellStyle name="표준 18 2 3 2 3 2 2 2" xfId="7952"/>
    <cellStyle name="표준 18 2 3 2 3 2 2 2 2" xfId="7953"/>
    <cellStyle name="표준 18 2 3 2 3 2 2 3" xfId="7954"/>
    <cellStyle name="표준 18 2 3 2 3 2 3" xfId="7955"/>
    <cellStyle name="표준 18 2 3 2 3 2 3 2" xfId="7956"/>
    <cellStyle name="표준 18 2 3 2 3 2 4" xfId="7957"/>
    <cellStyle name="표준 18 2 3 2 3 3" xfId="7958"/>
    <cellStyle name="표준 18 2 3 2 3 3 2" xfId="7959"/>
    <cellStyle name="표준 18 2 3 2 3 3 2 2" xfId="7960"/>
    <cellStyle name="표준 18 2 3 2 3 3 3" xfId="7961"/>
    <cellStyle name="표준 18 2 3 2 3 4" xfId="7962"/>
    <cellStyle name="표준 18 2 3 2 3 4 2" xfId="7963"/>
    <cellStyle name="표준 18 2 3 2 3 5" xfId="7964"/>
    <cellStyle name="표준 18 2 3 2 4" xfId="7965"/>
    <cellStyle name="표준 18 2 3 2 4 2" xfId="7966"/>
    <cellStyle name="표준 18 2 3 2 4 2 2" xfId="7967"/>
    <cellStyle name="표준 18 2 3 2 4 2 2 2" xfId="7968"/>
    <cellStyle name="표준 18 2 3 2 4 2 3" xfId="7969"/>
    <cellStyle name="표준 18 2 3 2 4 3" xfId="7970"/>
    <cellStyle name="표준 18 2 3 2 4 3 2" xfId="7971"/>
    <cellStyle name="표준 18 2 3 2 4 4" xfId="7972"/>
    <cellStyle name="표준 18 2 3 2 5" xfId="7973"/>
    <cellStyle name="표준 18 2 3 2 5 2" xfId="7974"/>
    <cellStyle name="표준 18 2 3 2 5 2 2" xfId="7975"/>
    <cellStyle name="표준 18 2 3 2 5 3" xfId="7976"/>
    <cellStyle name="표준 18 2 3 2 6" xfId="7977"/>
    <cellStyle name="표준 18 2 3 2 6 2" xfId="7978"/>
    <cellStyle name="표준 18 2 3 2 7" xfId="7979"/>
    <cellStyle name="표준 18 2 3 2 8" xfId="7980"/>
    <cellStyle name="표준 18 2 3 3" xfId="7981"/>
    <cellStyle name="표준 18 2 3 3 2" xfId="7982"/>
    <cellStyle name="표준 18 2 3 3 2 2" xfId="7983"/>
    <cellStyle name="표준 18 2 3 3 2 2 2" xfId="7984"/>
    <cellStyle name="표준 18 2 3 3 2 2 2 2" xfId="7985"/>
    <cellStyle name="표준 18 2 3 3 2 2 2 2 2" xfId="7986"/>
    <cellStyle name="표준 18 2 3 3 2 2 2 3" xfId="7987"/>
    <cellStyle name="표준 18 2 3 3 2 2 3" xfId="7988"/>
    <cellStyle name="표준 18 2 3 3 2 2 3 2" xfId="7989"/>
    <cellStyle name="표준 18 2 3 3 2 2 4" xfId="7990"/>
    <cellStyle name="표준 18 2 3 3 2 3" xfId="7991"/>
    <cellStyle name="표준 18 2 3 3 2 3 2" xfId="7992"/>
    <cellStyle name="표준 18 2 3 3 2 3 2 2" xfId="7993"/>
    <cellStyle name="표준 18 2 3 3 2 3 3" xfId="7994"/>
    <cellStyle name="표준 18 2 3 3 2 4" xfId="7995"/>
    <cellStyle name="표준 18 2 3 3 2 4 2" xfId="7996"/>
    <cellStyle name="표준 18 2 3 3 2 5" xfId="7997"/>
    <cellStyle name="표준 18 2 3 3 3" xfId="7998"/>
    <cellStyle name="표준 18 2 3 3 3 2" xfId="7999"/>
    <cellStyle name="표준 18 2 3 3 3 2 2" xfId="8000"/>
    <cellStyle name="표준 18 2 3 3 3 2 2 2" xfId="8001"/>
    <cellStyle name="표준 18 2 3 3 3 2 3" xfId="8002"/>
    <cellStyle name="표준 18 2 3 3 3 3" xfId="8003"/>
    <cellStyle name="표준 18 2 3 3 3 3 2" xfId="8004"/>
    <cellStyle name="표준 18 2 3 3 3 4" xfId="8005"/>
    <cellStyle name="표준 18 2 3 3 4" xfId="8006"/>
    <cellStyle name="표준 18 2 3 3 4 2" xfId="8007"/>
    <cellStyle name="표준 18 2 3 3 4 2 2" xfId="8008"/>
    <cellStyle name="표준 18 2 3 3 4 3" xfId="8009"/>
    <cellStyle name="표준 18 2 3 3 5" xfId="8010"/>
    <cellStyle name="표준 18 2 3 3 5 2" xfId="8011"/>
    <cellStyle name="표준 18 2 3 3 6" xfId="8012"/>
    <cellStyle name="표준 18 2 3 4" xfId="8013"/>
    <cellStyle name="표준 18 2 3 4 2" xfId="8014"/>
    <cellStyle name="표준 18 2 3 4 2 2" xfId="8015"/>
    <cellStyle name="표준 18 2 3 4 2 2 2" xfId="8016"/>
    <cellStyle name="표준 18 2 3 4 2 2 2 2" xfId="8017"/>
    <cellStyle name="표준 18 2 3 4 2 2 3" xfId="8018"/>
    <cellStyle name="표준 18 2 3 4 2 3" xfId="8019"/>
    <cellStyle name="표준 18 2 3 4 2 3 2" xfId="8020"/>
    <cellStyle name="표준 18 2 3 4 2 4" xfId="8021"/>
    <cellStyle name="표준 18 2 3 4 3" xfId="8022"/>
    <cellStyle name="표준 18 2 3 4 3 2" xfId="8023"/>
    <cellStyle name="표준 18 2 3 4 3 2 2" xfId="8024"/>
    <cellStyle name="표준 18 2 3 4 3 3" xfId="8025"/>
    <cellStyle name="표준 18 2 3 4 4" xfId="8026"/>
    <cellStyle name="표준 18 2 3 4 4 2" xfId="8027"/>
    <cellStyle name="표준 18 2 3 4 5" xfId="8028"/>
    <cellStyle name="표준 18 2 3 5" xfId="8029"/>
    <cellStyle name="표준 18 2 3 5 2" xfId="8030"/>
    <cellStyle name="표준 18 2 3 5 2 2" xfId="8031"/>
    <cellStyle name="표준 18 2 3 5 2 2 2" xfId="8032"/>
    <cellStyle name="표준 18 2 3 5 2 3" xfId="8033"/>
    <cellStyle name="표준 18 2 3 5 3" xfId="8034"/>
    <cellStyle name="표준 18 2 3 5 3 2" xfId="8035"/>
    <cellStyle name="표준 18 2 3 5 4" xfId="8036"/>
    <cellStyle name="표준 18 2 3 6" xfId="8037"/>
    <cellStyle name="표준 18 2 3 6 2" xfId="8038"/>
    <cellStyle name="표준 18 2 3 6 2 2" xfId="8039"/>
    <cellStyle name="표준 18 2 3 6 3" xfId="8040"/>
    <cellStyle name="표준 18 2 3 7" xfId="8041"/>
    <cellStyle name="표준 18 2 3 7 2" xfId="8042"/>
    <cellStyle name="표준 18 2 3 8" xfId="8043"/>
    <cellStyle name="표준 18 2 3 9" xfId="8044"/>
    <cellStyle name="표준 18 2 4" xfId="8045"/>
    <cellStyle name="표준 18 2 4 2" xfId="8046"/>
    <cellStyle name="표준 18 2 4 2 2" xfId="8047"/>
    <cellStyle name="표준 18 2 4 2 2 2" xfId="8048"/>
    <cellStyle name="표준 18 2 4 2 2 2 2" xfId="8049"/>
    <cellStyle name="표준 18 2 4 2 2 2 2 2" xfId="8050"/>
    <cellStyle name="표준 18 2 4 2 2 2 2 2 2" xfId="8051"/>
    <cellStyle name="표준 18 2 4 2 2 2 2 3" xfId="8052"/>
    <cellStyle name="표준 18 2 4 2 2 2 3" xfId="8053"/>
    <cellStyle name="표준 18 2 4 2 2 2 3 2" xfId="8054"/>
    <cellStyle name="표준 18 2 4 2 2 2 4" xfId="8055"/>
    <cellStyle name="표준 18 2 4 2 2 3" xfId="8056"/>
    <cellStyle name="표준 18 2 4 2 2 3 2" xfId="8057"/>
    <cellStyle name="표준 18 2 4 2 2 3 2 2" xfId="8058"/>
    <cellStyle name="표준 18 2 4 2 2 3 3" xfId="8059"/>
    <cellStyle name="표준 18 2 4 2 2 4" xfId="8060"/>
    <cellStyle name="표준 18 2 4 2 2 4 2" xfId="8061"/>
    <cellStyle name="표준 18 2 4 2 2 5" xfId="8062"/>
    <cellStyle name="표준 18 2 4 2 3" xfId="8063"/>
    <cellStyle name="표준 18 2 4 2 3 2" xfId="8064"/>
    <cellStyle name="표준 18 2 4 2 3 2 2" xfId="8065"/>
    <cellStyle name="표준 18 2 4 2 3 2 2 2" xfId="8066"/>
    <cellStyle name="표준 18 2 4 2 3 2 3" xfId="8067"/>
    <cellStyle name="표준 18 2 4 2 3 3" xfId="8068"/>
    <cellStyle name="표준 18 2 4 2 3 3 2" xfId="8069"/>
    <cellStyle name="표준 18 2 4 2 3 4" xfId="8070"/>
    <cellStyle name="표준 18 2 4 2 4" xfId="8071"/>
    <cellStyle name="표준 18 2 4 2 4 2" xfId="8072"/>
    <cellStyle name="표준 18 2 4 2 4 2 2" xfId="8073"/>
    <cellStyle name="표준 18 2 4 2 4 3" xfId="8074"/>
    <cellStyle name="표준 18 2 4 2 5" xfId="8075"/>
    <cellStyle name="표준 18 2 4 2 5 2" xfId="8076"/>
    <cellStyle name="표준 18 2 4 2 6" xfId="8077"/>
    <cellStyle name="표준 18 2 4 3" xfId="8078"/>
    <cellStyle name="표준 18 2 4 3 2" xfId="8079"/>
    <cellStyle name="표준 18 2 4 3 2 2" xfId="8080"/>
    <cellStyle name="표준 18 2 4 3 2 2 2" xfId="8081"/>
    <cellStyle name="표준 18 2 4 3 2 2 2 2" xfId="8082"/>
    <cellStyle name="표준 18 2 4 3 2 2 3" xfId="8083"/>
    <cellStyle name="표준 18 2 4 3 2 3" xfId="8084"/>
    <cellStyle name="표준 18 2 4 3 2 3 2" xfId="8085"/>
    <cellStyle name="표준 18 2 4 3 2 4" xfId="8086"/>
    <cellStyle name="표준 18 2 4 3 3" xfId="8087"/>
    <cellStyle name="표준 18 2 4 3 3 2" xfId="8088"/>
    <cellStyle name="표준 18 2 4 3 3 2 2" xfId="8089"/>
    <cellStyle name="표준 18 2 4 3 3 3" xfId="8090"/>
    <cellStyle name="표준 18 2 4 3 4" xfId="8091"/>
    <cellStyle name="표준 18 2 4 3 4 2" xfId="8092"/>
    <cellStyle name="표준 18 2 4 3 5" xfId="8093"/>
    <cellStyle name="표준 18 2 4 4" xfId="8094"/>
    <cellStyle name="표준 18 2 4 4 2" xfId="8095"/>
    <cellStyle name="표준 18 2 4 4 2 2" xfId="8096"/>
    <cellStyle name="표준 18 2 4 4 2 2 2" xfId="8097"/>
    <cellStyle name="표준 18 2 4 4 2 3" xfId="8098"/>
    <cellStyle name="표준 18 2 4 4 3" xfId="8099"/>
    <cellStyle name="표준 18 2 4 4 3 2" xfId="8100"/>
    <cellStyle name="표준 18 2 4 4 4" xfId="8101"/>
    <cellStyle name="표준 18 2 4 5" xfId="8102"/>
    <cellStyle name="표준 18 2 4 5 2" xfId="8103"/>
    <cellStyle name="표준 18 2 4 5 2 2" xfId="8104"/>
    <cellStyle name="표준 18 2 4 5 3" xfId="8105"/>
    <cellStyle name="표준 18 2 4 6" xfId="8106"/>
    <cellStyle name="표준 18 2 4 6 2" xfId="8107"/>
    <cellStyle name="표준 18 2 4 7" xfId="8108"/>
    <cellStyle name="표준 18 2 4 8" xfId="8109"/>
    <cellStyle name="표준 18 2 5" xfId="8110"/>
    <cellStyle name="표준 18 2 5 2" xfId="8111"/>
    <cellStyle name="표준 18 2 5 2 2" xfId="8112"/>
    <cellStyle name="표준 18 2 5 2 2 2" xfId="8113"/>
    <cellStyle name="표준 18 2 5 2 2 2 2" xfId="8114"/>
    <cellStyle name="표준 18 2 5 2 2 2 2 2" xfId="8115"/>
    <cellStyle name="표준 18 2 5 2 2 2 3" xfId="8116"/>
    <cellStyle name="표준 18 2 5 2 2 3" xfId="8117"/>
    <cellStyle name="표준 18 2 5 2 2 3 2" xfId="8118"/>
    <cellStyle name="표준 18 2 5 2 2 4" xfId="8119"/>
    <cellStyle name="표준 18 2 5 2 3" xfId="8120"/>
    <cellStyle name="표준 18 2 5 2 3 2" xfId="8121"/>
    <cellStyle name="표준 18 2 5 2 3 2 2" xfId="8122"/>
    <cellStyle name="표준 18 2 5 2 3 3" xfId="8123"/>
    <cellStyle name="표준 18 2 5 2 4" xfId="8124"/>
    <cellStyle name="표준 18 2 5 2 4 2" xfId="8125"/>
    <cellStyle name="표준 18 2 5 2 5" xfId="8126"/>
    <cellStyle name="표준 18 2 5 3" xfId="8127"/>
    <cellStyle name="표준 18 2 5 3 2" xfId="8128"/>
    <cellStyle name="표준 18 2 5 3 2 2" xfId="8129"/>
    <cellStyle name="표준 18 2 5 3 2 2 2" xfId="8130"/>
    <cellStyle name="표준 18 2 5 3 2 3" xfId="8131"/>
    <cellStyle name="표준 18 2 5 3 3" xfId="8132"/>
    <cellStyle name="표준 18 2 5 3 3 2" xfId="8133"/>
    <cellStyle name="표준 18 2 5 3 4" xfId="8134"/>
    <cellStyle name="표준 18 2 5 4" xfId="8135"/>
    <cellStyle name="표준 18 2 5 4 2" xfId="8136"/>
    <cellStyle name="표준 18 2 5 4 2 2" xfId="8137"/>
    <cellStyle name="표준 18 2 5 4 3" xfId="8138"/>
    <cellStyle name="표준 18 2 5 5" xfId="8139"/>
    <cellStyle name="표준 18 2 5 5 2" xfId="8140"/>
    <cellStyle name="표준 18 2 5 6" xfId="8141"/>
    <cellStyle name="표준 18 2 6" xfId="8142"/>
    <cellStyle name="표준 18 2 6 2" xfId="8143"/>
    <cellStyle name="표준 18 2 6 2 2" xfId="8144"/>
    <cellStyle name="표준 18 2 6 2 2 2" xfId="8145"/>
    <cellStyle name="표준 18 2 6 2 2 2 2" xfId="8146"/>
    <cellStyle name="표준 18 2 6 2 2 3" xfId="8147"/>
    <cellStyle name="표준 18 2 6 2 3" xfId="8148"/>
    <cellStyle name="표준 18 2 6 2 3 2" xfId="8149"/>
    <cellStyle name="표준 18 2 6 2 4" xfId="8150"/>
    <cellStyle name="표준 18 2 6 3" xfId="8151"/>
    <cellStyle name="표준 18 2 6 3 2" xfId="8152"/>
    <cellStyle name="표준 18 2 6 3 2 2" xfId="8153"/>
    <cellStyle name="표준 18 2 6 3 3" xfId="8154"/>
    <cellStyle name="표준 18 2 6 4" xfId="8155"/>
    <cellStyle name="표준 18 2 6 4 2" xfId="8156"/>
    <cellStyle name="표준 18 2 6 5" xfId="8157"/>
    <cellStyle name="표준 18 2 7" xfId="8158"/>
    <cellStyle name="표준 18 2 7 2" xfId="8159"/>
    <cellStyle name="표준 18 2 7 2 2" xfId="8160"/>
    <cellStyle name="표준 18 2 7 2 2 2" xfId="8161"/>
    <cellStyle name="표준 18 2 7 2 3" xfId="8162"/>
    <cellStyle name="표준 18 2 7 3" xfId="8163"/>
    <cellStyle name="표준 18 2 7 3 2" xfId="8164"/>
    <cellStyle name="표준 18 2 7 4" xfId="8165"/>
    <cellStyle name="표준 18 2 8" xfId="8166"/>
    <cellStyle name="표준 18 2 8 2" xfId="8167"/>
    <cellStyle name="표준 18 2 8 2 2" xfId="8168"/>
    <cellStyle name="표준 18 2 8 3" xfId="8169"/>
    <cellStyle name="표준 18 2 9" xfId="8170"/>
    <cellStyle name="표준 18 2 9 2" xfId="8171"/>
    <cellStyle name="표준 18 3" xfId="8172"/>
    <cellStyle name="표준 18 3 10" xfId="8173"/>
    <cellStyle name="표준 18 3 10 2" xfId="8174"/>
    <cellStyle name="표준 18 3 10 2 2" xfId="8175"/>
    <cellStyle name="표준 18 3 10 3" xfId="8176"/>
    <cellStyle name="표준 18 3 11" xfId="8177"/>
    <cellStyle name="표준 18 3 2" xfId="8178"/>
    <cellStyle name="표준 18 3 2 10" xfId="8179"/>
    <cellStyle name="표준 18 3 2 2" xfId="8180"/>
    <cellStyle name="표준 18 3 2 2 2" xfId="8181"/>
    <cellStyle name="표준 18 3 2 2 2 2" xfId="8182"/>
    <cellStyle name="표준 18 3 2 2 2 2 2" xfId="8183"/>
    <cellStyle name="표준 18 3 2 2 2 2 2 2" xfId="8184"/>
    <cellStyle name="표준 18 3 2 2 2 2 2 2 2" xfId="8185"/>
    <cellStyle name="표준 18 3 2 2 2 2 2 2 2 2" xfId="8186"/>
    <cellStyle name="표준 18 3 2 2 2 2 2 2 2 2 2" xfId="8187"/>
    <cellStyle name="표준 18 3 2 2 2 2 2 2 2 3" xfId="8188"/>
    <cellStyle name="표준 18 3 2 2 2 2 2 2 3" xfId="8189"/>
    <cellStyle name="표준 18 3 2 2 2 2 2 2 3 2" xfId="8190"/>
    <cellStyle name="표준 18 3 2 2 2 2 2 2 4" xfId="8191"/>
    <cellStyle name="표준 18 3 2 2 2 2 2 3" xfId="8192"/>
    <cellStyle name="표준 18 3 2 2 2 2 2 3 2" xfId="8193"/>
    <cellStyle name="표준 18 3 2 2 2 2 2 3 2 2" xfId="8194"/>
    <cellStyle name="표준 18 3 2 2 2 2 2 3 3" xfId="8195"/>
    <cellStyle name="표준 18 3 2 2 2 2 2 4" xfId="8196"/>
    <cellStyle name="표준 18 3 2 2 2 2 2 4 2" xfId="8197"/>
    <cellStyle name="표준 18 3 2 2 2 2 2 5" xfId="8198"/>
    <cellStyle name="표준 18 3 2 2 2 2 3" xfId="8199"/>
    <cellStyle name="표준 18 3 2 2 2 2 3 2" xfId="8200"/>
    <cellStyle name="표준 18 3 2 2 2 2 3 2 2" xfId="8201"/>
    <cellStyle name="표준 18 3 2 2 2 2 3 2 2 2" xfId="8202"/>
    <cellStyle name="표준 18 3 2 2 2 2 3 2 3" xfId="8203"/>
    <cellStyle name="표준 18 3 2 2 2 2 3 3" xfId="8204"/>
    <cellStyle name="표준 18 3 2 2 2 2 3 3 2" xfId="8205"/>
    <cellStyle name="표준 18 3 2 2 2 2 3 4" xfId="8206"/>
    <cellStyle name="표준 18 3 2 2 2 2 4" xfId="8207"/>
    <cellStyle name="표준 18 3 2 2 2 2 4 2" xfId="8208"/>
    <cellStyle name="표준 18 3 2 2 2 2 4 2 2" xfId="8209"/>
    <cellStyle name="표준 18 3 2 2 2 2 4 3" xfId="8210"/>
    <cellStyle name="표준 18 3 2 2 2 2 5" xfId="8211"/>
    <cellStyle name="표준 18 3 2 2 2 2 5 2" xfId="8212"/>
    <cellStyle name="표준 18 3 2 2 2 2 6" xfId="8213"/>
    <cellStyle name="표준 18 3 2 2 2 3" xfId="8214"/>
    <cellStyle name="표준 18 3 2 2 2 3 2" xfId="8215"/>
    <cellStyle name="표준 18 3 2 2 2 3 2 2" xfId="8216"/>
    <cellStyle name="표준 18 3 2 2 2 3 2 2 2" xfId="8217"/>
    <cellStyle name="표준 18 3 2 2 2 3 2 2 2 2" xfId="8218"/>
    <cellStyle name="표준 18 3 2 2 2 3 2 2 3" xfId="8219"/>
    <cellStyle name="표준 18 3 2 2 2 3 2 3" xfId="8220"/>
    <cellStyle name="표준 18 3 2 2 2 3 2 3 2" xfId="8221"/>
    <cellStyle name="표준 18 3 2 2 2 3 2 4" xfId="8222"/>
    <cellStyle name="표준 18 3 2 2 2 3 3" xfId="8223"/>
    <cellStyle name="표준 18 3 2 2 2 3 3 2" xfId="8224"/>
    <cellStyle name="표준 18 3 2 2 2 3 3 2 2" xfId="8225"/>
    <cellStyle name="표준 18 3 2 2 2 3 3 3" xfId="8226"/>
    <cellStyle name="표준 18 3 2 2 2 3 4" xfId="8227"/>
    <cellStyle name="표준 18 3 2 2 2 3 4 2" xfId="8228"/>
    <cellStyle name="표준 18 3 2 2 2 3 5" xfId="8229"/>
    <cellStyle name="표준 18 3 2 2 2 4" xfId="8230"/>
    <cellStyle name="표준 18 3 2 2 2 4 2" xfId="8231"/>
    <cellStyle name="표준 18 3 2 2 2 4 2 2" xfId="8232"/>
    <cellStyle name="표준 18 3 2 2 2 4 2 2 2" xfId="8233"/>
    <cellStyle name="표준 18 3 2 2 2 4 2 3" xfId="8234"/>
    <cellStyle name="표준 18 3 2 2 2 4 3" xfId="8235"/>
    <cellStyle name="표준 18 3 2 2 2 4 3 2" xfId="8236"/>
    <cellStyle name="표준 18 3 2 2 2 4 4" xfId="8237"/>
    <cellStyle name="표준 18 3 2 2 2 5" xfId="8238"/>
    <cellStyle name="표준 18 3 2 2 2 5 2" xfId="8239"/>
    <cellStyle name="표준 18 3 2 2 2 5 2 2" xfId="8240"/>
    <cellStyle name="표준 18 3 2 2 2 5 3" xfId="8241"/>
    <cellStyle name="표준 18 3 2 2 2 6" xfId="8242"/>
    <cellStyle name="표준 18 3 2 2 2 6 2" xfId="8243"/>
    <cellStyle name="표준 18 3 2 2 2 7" xfId="8244"/>
    <cellStyle name="표준 18 3 2 2 2 8" xfId="8245"/>
    <cellStyle name="표준 18 3 2 2 3" xfId="8246"/>
    <cellStyle name="표준 18 3 2 2 3 2" xfId="8247"/>
    <cellStyle name="표준 18 3 2 2 3 2 2" xfId="8248"/>
    <cellStyle name="표준 18 3 2 2 3 2 2 2" xfId="8249"/>
    <cellStyle name="표준 18 3 2 2 3 2 2 2 2" xfId="8250"/>
    <cellStyle name="표준 18 3 2 2 3 2 2 2 2 2" xfId="8251"/>
    <cellStyle name="표준 18 3 2 2 3 2 2 2 3" xfId="8252"/>
    <cellStyle name="표준 18 3 2 2 3 2 2 3" xfId="8253"/>
    <cellStyle name="표준 18 3 2 2 3 2 2 3 2" xfId="8254"/>
    <cellStyle name="표준 18 3 2 2 3 2 2 4" xfId="8255"/>
    <cellStyle name="표준 18 3 2 2 3 2 3" xfId="8256"/>
    <cellStyle name="표준 18 3 2 2 3 2 3 2" xfId="8257"/>
    <cellStyle name="표준 18 3 2 2 3 2 3 2 2" xfId="8258"/>
    <cellStyle name="표준 18 3 2 2 3 2 3 3" xfId="8259"/>
    <cellStyle name="표준 18 3 2 2 3 2 4" xfId="8260"/>
    <cellStyle name="표준 18 3 2 2 3 2 4 2" xfId="8261"/>
    <cellStyle name="표준 18 3 2 2 3 2 5" xfId="8262"/>
    <cellStyle name="표준 18 3 2 2 3 3" xfId="8263"/>
    <cellStyle name="표준 18 3 2 2 3 3 2" xfId="8264"/>
    <cellStyle name="표준 18 3 2 2 3 3 2 2" xfId="8265"/>
    <cellStyle name="표준 18 3 2 2 3 3 2 2 2" xfId="8266"/>
    <cellStyle name="표준 18 3 2 2 3 3 2 3" xfId="8267"/>
    <cellStyle name="표준 18 3 2 2 3 3 3" xfId="8268"/>
    <cellStyle name="표준 18 3 2 2 3 3 3 2" xfId="8269"/>
    <cellStyle name="표준 18 3 2 2 3 3 4" xfId="8270"/>
    <cellStyle name="표준 18 3 2 2 3 4" xfId="8271"/>
    <cellStyle name="표준 18 3 2 2 3 4 2" xfId="8272"/>
    <cellStyle name="표준 18 3 2 2 3 4 2 2" xfId="8273"/>
    <cellStyle name="표준 18 3 2 2 3 4 3" xfId="8274"/>
    <cellStyle name="표준 18 3 2 2 3 5" xfId="8275"/>
    <cellStyle name="표준 18 3 2 2 3 5 2" xfId="8276"/>
    <cellStyle name="표준 18 3 2 2 3 6" xfId="8277"/>
    <cellStyle name="표준 18 3 2 2 4" xfId="8278"/>
    <cellStyle name="표준 18 3 2 2 4 2" xfId="8279"/>
    <cellStyle name="표준 18 3 2 2 4 2 2" xfId="8280"/>
    <cellStyle name="표준 18 3 2 2 4 2 2 2" xfId="8281"/>
    <cellStyle name="표준 18 3 2 2 4 2 2 2 2" xfId="8282"/>
    <cellStyle name="표준 18 3 2 2 4 2 2 3" xfId="8283"/>
    <cellStyle name="표준 18 3 2 2 4 2 3" xfId="8284"/>
    <cellStyle name="표준 18 3 2 2 4 2 3 2" xfId="8285"/>
    <cellStyle name="표준 18 3 2 2 4 2 4" xfId="8286"/>
    <cellStyle name="표준 18 3 2 2 4 3" xfId="8287"/>
    <cellStyle name="표준 18 3 2 2 4 3 2" xfId="8288"/>
    <cellStyle name="표준 18 3 2 2 4 3 2 2" xfId="8289"/>
    <cellStyle name="표준 18 3 2 2 4 3 3" xfId="8290"/>
    <cellStyle name="표준 18 3 2 2 4 4" xfId="8291"/>
    <cellStyle name="표준 18 3 2 2 4 4 2" xfId="8292"/>
    <cellStyle name="표준 18 3 2 2 4 5" xfId="8293"/>
    <cellStyle name="표준 18 3 2 2 5" xfId="8294"/>
    <cellStyle name="표준 18 3 2 2 5 2" xfId="8295"/>
    <cellStyle name="표준 18 3 2 2 5 2 2" xfId="8296"/>
    <cellStyle name="표준 18 3 2 2 5 2 2 2" xfId="8297"/>
    <cellStyle name="표준 18 3 2 2 5 2 3" xfId="8298"/>
    <cellStyle name="표준 18 3 2 2 5 3" xfId="8299"/>
    <cellStyle name="표준 18 3 2 2 5 3 2" xfId="8300"/>
    <cellStyle name="표준 18 3 2 2 5 4" xfId="8301"/>
    <cellStyle name="표준 18 3 2 2 6" xfId="8302"/>
    <cellStyle name="표준 18 3 2 2 6 2" xfId="8303"/>
    <cellStyle name="표준 18 3 2 2 6 2 2" xfId="8304"/>
    <cellStyle name="표준 18 3 2 2 6 3" xfId="8305"/>
    <cellStyle name="표준 18 3 2 2 7" xfId="8306"/>
    <cellStyle name="표준 18 3 2 2 7 2" xfId="8307"/>
    <cellStyle name="표준 18 3 2 2 8" xfId="8308"/>
    <cellStyle name="표준 18 3 2 2 9" xfId="8309"/>
    <cellStyle name="표준 18 3 2 3" xfId="8310"/>
    <cellStyle name="표준 18 3 2 3 2" xfId="8311"/>
    <cellStyle name="표준 18 3 2 3 2 2" xfId="8312"/>
    <cellStyle name="표준 18 3 2 3 2 2 2" xfId="8313"/>
    <cellStyle name="표준 18 3 2 3 2 2 2 2" xfId="8314"/>
    <cellStyle name="표준 18 3 2 3 2 2 2 2 2" xfId="8315"/>
    <cellStyle name="표준 18 3 2 3 2 2 2 2 2 2" xfId="8316"/>
    <cellStyle name="표준 18 3 2 3 2 2 2 2 3" xfId="8317"/>
    <cellStyle name="표준 18 3 2 3 2 2 2 3" xfId="8318"/>
    <cellStyle name="표준 18 3 2 3 2 2 2 3 2" xfId="8319"/>
    <cellStyle name="표준 18 3 2 3 2 2 2 4" xfId="8320"/>
    <cellStyle name="표준 18 3 2 3 2 2 3" xfId="8321"/>
    <cellStyle name="표준 18 3 2 3 2 2 3 2" xfId="8322"/>
    <cellStyle name="표준 18 3 2 3 2 2 3 2 2" xfId="8323"/>
    <cellStyle name="표준 18 3 2 3 2 2 3 3" xfId="8324"/>
    <cellStyle name="표준 18 3 2 3 2 2 4" xfId="8325"/>
    <cellStyle name="표준 18 3 2 3 2 2 4 2" xfId="8326"/>
    <cellStyle name="표준 18 3 2 3 2 2 5" xfId="8327"/>
    <cellStyle name="표준 18 3 2 3 2 3" xfId="8328"/>
    <cellStyle name="표준 18 3 2 3 2 3 2" xfId="8329"/>
    <cellStyle name="표준 18 3 2 3 2 3 2 2" xfId="8330"/>
    <cellStyle name="표준 18 3 2 3 2 3 2 2 2" xfId="8331"/>
    <cellStyle name="표준 18 3 2 3 2 3 2 3" xfId="8332"/>
    <cellStyle name="표준 18 3 2 3 2 3 3" xfId="8333"/>
    <cellStyle name="표준 18 3 2 3 2 3 3 2" xfId="8334"/>
    <cellStyle name="표준 18 3 2 3 2 3 4" xfId="8335"/>
    <cellStyle name="표준 18 3 2 3 2 4" xfId="8336"/>
    <cellStyle name="표준 18 3 2 3 2 4 2" xfId="8337"/>
    <cellStyle name="표준 18 3 2 3 2 4 2 2" xfId="8338"/>
    <cellStyle name="표준 18 3 2 3 2 4 3" xfId="8339"/>
    <cellStyle name="표준 18 3 2 3 2 5" xfId="8340"/>
    <cellStyle name="표준 18 3 2 3 2 5 2" xfId="8341"/>
    <cellStyle name="표준 18 3 2 3 2 6" xfId="8342"/>
    <cellStyle name="표준 18 3 2 3 3" xfId="8343"/>
    <cellStyle name="표준 18 3 2 3 3 2" xfId="8344"/>
    <cellStyle name="표준 18 3 2 3 3 2 2" xfId="8345"/>
    <cellStyle name="표준 18 3 2 3 3 2 2 2" xfId="8346"/>
    <cellStyle name="표준 18 3 2 3 3 2 2 2 2" xfId="8347"/>
    <cellStyle name="표준 18 3 2 3 3 2 2 3" xfId="8348"/>
    <cellStyle name="표준 18 3 2 3 3 2 3" xfId="8349"/>
    <cellStyle name="표준 18 3 2 3 3 2 3 2" xfId="8350"/>
    <cellStyle name="표준 18 3 2 3 3 2 4" xfId="8351"/>
    <cellStyle name="표준 18 3 2 3 3 3" xfId="8352"/>
    <cellStyle name="표준 18 3 2 3 3 3 2" xfId="8353"/>
    <cellStyle name="표준 18 3 2 3 3 3 2 2" xfId="8354"/>
    <cellStyle name="표준 18 3 2 3 3 3 3" xfId="8355"/>
    <cellStyle name="표준 18 3 2 3 3 4" xfId="8356"/>
    <cellStyle name="표준 18 3 2 3 3 4 2" xfId="8357"/>
    <cellStyle name="표준 18 3 2 3 3 5" xfId="8358"/>
    <cellStyle name="표준 18 3 2 3 4" xfId="8359"/>
    <cellStyle name="표준 18 3 2 3 4 2" xfId="8360"/>
    <cellStyle name="표준 18 3 2 3 4 2 2" xfId="8361"/>
    <cellStyle name="표준 18 3 2 3 4 2 2 2" xfId="8362"/>
    <cellStyle name="표준 18 3 2 3 4 2 3" xfId="8363"/>
    <cellStyle name="표준 18 3 2 3 4 3" xfId="8364"/>
    <cellStyle name="표준 18 3 2 3 4 3 2" xfId="8365"/>
    <cellStyle name="표준 18 3 2 3 4 4" xfId="8366"/>
    <cellStyle name="표준 18 3 2 3 5" xfId="8367"/>
    <cellStyle name="표준 18 3 2 3 5 2" xfId="8368"/>
    <cellStyle name="표준 18 3 2 3 5 2 2" xfId="8369"/>
    <cellStyle name="표준 18 3 2 3 5 3" xfId="8370"/>
    <cellStyle name="표준 18 3 2 3 6" xfId="8371"/>
    <cellStyle name="표준 18 3 2 3 6 2" xfId="8372"/>
    <cellStyle name="표준 18 3 2 3 7" xfId="8373"/>
    <cellStyle name="표준 18 3 2 3 8" xfId="8374"/>
    <cellStyle name="표준 18 3 2 4" xfId="8375"/>
    <cellStyle name="표준 18 3 2 4 2" xfId="8376"/>
    <cellStyle name="표준 18 3 2 4 2 2" xfId="8377"/>
    <cellStyle name="표준 18 3 2 4 2 2 2" xfId="8378"/>
    <cellStyle name="표준 18 3 2 4 2 2 2 2" xfId="8379"/>
    <cellStyle name="표준 18 3 2 4 2 2 2 2 2" xfId="8380"/>
    <cellStyle name="표준 18 3 2 4 2 2 2 3" xfId="8381"/>
    <cellStyle name="표준 18 3 2 4 2 2 3" xfId="8382"/>
    <cellStyle name="표준 18 3 2 4 2 2 3 2" xfId="8383"/>
    <cellStyle name="표준 18 3 2 4 2 2 4" xfId="8384"/>
    <cellStyle name="표준 18 3 2 4 2 3" xfId="8385"/>
    <cellStyle name="표준 18 3 2 4 2 3 2" xfId="8386"/>
    <cellStyle name="표준 18 3 2 4 2 3 2 2" xfId="8387"/>
    <cellStyle name="표준 18 3 2 4 2 3 3" xfId="8388"/>
    <cellStyle name="표준 18 3 2 4 2 4" xfId="8389"/>
    <cellStyle name="표준 18 3 2 4 2 4 2" xfId="8390"/>
    <cellStyle name="표준 18 3 2 4 2 5" xfId="8391"/>
    <cellStyle name="표준 18 3 2 4 3" xfId="8392"/>
    <cellStyle name="표준 18 3 2 4 3 2" xfId="8393"/>
    <cellStyle name="표준 18 3 2 4 3 2 2" xfId="8394"/>
    <cellStyle name="표준 18 3 2 4 3 2 2 2" xfId="8395"/>
    <cellStyle name="표준 18 3 2 4 3 2 3" xfId="8396"/>
    <cellStyle name="표준 18 3 2 4 3 3" xfId="8397"/>
    <cellStyle name="표준 18 3 2 4 3 3 2" xfId="8398"/>
    <cellStyle name="표준 18 3 2 4 3 4" xfId="8399"/>
    <cellStyle name="표준 18 3 2 4 4" xfId="8400"/>
    <cellStyle name="표준 18 3 2 4 4 2" xfId="8401"/>
    <cellStyle name="표준 18 3 2 4 4 2 2" xfId="8402"/>
    <cellStyle name="표준 18 3 2 4 4 3" xfId="8403"/>
    <cellStyle name="표준 18 3 2 4 5" xfId="8404"/>
    <cellStyle name="표준 18 3 2 4 5 2" xfId="8405"/>
    <cellStyle name="표준 18 3 2 4 6" xfId="8406"/>
    <cellStyle name="표준 18 3 2 5" xfId="8407"/>
    <cellStyle name="표준 18 3 2 5 2" xfId="8408"/>
    <cellStyle name="표준 18 3 2 5 2 2" xfId="8409"/>
    <cellStyle name="표준 18 3 2 5 2 2 2" xfId="8410"/>
    <cellStyle name="표준 18 3 2 5 2 2 2 2" xfId="8411"/>
    <cellStyle name="표준 18 3 2 5 2 2 3" xfId="8412"/>
    <cellStyle name="표준 18 3 2 5 2 3" xfId="8413"/>
    <cellStyle name="표준 18 3 2 5 2 3 2" xfId="8414"/>
    <cellStyle name="표준 18 3 2 5 2 4" xfId="8415"/>
    <cellStyle name="표준 18 3 2 5 3" xfId="8416"/>
    <cellStyle name="표준 18 3 2 5 3 2" xfId="8417"/>
    <cellStyle name="표준 18 3 2 5 3 2 2" xfId="8418"/>
    <cellStyle name="표준 18 3 2 5 3 3" xfId="8419"/>
    <cellStyle name="표준 18 3 2 5 4" xfId="8420"/>
    <cellStyle name="표준 18 3 2 5 4 2" xfId="8421"/>
    <cellStyle name="표준 18 3 2 5 5" xfId="8422"/>
    <cellStyle name="표준 18 3 2 6" xfId="8423"/>
    <cellStyle name="표준 18 3 2 6 2" xfId="8424"/>
    <cellStyle name="표준 18 3 2 6 2 2" xfId="8425"/>
    <cellStyle name="표준 18 3 2 6 2 2 2" xfId="8426"/>
    <cellStyle name="표준 18 3 2 6 2 3" xfId="8427"/>
    <cellStyle name="표준 18 3 2 6 3" xfId="8428"/>
    <cellStyle name="표준 18 3 2 6 3 2" xfId="8429"/>
    <cellStyle name="표준 18 3 2 6 4" xfId="8430"/>
    <cellStyle name="표준 18 3 2 7" xfId="8431"/>
    <cellStyle name="표준 18 3 2 7 2" xfId="8432"/>
    <cellStyle name="표준 18 3 2 7 2 2" xfId="8433"/>
    <cellStyle name="표준 18 3 2 7 3" xfId="8434"/>
    <cellStyle name="표준 18 3 2 8" xfId="8435"/>
    <cellStyle name="표준 18 3 2 8 2" xfId="8436"/>
    <cellStyle name="표준 18 3 2 9" xfId="8437"/>
    <cellStyle name="표준 18 3 3" xfId="8438"/>
    <cellStyle name="표준 18 3 3 2" xfId="8439"/>
    <cellStyle name="표준 18 3 3 2 2" xfId="8440"/>
    <cellStyle name="표준 18 3 3 2 2 2" xfId="8441"/>
    <cellStyle name="표준 18 3 3 2 2 2 2" xfId="8442"/>
    <cellStyle name="표준 18 3 3 2 2 2 2 2" xfId="8443"/>
    <cellStyle name="표준 18 3 3 2 2 2 2 2 2" xfId="8444"/>
    <cellStyle name="표준 18 3 3 2 2 2 2 2 2 2" xfId="8445"/>
    <cellStyle name="표준 18 3 3 2 2 2 2 2 3" xfId="8446"/>
    <cellStyle name="표준 18 3 3 2 2 2 2 3" xfId="8447"/>
    <cellStyle name="표준 18 3 3 2 2 2 2 3 2" xfId="8448"/>
    <cellStyle name="표준 18 3 3 2 2 2 2 4" xfId="8449"/>
    <cellStyle name="표준 18 3 3 2 2 2 3" xfId="8450"/>
    <cellStyle name="표준 18 3 3 2 2 2 3 2" xfId="8451"/>
    <cellStyle name="표준 18 3 3 2 2 2 3 2 2" xfId="8452"/>
    <cellStyle name="표준 18 3 3 2 2 2 3 3" xfId="8453"/>
    <cellStyle name="표준 18 3 3 2 2 2 4" xfId="8454"/>
    <cellStyle name="표준 18 3 3 2 2 2 4 2" xfId="8455"/>
    <cellStyle name="표준 18 3 3 2 2 2 5" xfId="8456"/>
    <cellStyle name="표준 18 3 3 2 2 3" xfId="8457"/>
    <cellStyle name="표준 18 3 3 2 2 3 2" xfId="8458"/>
    <cellStyle name="표준 18 3 3 2 2 3 2 2" xfId="8459"/>
    <cellStyle name="표준 18 3 3 2 2 3 2 2 2" xfId="8460"/>
    <cellStyle name="표준 18 3 3 2 2 3 2 3" xfId="8461"/>
    <cellStyle name="표준 18 3 3 2 2 3 3" xfId="8462"/>
    <cellStyle name="표준 18 3 3 2 2 3 3 2" xfId="8463"/>
    <cellStyle name="표준 18 3 3 2 2 3 4" xfId="8464"/>
    <cellStyle name="표준 18 3 3 2 2 4" xfId="8465"/>
    <cellStyle name="표준 18 3 3 2 2 4 2" xfId="8466"/>
    <cellStyle name="표준 18 3 3 2 2 4 2 2" xfId="8467"/>
    <cellStyle name="표준 18 3 3 2 2 4 3" xfId="8468"/>
    <cellStyle name="표준 18 3 3 2 2 5" xfId="8469"/>
    <cellStyle name="표준 18 3 3 2 2 5 2" xfId="8470"/>
    <cellStyle name="표준 18 3 3 2 2 6" xfId="8471"/>
    <cellStyle name="표준 18 3 3 2 3" xfId="8472"/>
    <cellStyle name="표준 18 3 3 2 3 2" xfId="8473"/>
    <cellStyle name="표준 18 3 3 2 3 2 2" xfId="8474"/>
    <cellStyle name="표준 18 3 3 2 3 2 2 2" xfId="8475"/>
    <cellStyle name="표준 18 3 3 2 3 2 2 2 2" xfId="8476"/>
    <cellStyle name="표준 18 3 3 2 3 2 2 3" xfId="8477"/>
    <cellStyle name="표준 18 3 3 2 3 2 3" xfId="8478"/>
    <cellStyle name="표준 18 3 3 2 3 2 3 2" xfId="8479"/>
    <cellStyle name="표준 18 3 3 2 3 2 4" xfId="8480"/>
    <cellStyle name="표준 18 3 3 2 3 3" xfId="8481"/>
    <cellStyle name="표준 18 3 3 2 3 3 2" xfId="8482"/>
    <cellStyle name="표준 18 3 3 2 3 3 2 2" xfId="8483"/>
    <cellStyle name="표준 18 3 3 2 3 3 3" xfId="8484"/>
    <cellStyle name="표준 18 3 3 2 3 4" xfId="8485"/>
    <cellStyle name="표준 18 3 3 2 3 4 2" xfId="8486"/>
    <cellStyle name="표준 18 3 3 2 3 5" xfId="8487"/>
    <cellStyle name="표준 18 3 3 2 4" xfId="8488"/>
    <cellStyle name="표준 18 3 3 2 4 2" xfId="8489"/>
    <cellStyle name="표준 18 3 3 2 4 2 2" xfId="8490"/>
    <cellStyle name="표준 18 3 3 2 4 2 2 2" xfId="8491"/>
    <cellStyle name="표준 18 3 3 2 4 2 3" xfId="8492"/>
    <cellStyle name="표준 18 3 3 2 4 3" xfId="8493"/>
    <cellStyle name="표준 18 3 3 2 4 3 2" xfId="8494"/>
    <cellStyle name="표준 18 3 3 2 4 4" xfId="8495"/>
    <cellStyle name="표준 18 3 3 2 5" xfId="8496"/>
    <cellStyle name="표준 18 3 3 2 5 2" xfId="8497"/>
    <cellStyle name="표준 18 3 3 2 5 2 2" xfId="8498"/>
    <cellStyle name="표준 18 3 3 2 5 3" xfId="8499"/>
    <cellStyle name="표준 18 3 3 2 6" xfId="8500"/>
    <cellStyle name="표준 18 3 3 2 6 2" xfId="8501"/>
    <cellStyle name="표준 18 3 3 2 7" xfId="8502"/>
    <cellStyle name="표준 18 3 3 2 8" xfId="8503"/>
    <cellStyle name="표준 18 3 3 3" xfId="8504"/>
    <cellStyle name="표준 18 3 3 3 2" xfId="8505"/>
    <cellStyle name="표준 18 3 3 3 2 2" xfId="8506"/>
    <cellStyle name="표준 18 3 3 3 2 2 2" xfId="8507"/>
    <cellStyle name="표준 18 3 3 3 2 2 2 2" xfId="8508"/>
    <cellStyle name="표준 18 3 3 3 2 2 2 2 2" xfId="8509"/>
    <cellStyle name="표준 18 3 3 3 2 2 2 3" xfId="8510"/>
    <cellStyle name="표준 18 3 3 3 2 2 3" xfId="8511"/>
    <cellStyle name="표준 18 3 3 3 2 2 3 2" xfId="8512"/>
    <cellStyle name="표준 18 3 3 3 2 2 4" xfId="8513"/>
    <cellStyle name="표준 18 3 3 3 2 3" xfId="8514"/>
    <cellStyle name="표준 18 3 3 3 2 3 2" xfId="8515"/>
    <cellStyle name="표준 18 3 3 3 2 3 2 2" xfId="8516"/>
    <cellStyle name="표준 18 3 3 3 2 3 3" xfId="8517"/>
    <cellStyle name="표준 18 3 3 3 2 4" xfId="8518"/>
    <cellStyle name="표준 18 3 3 3 2 4 2" xfId="8519"/>
    <cellStyle name="표준 18 3 3 3 2 5" xfId="8520"/>
    <cellStyle name="표준 18 3 3 3 3" xfId="8521"/>
    <cellStyle name="표준 18 3 3 3 3 2" xfId="8522"/>
    <cellStyle name="표준 18 3 3 3 3 2 2" xfId="8523"/>
    <cellStyle name="표준 18 3 3 3 3 2 2 2" xfId="8524"/>
    <cellStyle name="표준 18 3 3 3 3 2 3" xfId="8525"/>
    <cellStyle name="표준 18 3 3 3 3 3" xfId="8526"/>
    <cellStyle name="표준 18 3 3 3 3 3 2" xfId="8527"/>
    <cellStyle name="표준 18 3 3 3 3 4" xfId="8528"/>
    <cellStyle name="표준 18 3 3 3 4" xfId="8529"/>
    <cellStyle name="표준 18 3 3 3 4 2" xfId="8530"/>
    <cellStyle name="표준 18 3 3 3 4 2 2" xfId="8531"/>
    <cellStyle name="표준 18 3 3 3 4 3" xfId="8532"/>
    <cellStyle name="표준 18 3 3 3 5" xfId="8533"/>
    <cellStyle name="표준 18 3 3 3 5 2" xfId="8534"/>
    <cellStyle name="표준 18 3 3 3 6" xfId="8535"/>
    <cellStyle name="표준 18 3 3 4" xfId="8536"/>
    <cellStyle name="표준 18 3 3 4 2" xfId="8537"/>
    <cellStyle name="표준 18 3 3 4 2 2" xfId="8538"/>
    <cellStyle name="표준 18 3 3 4 2 2 2" xfId="8539"/>
    <cellStyle name="표준 18 3 3 4 2 2 2 2" xfId="8540"/>
    <cellStyle name="표준 18 3 3 4 2 2 3" xfId="8541"/>
    <cellStyle name="표준 18 3 3 4 2 3" xfId="8542"/>
    <cellStyle name="표준 18 3 3 4 2 3 2" xfId="8543"/>
    <cellStyle name="표준 18 3 3 4 2 4" xfId="8544"/>
    <cellStyle name="표준 18 3 3 4 3" xfId="8545"/>
    <cellStyle name="표준 18 3 3 4 3 2" xfId="8546"/>
    <cellStyle name="표준 18 3 3 4 3 2 2" xfId="8547"/>
    <cellStyle name="표준 18 3 3 4 3 3" xfId="8548"/>
    <cellStyle name="표준 18 3 3 4 4" xfId="8549"/>
    <cellStyle name="표준 18 3 3 4 4 2" xfId="8550"/>
    <cellStyle name="표준 18 3 3 4 5" xfId="8551"/>
    <cellStyle name="표준 18 3 3 5" xfId="8552"/>
    <cellStyle name="표준 18 3 3 5 2" xfId="8553"/>
    <cellStyle name="표준 18 3 3 5 2 2" xfId="8554"/>
    <cellStyle name="표준 18 3 3 5 2 2 2" xfId="8555"/>
    <cellStyle name="표준 18 3 3 5 2 3" xfId="8556"/>
    <cellStyle name="표준 18 3 3 5 3" xfId="8557"/>
    <cellStyle name="표준 18 3 3 5 3 2" xfId="8558"/>
    <cellStyle name="표준 18 3 3 5 4" xfId="8559"/>
    <cellStyle name="표준 18 3 3 6" xfId="8560"/>
    <cellStyle name="표준 18 3 3 6 2" xfId="8561"/>
    <cellStyle name="표준 18 3 3 6 2 2" xfId="8562"/>
    <cellStyle name="표준 18 3 3 6 3" xfId="8563"/>
    <cellStyle name="표준 18 3 3 7" xfId="8564"/>
    <cellStyle name="표준 18 3 3 7 2" xfId="8565"/>
    <cellStyle name="표준 18 3 3 8" xfId="8566"/>
    <cellStyle name="표준 18 3 3 9" xfId="8567"/>
    <cellStyle name="표준 18 3 4" xfId="8568"/>
    <cellStyle name="표준 18 3 5" xfId="8569"/>
    <cellStyle name="표준 18 3 5 2" xfId="8570"/>
    <cellStyle name="표준 18 3 5 2 2" xfId="8571"/>
    <cellStyle name="표준 18 3 5 2 2 2" xfId="8572"/>
    <cellStyle name="표준 18 3 5 2 2 2 2" xfId="8573"/>
    <cellStyle name="표준 18 3 5 2 2 2 2 2" xfId="8574"/>
    <cellStyle name="표준 18 3 5 2 2 2 2 2 2" xfId="8575"/>
    <cellStyle name="표준 18 3 5 2 2 2 2 3" xfId="8576"/>
    <cellStyle name="표준 18 3 5 2 2 2 3" xfId="8577"/>
    <cellStyle name="표준 18 3 5 2 2 2 3 2" xfId="8578"/>
    <cellStyle name="표준 18 3 5 2 2 2 4" xfId="8579"/>
    <cellStyle name="표준 18 3 5 2 2 3" xfId="8580"/>
    <cellStyle name="표준 18 3 5 2 2 3 2" xfId="8581"/>
    <cellStyle name="표준 18 3 5 2 2 3 2 2" xfId="8582"/>
    <cellStyle name="표준 18 3 5 2 2 3 3" xfId="8583"/>
    <cellStyle name="표준 18 3 5 2 2 4" xfId="8584"/>
    <cellStyle name="표준 18 3 5 2 2 4 2" xfId="8585"/>
    <cellStyle name="표준 18 3 5 2 2 5" xfId="8586"/>
    <cellStyle name="표준 18 3 5 2 3" xfId="8587"/>
    <cellStyle name="표준 18 3 5 2 3 2" xfId="8588"/>
    <cellStyle name="표준 18 3 5 2 3 2 2" xfId="8589"/>
    <cellStyle name="표준 18 3 5 2 3 2 2 2" xfId="8590"/>
    <cellStyle name="표준 18 3 5 2 3 2 3" xfId="8591"/>
    <cellStyle name="표준 18 3 5 2 3 3" xfId="8592"/>
    <cellStyle name="표준 18 3 5 2 3 3 2" xfId="8593"/>
    <cellStyle name="표준 18 3 5 2 3 4" xfId="8594"/>
    <cellStyle name="표준 18 3 5 2 4" xfId="8595"/>
    <cellStyle name="표준 18 3 5 2 4 2" xfId="8596"/>
    <cellStyle name="표준 18 3 5 2 4 2 2" xfId="8597"/>
    <cellStyle name="표준 18 3 5 2 4 3" xfId="8598"/>
    <cellStyle name="표준 18 3 5 2 5" xfId="8599"/>
    <cellStyle name="표준 18 3 5 2 5 2" xfId="8600"/>
    <cellStyle name="표준 18 3 5 2 6" xfId="8601"/>
    <cellStyle name="표준 18 3 5 3" xfId="8602"/>
    <cellStyle name="표준 18 3 5 3 2" xfId="8603"/>
    <cellStyle name="표준 18 3 5 3 2 2" xfId="8604"/>
    <cellStyle name="표준 18 3 5 3 2 2 2" xfId="8605"/>
    <cellStyle name="표준 18 3 5 3 2 2 2 2" xfId="8606"/>
    <cellStyle name="표준 18 3 5 3 2 2 3" xfId="8607"/>
    <cellStyle name="표준 18 3 5 3 2 3" xfId="8608"/>
    <cellStyle name="표준 18 3 5 3 2 3 2" xfId="8609"/>
    <cellStyle name="표준 18 3 5 3 2 4" xfId="8610"/>
    <cellStyle name="표준 18 3 5 3 3" xfId="8611"/>
    <cellStyle name="표준 18 3 5 3 3 2" xfId="8612"/>
    <cellStyle name="표준 18 3 5 3 3 2 2" xfId="8613"/>
    <cellStyle name="표준 18 3 5 3 3 3" xfId="8614"/>
    <cellStyle name="표준 18 3 5 3 4" xfId="8615"/>
    <cellStyle name="표준 18 3 5 3 4 2" xfId="8616"/>
    <cellStyle name="표준 18 3 5 3 5" xfId="8617"/>
    <cellStyle name="표준 18 3 5 4" xfId="8618"/>
    <cellStyle name="표준 18 3 5 4 2" xfId="8619"/>
    <cellStyle name="표준 18 3 5 4 2 2" xfId="8620"/>
    <cellStyle name="표준 18 3 5 4 2 2 2" xfId="8621"/>
    <cellStyle name="표준 18 3 5 4 2 3" xfId="8622"/>
    <cellStyle name="표준 18 3 5 4 3" xfId="8623"/>
    <cellStyle name="표준 18 3 5 4 3 2" xfId="8624"/>
    <cellStyle name="표준 18 3 5 4 4" xfId="8625"/>
    <cellStyle name="표준 18 3 5 5" xfId="8626"/>
    <cellStyle name="표준 18 3 5 5 2" xfId="8627"/>
    <cellStyle name="표준 18 3 5 5 2 2" xfId="8628"/>
    <cellStyle name="표준 18 3 5 5 3" xfId="8629"/>
    <cellStyle name="표준 18 3 5 6" xfId="8630"/>
    <cellStyle name="표준 18 3 5 6 2" xfId="8631"/>
    <cellStyle name="표준 18 3 5 7" xfId="8632"/>
    <cellStyle name="표준 18 3 5 8" xfId="8633"/>
    <cellStyle name="표준 18 3 6" xfId="8634"/>
    <cellStyle name="표준 18 3 6 2" xfId="8635"/>
    <cellStyle name="표준 18 3 6 2 2" xfId="8636"/>
    <cellStyle name="표준 18 3 6 2 2 2" xfId="8637"/>
    <cellStyle name="표준 18 3 6 2 2 2 2" xfId="8638"/>
    <cellStyle name="표준 18 3 6 2 2 2 2 2" xfId="8639"/>
    <cellStyle name="표준 18 3 6 2 2 2 3" xfId="8640"/>
    <cellStyle name="표준 18 3 6 2 2 3" xfId="8641"/>
    <cellStyle name="표준 18 3 6 2 2 3 2" xfId="8642"/>
    <cellStyle name="표준 18 3 6 2 2 4" xfId="8643"/>
    <cellStyle name="표준 18 3 6 2 3" xfId="8644"/>
    <cellStyle name="표준 18 3 6 2 3 2" xfId="8645"/>
    <cellStyle name="표준 18 3 6 2 3 2 2" xfId="8646"/>
    <cellStyle name="표준 18 3 6 2 3 3" xfId="8647"/>
    <cellStyle name="표준 18 3 6 2 4" xfId="8648"/>
    <cellStyle name="표준 18 3 6 2 4 2" xfId="8649"/>
    <cellStyle name="표준 18 3 6 2 5" xfId="8650"/>
    <cellStyle name="표준 18 3 6 3" xfId="8651"/>
    <cellStyle name="표준 18 3 6 3 2" xfId="8652"/>
    <cellStyle name="표준 18 3 6 3 2 2" xfId="8653"/>
    <cellStyle name="표준 18 3 6 3 2 2 2" xfId="8654"/>
    <cellStyle name="표준 18 3 6 3 2 3" xfId="8655"/>
    <cellStyle name="표준 18 3 6 3 3" xfId="8656"/>
    <cellStyle name="표준 18 3 6 3 3 2" xfId="8657"/>
    <cellStyle name="표준 18 3 6 3 4" xfId="8658"/>
    <cellStyle name="표준 18 3 6 4" xfId="8659"/>
    <cellStyle name="표준 18 3 6 4 2" xfId="8660"/>
    <cellStyle name="표준 18 3 6 4 2 2" xfId="8661"/>
    <cellStyle name="표준 18 3 6 4 3" xfId="8662"/>
    <cellStyle name="표준 18 3 6 5" xfId="8663"/>
    <cellStyle name="표준 18 3 6 5 2" xfId="8664"/>
    <cellStyle name="표준 18 3 6 6" xfId="8665"/>
    <cellStyle name="표준 18 3 6 7" xfId="8666"/>
    <cellStyle name="표준 18 3 7" xfId="8667"/>
    <cellStyle name="표준 18 3 7 2" xfId="8668"/>
    <cellStyle name="표준 18 3 7 2 2" xfId="8669"/>
    <cellStyle name="표준 18 3 7 2 2 2" xfId="8670"/>
    <cellStyle name="표준 18 3 7 2 2 2 2" xfId="8671"/>
    <cellStyle name="표준 18 3 7 2 2 2 2 2" xfId="8672"/>
    <cellStyle name="표준 18 3 7 2 2 2 3" xfId="8673"/>
    <cellStyle name="표준 18 3 7 2 2 3" xfId="8674"/>
    <cellStyle name="표준 18 3 7 2 2 3 2" xfId="8675"/>
    <cellStyle name="표준 18 3 7 2 2 4" xfId="8676"/>
    <cellStyle name="표준 18 3 7 2 3" xfId="8677"/>
    <cellStyle name="표준 18 3 7 2 3 2" xfId="8678"/>
    <cellStyle name="표준 18 3 7 2 3 2 2" xfId="8679"/>
    <cellStyle name="표준 18 3 7 2 3 3" xfId="8680"/>
    <cellStyle name="표준 18 3 7 2 4" xfId="8681"/>
    <cellStyle name="표준 18 3 7 2 4 2" xfId="8682"/>
    <cellStyle name="표준 18 3 7 2 5" xfId="8683"/>
    <cellStyle name="표준 18 3 7 3" xfId="8684"/>
    <cellStyle name="표준 18 3 7 3 2" xfId="8685"/>
    <cellStyle name="표준 18 3 7 3 2 2" xfId="8686"/>
    <cellStyle name="표준 18 3 7 3 2 2 2" xfId="8687"/>
    <cellStyle name="표준 18 3 7 3 2 3" xfId="8688"/>
    <cellStyle name="표준 18 3 7 3 3" xfId="8689"/>
    <cellStyle name="표준 18 3 7 3 3 2" xfId="8690"/>
    <cellStyle name="표준 18 3 7 3 4" xfId="8691"/>
    <cellStyle name="표준 18 3 7 4" xfId="8692"/>
    <cellStyle name="표준 18 3 7 4 2" xfId="8693"/>
    <cellStyle name="표준 18 3 7 4 2 2" xfId="8694"/>
    <cellStyle name="표준 18 3 7 4 3" xfId="8695"/>
    <cellStyle name="표준 18 3 7 5" xfId="8696"/>
    <cellStyle name="표준 18 3 7 5 2" xfId="8697"/>
    <cellStyle name="표준 18 3 7 6" xfId="8698"/>
    <cellStyle name="표준 18 3 8" xfId="8699"/>
    <cellStyle name="표준 18 3 8 2" xfId="8700"/>
    <cellStyle name="표준 18 3 8 2 2" xfId="8701"/>
    <cellStyle name="표준 18 3 8 2 2 2" xfId="8702"/>
    <cellStyle name="표준 18 3 8 2 2 2 2" xfId="8703"/>
    <cellStyle name="표준 18 3 8 2 2 3" xfId="8704"/>
    <cellStyle name="표준 18 3 8 2 3" xfId="8705"/>
    <cellStyle name="표준 18 3 8 2 3 2" xfId="8706"/>
    <cellStyle name="표준 18 3 8 2 4" xfId="8707"/>
    <cellStyle name="표준 18 3 8 3" xfId="8708"/>
    <cellStyle name="표준 18 3 8 3 2" xfId="8709"/>
    <cellStyle name="표준 18 3 8 3 2 2" xfId="8710"/>
    <cellStyle name="표준 18 3 8 3 3" xfId="8711"/>
    <cellStyle name="표준 18 3 8 4" xfId="8712"/>
    <cellStyle name="표준 18 3 8 4 2" xfId="8713"/>
    <cellStyle name="표준 18 3 8 5" xfId="8714"/>
    <cellStyle name="표준 18 3 9" xfId="8715"/>
    <cellStyle name="표준 18 3 9 2" xfId="8716"/>
    <cellStyle name="표준 18 3 9 2 2" xfId="8717"/>
    <cellStyle name="표준 18 3 9 2 2 2" xfId="8718"/>
    <cellStyle name="표준 18 3 9 2 3" xfId="8719"/>
    <cellStyle name="표준 18 3 9 3" xfId="8720"/>
    <cellStyle name="표준 18 3 9 3 2" xfId="8721"/>
    <cellStyle name="표준 18 3 9 4" xfId="8722"/>
    <cellStyle name="표준 18 4" xfId="8723"/>
    <cellStyle name="표준 18 4 2" xfId="8724"/>
    <cellStyle name="표준 18 4 2 2" xfId="8725"/>
    <cellStyle name="표준 18 4 2 2 2" xfId="8726"/>
    <cellStyle name="표준 18 4 2 2 2 2" xfId="8727"/>
    <cellStyle name="표준 18 4 2 2 2 2 2" xfId="8728"/>
    <cellStyle name="표준 18 4 2 2 2 2 2 2" xfId="8729"/>
    <cellStyle name="표준 18 4 2 2 2 2 3" xfId="8730"/>
    <cellStyle name="표준 18 4 2 2 2 3" xfId="8731"/>
    <cellStyle name="표준 18 4 2 2 2 3 2" xfId="8732"/>
    <cellStyle name="표준 18 4 2 2 2 4" xfId="8733"/>
    <cellStyle name="표준 18 4 2 2 3" xfId="8734"/>
    <cellStyle name="표준 18 4 2 2 3 2" xfId="8735"/>
    <cellStyle name="표준 18 4 2 2 3 2 2" xfId="8736"/>
    <cellStyle name="표준 18 4 2 2 3 3" xfId="8737"/>
    <cellStyle name="표준 18 4 2 2 4" xfId="8738"/>
    <cellStyle name="표준 18 4 2 2 4 2" xfId="8739"/>
    <cellStyle name="표준 18 4 2 2 5" xfId="8740"/>
    <cellStyle name="표준 18 4 2 3" xfId="8741"/>
    <cellStyle name="표준 18 4 2 3 2" xfId="8742"/>
    <cellStyle name="표준 18 4 2 3 2 2" xfId="8743"/>
    <cellStyle name="표준 18 4 2 3 2 2 2" xfId="8744"/>
    <cellStyle name="표준 18 4 2 3 2 3" xfId="8745"/>
    <cellStyle name="표준 18 4 2 3 3" xfId="8746"/>
    <cellStyle name="표준 18 4 2 3 3 2" xfId="8747"/>
    <cellStyle name="표준 18 4 2 3 4" xfId="8748"/>
    <cellStyle name="표준 18 4 2 4" xfId="8749"/>
    <cellStyle name="표준 18 4 2 4 2" xfId="8750"/>
    <cellStyle name="표준 18 4 2 4 2 2" xfId="8751"/>
    <cellStyle name="표준 18 4 2 4 3" xfId="8752"/>
    <cellStyle name="표준 18 4 2 5" xfId="8753"/>
    <cellStyle name="표준 18 4 2 5 2" xfId="8754"/>
    <cellStyle name="표준 18 4 2 6" xfId="8755"/>
    <cellStyle name="표준 18 4 3" xfId="8756"/>
    <cellStyle name="표준 18 4 3 2" xfId="8757"/>
    <cellStyle name="표준 18 4 3 2 2" xfId="8758"/>
    <cellStyle name="표준 18 4 3 2 2 2" xfId="8759"/>
    <cellStyle name="표준 18 4 3 2 2 2 2" xfId="8760"/>
    <cellStyle name="표준 18 4 3 2 2 3" xfId="8761"/>
    <cellStyle name="표준 18 4 3 2 3" xfId="8762"/>
    <cellStyle name="표준 18 4 3 2 3 2" xfId="8763"/>
    <cellStyle name="표준 18 4 3 2 4" xfId="8764"/>
    <cellStyle name="표준 18 4 3 3" xfId="8765"/>
    <cellStyle name="표준 18 4 3 3 2" xfId="8766"/>
    <cellStyle name="표준 18 4 3 3 2 2" xfId="8767"/>
    <cellStyle name="표준 18 4 3 3 3" xfId="8768"/>
    <cellStyle name="표준 18 4 3 4" xfId="8769"/>
    <cellStyle name="표준 18 4 3 4 2" xfId="8770"/>
    <cellStyle name="표준 18 4 3 5" xfId="8771"/>
    <cellStyle name="표준 18 4 4" xfId="8772"/>
    <cellStyle name="표준 18 4 4 2" xfId="8773"/>
    <cellStyle name="표준 18 4 4 2 2" xfId="8774"/>
    <cellStyle name="표준 18 4 4 2 2 2" xfId="8775"/>
    <cellStyle name="표준 18 4 4 2 3" xfId="8776"/>
    <cellStyle name="표준 18 4 4 3" xfId="8777"/>
    <cellStyle name="표준 18 4 4 3 2" xfId="8778"/>
    <cellStyle name="표준 18 4 4 4" xfId="8779"/>
    <cellStyle name="표준 18 4 5" xfId="8780"/>
    <cellStyle name="표준 18 4 5 2" xfId="8781"/>
    <cellStyle name="표준 18 4 5 2 2" xfId="8782"/>
    <cellStyle name="표준 18 4 5 3" xfId="8783"/>
    <cellStyle name="표준 18 4 6" xfId="8784"/>
    <cellStyle name="표준 18 4 6 2" xfId="8785"/>
    <cellStyle name="표준 18 4 7" xfId="8786"/>
    <cellStyle name="표준 18 4 8" xfId="8787"/>
    <cellStyle name="표준 18 5" xfId="8788"/>
    <cellStyle name="표준 18 5 2" xfId="8789"/>
    <cellStyle name="표준 18 6" xfId="8790"/>
    <cellStyle name="표준 19" xfId="20"/>
    <cellStyle name="표준 19 2" xfId="62"/>
    <cellStyle name="표준 19 2 2" xfId="8791"/>
    <cellStyle name="표준 19 2 2 2" xfId="8792"/>
    <cellStyle name="표준 19 2 3" xfId="8793"/>
    <cellStyle name="표준 19 3" xfId="8794"/>
    <cellStyle name="표준 19 3 2" xfId="8795"/>
    <cellStyle name="표준 19 4" xfId="8796"/>
    <cellStyle name="표준 19 5" xfId="8797"/>
    <cellStyle name="표준 2" xfId="21"/>
    <cellStyle name="표준 2 10" xfId="8798"/>
    <cellStyle name="표준 2 11" xfId="8799"/>
    <cellStyle name="표준 2 12" xfId="8800"/>
    <cellStyle name="표준 2 13" xfId="8801"/>
    <cellStyle name="표준 2 14" xfId="8802"/>
    <cellStyle name="표준 2 15" xfId="8803"/>
    <cellStyle name="표준 2 16" xfId="8804"/>
    <cellStyle name="표준 2 17" xfId="8805"/>
    <cellStyle name="표준 2 18" xfId="8806"/>
    <cellStyle name="표준 2 19" xfId="8807"/>
    <cellStyle name="표준 2 2" xfId="52"/>
    <cellStyle name="표준 2 2 2 2" xfId="8808"/>
    <cellStyle name="표준 2 20" xfId="8809"/>
    <cellStyle name="표준 2 21" xfId="8810"/>
    <cellStyle name="표준 2 22" xfId="8811"/>
    <cellStyle name="표준 2 23" xfId="8812"/>
    <cellStyle name="표준 2 24" xfId="8813"/>
    <cellStyle name="표준 2 25" xfId="8814"/>
    <cellStyle name="표준 2 26" xfId="8815"/>
    <cellStyle name="표준 2 27" xfId="8816"/>
    <cellStyle name="표준 2 28" xfId="8817"/>
    <cellStyle name="표준 2 29" xfId="8818"/>
    <cellStyle name="표준 2 3" xfId="8819"/>
    <cellStyle name="표준 2 3 2" xfId="8820"/>
    <cellStyle name="표준 2 30" xfId="8821"/>
    <cellStyle name="표준 2 31" xfId="8822"/>
    <cellStyle name="표준 2 32" xfId="8823"/>
    <cellStyle name="표준 2 33" xfId="8824"/>
    <cellStyle name="표준 2 34" xfId="8825"/>
    <cellStyle name="표준 2 35" xfId="8826"/>
    <cellStyle name="표준 2 36" xfId="8827"/>
    <cellStyle name="표준 2 37" xfId="8828"/>
    <cellStyle name="표준 2 38" xfId="8829"/>
    <cellStyle name="표준 2 39" xfId="8830"/>
    <cellStyle name="표준 2 4" xfId="8831"/>
    <cellStyle name="표준 2 4 2" xfId="8832"/>
    <cellStyle name="표준 2 40" xfId="8833"/>
    <cellStyle name="표준 2 41" xfId="8834"/>
    <cellStyle name="표준 2 42" xfId="8835"/>
    <cellStyle name="표준 2 43" xfId="8836"/>
    <cellStyle name="표준 2 44" xfId="8837"/>
    <cellStyle name="표준 2 45" xfId="8838"/>
    <cellStyle name="표준 2 46" xfId="8839"/>
    <cellStyle name="표준 2 47" xfId="8840"/>
    <cellStyle name="표준 2 48" xfId="8841"/>
    <cellStyle name="표준 2 49" xfId="8842"/>
    <cellStyle name="표준 2 5" xfId="8843"/>
    <cellStyle name="표준 2 50" xfId="8844"/>
    <cellStyle name="표준 2 51" xfId="8845"/>
    <cellStyle name="표준 2 52" xfId="8846"/>
    <cellStyle name="표준 2 53" xfId="8847"/>
    <cellStyle name="표준 2 54" xfId="8848"/>
    <cellStyle name="표준 2 55" xfId="8849"/>
    <cellStyle name="표준 2 56" xfId="8850"/>
    <cellStyle name="표준 2 57" xfId="8851"/>
    <cellStyle name="표준 2 58" xfId="8852"/>
    <cellStyle name="표준 2 59" xfId="8853"/>
    <cellStyle name="표준 2 6" xfId="8854"/>
    <cellStyle name="표준 2 60" xfId="8855"/>
    <cellStyle name="표준 2 61" xfId="8856"/>
    <cellStyle name="표준 2 62" xfId="8857"/>
    <cellStyle name="표준 2 63" xfId="8858"/>
    <cellStyle name="표준 2 64" xfId="8859"/>
    <cellStyle name="표준 2 65" xfId="8860"/>
    <cellStyle name="표준 2 66" xfId="8861"/>
    <cellStyle name="표준 2 67" xfId="8862"/>
    <cellStyle name="표준 2 7" xfId="8863"/>
    <cellStyle name="표준 2 8" xfId="8864"/>
    <cellStyle name="표준 2 9" xfId="8865"/>
    <cellStyle name="표준 20" xfId="22"/>
    <cellStyle name="표준 20 2" xfId="63"/>
    <cellStyle name="표준 21" xfId="23"/>
    <cellStyle name="표준 21 2" xfId="8866"/>
    <cellStyle name="표준 21 2 2" xfId="8867"/>
    <cellStyle name="표준 21 3" xfId="8868"/>
    <cellStyle name="표준 22" xfId="24"/>
    <cellStyle name="표준 22 2" xfId="64"/>
    <cellStyle name="표준 23" xfId="25"/>
    <cellStyle name="표준 23 10" xfId="8869"/>
    <cellStyle name="표준 23 10 2" xfId="8870"/>
    <cellStyle name="표준 23 10 2 2" xfId="8871"/>
    <cellStyle name="표준 23 10 2 2 2" xfId="8872"/>
    <cellStyle name="표준 23 10 2 2 2 2" xfId="8873"/>
    <cellStyle name="표준 23 10 2 2 2 2 2" xfId="8874"/>
    <cellStyle name="표준 23 10 2 2 2 2 2 2" xfId="8875"/>
    <cellStyle name="표준 23 10 2 2 2 2 3" xfId="8876"/>
    <cellStyle name="표준 23 10 2 2 2 3" xfId="8877"/>
    <cellStyle name="표준 23 10 2 2 2 3 2" xfId="8878"/>
    <cellStyle name="표준 23 10 2 2 2 4" xfId="8879"/>
    <cellStyle name="표준 23 10 2 2 3" xfId="8880"/>
    <cellStyle name="표준 23 10 2 2 3 2" xfId="8881"/>
    <cellStyle name="표준 23 10 2 2 3 2 2" xfId="8882"/>
    <cellStyle name="표준 23 10 2 2 3 3" xfId="8883"/>
    <cellStyle name="표준 23 10 2 2 4" xfId="8884"/>
    <cellStyle name="표준 23 10 2 2 4 2" xfId="8885"/>
    <cellStyle name="표준 23 10 2 2 5" xfId="8886"/>
    <cellStyle name="표준 23 10 2 3" xfId="8887"/>
    <cellStyle name="표준 23 10 2 3 2" xfId="8888"/>
    <cellStyle name="표준 23 10 2 3 2 2" xfId="8889"/>
    <cellStyle name="표준 23 10 2 3 2 2 2" xfId="8890"/>
    <cellStyle name="표준 23 10 2 3 2 3" xfId="8891"/>
    <cellStyle name="표준 23 10 2 3 3" xfId="8892"/>
    <cellStyle name="표준 23 10 2 3 3 2" xfId="8893"/>
    <cellStyle name="표준 23 10 2 3 4" xfId="8894"/>
    <cellStyle name="표준 23 10 2 4" xfId="8895"/>
    <cellStyle name="표준 23 10 2 4 2" xfId="8896"/>
    <cellStyle name="표준 23 10 2 4 2 2" xfId="8897"/>
    <cellStyle name="표준 23 10 2 4 3" xfId="8898"/>
    <cellStyle name="표준 23 10 2 5" xfId="8899"/>
    <cellStyle name="표준 23 10 2 5 2" xfId="8900"/>
    <cellStyle name="표준 23 10 2 6" xfId="8901"/>
    <cellStyle name="표준 23 10 3" xfId="8902"/>
    <cellStyle name="표준 23 10 3 2" xfId="8903"/>
    <cellStyle name="표준 23 10 3 2 2" xfId="8904"/>
    <cellStyle name="표준 23 10 3 2 2 2" xfId="8905"/>
    <cellStyle name="표준 23 10 3 2 2 2 2" xfId="8906"/>
    <cellStyle name="표준 23 10 3 2 2 3" xfId="8907"/>
    <cellStyle name="표준 23 10 3 2 3" xfId="8908"/>
    <cellStyle name="표준 23 10 3 2 3 2" xfId="8909"/>
    <cellStyle name="표준 23 10 3 2 4" xfId="8910"/>
    <cellStyle name="표준 23 10 3 3" xfId="8911"/>
    <cellStyle name="표준 23 10 3 3 2" xfId="8912"/>
    <cellStyle name="표준 23 10 3 3 2 2" xfId="8913"/>
    <cellStyle name="표준 23 10 3 3 3" xfId="8914"/>
    <cellStyle name="표준 23 10 3 4" xfId="8915"/>
    <cellStyle name="표준 23 10 3 4 2" xfId="8916"/>
    <cellStyle name="표준 23 10 3 5" xfId="8917"/>
    <cellStyle name="표준 23 10 4" xfId="8918"/>
    <cellStyle name="표준 23 10 4 2" xfId="8919"/>
    <cellStyle name="표준 23 10 4 2 2" xfId="8920"/>
    <cellStyle name="표준 23 10 4 2 2 2" xfId="8921"/>
    <cellStyle name="표준 23 10 4 2 3" xfId="8922"/>
    <cellStyle name="표준 23 10 4 3" xfId="8923"/>
    <cellStyle name="표준 23 10 4 3 2" xfId="8924"/>
    <cellStyle name="표준 23 10 4 4" xfId="8925"/>
    <cellStyle name="표준 23 10 5" xfId="8926"/>
    <cellStyle name="표준 23 10 5 2" xfId="8927"/>
    <cellStyle name="표준 23 10 5 2 2" xfId="8928"/>
    <cellStyle name="표준 23 10 5 3" xfId="8929"/>
    <cellStyle name="표준 23 10 6" xfId="8930"/>
    <cellStyle name="표준 23 10 6 2" xfId="8931"/>
    <cellStyle name="표준 23 10 7" xfId="8932"/>
    <cellStyle name="표준 23 10 8" xfId="8933"/>
    <cellStyle name="표준 23 11" xfId="8934"/>
    <cellStyle name="표준 23 11 2" xfId="8935"/>
    <cellStyle name="표준 23 11 2 2" xfId="8936"/>
    <cellStyle name="표준 23 11 2 2 2" xfId="8937"/>
    <cellStyle name="표준 23 11 2 2 2 2" xfId="8938"/>
    <cellStyle name="표준 23 11 2 2 2 2 2" xfId="8939"/>
    <cellStyle name="표준 23 11 2 2 2 3" xfId="8940"/>
    <cellStyle name="표준 23 11 2 2 3" xfId="8941"/>
    <cellStyle name="표준 23 11 2 2 3 2" xfId="8942"/>
    <cellStyle name="표준 23 11 2 2 4" xfId="8943"/>
    <cellStyle name="표준 23 11 2 3" xfId="8944"/>
    <cellStyle name="표준 23 11 2 3 2" xfId="8945"/>
    <cellStyle name="표준 23 11 2 3 2 2" xfId="8946"/>
    <cellStyle name="표준 23 11 2 3 3" xfId="8947"/>
    <cellStyle name="표준 23 11 2 4" xfId="8948"/>
    <cellStyle name="표준 23 11 2 4 2" xfId="8949"/>
    <cellStyle name="표준 23 11 2 5" xfId="8950"/>
    <cellStyle name="표준 23 11 3" xfId="8951"/>
    <cellStyle name="표준 23 11 3 2" xfId="8952"/>
    <cellStyle name="표준 23 11 3 2 2" xfId="8953"/>
    <cellStyle name="표준 23 11 3 2 2 2" xfId="8954"/>
    <cellStyle name="표준 23 11 3 2 3" xfId="8955"/>
    <cellStyle name="표준 23 11 3 3" xfId="8956"/>
    <cellStyle name="표준 23 11 3 3 2" xfId="8957"/>
    <cellStyle name="표준 23 11 3 4" xfId="8958"/>
    <cellStyle name="표준 23 11 4" xfId="8959"/>
    <cellStyle name="표준 23 11 4 2" xfId="8960"/>
    <cellStyle name="표준 23 11 4 2 2" xfId="8961"/>
    <cellStyle name="표준 23 11 4 3" xfId="8962"/>
    <cellStyle name="표준 23 11 5" xfId="8963"/>
    <cellStyle name="표준 23 11 5 2" xfId="8964"/>
    <cellStyle name="표준 23 11 6" xfId="8965"/>
    <cellStyle name="표준 23 12" xfId="8966"/>
    <cellStyle name="표준 23 12 2" xfId="8967"/>
    <cellStyle name="표준 23 12 2 2" xfId="8968"/>
    <cellStyle name="표준 23 12 2 2 2" xfId="8969"/>
    <cellStyle name="표준 23 12 2 2 2 2" xfId="8970"/>
    <cellStyle name="표준 23 12 2 2 3" xfId="8971"/>
    <cellStyle name="표준 23 12 2 3" xfId="8972"/>
    <cellStyle name="표준 23 12 2 3 2" xfId="8973"/>
    <cellStyle name="표준 23 12 2 4" xfId="8974"/>
    <cellStyle name="표준 23 12 3" xfId="8975"/>
    <cellStyle name="표준 23 12 3 2" xfId="8976"/>
    <cellStyle name="표준 23 12 3 2 2" xfId="8977"/>
    <cellStyle name="표준 23 12 3 3" xfId="8978"/>
    <cellStyle name="표준 23 12 4" xfId="8979"/>
    <cellStyle name="표준 23 12 4 2" xfId="8980"/>
    <cellStyle name="표준 23 12 5" xfId="8981"/>
    <cellStyle name="표준 23 13" xfId="8982"/>
    <cellStyle name="표준 23 13 2" xfId="8983"/>
    <cellStyle name="표준 23 13 2 2" xfId="8984"/>
    <cellStyle name="표준 23 13 2 2 2" xfId="8985"/>
    <cellStyle name="표준 23 13 2 3" xfId="8986"/>
    <cellStyle name="표준 23 13 3" xfId="8987"/>
    <cellStyle name="표준 23 13 3 2" xfId="8988"/>
    <cellStyle name="표준 23 13 4" xfId="8989"/>
    <cellStyle name="표준 23 14" xfId="8990"/>
    <cellStyle name="표준 23 14 2" xfId="8991"/>
    <cellStyle name="표준 23 14 2 2" xfId="8992"/>
    <cellStyle name="표준 23 14 3" xfId="8993"/>
    <cellStyle name="표준 23 15" xfId="8994"/>
    <cellStyle name="표준 23 15 2" xfId="8995"/>
    <cellStyle name="표준 23 16" xfId="8996"/>
    <cellStyle name="표준 23 17" xfId="8997"/>
    <cellStyle name="표준 23 2" xfId="8998"/>
    <cellStyle name="표준 23 3" xfId="8999"/>
    <cellStyle name="표준 23 3 10" xfId="9000"/>
    <cellStyle name="표준 23 3 10 2" xfId="9001"/>
    <cellStyle name="표준 23 3 10 2 2" xfId="9002"/>
    <cellStyle name="표준 23 3 10 2 2 2" xfId="9003"/>
    <cellStyle name="표준 23 3 10 2 2 2 2" xfId="9004"/>
    <cellStyle name="표준 23 3 10 2 2 2 2 2" xfId="9005"/>
    <cellStyle name="표준 23 3 10 2 2 2 3" xfId="9006"/>
    <cellStyle name="표준 23 3 10 2 2 3" xfId="9007"/>
    <cellStyle name="표준 23 3 10 2 2 3 2" xfId="9008"/>
    <cellStyle name="표준 23 3 10 2 2 4" xfId="9009"/>
    <cellStyle name="표준 23 3 10 2 3" xfId="9010"/>
    <cellStyle name="표준 23 3 10 2 3 2" xfId="9011"/>
    <cellStyle name="표준 23 3 10 2 3 2 2" xfId="9012"/>
    <cellStyle name="표준 23 3 10 2 3 3" xfId="9013"/>
    <cellStyle name="표준 23 3 10 2 4" xfId="9014"/>
    <cellStyle name="표준 23 3 10 2 4 2" xfId="9015"/>
    <cellStyle name="표준 23 3 10 2 5" xfId="9016"/>
    <cellStyle name="표준 23 3 10 3" xfId="9017"/>
    <cellStyle name="표준 23 3 10 3 2" xfId="9018"/>
    <cellStyle name="표준 23 3 10 3 2 2" xfId="9019"/>
    <cellStyle name="표준 23 3 10 3 2 2 2" xfId="9020"/>
    <cellStyle name="표준 23 3 10 3 2 3" xfId="9021"/>
    <cellStyle name="표준 23 3 10 3 3" xfId="9022"/>
    <cellStyle name="표준 23 3 10 3 3 2" xfId="9023"/>
    <cellStyle name="표준 23 3 10 3 4" xfId="9024"/>
    <cellStyle name="표준 23 3 10 4" xfId="9025"/>
    <cellStyle name="표준 23 3 10 4 2" xfId="9026"/>
    <cellStyle name="표준 23 3 10 4 2 2" xfId="9027"/>
    <cellStyle name="표준 23 3 10 4 3" xfId="9028"/>
    <cellStyle name="표준 23 3 10 5" xfId="9029"/>
    <cellStyle name="표준 23 3 10 5 2" xfId="9030"/>
    <cellStyle name="표준 23 3 10 6" xfId="9031"/>
    <cellStyle name="표준 23 3 11" xfId="9032"/>
    <cellStyle name="표준 23 3 11 2" xfId="9033"/>
    <cellStyle name="표준 23 3 11 2 2" xfId="9034"/>
    <cellStyle name="표준 23 3 11 2 2 2" xfId="9035"/>
    <cellStyle name="표준 23 3 11 2 2 2 2" xfId="9036"/>
    <cellStyle name="표준 23 3 11 2 2 3" xfId="9037"/>
    <cellStyle name="표준 23 3 11 2 3" xfId="9038"/>
    <cellStyle name="표준 23 3 11 2 3 2" xfId="9039"/>
    <cellStyle name="표준 23 3 11 2 4" xfId="9040"/>
    <cellStyle name="표준 23 3 11 3" xfId="9041"/>
    <cellStyle name="표준 23 3 11 3 2" xfId="9042"/>
    <cellStyle name="표준 23 3 11 3 2 2" xfId="9043"/>
    <cellStyle name="표준 23 3 11 3 3" xfId="9044"/>
    <cellStyle name="표준 23 3 11 4" xfId="9045"/>
    <cellStyle name="표준 23 3 11 4 2" xfId="9046"/>
    <cellStyle name="표준 23 3 11 5" xfId="9047"/>
    <cellStyle name="표준 23 3 12" xfId="9048"/>
    <cellStyle name="표준 23 3 12 2" xfId="9049"/>
    <cellStyle name="표준 23 3 12 2 2" xfId="9050"/>
    <cellStyle name="표준 23 3 12 2 2 2" xfId="9051"/>
    <cellStyle name="표준 23 3 12 2 3" xfId="9052"/>
    <cellStyle name="표준 23 3 12 3" xfId="9053"/>
    <cellStyle name="표준 23 3 12 3 2" xfId="9054"/>
    <cellStyle name="표준 23 3 12 4" xfId="9055"/>
    <cellStyle name="표준 23 3 13" xfId="9056"/>
    <cellStyle name="표준 23 3 13 2" xfId="9057"/>
    <cellStyle name="표준 23 3 13 2 2" xfId="9058"/>
    <cellStyle name="표준 23 3 13 3" xfId="9059"/>
    <cellStyle name="표준 23 3 14" xfId="9060"/>
    <cellStyle name="표준 23 3 14 2" xfId="9061"/>
    <cellStyle name="표준 23 3 15" xfId="9062"/>
    <cellStyle name="표준 23 3 16" xfId="9063"/>
    <cellStyle name="표준 23 3 2" xfId="9064"/>
    <cellStyle name="표준 23 3 2 10" xfId="9065"/>
    <cellStyle name="표준 23 3 2 10 2" xfId="9066"/>
    <cellStyle name="표준 23 3 2 11" xfId="9067"/>
    <cellStyle name="표준 23 3 2 12" xfId="9068"/>
    <cellStyle name="표준 23 3 2 2" xfId="9069"/>
    <cellStyle name="표준 23 3 2 2 10" xfId="9070"/>
    <cellStyle name="표준 23 3 2 2 11" xfId="9071"/>
    <cellStyle name="표준 23 3 2 2 2" xfId="9072"/>
    <cellStyle name="표준 23 3 2 2 2 10" xfId="9073"/>
    <cellStyle name="표준 23 3 2 2 2 2" xfId="9074"/>
    <cellStyle name="표준 23 3 2 2 2 2 2" xfId="9075"/>
    <cellStyle name="표준 23 3 2 2 2 2 2 2" xfId="9076"/>
    <cellStyle name="표준 23 3 2 2 2 2 2 2 2" xfId="9077"/>
    <cellStyle name="표준 23 3 2 2 2 2 2 2 2 2" xfId="9078"/>
    <cellStyle name="표준 23 3 2 2 2 2 2 2 2 2 2" xfId="9079"/>
    <cellStyle name="표준 23 3 2 2 2 2 2 2 2 2 2 2" xfId="9080"/>
    <cellStyle name="표준 23 3 2 2 2 2 2 2 2 2 2 2 2" xfId="9081"/>
    <cellStyle name="표준 23 3 2 2 2 2 2 2 2 2 2 3" xfId="9082"/>
    <cellStyle name="표준 23 3 2 2 2 2 2 2 2 2 3" xfId="9083"/>
    <cellStyle name="표준 23 3 2 2 2 2 2 2 2 2 3 2" xfId="9084"/>
    <cellStyle name="표준 23 3 2 2 2 2 2 2 2 2 4" xfId="9085"/>
    <cellStyle name="표준 23 3 2 2 2 2 2 2 2 3" xfId="9086"/>
    <cellStyle name="표준 23 3 2 2 2 2 2 2 2 3 2" xfId="9087"/>
    <cellStyle name="표준 23 3 2 2 2 2 2 2 2 3 2 2" xfId="9088"/>
    <cellStyle name="표준 23 3 2 2 2 2 2 2 2 3 3" xfId="9089"/>
    <cellStyle name="표준 23 3 2 2 2 2 2 2 2 4" xfId="9090"/>
    <cellStyle name="표준 23 3 2 2 2 2 2 2 2 4 2" xfId="9091"/>
    <cellStyle name="표준 23 3 2 2 2 2 2 2 2 5" xfId="9092"/>
    <cellStyle name="표준 23 3 2 2 2 2 2 2 3" xfId="9093"/>
    <cellStyle name="표준 23 3 2 2 2 2 2 2 3 2" xfId="9094"/>
    <cellStyle name="표준 23 3 2 2 2 2 2 2 3 2 2" xfId="9095"/>
    <cellStyle name="표준 23 3 2 2 2 2 2 2 3 2 2 2" xfId="9096"/>
    <cellStyle name="표준 23 3 2 2 2 2 2 2 3 2 3" xfId="9097"/>
    <cellStyle name="표준 23 3 2 2 2 2 2 2 3 3" xfId="9098"/>
    <cellStyle name="표준 23 3 2 2 2 2 2 2 3 3 2" xfId="9099"/>
    <cellStyle name="표준 23 3 2 2 2 2 2 2 3 4" xfId="9100"/>
    <cellStyle name="표준 23 3 2 2 2 2 2 2 4" xfId="9101"/>
    <cellStyle name="표준 23 3 2 2 2 2 2 2 4 2" xfId="9102"/>
    <cellStyle name="표준 23 3 2 2 2 2 2 2 4 2 2" xfId="9103"/>
    <cellStyle name="표준 23 3 2 2 2 2 2 2 4 3" xfId="9104"/>
    <cellStyle name="표준 23 3 2 2 2 2 2 2 5" xfId="9105"/>
    <cellStyle name="표준 23 3 2 2 2 2 2 2 5 2" xfId="9106"/>
    <cellStyle name="표준 23 3 2 2 2 2 2 2 6" xfId="9107"/>
    <cellStyle name="표준 23 3 2 2 2 2 2 3" xfId="9108"/>
    <cellStyle name="표준 23 3 2 2 2 2 2 3 2" xfId="9109"/>
    <cellStyle name="표준 23 3 2 2 2 2 2 3 2 2" xfId="9110"/>
    <cellStyle name="표준 23 3 2 2 2 2 2 3 2 2 2" xfId="9111"/>
    <cellStyle name="표준 23 3 2 2 2 2 2 3 2 2 2 2" xfId="9112"/>
    <cellStyle name="표준 23 3 2 2 2 2 2 3 2 2 3" xfId="9113"/>
    <cellStyle name="표준 23 3 2 2 2 2 2 3 2 3" xfId="9114"/>
    <cellStyle name="표준 23 3 2 2 2 2 2 3 2 3 2" xfId="9115"/>
    <cellStyle name="표준 23 3 2 2 2 2 2 3 2 4" xfId="9116"/>
    <cellStyle name="표준 23 3 2 2 2 2 2 3 3" xfId="9117"/>
    <cellStyle name="표준 23 3 2 2 2 2 2 3 3 2" xfId="9118"/>
    <cellStyle name="표준 23 3 2 2 2 2 2 3 3 2 2" xfId="9119"/>
    <cellStyle name="표준 23 3 2 2 2 2 2 3 3 3" xfId="9120"/>
    <cellStyle name="표준 23 3 2 2 2 2 2 3 4" xfId="9121"/>
    <cellStyle name="표준 23 3 2 2 2 2 2 3 4 2" xfId="9122"/>
    <cellStyle name="표준 23 3 2 2 2 2 2 3 5" xfId="9123"/>
    <cellStyle name="표준 23 3 2 2 2 2 2 4" xfId="9124"/>
    <cellStyle name="표준 23 3 2 2 2 2 2 4 2" xfId="9125"/>
    <cellStyle name="표준 23 3 2 2 2 2 2 4 2 2" xfId="9126"/>
    <cellStyle name="표준 23 3 2 2 2 2 2 4 2 2 2" xfId="9127"/>
    <cellStyle name="표준 23 3 2 2 2 2 2 4 2 3" xfId="9128"/>
    <cellStyle name="표준 23 3 2 2 2 2 2 4 3" xfId="9129"/>
    <cellStyle name="표준 23 3 2 2 2 2 2 4 3 2" xfId="9130"/>
    <cellStyle name="표준 23 3 2 2 2 2 2 4 4" xfId="9131"/>
    <cellStyle name="표준 23 3 2 2 2 2 2 5" xfId="9132"/>
    <cellStyle name="표준 23 3 2 2 2 2 2 5 2" xfId="9133"/>
    <cellStyle name="표준 23 3 2 2 2 2 2 5 2 2" xfId="9134"/>
    <cellStyle name="표준 23 3 2 2 2 2 2 5 3" xfId="9135"/>
    <cellStyle name="표준 23 3 2 2 2 2 2 6" xfId="9136"/>
    <cellStyle name="표준 23 3 2 2 2 2 2 6 2" xfId="9137"/>
    <cellStyle name="표준 23 3 2 2 2 2 2 7" xfId="9138"/>
    <cellStyle name="표준 23 3 2 2 2 2 2 8" xfId="9139"/>
    <cellStyle name="표준 23 3 2 2 2 2 3" xfId="9140"/>
    <cellStyle name="표준 23 3 2 2 2 2 3 2" xfId="9141"/>
    <cellStyle name="표준 23 3 2 2 2 2 3 2 2" xfId="9142"/>
    <cellStyle name="표준 23 3 2 2 2 2 3 2 2 2" xfId="9143"/>
    <cellStyle name="표준 23 3 2 2 2 2 3 2 2 2 2" xfId="9144"/>
    <cellStyle name="표준 23 3 2 2 2 2 3 2 2 2 2 2" xfId="9145"/>
    <cellStyle name="표준 23 3 2 2 2 2 3 2 2 2 3" xfId="9146"/>
    <cellStyle name="표준 23 3 2 2 2 2 3 2 2 3" xfId="9147"/>
    <cellStyle name="표준 23 3 2 2 2 2 3 2 2 3 2" xfId="9148"/>
    <cellStyle name="표준 23 3 2 2 2 2 3 2 2 4" xfId="9149"/>
    <cellStyle name="표준 23 3 2 2 2 2 3 2 3" xfId="9150"/>
    <cellStyle name="표준 23 3 2 2 2 2 3 2 3 2" xfId="9151"/>
    <cellStyle name="표준 23 3 2 2 2 2 3 2 3 2 2" xfId="9152"/>
    <cellStyle name="표준 23 3 2 2 2 2 3 2 3 3" xfId="9153"/>
    <cellStyle name="표준 23 3 2 2 2 2 3 2 4" xfId="9154"/>
    <cellStyle name="표준 23 3 2 2 2 2 3 2 4 2" xfId="9155"/>
    <cellStyle name="표준 23 3 2 2 2 2 3 2 5" xfId="9156"/>
    <cellStyle name="표준 23 3 2 2 2 2 3 3" xfId="9157"/>
    <cellStyle name="표준 23 3 2 2 2 2 3 3 2" xfId="9158"/>
    <cellStyle name="표준 23 3 2 2 2 2 3 3 2 2" xfId="9159"/>
    <cellStyle name="표준 23 3 2 2 2 2 3 3 2 2 2" xfId="9160"/>
    <cellStyle name="표준 23 3 2 2 2 2 3 3 2 3" xfId="9161"/>
    <cellStyle name="표준 23 3 2 2 2 2 3 3 3" xfId="9162"/>
    <cellStyle name="표준 23 3 2 2 2 2 3 3 3 2" xfId="9163"/>
    <cellStyle name="표준 23 3 2 2 2 2 3 3 4" xfId="9164"/>
    <cellStyle name="표준 23 3 2 2 2 2 3 4" xfId="9165"/>
    <cellStyle name="표준 23 3 2 2 2 2 3 4 2" xfId="9166"/>
    <cellStyle name="표준 23 3 2 2 2 2 3 4 2 2" xfId="9167"/>
    <cellStyle name="표준 23 3 2 2 2 2 3 4 3" xfId="9168"/>
    <cellStyle name="표준 23 3 2 2 2 2 3 5" xfId="9169"/>
    <cellStyle name="표준 23 3 2 2 2 2 3 5 2" xfId="9170"/>
    <cellStyle name="표준 23 3 2 2 2 2 3 6" xfId="9171"/>
    <cellStyle name="표준 23 3 2 2 2 2 4" xfId="9172"/>
    <cellStyle name="표준 23 3 2 2 2 2 4 2" xfId="9173"/>
    <cellStyle name="표준 23 3 2 2 2 2 4 2 2" xfId="9174"/>
    <cellStyle name="표준 23 3 2 2 2 2 4 2 2 2" xfId="9175"/>
    <cellStyle name="표준 23 3 2 2 2 2 4 2 2 2 2" xfId="9176"/>
    <cellStyle name="표준 23 3 2 2 2 2 4 2 2 3" xfId="9177"/>
    <cellStyle name="표준 23 3 2 2 2 2 4 2 3" xfId="9178"/>
    <cellStyle name="표준 23 3 2 2 2 2 4 2 3 2" xfId="9179"/>
    <cellStyle name="표준 23 3 2 2 2 2 4 2 4" xfId="9180"/>
    <cellStyle name="표준 23 3 2 2 2 2 4 3" xfId="9181"/>
    <cellStyle name="표준 23 3 2 2 2 2 4 3 2" xfId="9182"/>
    <cellStyle name="표준 23 3 2 2 2 2 4 3 2 2" xfId="9183"/>
    <cellStyle name="표준 23 3 2 2 2 2 4 3 3" xfId="9184"/>
    <cellStyle name="표준 23 3 2 2 2 2 4 4" xfId="9185"/>
    <cellStyle name="표준 23 3 2 2 2 2 4 4 2" xfId="9186"/>
    <cellStyle name="표준 23 3 2 2 2 2 4 5" xfId="9187"/>
    <cellStyle name="표준 23 3 2 2 2 2 5" xfId="9188"/>
    <cellStyle name="표준 23 3 2 2 2 2 5 2" xfId="9189"/>
    <cellStyle name="표준 23 3 2 2 2 2 5 2 2" xfId="9190"/>
    <cellStyle name="표준 23 3 2 2 2 2 5 2 2 2" xfId="9191"/>
    <cellStyle name="표준 23 3 2 2 2 2 5 2 3" xfId="9192"/>
    <cellStyle name="표준 23 3 2 2 2 2 5 3" xfId="9193"/>
    <cellStyle name="표준 23 3 2 2 2 2 5 3 2" xfId="9194"/>
    <cellStyle name="표준 23 3 2 2 2 2 5 4" xfId="9195"/>
    <cellStyle name="표준 23 3 2 2 2 2 6" xfId="9196"/>
    <cellStyle name="표준 23 3 2 2 2 2 6 2" xfId="9197"/>
    <cellStyle name="표준 23 3 2 2 2 2 6 2 2" xfId="9198"/>
    <cellStyle name="표준 23 3 2 2 2 2 6 3" xfId="9199"/>
    <cellStyle name="표준 23 3 2 2 2 2 7" xfId="9200"/>
    <cellStyle name="표준 23 3 2 2 2 2 7 2" xfId="9201"/>
    <cellStyle name="표준 23 3 2 2 2 2 8" xfId="9202"/>
    <cellStyle name="표준 23 3 2 2 2 2 9" xfId="9203"/>
    <cellStyle name="표준 23 3 2 2 2 3" xfId="9204"/>
    <cellStyle name="표준 23 3 2 2 2 3 2" xfId="9205"/>
    <cellStyle name="표준 23 3 2 2 2 3 2 2" xfId="9206"/>
    <cellStyle name="표준 23 3 2 2 2 3 2 2 2" xfId="9207"/>
    <cellStyle name="표준 23 3 2 2 2 3 2 2 2 2" xfId="9208"/>
    <cellStyle name="표준 23 3 2 2 2 3 2 2 2 2 2" xfId="9209"/>
    <cellStyle name="표준 23 3 2 2 2 3 2 2 2 2 2 2" xfId="9210"/>
    <cellStyle name="표준 23 3 2 2 2 3 2 2 2 2 3" xfId="9211"/>
    <cellStyle name="표준 23 3 2 2 2 3 2 2 2 3" xfId="9212"/>
    <cellStyle name="표준 23 3 2 2 2 3 2 2 2 3 2" xfId="9213"/>
    <cellStyle name="표준 23 3 2 2 2 3 2 2 2 4" xfId="9214"/>
    <cellStyle name="표준 23 3 2 2 2 3 2 2 3" xfId="9215"/>
    <cellStyle name="표준 23 3 2 2 2 3 2 2 3 2" xfId="9216"/>
    <cellStyle name="표준 23 3 2 2 2 3 2 2 3 2 2" xfId="9217"/>
    <cellStyle name="표준 23 3 2 2 2 3 2 2 3 3" xfId="9218"/>
    <cellStyle name="표준 23 3 2 2 2 3 2 2 4" xfId="9219"/>
    <cellStyle name="표준 23 3 2 2 2 3 2 2 4 2" xfId="9220"/>
    <cellStyle name="표준 23 3 2 2 2 3 2 2 5" xfId="9221"/>
    <cellStyle name="표준 23 3 2 2 2 3 2 3" xfId="9222"/>
    <cellStyle name="표준 23 3 2 2 2 3 2 3 2" xfId="9223"/>
    <cellStyle name="표준 23 3 2 2 2 3 2 3 2 2" xfId="9224"/>
    <cellStyle name="표준 23 3 2 2 2 3 2 3 2 2 2" xfId="9225"/>
    <cellStyle name="표준 23 3 2 2 2 3 2 3 2 3" xfId="9226"/>
    <cellStyle name="표준 23 3 2 2 2 3 2 3 3" xfId="9227"/>
    <cellStyle name="표준 23 3 2 2 2 3 2 3 3 2" xfId="9228"/>
    <cellStyle name="표준 23 3 2 2 2 3 2 3 4" xfId="9229"/>
    <cellStyle name="표준 23 3 2 2 2 3 2 4" xfId="9230"/>
    <cellStyle name="표준 23 3 2 2 2 3 2 4 2" xfId="9231"/>
    <cellStyle name="표준 23 3 2 2 2 3 2 4 2 2" xfId="9232"/>
    <cellStyle name="표준 23 3 2 2 2 3 2 4 3" xfId="9233"/>
    <cellStyle name="표준 23 3 2 2 2 3 2 5" xfId="9234"/>
    <cellStyle name="표준 23 3 2 2 2 3 2 5 2" xfId="9235"/>
    <cellStyle name="표준 23 3 2 2 2 3 2 6" xfId="9236"/>
    <cellStyle name="표준 23 3 2 2 2 3 3" xfId="9237"/>
    <cellStyle name="표준 23 3 2 2 2 3 3 2" xfId="9238"/>
    <cellStyle name="표준 23 3 2 2 2 3 3 2 2" xfId="9239"/>
    <cellStyle name="표준 23 3 2 2 2 3 3 2 2 2" xfId="9240"/>
    <cellStyle name="표준 23 3 2 2 2 3 3 2 2 2 2" xfId="9241"/>
    <cellStyle name="표준 23 3 2 2 2 3 3 2 2 3" xfId="9242"/>
    <cellStyle name="표준 23 3 2 2 2 3 3 2 3" xfId="9243"/>
    <cellStyle name="표준 23 3 2 2 2 3 3 2 3 2" xfId="9244"/>
    <cellStyle name="표준 23 3 2 2 2 3 3 2 4" xfId="9245"/>
    <cellStyle name="표준 23 3 2 2 2 3 3 3" xfId="9246"/>
    <cellStyle name="표준 23 3 2 2 2 3 3 3 2" xfId="9247"/>
    <cellStyle name="표준 23 3 2 2 2 3 3 3 2 2" xfId="9248"/>
    <cellStyle name="표준 23 3 2 2 2 3 3 3 3" xfId="9249"/>
    <cellStyle name="표준 23 3 2 2 2 3 3 4" xfId="9250"/>
    <cellStyle name="표준 23 3 2 2 2 3 3 4 2" xfId="9251"/>
    <cellStyle name="표준 23 3 2 2 2 3 3 5" xfId="9252"/>
    <cellStyle name="표준 23 3 2 2 2 3 4" xfId="9253"/>
    <cellStyle name="표준 23 3 2 2 2 3 4 2" xfId="9254"/>
    <cellStyle name="표준 23 3 2 2 2 3 4 2 2" xfId="9255"/>
    <cellStyle name="표준 23 3 2 2 2 3 4 2 2 2" xfId="9256"/>
    <cellStyle name="표준 23 3 2 2 2 3 4 2 3" xfId="9257"/>
    <cellStyle name="표준 23 3 2 2 2 3 4 3" xfId="9258"/>
    <cellStyle name="표준 23 3 2 2 2 3 4 3 2" xfId="9259"/>
    <cellStyle name="표준 23 3 2 2 2 3 4 4" xfId="9260"/>
    <cellStyle name="표준 23 3 2 2 2 3 5" xfId="9261"/>
    <cellStyle name="표준 23 3 2 2 2 3 5 2" xfId="9262"/>
    <cellStyle name="표준 23 3 2 2 2 3 5 2 2" xfId="9263"/>
    <cellStyle name="표준 23 3 2 2 2 3 5 3" xfId="9264"/>
    <cellStyle name="표준 23 3 2 2 2 3 6" xfId="9265"/>
    <cellStyle name="표준 23 3 2 2 2 3 6 2" xfId="9266"/>
    <cellStyle name="표준 23 3 2 2 2 3 7" xfId="9267"/>
    <cellStyle name="표준 23 3 2 2 2 3 8" xfId="9268"/>
    <cellStyle name="표준 23 3 2 2 2 4" xfId="9269"/>
    <cellStyle name="표준 23 3 2 2 2 4 2" xfId="9270"/>
    <cellStyle name="표준 23 3 2 2 2 4 2 2" xfId="9271"/>
    <cellStyle name="표준 23 3 2 2 2 4 2 2 2" xfId="9272"/>
    <cellStyle name="표준 23 3 2 2 2 4 2 2 2 2" xfId="9273"/>
    <cellStyle name="표준 23 3 2 2 2 4 2 2 2 2 2" xfId="9274"/>
    <cellStyle name="표준 23 3 2 2 2 4 2 2 2 3" xfId="9275"/>
    <cellStyle name="표준 23 3 2 2 2 4 2 2 3" xfId="9276"/>
    <cellStyle name="표준 23 3 2 2 2 4 2 2 3 2" xfId="9277"/>
    <cellStyle name="표준 23 3 2 2 2 4 2 2 4" xfId="9278"/>
    <cellStyle name="표준 23 3 2 2 2 4 2 3" xfId="9279"/>
    <cellStyle name="표준 23 3 2 2 2 4 2 3 2" xfId="9280"/>
    <cellStyle name="표준 23 3 2 2 2 4 2 3 2 2" xfId="9281"/>
    <cellStyle name="표준 23 3 2 2 2 4 2 3 3" xfId="9282"/>
    <cellStyle name="표준 23 3 2 2 2 4 2 4" xfId="9283"/>
    <cellStyle name="표준 23 3 2 2 2 4 2 4 2" xfId="9284"/>
    <cellStyle name="표준 23 3 2 2 2 4 2 5" xfId="9285"/>
    <cellStyle name="표준 23 3 2 2 2 4 3" xfId="9286"/>
    <cellStyle name="표준 23 3 2 2 2 4 3 2" xfId="9287"/>
    <cellStyle name="표준 23 3 2 2 2 4 3 2 2" xfId="9288"/>
    <cellStyle name="표준 23 3 2 2 2 4 3 2 2 2" xfId="9289"/>
    <cellStyle name="표준 23 3 2 2 2 4 3 2 3" xfId="9290"/>
    <cellStyle name="표준 23 3 2 2 2 4 3 3" xfId="9291"/>
    <cellStyle name="표준 23 3 2 2 2 4 3 3 2" xfId="9292"/>
    <cellStyle name="표준 23 3 2 2 2 4 3 4" xfId="9293"/>
    <cellStyle name="표준 23 3 2 2 2 4 4" xfId="9294"/>
    <cellStyle name="표준 23 3 2 2 2 4 4 2" xfId="9295"/>
    <cellStyle name="표준 23 3 2 2 2 4 4 2 2" xfId="9296"/>
    <cellStyle name="표준 23 3 2 2 2 4 4 3" xfId="9297"/>
    <cellStyle name="표준 23 3 2 2 2 4 5" xfId="9298"/>
    <cellStyle name="표준 23 3 2 2 2 4 5 2" xfId="9299"/>
    <cellStyle name="표준 23 3 2 2 2 4 6" xfId="9300"/>
    <cellStyle name="표준 23 3 2 2 2 5" xfId="9301"/>
    <cellStyle name="표준 23 3 2 2 2 5 2" xfId="9302"/>
    <cellStyle name="표준 23 3 2 2 2 5 2 2" xfId="9303"/>
    <cellStyle name="표준 23 3 2 2 2 5 2 2 2" xfId="9304"/>
    <cellStyle name="표준 23 3 2 2 2 5 2 2 2 2" xfId="9305"/>
    <cellStyle name="표준 23 3 2 2 2 5 2 2 3" xfId="9306"/>
    <cellStyle name="표준 23 3 2 2 2 5 2 3" xfId="9307"/>
    <cellStyle name="표준 23 3 2 2 2 5 2 3 2" xfId="9308"/>
    <cellStyle name="표준 23 3 2 2 2 5 2 4" xfId="9309"/>
    <cellStyle name="표준 23 3 2 2 2 5 3" xfId="9310"/>
    <cellStyle name="표준 23 3 2 2 2 5 3 2" xfId="9311"/>
    <cellStyle name="표준 23 3 2 2 2 5 3 2 2" xfId="9312"/>
    <cellStyle name="표준 23 3 2 2 2 5 3 3" xfId="9313"/>
    <cellStyle name="표준 23 3 2 2 2 5 4" xfId="9314"/>
    <cellStyle name="표준 23 3 2 2 2 5 4 2" xfId="9315"/>
    <cellStyle name="표준 23 3 2 2 2 5 5" xfId="9316"/>
    <cellStyle name="표준 23 3 2 2 2 6" xfId="9317"/>
    <cellStyle name="표준 23 3 2 2 2 6 2" xfId="9318"/>
    <cellStyle name="표준 23 3 2 2 2 6 2 2" xfId="9319"/>
    <cellStyle name="표준 23 3 2 2 2 6 2 2 2" xfId="9320"/>
    <cellStyle name="표준 23 3 2 2 2 6 2 3" xfId="9321"/>
    <cellStyle name="표준 23 3 2 2 2 6 3" xfId="9322"/>
    <cellStyle name="표준 23 3 2 2 2 6 3 2" xfId="9323"/>
    <cellStyle name="표준 23 3 2 2 2 6 4" xfId="9324"/>
    <cellStyle name="표준 23 3 2 2 2 7" xfId="9325"/>
    <cellStyle name="표준 23 3 2 2 2 7 2" xfId="9326"/>
    <cellStyle name="표준 23 3 2 2 2 7 2 2" xfId="9327"/>
    <cellStyle name="표준 23 3 2 2 2 7 3" xfId="9328"/>
    <cellStyle name="표준 23 3 2 2 2 8" xfId="9329"/>
    <cellStyle name="표준 23 3 2 2 2 8 2" xfId="9330"/>
    <cellStyle name="표준 23 3 2 2 2 9" xfId="9331"/>
    <cellStyle name="표준 23 3 2 2 3" xfId="9332"/>
    <cellStyle name="표준 23 3 2 2 3 2" xfId="9333"/>
    <cellStyle name="표준 23 3 2 2 3 2 2" xfId="9334"/>
    <cellStyle name="표준 23 3 2 2 3 2 2 2" xfId="9335"/>
    <cellStyle name="표준 23 3 2 2 3 2 2 2 2" xfId="9336"/>
    <cellStyle name="표준 23 3 2 2 3 2 2 2 2 2" xfId="9337"/>
    <cellStyle name="표준 23 3 2 2 3 2 2 2 2 2 2" xfId="9338"/>
    <cellStyle name="표준 23 3 2 2 3 2 2 2 2 2 2 2" xfId="9339"/>
    <cellStyle name="표준 23 3 2 2 3 2 2 2 2 2 3" xfId="9340"/>
    <cellStyle name="표준 23 3 2 2 3 2 2 2 2 3" xfId="9341"/>
    <cellStyle name="표준 23 3 2 2 3 2 2 2 2 3 2" xfId="9342"/>
    <cellStyle name="표준 23 3 2 2 3 2 2 2 2 4" xfId="9343"/>
    <cellStyle name="표준 23 3 2 2 3 2 2 2 3" xfId="9344"/>
    <cellStyle name="표준 23 3 2 2 3 2 2 2 3 2" xfId="9345"/>
    <cellStyle name="표준 23 3 2 2 3 2 2 2 3 2 2" xfId="9346"/>
    <cellStyle name="표준 23 3 2 2 3 2 2 2 3 3" xfId="9347"/>
    <cellStyle name="표준 23 3 2 2 3 2 2 2 4" xfId="9348"/>
    <cellStyle name="표준 23 3 2 2 3 2 2 2 4 2" xfId="9349"/>
    <cellStyle name="표준 23 3 2 2 3 2 2 2 5" xfId="9350"/>
    <cellStyle name="표준 23 3 2 2 3 2 2 3" xfId="9351"/>
    <cellStyle name="표준 23 3 2 2 3 2 2 3 2" xfId="9352"/>
    <cellStyle name="표준 23 3 2 2 3 2 2 3 2 2" xfId="9353"/>
    <cellStyle name="표준 23 3 2 2 3 2 2 3 2 2 2" xfId="9354"/>
    <cellStyle name="표준 23 3 2 2 3 2 2 3 2 3" xfId="9355"/>
    <cellStyle name="표준 23 3 2 2 3 2 2 3 3" xfId="9356"/>
    <cellStyle name="표준 23 3 2 2 3 2 2 3 3 2" xfId="9357"/>
    <cellStyle name="표준 23 3 2 2 3 2 2 3 4" xfId="9358"/>
    <cellStyle name="표준 23 3 2 2 3 2 2 4" xfId="9359"/>
    <cellStyle name="표준 23 3 2 2 3 2 2 4 2" xfId="9360"/>
    <cellStyle name="표준 23 3 2 2 3 2 2 4 2 2" xfId="9361"/>
    <cellStyle name="표준 23 3 2 2 3 2 2 4 3" xfId="9362"/>
    <cellStyle name="표준 23 3 2 2 3 2 2 5" xfId="9363"/>
    <cellStyle name="표준 23 3 2 2 3 2 2 5 2" xfId="9364"/>
    <cellStyle name="표준 23 3 2 2 3 2 2 6" xfId="9365"/>
    <cellStyle name="표준 23 3 2 2 3 2 3" xfId="9366"/>
    <cellStyle name="표준 23 3 2 2 3 2 3 2" xfId="9367"/>
    <cellStyle name="표준 23 3 2 2 3 2 3 2 2" xfId="9368"/>
    <cellStyle name="표준 23 3 2 2 3 2 3 2 2 2" xfId="9369"/>
    <cellStyle name="표준 23 3 2 2 3 2 3 2 2 2 2" xfId="9370"/>
    <cellStyle name="표준 23 3 2 2 3 2 3 2 2 3" xfId="9371"/>
    <cellStyle name="표준 23 3 2 2 3 2 3 2 3" xfId="9372"/>
    <cellStyle name="표준 23 3 2 2 3 2 3 2 3 2" xfId="9373"/>
    <cellStyle name="표준 23 3 2 2 3 2 3 2 4" xfId="9374"/>
    <cellStyle name="표준 23 3 2 2 3 2 3 3" xfId="9375"/>
    <cellStyle name="표준 23 3 2 2 3 2 3 3 2" xfId="9376"/>
    <cellStyle name="표준 23 3 2 2 3 2 3 3 2 2" xfId="9377"/>
    <cellStyle name="표준 23 3 2 2 3 2 3 3 3" xfId="9378"/>
    <cellStyle name="표준 23 3 2 2 3 2 3 4" xfId="9379"/>
    <cellStyle name="표준 23 3 2 2 3 2 3 4 2" xfId="9380"/>
    <cellStyle name="표준 23 3 2 2 3 2 3 5" xfId="9381"/>
    <cellStyle name="표준 23 3 2 2 3 2 4" xfId="9382"/>
    <cellStyle name="표준 23 3 2 2 3 2 4 2" xfId="9383"/>
    <cellStyle name="표준 23 3 2 2 3 2 4 2 2" xfId="9384"/>
    <cellStyle name="표준 23 3 2 2 3 2 4 2 2 2" xfId="9385"/>
    <cellStyle name="표준 23 3 2 2 3 2 4 2 3" xfId="9386"/>
    <cellStyle name="표준 23 3 2 2 3 2 4 3" xfId="9387"/>
    <cellStyle name="표준 23 3 2 2 3 2 4 3 2" xfId="9388"/>
    <cellStyle name="표준 23 3 2 2 3 2 4 4" xfId="9389"/>
    <cellStyle name="표준 23 3 2 2 3 2 5" xfId="9390"/>
    <cellStyle name="표준 23 3 2 2 3 2 5 2" xfId="9391"/>
    <cellStyle name="표준 23 3 2 2 3 2 5 2 2" xfId="9392"/>
    <cellStyle name="표준 23 3 2 2 3 2 5 3" xfId="9393"/>
    <cellStyle name="표준 23 3 2 2 3 2 6" xfId="9394"/>
    <cellStyle name="표준 23 3 2 2 3 2 6 2" xfId="9395"/>
    <cellStyle name="표준 23 3 2 2 3 2 7" xfId="9396"/>
    <cellStyle name="표준 23 3 2 2 3 2 8" xfId="9397"/>
    <cellStyle name="표준 23 3 2 2 3 3" xfId="9398"/>
    <cellStyle name="표준 23 3 2 2 3 3 2" xfId="9399"/>
    <cellStyle name="표준 23 3 2 2 3 3 2 2" xfId="9400"/>
    <cellStyle name="표준 23 3 2 2 3 3 2 2 2" xfId="9401"/>
    <cellStyle name="표준 23 3 2 2 3 3 2 2 2 2" xfId="9402"/>
    <cellStyle name="표준 23 3 2 2 3 3 2 2 2 2 2" xfId="9403"/>
    <cellStyle name="표준 23 3 2 2 3 3 2 2 2 3" xfId="9404"/>
    <cellStyle name="표준 23 3 2 2 3 3 2 2 3" xfId="9405"/>
    <cellStyle name="표준 23 3 2 2 3 3 2 2 3 2" xfId="9406"/>
    <cellStyle name="표준 23 3 2 2 3 3 2 2 4" xfId="9407"/>
    <cellStyle name="표준 23 3 2 2 3 3 2 3" xfId="9408"/>
    <cellStyle name="표준 23 3 2 2 3 3 2 3 2" xfId="9409"/>
    <cellStyle name="표준 23 3 2 2 3 3 2 3 2 2" xfId="9410"/>
    <cellStyle name="표준 23 3 2 2 3 3 2 3 3" xfId="9411"/>
    <cellStyle name="표준 23 3 2 2 3 3 2 4" xfId="9412"/>
    <cellStyle name="표준 23 3 2 2 3 3 2 4 2" xfId="9413"/>
    <cellStyle name="표준 23 3 2 2 3 3 2 5" xfId="9414"/>
    <cellStyle name="표준 23 3 2 2 3 3 3" xfId="9415"/>
    <cellStyle name="표준 23 3 2 2 3 3 3 2" xfId="9416"/>
    <cellStyle name="표준 23 3 2 2 3 3 3 2 2" xfId="9417"/>
    <cellStyle name="표준 23 3 2 2 3 3 3 2 2 2" xfId="9418"/>
    <cellStyle name="표준 23 3 2 2 3 3 3 2 3" xfId="9419"/>
    <cellStyle name="표준 23 3 2 2 3 3 3 3" xfId="9420"/>
    <cellStyle name="표준 23 3 2 2 3 3 3 3 2" xfId="9421"/>
    <cellStyle name="표준 23 3 2 2 3 3 3 4" xfId="9422"/>
    <cellStyle name="표준 23 3 2 2 3 3 4" xfId="9423"/>
    <cellStyle name="표준 23 3 2 2 3 3 4 2" xfId="9424"/>
    <cellStyle name="표준 23 3 2 2 3 3 4 2 2" xfId="9425"/>
    <cellStyle name="표준 23 3 2 2 3 3 4 3" xfId="9426"/>
    <cellStyle name="표준 23 3 2 2 3 3 5" xfId="9427"/>
    <cellStyle name="표준 23 3 2 2 3 3 5 2" xfId="9428"/>
    <cellStyle name="표준 23 3 2 2 3 3 6" xfId="9429"/>
    <cellStyle name="표준 23 3 2 2 3 4" xfId="9430"/>
    <cellStyle name="표준 23 3 2 2 3 4 2" xfId="9431"/>
    <cellStyle name="표준 23 3 2 2 3 4 2 2" xfId="9432"/>
    <cellStyle name="표준 23 3 2 2 3 4 2 2 2" xfId="9433"/>
    <cellStyle name="표준 23 3 2 2 3 4 2 2 2 2" xfId="9434"/>
    <cellStyle name="표준 23 3 2 2 3 4 2 2 3" xfId="9435"/>
    <cellStyle name="표준 23 3 2 2 3 4 2 3" xfId="9436"/>
    <cellStyle name="표준 23 3 2 2 3 4 2 3 2" xfId="9437"/>
    <cellStyle name="표준 23 3 2 2 3 4 2 4" xfId="9438"/>
    <cellStyle name="표준 23 3 2 2 3 4 3" xfId="9439"/>
    <cellStyle name="표준 23 3 2 2 3 4 3 2" xfId="9440"/>
    <cellStyle name="표준 23 3 2 2 3 4 3 2 2" xfId="9441"/>
    <cellStyle name="표준 23 3 2 2 3 4 3 3" xfId="9442"/>
    <cellStyle name="표준 23 3 2 2 3 4 4" xfId="9443"/>
    <cellStyle name="표준 23 3 2 2 3 4 4 2" xfId="9444"/>
    <cellStyle name="표준 23 3 2 2 3 4 5" xfId="9445"/>
    <cellStyle name="표준 23 3 2 2 3 5" xfId="9446"/>
    <cellStyle name="표준 23 3 2 2 3 5 2" xfId="9447"/>
    <cellStyle name="표준 23 3 2 2 3 5 2 2" xfId="9448"/>
    <cellStyle name="표준 23 3 2 2 3 5 2 2 2" xfId="9449"/>
    <cellStyle name="표준 23 3 2 2 3 5 2 3" xfId="9450"/>
    <cellStyle name="표준 23 3 2 2 3 5 3" xfId="9451"/>
    <cellStyle name="표준 23 3 2 2 3 5 3 2" xfId="9452"/>
    <cellStyle name="표준 23 3 2 2 3 5 4" xfId="9453"/>
    <cellStyle name="표준 23 3 2 2 3 6" xfId="9454"/>
    <cellStyle name="표준 23 3 2 2 3 6 2" xfId="9455"/>
    <cellStyle name="표준 23 3 2 2 3 6 2 2" xfId="9456"/>
    <cellStyle name="표준 23 3 2 2 3 6 3" xfId="9457"/>
    <cellStyle name="표준 23 3 2 2 3 7" xfId="9458"/>
    <cellStyle name="표준 23 3 2 2 3 7 2" xfId="9459"/>
    <cellStyle name="표준 23 3 2 2 3 8" xfId="9460"/>
    <cellStyle name="표준 23 3 2 2 3 9" xfId="9461"/>
    <cellStyle name="표준 23 3 2 2 4" xfId="9462"/>
    <cellStyle name="표준 23 3 2 2 4 2" xfId="9463"/>
    <cellStyle name="표준 23 3 2 2 4 2 2" xfId="9464"/>
    <cellStyle name="표준 23 3 2 2 4 2 2 2" xfId="9465"/>
    <cellStyle name="표준 23 3 2 2 4 2 2 2 2" xfId="9466"/>
    <cellStyle name="표준 23 3 2 2 4 2 2 2 2 2" xfId="9467"/>
    <cellStyle name="표준 23 3 2 2 4 2 2 2 2 2 2" xfId="9468"/>
    <cellStyle name="표준 23 3 2 2 4 2 2 2 2 3" xfId="9469"/>
    <cellStyle name="표준 23 3 2 2 4 2 2 2 3" xfId="9470"/>
    <cellStyle name="표준 23 3 2 2 4 2 2 2 3 2" xfId="9471"/>
    <cellStyle name="표준 23 3 2 2 4 2 2 2 4" xfId="9472"/>
    <cellStyle name="표준 23 3 2 2 4 2 2 3" xfId="9473"/>
    <cellStyle name="표준 23 3 2 2 4 2 2 3 2" xfId="9474"/>
    <cellStyle name="표준 23 3 2 2 4 2 2 3 2 2" xfId="9475"/>
    <cellStyle name="표준 23 3 2 2 4 2 2 3 3" xfId="9476"/>
    <cellStyle name="표준 23 3 2 2 4 2 2 4" xfId="9477"/>
    <cellStyle name="표준 23 3 2 2 4 2 2 4 2" xfId="9478"/>
    <cellStyle name="표준 23 3 2 2 4 2 2 5" xfId="9479"/>
    <cellStyle name="표준 23 3 2 2 4 2 3" xfId="9480"/>
    <cellStyle name="표준 23 3 2 2 4 2 3 2" xfId="9481"/>
    <cellStyle name="표준 23 3 2 2 4 2 3 2 2" xfId="9482"/>
    <cellStyle name="표준 23 3 2 2 4 2 3 2 2 2" xfId="9483"/>
    <cellStyle name="표준 23 3 2 2 4 2 3 2 3" xfId="9484"/>
    <cellStyle name="표준 23 3 2 2 4 2 3 3" xfId="9485"/>
    <cellStyle name="표준 23 3 2 2 4 2 3 3 2" xfId="9486"/>
    <cellStyle name="표준 23 3 2 2 4 2 3 4" xfId="9487"/>
    <cellStyle name="표준 23 3 2 2 4 2 4" xfId="9488"/>
    <cellStyle name="표준 23 3 2 2 4 2 4 2" xfId="9489"/>
    <cellStyle name="표준 23 3 2 2 4 2 4 2 2" xfId="9490"/>
    <cellStyle name="표준 23 3 2 2 4 2 4 3" xfId="9491"/>
    <cellStyle name="표준 23 3 2 2 4 2 5" xfId="9492"/>
    <cellStyle name="표준 23 3 2 2 4 2 5 2" xfId="9493"/>
    <cellStyle name="표준 23 3 2 2 4 2 6" xfId="9494"/>
    <cellStyle name="표준 23 3 2 2 4 3" xfId="9495"/>
    <cellStyle name="표준 23 3 2 2 4 3 2" xfId="9496"/>
    <cellStyle name="표준 23 3 2 2 4 3 2 2" xfId="9497"/>
    <cellStyle name="표준 23 3 2 2 4 3 2 2 2" xfId="9498"/>
    <cellStyle name="표준 23 3 2 2 4 3 2 2 2 2" xfId="9499"/>
    <cellStyle name="표준 23 3 2 2 4 3 2 2 3" xfId="9500"/>
    <cellStyle name="표준 23 3 2 2 4 3 2 3" xfId="9501"/>
    <cellStyle name="표준 23 3 2 2 4 3 2 3 2" xfId="9502"/>
    <cellStyle name="표준 23 3 2 2 4 3 2 4" xfId="9503"/>
    <cellStyle name="표준 23 3 2 2 4 3 3" xfId="9504"/>
    <cellStyle name="표준 23 3 2 2 4 3 3 2" xfId="9505"/>
    <cellStyle name="표준 23 3 2 2 4 3 3 2 2" xfId="9506"/>
    <cellStyle name="표준 23 3 2 2 4 3 3 3" xfId="9507"/>
    <cellStyle name="표준 23 3 2 2 4 3 4" xfId="9508"/>
    <cellStyle name="표준 23 3 2 2 4 3 4 2" xfId="9509"/>
    <cellStyle name="표준 23 3 2 2 4 3 5" xfId="9510"/>
    <cellStyle name="표준 23 3 2 2 4 4" xfId="9511"/>
    <cellStyle name="표준 23 3 2 2 4 4 2" xfId="9512"/>
    <cellStyle name="표준 23 3 2 2 4 4 2 2" xfId="9513"/>
    <cellStyle name="표준 23 3 2 2 4 4 2 2 2" xfId="9514"/>
    <cellStyle name="표준 23 3 2 2 4 4 2 3" xfId="9515"/>
    <cellStyle name="표준 23 3 2 2 4 4 3" xfId="9516"/>
    <cellStyle name="표준 23 3 2 2 4 4 3 2" xfId="9517"/>
    <cellStyle name="표준 23 3 2 2 4 4 4" xfId="9518"/>
    <cellStyle name="표준 23 3 2 2 4 5" xfId="9519"/>
    <cellStyle name="표준 23 3 2 2 4 5 2" xfId="9520"/>
    <cellStyle name="표준 23 3 2 2 4 5 2 2" xfId="9521"/>
    <cellStyle name="표준 23 3 2 2 4 5 3" xfId="9522"/>
    <cellStyle name="표준 23 3 2 2 4 6" xfId="9523"/>
    <cellStyle name="표준 23 3 2 2 4 6 2" xfId="9524"/>
    <cellStyle name="표준 23 3 2 2 4 7" xfId="9525"/>
    <cellStyle name="표준 23 3 2 2 4 8" xfId="9526"/>
    <cellStyle name="표준 23 3 2 2 5" xfId="9527"/>
    <cellStyle name="표준 23 3 2 2 5 2" xfId="9528"/>
    <cellStyle name="표준 23 3 2 2 5 2 2" xfId="9529"/>
    <cellStyle name="표준 23 3 2 2 5 2 2 2" xfId="9530"/>
    <cellStyle name="표준 23 3 2 2 5 2 2 2 2" xfId="9531"/>
    <cellStyle name="표준 23 3 2 2 5 2 2 2 2 2" xfId="9532"/>
    <cellStyle name="표준 23 3 2 2 5 2 2 2 3" xfId="9533"/>
    <cellStyle name="표준 23 3 2 2 5 2 2 3" xfId="9534"/>
    <cellStyle name="표준 23 3 2 2 5 2 2 3 2" xfId="9535"/>
    <cellStyle name="표준 23 3 2 2 5 2 2 4" xfId="9536"/>
    <cellStyle name="표준 23 3 2 2 5 2 3" xfId="9537"/>
    <cellStyle name="표준 23 3 2 2 5 2 3 2" xfId="9538"/>
    <cellStyle name="표준 23 3 2 2 5 2 3 2 2" xfId="9539"/>
    <cellStyle name="표준 23 3 2 2 5 2 3 3" xfId="9540"/>
    <cellStyle name="표준 23 3 2 2 5 2 4" xfId="9541"/>
    <cellStyle name="표준 23 3 2 2 5 2 4 2" xfId="9542"/>
    <cellStyle name="표준 23 3 2 2 5 2 5" xfId="9543"/>
    <cellStyle name="표준 23 3 2 2 5 3" xfId="9544"/>
    <cellStyle name="표준 23 3 2 2 5 3 2" xfId="9545"/>
    <cellStyle name="표준 23 3 2 2 5 3 2 2" xfId="9546"/>
    <cellStyle name="표준 23 3 2 2 5 3 2 2 2" xfId="9547"/>
    <cellStyle name="표준 23 3 2 2 5 3 2 3" xfId="9548"/>
    <cellStyle name="표준 23 3 2 2 5 3 3" xfId="9549"/>
    <cellStyle name="표준 23 3 2 2 5 3 3 2" xfId="9550"/>
    <cellStyle name="표준 23 3 2 2 5 3 4" xfId="9551"/>
    <cellStyle name="표준 23 3 2 2 5 4" xfId="9552"/>
    <cellStyle name="표준 23 3 2 2 5 4 2" xfId="9553"/>
    <cellStyle name="표준 23 3 2 2 5 4 2 2" xfId="9554"/>
    <cellStyle name="표준 23 3 2 2 5 4 3" xfId="9555"/>
    <cellStyle name="표준 23 3 2 2 5 5" xfId="9556"/>
    <cellStyle name="표준 23 3 2 2 5 5 2" xfId="9557"/>
    <cellStyle name="표준 23 3 2 2 5 6" xfId="9558"/>
    <cellStyle name="표준 23 3 2 2 6" xfId="9559"/>
    <cellStyle name="표준 23 3 2 2 6 2" xfId="9560"/>
    <cellStyle name="표준 23 3 2 2 6 2 2" xfId="9561"/>
    <cellStyle name="표준 23 3 2 2 6 2 2 2" xfId="9562"/>
    <cellStyle name="표준 23 3 2 2 6 2 2 2 2" xfId="9563"/>
    <cellStyle name="표준 23 3 2 2 6 2 2 3" xfId="9564"/>
    <cellStyle name="표준 23 3 2 2 6 2 3" xfId="9565"/>
    <cellStyle name="표준 23 3 2 2 6 2 3 2" xfId="9566"/>
    <cellStyle name="표준 23 3 2 2 6 2 4" xfId="9567"/>
    <cellStyle name="표준 23 3 2 2 6 3" xfId="9568"/>
    <cellStyle name="표준 23 3 2 2 6 3 2" xfId="9569"/>
    <cellStyle name="표준 23 3 2 2 6 3 2 2" xfId="9570"/>
    <cellStyle name="표준 23 3 2 2 6 3 3" xfId="9571"/>
    <cellStyle name="표준 23 3 2 2 6 4" xfId="9572"/>
    <cellStyle name="표준 23 3 2 2 6 4 2" xfId="9573"/>
    <cellStyle name="표준 23 3 2 2 6 5" xfId="9574"/>
    <cellStyle name="표준 23 3 2 2 7" xfId="9575"/>
    <cellStyle name="표준 23 3 2 2 7 2" xfId="9576"/>
    <cellStyle name="표준 23 3 2 2 7 2 2" xfId="9577"/>
    <cellStyle name="표준 23 3 2 2 7 2 2 2" xfId="9578"/>
    <cellStyle name="표준 23 3 2 2 7 2 3" xfId="9579"/>
    <cellStyle name="표준 23 3 2 2 7 3" xfId="9580"/>
    <cellStyle name="표준 23 3 2 2 7 3 2" xfId="9581"/>
    <cellStyle name="표준 23 3 2 2 7 4" xfId="9582"/>
    <cellStyle name="표준 23 3 2 2 8" xfId="9583"/>
    <cellStyle name="표준 23 3 2 2 8 2" xfId="9584"/>
    <cellStyle name="표준 23 3 2 2 8 2 2" xfId="9585"/>
    <cellStyle name="표준 23 3 2 2 8 3" xfId="9586"/>
    <cellStyle name="표준 23 3 2 2 9" xfId="9587"/>
    <cellStyle name="표준 23 3 2 2 9 2" xfId="9588"/>
    <cellStyle name="표준 23 3 2 3" xfId="9589"/>
    <cellStyle name="표준 23 3 2 3 10" xfId="9590"/>
    <cellStyle name="표준 23 3 2 3 2" xfId="9591"/>
    <cellStyle name="표준 23 3 2 3 2 2" xfId="9592"/>
    <cellStyle name="표준 23 3 2 3 2 2 2" xfId="9593"/>
    <cellStyle name="표준 23 3 2 3 2 2 2 2" xfId="9594"/>
    <cellStyle name="표준 23 3 2 3 2 2 2 2 2" xfId="9595"/>
    <cellStyle name="표준 23 3 2 3 2 2 2 2 2 2" xfId="9596"/>
    <cellStyle name="표준 23 3 2 3 2 2 2 2 2 2 2" xfId="9597"/>
    <cellStyle name="표준 23 3 2 3 2 2 2 2 2 2 2 2" xfId="9598"/>
    <cellStyle name="표준 23 3 2 3 2 2 2 2 2 2 3" xfId="9599"/>
    <cellStyle name="표준 23 3 2 3 2 2 2 2 2 3" xfId="9600"/>
    <cellStyle name="표준 23 3 2 3 2 2 2 2 2 3 2" xfId="9601"/>
    <cellStyle name="표준 23 3 2 3 2 2 2 2 2 4" xfId="9602"/>
    <cellStyle name="표준 23 3 2 3 2 2 2 2 3" xfId="9603"/>
    <cellStyle name="표준 23 3 2 3 2 2 2 2 3 2" xfId="9604"/>
    <cellStyle name="표준 23 3 2 3 2 2 2 2 3 2 2" xfId="9605"/>
    <cellStyle name="표준 23 3 2 3 2 2 2 2 3 3" xfId="9606"/>
    <cellStyle name="표준 23 3 2 3 2 2 2 2 4" xfId="9607"/>
    <cellStyle name="표준 23 3 2 3 2 2 2 2 4 2" xfId="9608"/>
    <cellStyle name="표준 23 3 2 3 2 2 2 2 5" xfId="9609"/>
    <cellStyle name="표준 23 3 2 3 2 2 2 3" xfId="9610"/>
    <cellStyle name="표준 23 3 2 3 2 2 2 3 2" xfId="9611"/>
    <cellStyle name="표준 23 3 2 3 2 2 2 3 2 2" xfId="9612"/>
    <cellStyle name="표준 23 3 2 3 2 2 2 3 2 2 2" xfId="9613"/>
    <cellStyle name="표준 23 3 2 3 2 2 2 3 2 3" xfId="9614"/>
    <cellStyle name="표준 23 3 2 3 2 2 2 3 3" xfId="9615"/>
    <cellStyle name="표준 23 3 2 3 2 2 2 3 3 2" xfId="9616"/>
    <cellStyle name="표준 23 3 2 3 2 2 2 3 4" xfId="9617"/>
    <cellStyle name="표준 23 3 2 3 2 2 2 4" xfId="9618"/>
    <cellStyle name="표준 23 3 2 3 2 2 2 4 2" xfId="9619"/>
    <cellStyle name="표준 23 3 2 3 2 2 2 4 2 2" xfId="9620"/>
    <cellStyle name="표준 23 3 2 3 2 2 2 4 3" xfId="9621"/>
    <cellStyle name="표준 23 3 2 3 2 2 2 5" xfId="9622"/>
    <cellStyle name="표준 23 3 2 3 2 2 2 5 2" xfId="9623"/>
    <cellStyle name="표준 23 3 2 3 2 2 2 6" xfId="9624"/>
    <cellStyle name="표준 23 3 2 3 2 2 3" xfId="9625"/>
    <cellStyle name="표준 23 3 2 3 2 2 3 2" xfId="9626"/>
    <cellStyle name="표준 23 3 2 3 2 2 3 2 2" xfId="9627"/>
    <cellStyle name="표준 23 3 2 3 2 2 3 2 2 2" xfId="9628"/>
    <cellStyle name="표준 23 3 2 3 2 2 3 2 2 2 2" xfId="9629"/>
    <cellStyle name="표준 23 3 2 3 2 2 3 2 2 3" xfId="9630"/>
    <cellStyle name="표준 23 3 2 3 2 2 3 2 3" xfId="9631"/>
    <cellStyle name="표준 23 3 2 3 2 2 3 2 3 2" xfId="9632"/>
    <cellStyle name="표준 23 3 2 3 2 2 3 2 4" xfId="9633"/>
    <cellStyle name="표준 23 3 2 3 2 2 3 3" xfId="9634"/>
    <cellStyle name="표준 23 3 2 3 2 2 3 3 2" xfId="9635"/>
    <cellStyle name="표준 23 3 2 3 2 2 3 3 2 2" xfId="9636"/>
    <cellStyle name="표준 23 3 2 3 2 2 3 3 3" xfId="9637"/>
    <cellStyle name="표준 23 3 2 3 2 2 3 4" xfId="9638"/>
    <cellStyle name="표준 23 3 2 3 2 2 3 4 2" xfId="9639"/>
    <cellStyle name="표준 23 3 2 3 2 2 3 5" xfId="9640"/>
    <cellStyle name="표준 23 3 2 3 2 2 4" xfId="9641"/>
    <cellStyle name="표준 23 3 2 3 2 2 4 2" xfId="9642"/>
    <cellStyle name="표준 23 3 2 3 2 2 4 2 2" xfId="9643"/>
    <cellStyle name="표준 23 3 2 3 2 2 4 2 2 2" xfId="9644"/>
    <cellStyle name="표준 23 3 2 3 2 2 4 2 3" xfId="9645"/>
    <cellStyle name="표준 23 3 2 3 2 2 4 3" xfId="9646"/>
    <cellStyle name="표준 23 3 2 3 2 2 4 3 2" xfId="9647"/>
    <cellStyle name="표준 23 3 2 3 2 2 4 4" xfId="9648"/>
    <cellStyle name="표준 23 3 2 3 2 2 5" xfId="9649"/>
    <cellStyle name="표준 23 3 2 3 2 2 5 2" xfId="9650"/>
    <cellStyle name="표준 23 3 2 3 2 2 5 2 2" xfId="9651"/>
    <cellStyle name="표준 23 3 2 3 2 2 5 3" xfId="9652"/>
    <cellStyle name="표준 23 3 2 3 2 2 6" xfId="9653"/>
    <cellStyle name="표준 23 3 2 3 2 2 6 2" xfId="9654"/>
    <cellStyle name="표준 23 3 2 3 2 2 7" xfId="9655"/>
    <cellStyle name="표준 23 3 2 3 2 2 8" xfId="9656"/>
    <cellStyle name="표준 23 3 2 3 2 3" xfId="9657"/>
    <cellStyle name="표준 23 3 2 3 2 3 2" xfId="9658"/>
    <cellStyle name="표준 23 3 2 3 2 3 2 2" xfId="9659"/>
    <cellStyle name="표준 23 3 2 3 2 3 2 2 2" xfId="9660"/>
    <cellStyle name="표준 23 3 2 3 2 3 2 2 2 2" xfId="9661"/>
    <cellStyle name="표준 23 3 2 3 2 3 2 2 2 2 2" xfId="9662"/>
    <cellStyle name="표준 23 3 2 3 2 3 2 2 2 3" xfId="9663"/>
    <cellStyle name="표준 23 3 2 3 2 3 2 2 3" xfId="9664"/>
    <cellStyle name="표준 23 3 2 3 2 3 2 2 3 2" xfId="9665"/>
    <cellStyle name="표준 23 3 2 3 2 3 2 2 4" xfId="9666"/>
    <cellStyle name="표준 23 3 2 3 2 3 2 3" xfId="9667"/>
    <cellStyle name="표준 23 3 2 3 2 3 2 3 2" xfId="9668"/>
    <cellStyle name="표준 23 3 2 3 2 3 2 3 2 2" xfId="9669"/>
    <cellStyle name="표준 23 3 2 3 2 3 2 3 3" xfId="9670"/>
    <cellStyle name="표준 23 3 2 3 2 3 2 4" xfId="9671"/>
    <cellStyle name="표준 23 3 2 3 2 3 2 4 2" xfId="9672"/>
    <cellStyle name="표준 23 3 2 3 2 3 2 5" xfId="9673"/>
    <cellStyle name="표준 23 3 2 3 2 3 3" xfId="9674"/>
    <cellStyle name="표준 23 3 2 3 2 3 3 2" xfId="9675"/>
    <cellStyle name="표준 23 3 2 3 2 3 3 2 2" xfId="9676"/>
    <cellStyle name="표준 23 3 2 3 2 3 3 2 2 2" xfId="9677"/>
    <cellStyle name="표준 23 3 2 3 2 3 3 2 3" xfId="9678"/>
    <cellStyle name="표준 23 3 2 3 2 3 3 3" xfId="9679"/>
    <cellStyle name="표준 23 3 2 3 2 3 3 3 2" xfId="9680"/>
    <cellStyle name="표준 23 3 2 3 2 3 3 4" xfId="9681"/>
    <cellStyle name="표준 23 3 2 3 2 3 4" xfId="9682"/>
    <cellStyle name="표준 23 3 2 3 2 3 4 2" xfId="9683"/>
    <cellStyle name="표준 23 3 2 3 2 3 4 2 2" xfId="9684"/>
    <cellStyle name="표준 23 3 2 3 2 3 4 3" xfId="9685"/>
    <cellStyle name="표준 23 3 2 3 2 3 5" xfId="9686"/>
    <cellStyle name="표준 23 3 2 3 2 3 5 2" xfId="9687"/>
    <cellStyle name="표준 23 3 2 3 2 3 6" xfId="9688"/>
    <cellStyle name="표준 23 3 2 3 2 4" xfId="9689"/>
    <cellStyle name="표준 23 3 2 3 2 4 2" xfId="9690"/>
    <cellStyle name="표준 23 3 2 3 2 4 2 2" xfId="9691"/>
    <cellStyle name="표준 23 3 2 3 2 4 2 2 2" xfId="9692"/>
    <cellStyle name="표준 23 3 2 3 2 4 2 2 2 2" xfId="9693"/>
    <cellStyle name="표준 23 3 2 3 2 4 2 2 3" xfId="9694"/>
    <cellStyle name="표준 23 3 2 3 2 4 2 3" xfId="9695"/>
    <cellStyle name="표준 23 3 2 3 2 4 2 3 2" xfId="9696"/>
    <cellStyle name="표준 23 3 2 3 2 4 2 4" xfId="9697"/>
    <cellStyle name="표준 23 3 2 3 2 4 3" xfId="9698"/>
    <cellStyle name="표준 23 3 2 3 2 4 3 2" xfId="9699"/>
    <cellStyle name="표준 23 3 2 3 2 4 3 2 2" xfId="9700"/>
    <cellStyle name="표준 23 3 2 3 2 4 3 3" xfId="9701"/>
    <cellStyle name="표준 23 3 2 3 2 4 4" xfId="9702"/>
    <cellStyle name="표준 23 3 2 3 2 4 4 2" xfId="9703"/>
    <cellStyle name="표준 23 3 2 3 2 4 5" xfId="9704"/>
    <cellStyle name="표준 23 3 2 3 2 5" xfId="9705"/>
    <cellStyle name="표준 23 3 2 3 2 5 2" xfId="9706"/>
    <cellStyle name="표준 23 3 2 3 2 5 2 2" xfId="9707"/>
    <cellStyle name="표준 23 3 2 3 2 5 2 2 2" xfId="9708"/>
    <cellStyle name="표준 23 3 2 3 2 5 2 3" xfId="9709"/>
    <cellStyle name="표준 23 3 2 3 2 5 3" xfId="9710"/>
    <cellStyle name="표준 23 3 2 3 2 5 3 2" xfId="9711"/>
    <cellStyle name="표준 23 3 2 3 2 5 4" xfId="9712"/>
    <cellStyle name="표준 23 3 2 3 2 6" xfId="9713"/>
    <cellStyle name="표준 23 3 2 3 2 6 2" xfId="9714"/>
    <cellStyle name="표준 23 3 2 3 2 6 2 2" xfId="9715"/>
    <cellStyle name="표준 23 3 2 3 2 6 3" xfId="9716"/>
    <cellStyle name="표준 23 3 2 3 2 7" xfId="9717"/>
    <cellStyle name="표준 23 3 2 3 2 7 2" xfId="9718"/>
    <cellStyle name="표준 23 3 2 3 2 8" xfId="9719"/>
    <cellStyle name="표준 23 3 2 3 2 9" xfId="9720"/>
    <cellStyle name="표준 23 3 2 3 3" xfId="9721"/>
    <cellStyle name="표준 23 3 2 3 3 2" xfId="9722"/>
    <cellStyle name="표준 23 3 2 3 3 2 2" xfId="9723"/>
    <cellStyle name="표준 23 3 2 3 3 2 2 2" xfId="9724"/>
    <cellStyle name="표준 23 3 2 3 3 2 2 2 2" xfId="9725"/>
    <cellStyle name="표준 23 3 2 3 3 2 2 2 2 2" xfId="9726"/>
    <cellStyle name="표준 23 3 2 3 3 2 2 2 2 2 2" xfId="9727"/>
    <cellStyle name="표준 23 3 2 3 3 2 2 2 2 3" xfId="9728"/>
    <cellStyle name="표준 23 3 2 3 3 2 2 2 3" xfId="9729"/>
    <cellStyle name="표준 23 3 2 3 3 2 2 2 3 2" xfId="9730"/>
    <cellStyle name="표준 23 3 2 3 3 2 2 2 4" xfId="9731"/>
    <cellStyle name="표준 23 3 2 3 3 2 2 3" xfId="9732"/>
    <cellStyle name="표준 23 3 2 3 3 2 2 3 2" xfId="9733"/>
    <cellStyle name="표준 23 3 2 3 3 2 2 3 2 2" xfId="9734"/>
    <cellStyle name="표준 23 3 2 3 3 2 2 3 3" xfId="9735"/>
    <cellStyle name="표준 23 3 2 3 3 2 2 4" xfId="9736"/>
    <cellStyle name="표준 23 3 2 3 3 2 2 4 2" xfId="9737"/>
    <cellStyle name="표준 23 3 2 3 3 2 2 5" xfId="9738"/>
    <cellStyle name="표준 23 3 2 3 3 2 3" xfId="9739"/>
    <cellStyle name="표준 23 3 2 3 3 2 3 2" xfId="9740"/>
    <cellStyle name="표준 23 3 2 3 3 2 3 2 2" xfId="9741"/>
    <cellStyle name="표준 23 3 2 3 3 2 3 2 2 2" xfId="9742"/>
    <cellStyle name="표준 23 3 2 3 3 2 3 2 3" xfId="9743"/>
    <cellStyle name="표준 23 3 2 3 3 2 3 3" xfId="9744"/>
    <cellStyle name="표준 23 3 2 3 3 2 3 3 2" xfId="9745"/>
    <cellStyle name="표준 23 3 2 3 3 2 3 4" xfId="9746"/>
    <cellStyle name="표준 23 3 2 3 3 2 4" xfId="9747"/>
    <cellStyle name="표준 23 3 2 3 3 2 4 2" xfId="9748"/>
    <cellStyle name="표준 23 3 2 3 3 2 4 2 2" xfId="9749"/>
    <cellStyle name="표준 23 3 2 3 3 2 4 3" xfId="9750"/>
    <cellStyle name="표준 23 3 2 3 3 2 5" xfId="9751"/>
    <cellStyle name="표준 23 3 2 3 3 2 5 2" xfId="9752"/>
    <cellStyle name="표준 23 3 2 3 3 2 6" xfId="9753"/>
    <cellStyle name="표준 23 3 2 3 3 3" xfId="9754"/>
    <cellStyle name="표준 23 3 2 3 3 3 2" xfId="9755"/>
    <cellStyle name="표준 23 3 2 3 3 3 2 2" xfId="9756"/>
    <cellStyle name="표준 23 3 2 3 3 3 2 2 2" xfId="9757"/>
    <cellStyle name="표준 23 3 2 3 3 3 2 2 2 2" xfId="9758"/>
    <cellStyle name="표준 23 3 2 3 3 3 2 2 3" xfId="9759"/>
    <cellStyle name="표준 23 3 2 3 3 3 2 3" xfId="9760"/>
    <cellStyle name="표준 23 3 2 3 3 3 2 3 2" xfId="9761"/>
    <cellStyle name="표준 23 3 2 3 3 3 2 4" xfId="9762"/>
    <cellStyle name="표준 23 3 2 3 3 3 3" xfId="9763"/>
    <cellStyle name="표준 23 3 2 3 3 3 3 2" xfId="9764"/>
    <cellStyle name="표준 23 3 2 3 3 3 3 2 2" xfId="9765"/>
    <cellStyle name="표준 23 3 2 3 3 3 3 3" xfId="9766"/>
    <cellStyle name="표준 23 3 2 3 3 3 4" xfId="9767"/>
    <cellStyle name="표준 23 3 2 3 3 3 4 2" xfId="9768"/>
    <cellStyle name="표준 23 3 2 3 3 3 5" xfId="9769"/>
    <cellStyle name="표준 23 3 2 3 3 4" xfId="9770"/>
    <cellStyle name="표준 23 3 2 3 3 4 2" xfId="9771"/>
    <cellStyle name="표준 23 3 2 3 3 4 2 2" xfId="9772"/>
    <cellStyle name="표준 23 3 2 3 3 4 2 2 2" xfId="9773"/>
    <cellStyle name="표준 23 3 2 3 3 4 2 3" xfId="9774"/>
    <cellStyle name="표준 23 3 2 3 3 4 3" xfId="9775"/>
    <cellStyle name="표준 23 3 2 3 3 4 3 2" xfId="9776"/>
    <cellStyle name="표준 23 3 2 3 3 4 4" xfId="9777"/>
    <cellStyle name="표준 23 3 2 3 3 5" xfId="9778"/>
    <cellStyle name="표준 23 3 2 3 3 5 2" xfId="9779"/>
    <cellStyle name="표준 23 3 2 3 3 5 2 2" xfId="9780"/>
    <cellStyle name="표준 23 3 2 3 3 5 3" xfId="9781"/>
    <cellStyle name="표준 23 3 2 3 3 6" xfId="9782"/>
    <cellStyle name="표준 23 3 2 3 3 6 2" xfId="9783"/>
    <cellStyle name="표준 23 3 2 3 3 7" xfId="9784"/>
    <cellStyle name="표준 23 3 2 3 3 8" xfId="9785"/>
    <cellStyle name="표준 23 3 2 3 4" xfId="9786"/>
    <cellStyle name="표준 23 3 2 3 4 2" xfId="9787"/>
    <cellStyle name="표준 23 3 2 3 4 2 2" xfId="9788"/>
    <cellStyle name="표준 23 3 2 3 4 2 2 2" xfId="9789"/>
    <cellStyle name="표준 23 3 2 3 4 2 2 2 2" xfId="9790"/>
    <cellStyle name="표준 23 3 2 3 4 2 2 2 2 2" xfId="9791"/>
    <cellStyle name="표준 23 3 2 3 4 2 2 2 3" xfId="9792"/>
    <cellStyle name="표준 23 3 2 3 4 2 2 3" xfId="9793"/>
    <cellStyle name="표준 23 3 2 3 4 2 2 3 2" xfId="9794"/>
    <cellStyle name="표준 23 3 2 3 4 2 2 4" xfId="9795"/>
    <cellStyle name="표준 23 3 2 3 4 2 3" xfId="9796"/>
    <cellStyle name="표준 23 3 2 3 4 2 3 2" xfId="9797"/>
    <cellStyle name="표준 23 3 2 3 4 2 3 2 2" xfId="9798"/>
    <cellStyle name="표준 23 3 2 3 4 2 3 3" xfId="9799"/>
    <cellStyle name="표준 23 3 2 3 4 2 4" xfId="9800"/>
    <cellStyle name="표준 23 3 2 3 4 2 4 2" xfId="9801"/>
    <cellStyle name="표준 23 3 2 3 4 2 5" xfId="9802"/>
    <cellStyle name="표준 23 3 2 3 4 3" xfId="9803"/>
    <cellStyle name="표준 23 3 2 3 4 3 2" xfId="9804"/>
    <cellStyle name="표준 23 3 2 3 4 3 2 2" xfId="9805"/>
    <cellStyle name="표준 23 3 2 3 4 3 2 2 2" xfId="9806"/>
    <cellStyle name="표준 23 3 2 3 4 3 2 3" xfId="9807"/>
    <cellStyle name="표준 23 3 2 3 4 3 3" xfId="9808"/>
    <cellStyle name="표준 23 3 2 3 4 3 3 2" xfId="9809"/>
    <cellStyle name="표준 23 3 2 3 4 3 4" xfId="9810"/>
    <cellStyle name="표준 23 3 2 3 4 4" xfId="9811"/>
    <cellStyle name="표준 23 3 2 3 4 4 2" xfId="9812"/>
    <cellStyle name="표준 23 3 2 3 4 4 2 2" xfId="9813"/>
    <cellStyle name="표준 23 3 2 3 4 4 3" xfId="9814"/>
    <cellStyle name="표준 23 3 2 3 4 5" xfId="9815"/>
    <cellStyle name="표준 23 3 2 3 4 5 2" xfId="9816"/>
    <cellStyle name="표준 23 3 2 3 4 6" xfId="9817"/>
    <cellStyle name="표준 23 3 2 3 5" xfId="9818"/>
    <cellStyle name="표준 23 3 2 3 5 2" xfId="9819"/>
    <cellStyle name="표준 23 3 2 3 5 2 2" xfId="9820"/>
    <cellStyle name="표준 23 3 2 3 5 2 2 2" xfId="9821"/>
    <cellStyle name="표준 23 3 2 3 5 2 2 2 2" xfId="9822"/>
    <cellStyle name="표준 23 3 2 3 5 2 2 3" xfId="9823"/>
    <cellStyle name="표준 23 3 2 3 5 2 3" xfId="9824"/>
    <cellStyle name="표준 23 3 2 3 5 2 3 2" xfId="9825"/>
    <cellStyle name="표준 23 3 2 3 5 2 4" xfId="9826"/>
    <cellStyle name="표준 23 3 2 3 5 3" xfId="9827"/>
    <cellStyle name="표준 23 3 2 3 5 3 2" xfId="9828"/>
    <cellStyle name="표준 23 3 2 3 5 3 2 2" xfId="9829"/>
    <cellStyle name="표준 23 3 2 3 5 3 3" xfId="9830"/>
    <cellStyle name="표준 23 3 2 3 5 4" xfId="9831"/>
    <cellStyle name="표준 23 3 2 3 5 4 2" xfId="9832"/>
    <cellStyle name="표준 23 3 2 3 5 5" xfId="9833"/>
    <cellStyle name="표준 23 3 2 3 6" xfId="9834"/>
    <cellStyle name="표준 23 3 2 3 6 2" xfId="9835"/>
    <cellStyle name="표준 23 3 2 3 6 2 2" xfId="9836"/>
    <cellStyle name="표준 23 3 2 3 6 2 2 2" xfId="9837"/>
    <cellStyle name="표준 23 3 2 3 6 2 3" xfId="9838"/>
    <cellStyle name="표준 23 3 2 3 6 3" xfId="9839"/>
    <cellStyle name="표준 23 3 2 3 6 3 2" xfId="9840"/>
    <cellStyle name="표준 23 3 2 3 6 4" xfId="9841"/>
    <cellStyle name="표준 23 3 2 3 7" xfId="9842"/>
    <cellStyle name="표준 23 3 2 3 7 2" xfId="9843"/>
    <cellStyle name="표준 23 3 2 3 7 2 2" xfId="9844"/>
    <cellStyle name="표준 23 3 2 3 7 3" xfId="9845"/>
    <cellStyle name="표준 23 3 2 3 8" xfId="9846"/>
    <cellStyle name="표준 23 3 2 3 8 2" xfId="9847"/>
    <cellStyle name="표준 23 3 2 3 9" xfId="9848"/>
    <cellStyle name="표준 23 3 2 4" xfId="9849"/>
    <cellStyle name="표준 23 3 2 4 2" xfId="9850"/>
    <cellStyle name="표준 23 3 2 4 2 2" xfId="9851"/>
    <cellStyle name="표준 23 3 2 4 2 2 2" xfId="9852"/>
    <cellStyle name="표준 23 3 2 4 2 2 2 2" xfId="9853"/>
    <cellStyle name="표준 23 3 2 4 2 2 2 2 2" xfId="9854"/>
    <cellStyle name="표준 23 3 2 4 2 2 2 2 2 2" xfId="9855"/>
    <cellStyle name="표준 23 3 2 4 2 2 2 2 2 2 2" xfId="9856"/>
    <cellStyle name="표준 23 3 2 4 2 2 2 2 2 3" xfId="9857"/>
    <cellStyle name="표준 23 3 2 4 2 2 2 2 3" xfId="9858"/>
    <cellStyle name="표준 23 3 2 4 2 2 2 2 3 2" xfId="9859"/>
    <cellStyle name="표준 23 3 2 4 2 2 2 2 4" xfId="9860"/>
    <cellStyle name="표준 23 3 2 4 2 2 2 3" xfId="9861"/>
    <cellStyle name="표준 23 3 2 4 2 2 2 3 2" xfId="9862"/>
    <cellStyle name="표준 23 3 2 4 2 2 2 3 2 2" xfId="9863"/>
    <cellStyle name="표준 23 3 2 4 2 2 2 3 3" xfId="9864"/>
    <cellStyle name="표준 23 3 2 4 2 2 2 4" xfId="9865"/>
    <cellStyle name="표준 23 3 2 4 2 2 2 4 2" xfId="9866"/>
    <cellStyle name="표준 23 3 2 4 2 2 2 5" xfId="9867"/>
    <cellStyle name="표준 23 3 2 4 2 2 3" xfId="9868"/>
    <cellStyle name="표준 23 3 2 4 2 2 3 2" xfId="9869"/>
    <cellStyle name="표준 23 3 2 4 2 2 3 2 2" xfId="9870"/>
    <cellStyle name="표준 23 3 2 4 2 2 3 2 2 2" xfId="9871"/>
    <cellStyle name="표준 23 3 2 4 2 2 3 2 3" xfId="9872"/>
    <cellStyle name="표준 23 3 2 4 2 2 3 3" xfId="9873"/>
    <cellStyle name="표준 23 3 2 4 2 2 3 3 2" xfId="9874"/>
    <cellStyle name="표준 23 3 2 4 2 2 3 4" xfId="9875"/>
    <cellStyle name="표준 23 3 2 4 2 2 4" xfId="9876"/>
    <cellStyle name="표준 23 3 2 4 2 2 4 2" xfId="9877"/>
    <cellStyle name="표준 23 3 2 4 2 2 4 2 2" xfId="9878"/>
    <cellStyle name="표준 23 3 2 4 2 2 4 3" xfId="9879"/>
    <cellStyle name="표준 23 3 2 4 2 2 5" xfId="9880"/>
    <cellStyle name="표준 23 3 2 4 2 2 5 2" xfId="9881"/>
    <cellStyle name="표준 23 3 2 4 2 2 6" xfId="9882"/>
    <cellStyle name="표준 23 3 2 4 2 3" xfId="9883"/>
    <cellStyle name="표준 23 3 2 4 2 3 2" xfId="9884"/>
    <cellStyle name="표준 23 3 2 4 2 3 2 2" xfId="9885"/>
    <cellStyle name="표준 23 3 2 4 2 3 2 2 2" xfId="9886"/>
    <cellStyle name="표준 23 3 2 4 2 3 2 2 2 2" xfId="9887"/>
    <cellStyle name="표준 23 3 2 4 2 3 2 2 3" xfId="9888"/>
    <cellStyle name="표준 23 3 2 4 2 3 2 3" xfId="9889"/>
    <cellStyle name="표준 23 3 2 4 2 3 2 3 2" xfId="9890"/>
    <cellStyle name="표준 23 3 2 4 2 3 2 4" xfId="9891"/>
    <cellStyle name="표준 23 3 2 4 2 3 3" xfId="9892"/>
    <cellStyle name="표준 23 3 2 4 2 3 3 2" xfId="9893"/>
    <cellStyle name="표준 23 3 2 4 2 3 3 2 2" xfId="9894"/>
    <cellStyle name="표준 23 3 2 4 2 3 3 3" xfId="9895"/>
    <cellStyle name="표준 23 3 2 4 2 3 4" xfId="9896"/>
    <cellStyle name="표준 23 3 2 4 2 3 4 2" xfId="9897"/>
    <cellStyle name="표준 23 3 2 4 2 3 5" xfId="9898"/>
    <cellStyle name="표준 23 3 2 4 2 4" xfId="9899"/>
    <cellStyle name="표준 23 3 2 4 2 4 2" xfId="9900"/>
    <cellStyle name="표준 23 3 2 4 2 4 2 2" xfId="9901"/>
    <cellStyle name="표준 23 3 2 4 2 4 2 2 2" xfId="9902"/>
    <cellStyle name="표준 23 3 2 4 2 4 2 3" xfId="9903"/>
    <cellStyle name="표준 23 3 2 4 2 4 3" xfId="9904"/>
    <cellStyle name="표준 23 3 2 4 2 4 3 2" xfId="9905"/>
    <cellStyle name="표준 23 3 2 4 2 4 4" xfId="9906"/>
    <cellStyle name="표준 23 3 2 4 2 5" xfId="9907"/>
    <cellStyle name="표준 23 3 2 4 2 5 2" xfId="9908"/>
    <cellStyle name="표준 23 3 2 4 2 5 2 2" xfId="9909"/>
    <cellStyle name="표준 23 3 2 4 2 5 3" xfId="9910"/>
    <cellStyle name="표준 23 3 2 4 2 6" xfId="9911"/>
    <cellStyle name="표준 23 3 2 4 2 6 2" xfId="9912"/>
    <cellStyle name="표준 23 3 2 4 2 7" xfId="9913"/>
    <cellStyle name="표준 23 3 2 4 2 8" xfId="9914"/>
    <cellStyle name="표준 23 3 2 4 3" xfId="9915"/>
    <cellStyle name="표준 23 3 2 4 3 2" xfId="9916"/>
    <cellStyle name="표준 23 3 2 4 3 2 2" xfId="9917"/>
    <cellStyle name="표준 23 3 2 4 3 2 2 2" xfId="9918"/>
    <cellStyle name="표준 23 3 2 4 3 2 2 2 2" xfId="9919"/>
    <cellStyle name="표준 23 3 2 4 3 2 2 2 2 2" xfId="9920"/>
    <cellStyle name="표준 23 3 2 4 3 2 2 2 3" xfId="9921"/>
    <cellStyle name="표준 23 3 2 4 3 2 2 3" xfId="9922"/>
    <cellStyle name="표준 23 3 2 4 3 2 2 3 2" xfId="9923"/>
    <cellStyle name="표준 23 3 2 4 3 2 2 4" xfId="9924"/>
    <cellStyle name="표준 23 3 2 4 3 2 3" xfId="9925"/>
    <cellStyle name="표준 23 3 2 4 3 2 3 2" xfId="9926"/>
    <cellStyle name="표준 23 3 2 4 3 2 3 2 2" xfId="9927"/>
    <cellStyle name="표준 23 3 2 4 3 2 3 3" xfId="9928"/>
    <cellStyle name="표준 23 3 2 4 3 2 4" xfId="9929"/>
    <cellStyle name="표준 23 3 2 4 3 2 4 2" xfId="9930"/>
    <cellStyle name="표준 23 3 2 4 3 2 5" xfId="9931"/>
    <cellStyle name="표준 23 3 2 4 3 3" xfId="9932"/>
    <cellStyle name="표준 23 3 2 4 3 3 2" xfId="9933"/>
    <cellStyle name="표준 23 3 2 4 3 3 2 2" xfId="9934"/>
    <cellStyle name="표준 23 3 2 4 3 3 2 2 2" xfId="9935"/>
    <cellStyle name="표준 23 3 2 4 3 3 2 3" xfId="9936"/>
    <cellStyle name="표준 23 3 2 4 3 3 3" xfId="9937"/>
    <cellStyle name="표준 23 3 2 4 3 3 3 2" xfId="9938"/>
    <cellStyle name="표준 23 3 2 4 3 3 4" xfId="9939"/>
    <cellStyle name="표준 23 3 2 4 3 4" xfId="9940"/>
    <cellStyle name="표준 23 3 2 4 3 4 2" xfId="9941"/>
    <cellStyle name="표준 23 3 2 4 3 4 2 2" xfId="9942"/>
    <cellStyle name="표준 23 3 2 4 3 4 3" xfId="9943"/>
    <cellStyle name="표준 23 3 2 4 3 5" xfId="9944"/>
    <cellStyle name="표준 23 3 2 4 3 5 2" xfId="9945"/>
    <cellStyle name="표준 23 3 2 4 3 6" xfId="9946"/>
    <cellStyle name="표준 23 3 2 4 4" xfId="9947"/>
    <cellStyle name="표준 23 3 2 4 4 2" xfId="9948"/>
    <cellStyle name="표준 23 3 2 4 4 2 2" xfId="9949"/>
    <cellStyle name="표준 23 3 2 4 4 2 2 2" xfId="9950"/>
    <cellStyle name="표준 23 3 2 4 4 2 2 2 2" xfId="9951"/>
    <cellStyle name="표준 23 3 2 4 4 2 2 3" xfId="9952"/>
    <cellStyle name="표준 23 3 2 4 4 2 3" xfId="9953"/>
    <cellStyle name="표준 23 3 2 4 4 2 3 2" xfId="9954"/>
    <cellStyle name="표준 23 3 2 4 4 2 4" xfId="9955"/>
    <cellStyle name="표준 23 3 2 4 4 3" xfId="9956"/>
    <cellStyle name="표준 23 3 2 4 4 3 2" xfId="9957"/>
    <cellStyle name="표준 23 3 2 4 4 3 2 2" xfId="9958"/>
    <cellStyle name="표준 23 3 2 4 4 3 3" xfId="9959"/>
    <cellStyle name="표준 23 3 2 4 4 4" xfId="9960"/>
    <cellStyle name="표준 23 3 2 4 4 4 2" xfId="9961"/>
    <cellStyle name="표준 23 3 2 4 4 5" xfId="9962"/>
    <cellStyle name="표준 23 3 2 4 5" xfId="9963"/>
    <cellStyle name="표준 23 3 2 4 5 2" xfId="9964"/>
    <cellStyle name="표준 23 3 2 4 5 2 2" xfId="9965"/>
    <cellStyle name="표준 23 3 2 4 5 2 2 2" xfId="9966"/>
    <cellStyle name="표준 23 3 2 4 5 2 3" xfId="9967"/>
    <cellStyle name="표준 23 3 2 4 5 3" xfId="9968"/>
    <cellStyle name="표준 23 3 2 4 5 3 2" xfId="9969"/>
    <cellStyle name="표준 23 3 2 4 5 4" xfId="9970"/>
    <cellStyle name="표준 23 3 2 4 6" xfId="9971"/>
    <cellStyle name="표준 23 3 2 4 6 2" xfId="9972"/>
    <cellStyle name="표준 23 3 2 4 6 2 2" xfId="9973"/>
    <cellStyle name="표준 23 3 2 4 6 3" xfId="9974"/>
    <cellStyle name="표준 23 3 2 4 7" xfId="9975"/>
    <cellStyle name="표준 23 3 2 4 7 2" xfId="9976"/>
    <cellStyle name="표준 23 3 2 4 8" xfId="9977"/>
    <cellStyle name="표준 23 3 2 4 9" xfId="9978"/>
    <cellStyle name="표준 23 3 2 5" xfId="9979"/>
    <cellStyle name="표준 23 3 2 5 2" xfId="9980"/>
    <cellStyle name="표준 23 3 2 5 2 2" xfId="9981"/>
    <cellStyle name="표준 23 3 2 5 2 2 2" xfId="9982"/>
    <cellStyle name="표준 23 3 2 5 2 2 2 2" xfId="9983"/>
    <cellStyle name="표준 23 3 2 5 2 2 2 2 2" xfId="9984"/>
    <cellStyle name="표준 23 3 2 5 2 2 2 2 2 2" xfId="9985"/>
    <cellStyle name="표준 23 3 2 5 2 2 2 2 3" xfId="9986"/>
    <cellStyle name="표준 23 3 2 5 2 2 2 3" xfId="9987"/>
    <cellStyle name="표준 23 3 2 5 2 2 2 3 2" xfId="9988"/>
    <cellStyle name="표준 23 3 2 5 2 2 2 4" xfId="9989"/>
    <cellStyle name="표준 23 3 2 5 2 2 3" xfId="9990"/>
    <cellStyle name="표준 23 3 2 5 2 2 3 2" xfId="9991"/>
    <cellStyle name="표준 23 3 2 5 2 2 3 2 2" xfId="9992"/>
    <cellStyle name="표준 23 3 2 5 2 2 3 3" xfId="9993"/>
    <cellStyle name="표준 23 3 2 5 2 2 4" xfId="9994"/>
    <cellStyle name="표준 23 3 2 5 2 2 4 2" xfId="9995"/>
    <cellStyle name="표준 23 3 2 5 2 2 5" xfId="9996"/>
    <cellStyle name="표준 23 3 2 5 2 3" xfId="9997"/>
    <cellStyle name="표준 23 3 2 5 2 3 2" xfId="9998"/>
    <cellStyle name="표준 23 3 2 5 2 3 2 2" xfId="9999"/>
    <cellStyle name="표준 23 3 2 5 2 3 2 2 2" xfId="10000"/>
    <cellStyle name="표준 23 3 2 5 2 3 2 3" xfId="10001"/>
    <cellStyle name="표준 23 3 2 5 2 3 3" xfId="10002"/>
    <cellStyle name="표준 23 3 2 5 2 3 3 2" xfId="10003"/>
    <cellStyle name="표준 23 3 2 5 2 3 4" xfId="10004"/>
    <cellStyle name="표준 23 3 2 5 2 4" xfId="10005"/>
    <cellStyle name="표준 23 3 2 5 2 4 2" xfId="10006"/>
    <cellStyle name="표준 23 3 2 5 2 4 2 2" xfId="10007"/>
    <cellStyle name="표준 23 3 2 5 2 4 3" xfId="10008"/>
    <cellStyle name="표준 23 3 2 5 2 5" xfId="10009"/>
    <cellStyle name="표준 23 3 2 5 2 5 2" xfId="10010"/>
    <cellStyle name="표준 23 3 2 5 2 6" xfId="10011"/>
    <cellStyle name="표준 23 3 2 5 3" xfId="10012"/>
    <cellStyle name="표준 23 3 2 5 3 2" xfId="10013"/>
    <cellStyle name="표준 23 3 2 5 3 2 2" xfId="10014"/>
    <cellStyle name="표준 23 3 2 5 3 2 2 2" xfId="10015"/>
    <cellStyle name="표준 23 3 2 5 3 2 2 2 2" xfId="10016"/>
    <cellStyle name="표준 23 3 2 5 3 2 2 3" xfId="10017"/>
    <cellStyle name="표준 23 3 2 5 3 2 3" xfId="10018"/>
    <cellStyle name="표준 23 3 2 5 3 2 3 2" xfId="10019"/>
    <cellStyle name="표준 23 3 2 5 3 2 4" xfId="10020"/>
    <cellStyle name="표준 23 3 2 5 3 3" xfId="10021"/>
    <cellStyle name="표준 23 3 2 5 3 3 2" xfId="10022"/>
    <cellStyle name="표준 23 3 2 5 3 3 2 2" xfId="10023"/>
    <cellStyle name="표준 23 3 2 5 3 3 3" xfId="10024"/>
    <cellStyle name="표준 23 3 2 5 3 4" xfId="10025"/>
    <cellStyle name="표준 23 3 2 5 3 4 2" xfId="10026"/>
    <cellStyle name="표준 23 3 2 5 3 5" xfId="10027"/>
    <cellStyle name="표준 23 3 2 5 4" xfId="10028"/>
    <cellStyle name="표준 23 3 2 5 4 2" xfId="10029"/>
    <cellStyle name="표준 23 3 2 5 4 2 2" xfId="10030"/>
    <cellStyle name="표준 23 3 2 5 4 2 2 2" xfId="10031"/>
    <cellStyle name="표준 23 3 2 5 4 2 3" xfId="10032"/>
    <cellStyle name="표준 23 3 2 5 4 3" xfId="10033"/>
    <cellStyle name="표준 23 3 2 5 4 3 2" xfId="10034"/>
    <cellStyle name="표준 23 3 2 5 4 4" xfId="10035"/>
    <cellStyle name="표준 23 3 2 5 5" xfId="10036"/>
    <cellStyle name="표준 23 3 2 5 5 2" xfId="10037"/>
    <cellStyle name="표준 23 3 2 5 5 2 2" xfId="10038"/>
    <cellStyle name="표준 23 3 2 5 5 3" xfId="10039"/>
    <cellStyle name="표준 23 3 2 5 6" xfId="10040"/>
    <cellStyle name="표준 23 3 2 5 6 2" xfId="10041"/>
    <cellStyle name="표준 23 3 2 5 7" xfId="10042"/>
    <cellStyle name="표준 23 3 2 5 8" xfId="10043"/>
    <cellStyle name="표준 23 3 2 6" xfId="10044"/>
    <cellStyle name="표준 23 3 2 6 2" xfId="10045"/>
    <cellStyle name="표준 23 3 2 6 2 2" xfId="10046"/>
    <cellStyle name="표준 23 3 2 6 2 2 2" xfId="10047"/>
    <cellStyle name="표준 23 3 2 6 2 2 2 2" xfId="10048"/>
    <cellStyle name="표준 23 3 2 6 2 2 2 2 2" xfId="10049"/>
    <cellStyle name="표준 23 3 2 6 2 2 2 3" xfId="10050"/>
    <cellStyle name="표준 23 3 2 6 2 2 3" xfId="10051"/>
    <cellStyle name="표준 23 3 2 6 2 2 3 2" xfId="10052"/>
    <cellStyle name="표준 23 3 2 6 2 2 4" xfId="10053"/>
    <cellStyle name="표준 23 3 2 6 2 3" xfId="10054"/>
    <cellStyle name="표준 23 3 2 6 2 3 2" xfId="10055"/>
    <cellStyle name="표준 23 3 2 6 2 3 2 2" xfId="10056"/>
    <cellStyle name="표준 23 3 2 6 2 3 3" xfId="10057"/>
    <cellStyle name="표준 23 3 2 6 2 4" xfId="10058"/>
    <cellStyle name="표준 23 3 2 6 2 4 2" xfId="10059"/>
    <cellStyle name="표준 23 3 2 6 2 5" xfId="10060"/>
    <cellStyle name="표준 23 3 2 6 3" xfId="10061"/>
    <cellStyle name="표준 23 3 2 6 3 2" xfId="10062"/>
    <cellStyle name="표준 23 3 2 6 3 2 2" xfId="10063"/>
    <cellStyle name="표준 23 3 2 6 3 2 2 2" xfId="10064"/>
    <cellStyle name="표준 23 3 2 6 3 2 3" xfId="10065"/>
    <cellStyle name="표준 23 3 2 6 3 3" xfId="10066"/>
    <cellStyle name="표준 23 3 2 6 3 3 2" xfId="10067"/>
    <cellStyle name="표준 23 3 2 6 3 4" xfId="10068"/>
    <cellStyle name="표준 23 3 2 6 4" xfId="10069"/>
    <cellStyle name="표준 23 3 2 6 4 2" xfId="10070"/>
    <cellStyle name="표준 23 3 2 6 4 2 2" xfId="10071"/>
    <cellStyle name="표준 23 3 2 6 4 3" xfId="10072"/>
    <cellStyle name="표준 23 3 2 6 5" xfId="10073"/>
    <cellStyle name="표준 23 3 2 6 5 2" xfId="10074"/>
    <cellStyle name="표준 23 3 2 6 6" xfId="10075"/>
    <cellStyle name="표준 23 3 2 7" xfId="10076"/>
    <cellStyle name="표준 23 3 2 7 2" xfId="10077"/>
    <cellStyle name="표준 23 3 2 7 2 2" xfId="10078"/>
    <cellStyle name="표준 23 3 2 7 2 2 2" xfId="10079"/>
    <cellStyle name="표준 23 3 2 7 2 2 2 2" xfId="10080"/>
    <cellStyle name="표준 23 3 2 7 2 2 3" xfId="10081"/>
    <cellStyle name="표준 23 3 2 7 2 3" xfId="10082"/>
    <cellStyle name="표준 23 3 2 7 2 3 2" xfId="10083"/>
    <cellStyle name="표준 23 3 2 7 2 4" xfId="10084"/>
    <cellStyle name="표준 23 3 2 7 3" xfId="10085"/>
    <cellStyle name="표준 23 3 2 7 3 2" xfId="10086"/>
    <cellStyle name="표준 23 3 2 7 3 2 2" xfId="10087"/>
    <cellStyle name="표준 23 3 2 7 3 3" xfId="10088"/>
    <cellStyle name="표준 23 3 2 7 4" xfId="10089"/>
    <cellStyle name="표준 23 3 2 7 4 2" xfId="10090"/>
    <cellStyle name="표준 23 3 2 7 5" xfId="10091"/>
    <cellStyle name="표준 23 3 2 8" xfId="10092"/>
    <cellStyle name="표준 23 3 2 8 2" xfId="10093"/>
    <cellStyle name="표준 23 3 2 8 2 2" xfId="10094"/>
    <cellStyle name="표준 23 3 2 8 2 2 2" xfId="10095"/>
    <cellStyle name="표준 23 3 2 8 2 3" xfId="10096"/>
    <cellStyle name="표준 23 3 2 8 3" xfId="10097"/>
    <cellStyle name="표준 23 3 2 8 3 2" xfId="10098"/>
    <cellStyle name="표준 23 3 2 8 4" xfId="10099"/>
    <cellStyle name="표준 23 3 2 9" xfId="10100"/>
    <cellStyle name="표준 23 3 2 9 2" xfId="10101"/>
    <cellStyle name="표준 23 3 2 9 2 2" xfId="10102"/>
    <cellStyle name="표준 23 3 2 9 3" xfId="10103"/>
    <cellStyle name="표준 23 3 3" xfId="10104"/>
    <cellStyle name="표준 23 3 3 10" xfId="10105"/>
    <cellStyle name="표준 23 3 3 10 2" xfId="10106"/>
    <cellStyle name="표준 23 3 3 11" xfId="10107"/>
    <cellStyle name="표준 23 3 3 12" xfId="10108"/>
    <cellStyle name="표준 23 3 3 2" xfId="10109"/>
    <cellStyle name="표준 23 3 3 2 10" xfId="10110"/>
    <cellStyle name="표준 23 3 3 2 11" xfId="10111"/>
    <cellStyle name="표준 23 3 3 2 2" xfId="10112"/>
    <cellStyle name="표준 23 3 3 2 2 10" xfId="10113"/>
    <cellStyle name="표준 23 3 3 2 2 2" xfId="10114"/>
    <cellStyle name="표준 23 3 3 2 2 2 2" xfId="10115"/>
    <cellStyle name="표준 23 3 3 2 2 2 2 2" xfId="10116"/>
    <cellStyle name="표준 23 3 3 2 2 2 2 2 2" xfId="10117"/>
    <cellStyle name="표준 23 3 3 2 2 2 2 2 2 2" xfId="10118"/>
    <cellStyle name="표준 23 3 3 2 2 2 2 2 2 2 2" xfId="10119"/>
    <cellStyle name="표준 23 3 3 2 2 2 2 2 2 2 2 2" xfId="10120"/>
    <cellStyle name="표준 23 3 3 2 2 2 2 2 2 2 2 2 2" xfId="10121"/>
    <cellStyle name="표준 23 3 3 2 2 2 2 2 2 2 2 3" xfId="10122"/>
    <cellStyle name="표준 23 3 3 2 2 2 2 2 2 2 3" xfId="10123"/>
    <cellStyle name="표준 23 3 3 2 2 2 2 2 2 2 3 2" xfId="10124"/>
    <cellStyle name="표준 23 3 3 2 2 2 2 2 2 2 4" xfId="10125"/>
    <cellStyle name="표준 23 3 3 2 2 2 2 2 2 3" xfId="10126"/>
    <cellStyle name="표준 23 3 3 2 2 2 2 2 2 3 2" xfId="10127"/>
    <cellStyle name="표준 23 3 3 2 2 2 2 2 2 3 2 2" xfId="10128"/>
    <cellStyle name="표준 23 3 3 2 2 2 2 2 2 3 3" xfId="10129"/>
    <cellStyle name="표준 23 3 3 2 2 2 2 2 2 4" xfId="10130"/>
    <cellStyle name="표준 23 3 3 2 2 2 2 2 2 4 2" xfId="10131"/>
    <cellStyle name="표준 23 3 3 2 2 2 2 2 2 5" xfId="10132"/>
    <cellStyle name="표준 23 3 3 2 2 2 2 2 3" xfId="10133"/>
    <cellStyle name="표준 23 3 3 2 2 2 2 2 3 2" xfId="10134"/>
    <cellStyle name="표준 23 3 3 2 2 2 2 2 3 2 2" xfId="10135"/>
    <cellStyle name="표준 23 3 3 2 2 2 2 2 3 2 2 2" xfId="10136"/>
    <cellStyle name="표준 23 3 3 2 2 2 2 2 3 2 3" xfId="10137"/>
    <cellStyle name="표준 23 3 3 2 2 2 2 2 3 3" xfId="10138"/>
    <cellStyle name="표준 23 3 3 2 2 2 2 2 3 3 2" xfId="10139"/>
    <cellStyle name="표준 23 3 3 2 2 2 2 2 3 4" xfId="10140"/>
    <cellStyle name="표준 23 3 3 2 2 2 2 2 4" xfId="10141"/>
    <cellStyle name="표준 23 3 3 2 2 2 2 2 4 2" xfId="10142"/>
    <cellStyle name="표준 23 3 3 2 2 2 2 2 4 2 2" xfId="10143"/>
    <cellStyle name="표준 23 3 3 2 2 2 2 2 4 3" xfId="10144"/>
    <cellStyle name="표준 23 3 3 2 2 2 2 2 5" xfId="10145"/>
    <cellStyle name="표준 23 3 3 2 2 2 2 2 5 2" xfId="10146"/>
    <cellStyle name="표준 23 3 3 2 2 2 2 2 6" xfId="10147"/>
    <cellStyle name="표준 23 3 3 2 2 2 2 3" xfId="10148"/>
    <cellStyle name="표준 23 3 3 2 2 2 2 3 2" xfId="10149"/>
    <cellStyle name="표준 23 3 3 2 2 2 2 3 2 2" xfId="10150"/>
    <cellStyle name="표준 23 3 3 2 2 2 2 3 2 2 2" xfId="10151"/>
    <cellStyle name="표준 23 3 3 2 2 2 2 3 2 2 2 2" xfId="10152"/>
    <cellStyle name="표준 23 3 3 2 2 2 2 3 2 2 3" xfId="10153"/>
    <cellStyle name="표준 23 3 3 2 2 2 2 3 2 3" xfId="10154"/>
    <cellStyle name="표준 23 3 3 2 2 2 2 3 2 3 2" xfId="10155"/>
    <cellStyle name="표준 23 3 3 2 2 2 2 3 2 4" xfId="10156"/>
    <cellStyle name="표준 23 3 3 2 2 2 2 3 3" xfId="10157"/>
    <cellStyle name="표준 23 3 3 2 2 2 2 3 3 2" xfId="10158"/>
    <cellStyle name="표준 23 3 3 2 2 2 2 3 3 2 2" xfId="10159"/>
    <cellStyle name="표준 23 3 3 2 2 2 2 3 3 3" xfId="10160"/>
    <cellStyle name="표준 23 3 3 2 2 2 2 3 4" xfId="10161"/>
    <cellStyle name="표준 23 3 3 2 2 2 2 3 4 2" xfId="10162"/>
    <cellStyle name="표준 23 3 3 2 2 2 2 3 5" xfId="10163"/>
    <cellStyle name="표준 23 3 3 2 2 2 2 4" xfId="10164"/>
    <cellStyle name="표준 23 3 3 2 2 2 2 4 2" xfId="10165"/>
    <cellStyle name="표준 23 3 3 2 2 2 2 4 2 2" xfId="10166"/>
    <cellStyle name="표준 23 3 3 2 2 2 2 4 2 2 2" xfId="10167"/>
    <cellStyle name="표준 23 3 3 2 2 2 2 4 2 3" xfId="10168"/>
    <cellStyle name="표준 23 3 3 2 2 2 2 4 3" xfId="10169"/>
    <cellStyle name="표준 23 3 3 2 2 2 2 4 3 2" xfId="10170"/>
    <cellStyle name="표준 23 3 3 2 2 2 2 4 4" xfId="10171"/>
    <cellStyle name="표준 23 3 3 2 2 2 2 5" xfId="10172"/>
    <cellStyle name="표준 23 3 3 2 2 2 2 5 2" xfId="10173"/>
    <cellStyle name="표준 23 3 3 2 2 2 2 5 2 2" xfId="10174"/>
    <cellStyle name="표준 23 3 3 2 2 2 2 5 3" xfId="10175"/>
    <cellStyle name="표준 23 3 3 2 2 2 2 6" xfId="10176"/>
    <cellStyle name="표준 23 3 3 2 2 2 2 6 2" xfId="10177"/>
    <cellStyle name="표준 23 3 3 2 2 2 2 7" xfId="10178"/>
    <cellStyle name="표준 23 3 3 2 2 2 2 8" xfId="10179"/>
    <cellStyle name="표준 23 3 3 2 2 2 3" xfId="10180"/>
    <cellStyle name="표준 23 3 3 2 2 2 3 2" xfId="10181"/>
    <cellStyle name="표준 23 3 3 2 2 2 3 2 2" xfId="10182"/>
    <cellStyle name="표준 23 3 3 2 2 2 3 2 2 2" xfId="10183"/>
    <cellStyle name="표준 23 3 3 2 2 2 3 2 2 2 2" xfId="10184"/>
    <cellStyle name="표준 23 3 3 2 2 2 3 2 2 2 2 2" xfId="10185"/>
    <cellStyle name="표준 23 3 3 2 2 2 3 2 2 2 3" xfId="10186"/>
    <cellStyle name="표준 23 3 3 2 2 2 3 2 2 3" xfId="10187"/>
    <cellStyle name="표준 23 3 3 2 2 2 3 2 2 3 2" xfId="10188"/>
    <cellStyle name="표준 23 3 3 2 2 2 3 2 2 4" xfId="10189"/>
    <cellStyle name="표준 23 3 3 2 2 2 3 2 3" xfId="10190"/>
    <cellStyle name="표준 23 3 3 2 2 2 3 2 3 2" xfId="10191"/>
    <cellStyle name="표준 23 3 3 2 2 2 3 2 3 2 2" xfId="10192"/>
    <cellStyle name="표준 23 3 3 2 2 2 3 2 3 3" xfId="10193"/>
    <cellStyle name="표준 23 3 3 2 2 2 3 2 4" xfId="10194"/>
    <cellStyle name="표준 23 3 3 2 2 2 3 2 4 2" xfId="10195"/>
    <cellStyle name="표준 23 3 3 2 2 2 3 2 5" xfId="10196"/>
    <cellStyle name="표준 23 3 3 2 2 2 3 3" xfId="10197"/>
    <cellStyle name="표준 23 3 3 2 2 2 3 3 2" xfId="10198"/>
    <cellStyle name="표준 23 3 3 2 2 2 3 3 2 2" xfId="10199"/>
    <cellStyle name="표준 23 3 3 2 2 2 3 3 2 2 2" xfId="10200"/>
    <cellStyle name="표준 23 3 3 2 2 2 3 3 2 3" xfId="10201"/>
    <cellStyle name="표준 23 3 3 2 2 2 3 3 3" xfId="10202"/>
    <cellStyle name="표준 23 3 3 2 2 2 3 3 3 2" xfId="10203"/>
    <cellStyle name="표준 23 3 3 2 2 2 3 3 4" xfId="10204"/>
    <cellStyle name="표준 23 3 3 2 2 2 3 4" xfId="10205"/>
    <cellStyle name="표준 23 3 3 2 2 2 3 4 2" xfId="10206"/>
    <cellStyle name="표준 23 3 3 2 2 2 3 4 2 2" xfId="10207"/>
    <cellStyle name="표준 23 3 3 2 2 2 3 4 3" xfId="10208"/>
    <cellStyle name="표준 23 3 3 2 2 2 3 5" xfId="10209"/>
    <cellStyle name="표준 23 3 3 2 2 2 3 5 2" xfId="10210"/>
    <cellStyle name="표준 23 3 3 2 2 2 3 6" xfId="10211"/>
    <cellStyle name="표준 23 3 3 2 2 2 4" xfId="10212"/>
    <cellStyle name="표준 23 3 3 2 2 2 4 2" xfId="10213"/>
    <cellStyle name="표준 23 3 3 2 2 2 4 2 2" xfId="10214"/>
    <cellStyle name="표준 23 3 3 2 2 2 4 2 2 2" xfId="10215"/>
    <cellStyle name="표준 23 3 3 2 2 2 4 2 2 2 2" xfId="10216"/>
    <cellStyle name="표준 23 3 3 2 2 2 4 2 2 3" xfId="10217"/>
    <cellStyle name="표준 23 3 3 2 2 2 4 2 3" xfId="10218"/>
    <cellStyle name="표준 23 3 3 2 2 2 4 2 3 2" xfId="10219"/>
    <cellStyle name="표준 23 3 3 2 2 2 4 2 4" xfId="10220"/>
    <cellStyle name="표준 23 3 3 2 2 2 4 3" xfId="10221"/>
    <cellStyle name="표준 23 3 3 2 2 2 4 3 2" xfId="10222"/>
    <cellStyle name="표준 23 3 3 2 2 2 4 3 2 2" xfId="10223"/>
    <cellStyle name="표준 23 3 3 2 2 2 4 3 3" xfId="10224"/>
    <cellStyle name="표준 23 3 3 2 2 2 4 4" xfId="10225"/>
    <cellStyle name="표준 23 3 3 2 2 2 4 4 2" xfId="10226"/>
    <cellStyle name="표준 23 3 3 2 2 2 4 5" xfId="10227"/>
    <cellStyle name="표준 23 3 3 2 2 2 5" xfId="10228"/>
    <cellStyle name="표준 23 3 3 2 2 2 5 2" xfId="10229"/>
    <cellStyle name="표준 23 3 3 2 2 2 5 2 2" xfId="10230"/>
    <cellStyle name="표준 23 3 3 2 2 2 5 2 2 2" xfId="10231"/>
    <cellStyle name="표준 23 3 3 2 2 2 5 2 3" xfId="10232"/>
    <cellStyle name="표준 23 3 3 2 2 2 5 3" xfId="10233"/>
    <cellStyle name="표준 23 3 3 2 2 2 5 3 2" xfId="10234"/>
    <cellStyle name="표준 23 3 3 2 2 2 5 4" xfId="10235"/>
    <cellStyle name="표준 23 3 3 2 2 2 6" xfId="10236"/>
    <cellStyle name="표준 23 3 3 2 2 2 6 2" xfId="10237"/>
    <cellStyle name="표준 23 3 3 2 2 2 6 2 2" xfId="10238"/>
    <cellStyle name="표준 23 3 3 2 2 2 6 3" xfId="10239"/>
    <cellStyle name="표준 23 3 3 2 2 2 7" xfId="10240"/>
    <cellStyle name="표준 23 3 3 2 2 2 7 2" xfId="10241"/>
    <cellStyle name="표준 23 3 3 2 2 2 8" xfId="10242"/>
    <cellStyle name="표준 23 3 3 2 2 2 9" xfId="10243"/>
    <cellStyle name="표준 23 3 3 2 2 3" xfId="10244"/>
    <cellStyle name="표준 23 3 3 2 2 3 2" xfId="10245"/>
    <cellStyle name="표준 23 3 3 2 2 3 2 2" xfId="10246"/>
    <cellStyle name="표준 23 3 3 2 2 3 2 2 2" xfId="10247"/>
    <cellStyle name="표준 23 3 3 2 2 3 2 2 2 2" xfId="10248"/>
    <cellStyle name="표준 23 3 3 2 2 3 2 2 2 2 2" xfId="10249"/>
    <cellStyle name="표준 23 3 3 2 2 3 2 2 2 2 2 2" xfId="10250"/>
    <cellStyle name="표준 23 3 3 2 2 3 2 2 2 2 3" xfId="10251"/>
    <cellStyle name="표준 23 3 3 2 2 3 2 2 2 3" xfId="10252"/>
    <cellStyle name="표준 23 3 3 2 2 3 2 2 2 3 2" xfId="10253"/>
    <cellStyle name="표준 23 3 3 2 2 3 2 2 2 4" xfId="10254"/>
    <cellStyle name="표준 23 3 3 2 2 3 2 2 3" xfId="10255"/>
    <cellStyle name="표준 23 3 3 2 2 3 2 2 3 2" xfId="10256"/>
    <cellStyle name="표준 23 3 3 2 2 3 2 2 3 2 2" xfId="10257"/>
    <cellStyle name="표준 23 3 3 2 2 3 2 2 3 3" xfId="10258"/>
    <cellStyle name="표준 23 3 3 2 2 3 2 2 4" xfId="10259"/>
    <cellStyle name="표준 23 3 3 2 2 3 2 2 4 2" xfId="10260"/>
    <cellStyle name="표준 23 3 3 2 2 3 2 2 5" xfId="10261"/>
    <cellStyle name="표준 23 3 3 2 2 3 2 3" xfId="10262"/>
    <cellStyle name="표준 23 3 3 2 2 3 2 3 2" xfId="10263"/>
    <cellStyle name="표준 23 3 3 2 2 3 2 3 2 2" xfId="10264"/>
    <cellStyle name="표준 23 3 3 2 2 3 2 3 2 2 2" xfId="10265"/>
    <cellStyle name="표준 23 3 3 2 2 3 2 3 2 3" xfId="10266"/>
    <cellStyle name="표준 23 3 3 2 2 3 2 3 3" xfId="10267"/>
    <cellStyle name="표준 23 3 3 2 2 3 2 3 3 2" xfId="10268"/>
    <cellStyle name="표준 23 3 3 2 2 3 2 3 4" xfId="10269"/>
    <cellStyle name="표준 23 3 3 2 2 3 2 4" xfId="10270"/>
    <cellStyle name="표준 23 3 3 2 2 3 2 4 2" xfId="10271"/>
    <cellStyle name="표준 23 3 3 2 2 3 2 4 2 2" xfId="10272"/>
    <cellStyle name="표준 23 3 3 2 2 3 2 4 3" xfId="10273"/>
    <cellStyle name="표준 23 3 3 2 2 3 2 5" xfId="10274"/>
    <cellStyle name="표준 23 3 3 2 2 3 2 5 2" xfId="10275"/>
    <cellStyle name="표준 23 3 3 2 2 3 2 6" xfId="10276"/>
    <cellStyle name="표준 23 3 3 2 2 3 3" xfId="10277"/>
    <cellStyle name="표준 23 3 3 2 2 3 3 2" xfId="10278"/>
    <cellStyle name="표준 23 3 3 2 2 3 3 2 2" xfId="10279"/>
    <cellStyle name="표준 23 3 3 2 2 3 3 2 2 2" xfId="10280"/>
    <cellStyle name="표준 23 3 3 2 2 3 3 2 2 2 2" xfId="10281"/>
    <cellStyle name="표준 23 3 3 2 2 3 3 2 2 3" xfId="10282"/>
    <cellStyle name="표준 23 3 3 2 2 3 3 2 3" xfId="10283"/>
    <cellStyle name="표준 23 3 3 2 2 3 3 2 3 2" xfId="10284"/>
    <cellStyle name="표준 23 3 3 2 2 3 3 2 4" xfId="10285"/>
    <cellStyle name="표준 23 3 3 2 2 3 3 3" xfId="10286"/>
    <cellStyle name="표준 23 3 3 2 2 3 3 3 2" xfId="10287"/>
    <cellStyle name="표준 23 3 3 2 2 3 3 3 2 2" xfId="10288"/>
    <cellStyle name="표준 23 3 3 2 2 3 3 3 3" xfId="10289"/>
    <cellStyle name="표준 23 3 3 2 2 3 3 4" xfId="10290"/>
    <cellStyle name="표준 23 3 3 2 2 3 3 4 2" xfId="10291"/>
    <cellStyle name="표준 23 3 3 2 2 3 3 5" xfId="10292"/>
    <cellStyle name="표준 23 3 3 2 2 3 4" xfId="10293"/>
    <cellStyle name="표준 23 3 3 2 2 3 4 2" xfId="10294"/>
    <cellStyle name="표준 23 3 3 2 2 3 4 2 2" xfId="10295"/>
    <cellStyle name="표준 23 3 3 2 2 3 4 2 2 2" xfId="10296"/>
    <cellStyle name="표준 23 3 3 2 2 3 4 2 3" xfId="10297"/>
    <cellStyle name="표준 23 3 3 2 2 3 4 3" xfId="10298"/>
    <cellStyle name="표준 23 3 3 2 2 3 4 3 2" xfId="10299"/>
    <cellStyle name="표준 23 3 3 2 2 3 4 4" xfId="10300"/>
    <cellStyle name="표준 23 3 3 2 2 3 5" xfId="10301"/>
    <cellStyle name="표준 23 3 3 2 2 3 5 2" xfId="10302"/>
    <cellStyle name="표준 23 3 3 2 2 3 5 2 2" xfId="10303"/>
    <cellStyle name="표준 23 3 3 2 2 3 5 3" xfId="10304"/>
    <cellStyle name="표준 23 3 3 2 2 3 6" xfId="10305"/>
    <cellStyle name="표준 23 3 3 2 2 3 6 2" xfId="10306"/>
    <cellStyle name="표준 23 3 3 2 2 3 7" xfId="10307"/>
    <cellStyle name="표준 23 3 3 2 2 3 8" xfId="10308"/>
    <cellStyle name="표준 23 3 3 2 2 4" xfId="10309"/>
    <cellStyle name="표준 23 3 3 2 2 4 2" xfId="10310"/>
    <cellStyle name="표준 23 3 3 2 2 4 2 2" xfId="10311"/>
    <cellStyle name="표준 23 3 3 2 2 4 2 2 2" xfId="10312"/>
    <cellStyle name="표준 23 3 3 2 2 4 2 2 2 2" xfId="10313"/>
    <cellStyle name="표준 23 3 3 2 2 4 2 2 2 2 2" xfId="10314"/>
    <cellStyle name="표준 23 3 3 2 2 4 2 2 2 3" xfId="10315"/>
    <cellStyle name="표준 23 3 3 2 2 4 2 2 3" xfId="10316"/>
    <cellStyle name="표준 23 3 3 2 2 4 2 2 3 2" xfId="10317"/>
    <cellStyle name="표준 23 3 3 2 2 4 2 2 4" xfId="10318"/>
    <cellStyle name="표준 23 3 3 2 2 4 2 3" xfId="10319"/>
    <cellStyle name="표준 23 3 3 2 2 4 2 3 2" xfId="10320"/>
    <cellStyle name="표준 23 3 3 2 2 4 2 3 2 2" xfId="10321"/>
    <cellStyle name="표준 23 3 3 2 2 4 2 3 3" xfId="10322"/>
    <cellStyle name="표준 23 3 3 2 2 4 2 4" xfId="10323"/>
    <cellStyle name="표준 23 3 3 2 2 4 2 4 2" xfId="10324"/>
    <cellStyle name="표준 23 3 3 2 2 4 2 5" xfId="10325"/>
    <cellStyle name="표준 23 3 3 2 2 4 3" xfId="10326"/>
    <cellStyle name="표준 23 3 3 2 2 4 3 2" xfId="10327"/>
    <cellStyle name="표준 23 3 3 2 2 4 3 2 2" xfId="10328"/>
    <cellStyle name="표준 23 3 3 2 2 4 3 2 2 2" xfId="10329"/>
    <cellStyle name="표준 23 3 3 2 2 4 3 2 3" xfId="10330"/>
    <cellStyle name="표준 23 3 3 2 2 4 3 3" xfId="10331"/>
    <cellStyle name="표준 23 3 3 2 2 4 3 3 2" xfId="10332"/>
    <cellStyle name="표준 23 3 3 2 2 4 3 4" xfId="10333"/>
    <cellStyle name="표준 23 3 3 2 2 4 4" xfId="10334"/>
    <cellStyle name="표준 23 3 3 2 2 4 4 2" xfId="10335"/>
    <cellStyle name="표준 23 3 3 2 2 4 4 2 2" xfId="10336"/>
    <cellStyle name="표준 23 3 3 2 2 4 4 3" xfId="10337"/>
    <cellStyle name="표준 23 3 3 2 2 4 5" xfId="10338"/>
    <cellStyle name="표준 23 3 3 2 2 4 5 2" xfId="10339"/>
    <cellStyle name="표준 23 3 3 2 2 4 6" xfId="10340"/>
    <cellStyle name="표준 23 3 3 2 2 5" xfId="10341"/>
    <cellStyle name="표준 23 3 3 2 2 5 2" xfId="10342"/>
    <cellStyle name="표준 23 3 3 2 2 5 2 2" xfId="10343"/>
    <cellStyle name="표준 23 3 3 2 2 5 2 2 2" xfId="10344"/>
    <cellStyle name="표준 23 3 3 2 2 5 2 2 2 2" xfId="10345"/>
    <cellStyle name="표준 23 3 3 2 2 5 2 2 3" xfId="10346"/>
    <cellStyle name="표준 23 3 3 2 2 5 2 3" xfId="10347"/>
    <cellStyle name="표준 23 3 3 2 2 5 2 3 2" xfId="10348"/>
    <cellStyle name="표준 23 3 3 2 2 5 2 4" xfId="10349"/>
    <cellStyle name="표준 23 3 3 2 2 5 3" xfId="10350"/>
    <cellStyle name="표준 23 3 3 2 2 5 3 2" xfId="10351"/>
    <cellStyle name="표준 23 3 3 2 2 5 3 2 2" xfId="10352"/>
    <cellStyle name="표준 23 3 3 2 2 5 3 3" xfId="10353"/>
    <cellStyle name="표준 23 3 3 2 2 5 4" xfId="10354"/>
    <cellStyle name="표준 23 3 3 2 2 5 4 2" xfId="10355"/>
    <cellStyle name="표준 23 3 3 2 2 5 5" xfId="10356"/>
    <cellStyle name="표준 23 3 3 2 2 6" xfId="10357"/>
    <cellStyle name="표준 23 3 3 2 2 6 2" xfId="10358"/>
    <cellStyle name="표준 23 3 3 2 2 6 2 2" xfId="10359"/>
    <cellStyle name="표준 23 3 3 2 2 6 2 2 2" xfId="10360"/>
    <cellStyle name="표준 23 3 3 2 2 6 2 3" xfId="10361"/>
    <cellStyle name="표준 23 3 3 2 2 6 3" xfId="10362"/>
    <cellStyle name="표준 23 3 3 2 2 6 3 2" xfId="10363"/>
    <cellStyle name="표준 23 3 3 2 2 6 4" xfId="10364"/>
    <cellStyle name="표준 23 3 3 2 2 7" xfId="10365"/>
    <cellStyle name="표준 23 3 3 2 2 7 2" xfId="10366"/>
    <cellStyle name="표준 23 3 3 2 2 7 2 2" xfId="10367"/>
    <cellStyle name="표준 23 3 3 2 2 7 3" xfId="10368"/>
    <cellStyle name="표준 23 3 3 2 2 8" xfId="10369"/>
    <cellStyle name="표준 23 3 3 2 2 8 2" xfId="10370"/>
    <cellStyle name="표준 23 3 3 2 2 9" xfId="10371"/>
    <cellStyle name="표준 23 3 3 2 3" xfId="10372"/>
    <cellStyle name="표준 23 3 3 2 3 2" xfId="10373"/>
    <cellStyle name="표준 23 3 3 2 3 2 2" xfId="10374"/>
    <cellStyle name="표준 23 3 3 2 3 2 2 2" xfId="10375"/>
    <cellStyle name="표준 23 3 3 2 3 2 2 2 2" xfId="10376"/>
    <cellStyle name="표준 23 3 3 2 3 2 2 2 2 2" xfId="10377"/>
    <cellStyle name="표준 23 3 3 2 3 2 2 2 2 2 2" xfId="10378"/>
    <cellStyle name="표준 23 3 3 2 3 2 2 2 2 2 2 2" xfId="10379"/>
    <cellStyle name="표준 23 3 3 2 3 2 2 2 2 2 3" xfId="10380"/>
    <cellStyle name="표준 23 3 3 2 3 2 2 2 2 3" xfId="10381"/>
    <cellStyle name="표준 23 3 3 2 3 2 2 2 2 3 2" xfId="10382"/>
    <cellStyle name="표준 23 3 3 2 3 2 2 2 2 4" xfId="10383"/>
    <cellStyle name="표준 23 3 3 2 3 2 2 2 3" xfId="10384"/>
    <cellStyle name="표준 23 3 3 2 3 2 2 2 3 2" xfId="10385"/>
    <cellStyle name="표준 23 3 3 2 3 2 2 2 3 2 2" xfId="10386"/>
    <cellStyle name="표준 23 3 3 2 3 2 2 2 3 3" xfId="10387"/>
    <cellStyle name="표준 23 3 3 2 3 2 2 2 4" xfId="10388"/>
    <cellStyle name="표준 23 3 3 2 3 2 2 2 4 2" xfId="10389"/>
    <cellStyle name="표준 23 3 3 2 3 2 2 2 5" xfId="10390"/>
    <cellStyle name="표준 23 3 3 2 3 2 2 3" xfId="10391"/>
    <cellStyle name="표준 23 3 3 2 3 2 2 3 2" xfId="10392"/>
    <cellStyle name="표준 23 3 3 2 3 2 2 3 2 2" xfId="10393"/>
    <cellStyle name="표준 23 3 3 2 3 2 2 3 2 2 2" xfId="10394"/>
    <cellStyle name="표준 23 3 3 2 3 2 2 3 2 3" xfId="10395"/>
    <cellStyle name="표준 23 3 3 2 3 2 2 3 3" xfId="10396"/>
    <cellStyle name="표준 23 3 3 2 3 2 2 3 3 2" xfId="10397"/>
    <cellStyle name="표준 23 3 3 2 3 2 2 3 4" xfId="10398"/>
    <cellStyle name="표준 23 3 3 2 3 2 2 4" xfId="10399"/>
    <cellStyle name="표준 23 3 3 2 3 2 2 4 2" xfId="10400"/>
    <cellStyle name="표준 23 3 3 2 3 2 2 4 2 2" xfId="10401"/>
    <cellStyle name="표준 23 3 3 2 3 2 2 4 3" xfId="10402"/>
    <cellStyle name="표준 23 3 3 2 3 2 2 5" xfId="10403"/>
    <cellStyle name="표준 23 3 3 2 3 2 2 5 2" xfId="10404"/>
    <cellStyle name="표준 23 3 3 2 3 2 2 6" xfId="10405"/>
    <cellStyle name="표준 23 3 3 2 3 2 3" xfId="10406"/>
    <cellStyle name="표준 23 3 3 2 3 2 3 2" xfId="10407"/>
    <cellStyle name="표준 23 3 3 2 3 2 3 2 2" xfId="10408"/>
    <cellStyle name="표준 23 3 3 2 3 2 3 2 2 2" xfId="10409"/>
    <cellStyle name="표준 23 3 3 2 3 2 3 2 2 2 2" xfId="10410"/>
    <cellStyle name="표준 23 3 3 2 3 2 3 2 2 3" xfId="10411"/>
    <cellStyle name="표준 23 3 3 2 3 2 3 2 3" xfId="10412"/>
    <cellStyle name="표준 23 3 3 2 3 2 3 2 3 2" xfId="10413"/>
    <cellStyle name="표준 23 3 3 2 3 2 3 2 4" xfId="10414"/>
    <cellStyle name="표준 23 3 3 2 3 2 3 3" xfId="10415"/>
    <cellStyle name="표준 23 3 3 2 3 2 3 3 2" xfId="10416"/>
    <cellStyle name="표준 23 3 3 2 3 2 3 3 2 2" xfId="10417"/>
    <cellStyle name="표준 23 3 3 2 3 2 3 3 3" xfId="10418"/>
    <cellStyle name="표준 23 3 3 2 3 2 3 4" xfId="10419"/>
    <cellStyle name="표준 23 3 3 2 3 2 3 4 2" xfId="10420"/>
    <cellStyle name="표준 23 3 3 2 3 2 3 5" xfId="10421"/>
    <cellStyle name="표준 23 3 3 2 3 2 4" xfId="10422"/>
    <cellStyle name="표준 23 3 3 2 3 2 4 2" xfId="10423"/>
    <cellStyle name="표준 23 3 3 2 3 2 4 2 2" xfId="10424"/>
    <cellStyle name="표준 23 3 3 2 3 2 4 2 2 2" xfId="10425"/>
    <cellStyle name="표준 23 3 3 2 3 2 4 2 3" xfId="10426"/>
    <cellStyle name="표준 23 3 3 2 3 2 4 3" xfId="10427"/>
    <cellStyle name="표준 23 3 3 2 3 2 4 3 2" xfId="10428"/>
    <cellStyle name="표준 23 3 3 2 3 2 4 4" xfId="10429"/>
    <cellStyle name="표준 23 3 3 2 3 2 5" xfId="10430"/>
    <cellStyle name="표준 23 3 3 2 3 2 5 2" xfId="10431"/>
    <cellStyle name="표준 23 3 3 2 3 2 5 2 2" xfId="10432"/>
    <cellStyle name="표준 23 3 3 2 3 2 5 3" xfId="10433"/>
    <cellStyle name="표준 23 3 3 2 3 2 6" xfId="10434"/>
    <cellStyle name="표준 23 3 3 2 3 2 6 2" xfId="10435"/>
    <cellStyle name="표준 23 3 3 2 3 2 7" xfId="10436"/>
    <cellStyle name="표준 23 3 3 2 3 2 8" xfId="10437"/>
    <cellStyle name="표준 23 3 3 2 3 3" xfId="10438"/>
    <cellStyle name="표준 23 3 3 2 3 3 2" xfId="10439"/>
    <cellStyle name="표준 23 3 3 2 3 3 2 2" xfId="10440"/>
    <cellStyle name="표준 23 3 3 2 3 3 2 2 2" xfId="10441"/>
    <cellStyle name="표준 23 3 3 2 3 3 2 2 2 2" xfId="10442"/>
    <cellStyle name="표준 23 3 3 2 3 3 2 2 2 2 2" xfId="10443"/>
    <cellStyle name="표준 23 3 3 2 3 3 2 2 2 3" xfId="10444"/>
    <cellStyle name="표준 23 3 3 2 3 3 2 2 3" xfId="10445"/>
    <cellStyle name="표준 23 3 3 2 3 3 2 2 3 2" xfId="10446"/>
    <cellStyle name="표준 23 3 3 2 3 3 2 2 4" xfId="10447"/>
    <cellStyle name="표준 23 3 3 2 3 3 2 3" xfId="10448"/>
    <cellStyle name="표준 23 3 3 2 3 3 2 3 2" xfId="10449"/>
    <cellStyle name="표준 23 3 3 2 3 3 2 3 2 2" xfId="10450"/>
    <cellStyle name="표준 23 3 3 2 3 3 2 3 3" xfId="10451"/>
    <cellStyle name="표준 23 3 3 2 3 3 2 4" xfId="10452"/>
    <cellStyle name="표준 23 3 3 2 3 3 2 4 2" xfId="10453"/>
    <cellStyle name="표준 23 3 3 2 3 3 2 5" xfId="10454"/>
    <cellStyle name="표준 23 3 3 2 3 3 3" xfId="10455"/>
    <cellStyle name="표준 23 3 3 2 3 3 3 2" xfId="10456"/>
    <cellStyle name="표준 23 3 3 2 3 3 3 2 2" xfId="10457"/>
    <cellStyle name="표준 23 3 3 2 3 3 3 2 2 2" xfId="10458"/>
    <cellStyle name="표준 23 3 3 2 3 3 3 2 3" xfId="10459"/>
    <cellStyle name="표준 23 3 3 2 3 3 3 3" xfId="10460"/>
    <cellStyle name="표준 23 3 3 2 3 3 3 3 2" xfId="10461"/>
    <cellStyle name="표준 23 3 3 2 3 3 3 4" xfId="10462"/>
    <cellStyle name="표준 23 3 3 2 3 3 4" xfId="10463"/>
    <cellStyle name="표준 23 3 3 2 3 3 4 2" xfId="10464"/>
    <cellStyle name="표준 23 3 3 2 3 3 4 2 2" xfId="10465"/>
    <cellStyle name="표준 23 3 3 2 3 3 4 3" xfId="10466"/>
    <cellStyle name="표준 23 3 3 2 3 3 5" xfId="10467"/>
    <cellStyle name="표준 23 3 3 2 3 3 5 2" xfId="10468"/>
    <cellStyle name="표준 23 3 3 2 3 3 6" xfId="10469"/>
    <cellStyle name="표준 23 3 3 2 3 4" xfId="10470"/>
    <cellStyle name="표준 23 3 3 2 3 4 2" xfId="10471"/>
    <cellStyle name="표준 23 3 3 2 3 4 2 2" xfId="10472"/>
    <cellStyle name="표준 23 3 3 2 3 4 2 2 2" xfId="10473"/>
    <cellStyle name="표준 23 3 3 2 3 4 2 2 2 2" xfId="10474"/>
    <cellStyle name="표준 23 3 3 2 3 4 2 2 3" xfId="10475"/>
    <cellStyle name="표준 23 3 3 2 3 4 2 3" xfId="10476"/>
    <cellStyle name="표준 23 3 3 2 3 4 2 3 2" xfId="10477"/>
    <cellStyle name="표준 23 3 3 2 3 4 2 4" xfId="10478"/>
    <cellStyle name="표준 23 3 3 2 3 4 3" xfId="10479"/>
    <cellStyle name="표준 23 3 3 2 3 4 3 2" xfId="10480"/>
    <cellStyle name="표준 23 3 3 2 3 4 3 2 2" xfId="10481"/>
    <cellStyle name="표준 23 3 3 2 3 4 3 3" xfId="10482"/>
    <cellStyle name="표준 23 3 3 2 3 4 4" xfId="10483"/>
    <cellStyle name="표준 23 3 3 2 3 4 4 2" xfId="10484"/>
    <cellStyle name="표준 23 3 3 2 3 4 5" xfId="10485"/>
    <cellStyle name="표준 23 3 3 2 3 5" xfId="10486"/>
    <cellStyle name="표준 23 3 3 2 3 5 2" xfId="10487"/>
    <cellStyle name="표준 23 3 3 2 3 5 2 2" xfId="10488"/>
    <cellStyle name="표준 23 3 3 2 3 5 2 2 2" xfId="10489"/>
    <cellStyle name="표준 23 3 3 2 3 5 2 3" xfId="10490"/>
    <cellStyle name="표준 23 3 3 2 3 5 3" xfId="10491"/>
    <cellStyle name="표준 23 3 3 2 3 5 3 2" xfId="10492"/>
    <cellStyle name="표준 23 3 3 2 3 5 4" xfId="10493"/>
    <cellStyle name="표준 23 3 3 2 3 6" xfId="10494"/>
    <cellStyle name="표준 23 3 3 2 3 6 2" xfId="10495"/>
    <cellStyle name="표준 23 3 3 2 3 6 2 2" xfId="10496"/>
    <cellStyle name="표준 23 3 3 2 3 6 3" xfId="10497"/>
    <cellStyle name="표준 23 3 3 2 3 7" xfId="10498"/>
    <cellStyle name="표준 23 3 3 2 3 7 2" xfId="10499"/>
    <cellStyle name="표준 23 3 3 2 3 8" xfId="10500"/>
    <cellStyle name="표준 23 3 3 2 3 9" xfId="10501"/>
    <cellStyle name="표준 23 3 3 2 4" xfId="10502"/>
    <cellStyle name="표준 23 3 3 2 4 2" xfId="10503"/>
    <cellStyle name="표준 23 3 3 2 4 2 2" xfId="10504"/>
    <cellStyle name="표준 23 3 3 2 4 2 2 2" xfId="10505"/>
    <cellStyle name="표준 23 3 3 2 4 2 2 2 2" xfId="10506"/>
    <cellStyle name="표준 23 3 3 2 4 2 2 2 2 2" xfId="10507"/>
    <cellStyle name="표준 23 3 3 2 4 2 2 2 2 2 2" xfId="10508"/>
    <cellStyle name="표준 23 3 3 2 4 2 2 2 2 3" xfId="10509"/>
    <cellStyle name="표준 23 3 3 2 4 2 2 2 3" xfId="10510"/>
    <cellStyle name="표준 23 3 3 2 4 2 2 2 3 2" xfId="10511"/>
    <cellStyle name="표준 23 3 3 2 4 2 2 2 4" xfId="10512"/>
    <cellStyle name="표준 23 3 3 2 4 2 2 3" xfId="10513"/>
    <cellStyle name="표준 23 3 3 2 4 2 2 3 2" xfId="10514"/>
    <cellStyle name="표준 23 3 3 2 4 2 2 3 2 2" xfId="10515"/>
    <cellStyle name="표준 23 3 3 2 4 2 2 3 3" xfId="10516"/>
    <cellStyle name="표준 23 3 3 2 4 2 2 4" xfId="10517"/>
    <cellStyle name="표준 23 3 3 2 4 2 2 4 2" xfId="10518"/>
    <cellStyle name="표준 23 3 3 2 4 2 2 5" xfId="10519"/>
    <cellStyle name="표준 23 3 3 2 4 2 3" xfId="10520"/>
    <cellStyle name="표준 23 3 3 2 4 2 3 2" xfId="10521"/>
    <cellStyle name="표준 23 3 3 2 4 2 3 2 2" xfId="10522"/>
    <cellStyle name="표준 23 3 3 2 4 2 3 2 2 2" xfId="10523"/>
    <cellStyle name="표준 23 3 3 2 4 2 3 2 3" xfId="10524"/>
    <cellStyle name="표준 23 3 3 2 4 2 3 3" xfId="10525"/>
    <cellStyle name="표준 23 3 3 2 4 2 3 3 2" xfId="10526"/>
    <cellStyle name="표준 23 3 3 2 4 2 3 4" xfId="10527"/>
    <cellStyle name="표준 23 3 3 2 4 2 4" xfId="10528"/>
    <cellStyle name="표준 23 3 3 2 4 2 4 2" xfId="10529"/>
    <cellStyle name="표준 23 3 3 2 4 2 4 2 2" xfId="10530"/>
    <cellStyle name="표준 23 3 3 2 4 2 4 3" xfId="10531"/>
    <cellStyle name="표준 23 3 3 2 4 2 5" xfId="10532"/>
    <cellStyle name="표준 23 3 3 2 4 2 5 2" xfId="10533"/>
    <cellStyle name="표준 23 3 3 2 4 2 6" xfId="10534"/>
    <cellStyle name="표준 23 3 3 2 4 3" xfId="10535"/>
    <cellStyle name="표준 23 3 3 2 4 3 2" xfId="10536"/>
    <cellStyle name="표준 23 3 3 2 4 3 2 2" xfId="10537"/>
    <cellStyle name="표준 23 3 3 2 4 3 2 2 2" xfId="10538"/>
    <cellStyle name="표준 23 3 3 2 4 3 2 2 2 2" xfId="10539"/>
    <cellStyle name="표준 23 3 3 2 4 3 2 2 3" xfId="10540"/>
    <cellStyle name="표준 23 3 3 2 4 3 2 3" xfId="10541"/>
    <cellStyle name="표준 23 3 3 2 4 3 2 3 2" xfId="10542"/>
    <cellStyle name="표준 23 3 3 2 4 3 2 4" xfId="10543"/>
    <cellStyle name="표준 23 3 3 2 4 3 3" xfId="10544"/>
    <cellStyle name="표준 23 3 3 2 4 3 3 2" xfId="10545"/>
    <cellStyle name="표준 23 3 3 2 4 3 3 2 2" xfId="10546"/>
    <cellStyle name="표준 23 3 3 2 4 3 3 3" xfId="10547"/>
    <cellStyle name="표준 23 3 3 2 4 3 4" xfId="10548"/>
    <cellStyle name="표준 23 3 3 2 4 3 4 2" xfId="10549"/>
    <cellStyle name="표준 23 3 3 2 4 3 5" xfId="10550"/>
    <cellStyle name="표준 23 3 3 2 4 4" xfId="10551"/>
    <cellStyle name="표준 23 3 3 2 4 4 2" xfId="10552"/>
    <cellStyle name="표준 23 3 3 2 4 4 2 2" xfId="10553"/>
    <cellStyle name="표준 23 3 3 2 4 4 2 2 2" xfId="10554"/>
    <cellStyle name="표준 23 3 3 2 4 4 2 3" xfId="10555"/>
    <cellStyle name="표준 23 3 3 2 4 4 3" xfId="10556"/>
    <cellStyle name="표준 23 3 3 2 4 4 3 2" xfId="10557"/>
    <cellStyle name="표준 23 3 3 2 4 4 4" xfId="10558"/>
    <cellStyle name="표준 23 3 3 2 4 5" xfId="10559"/>
    <cellStyle name="표준 23 3 3 2 4 5 2" xfId="10560"/>
    <cellStyle name="표준 23 3 3 2 4 5 2 2" xfId="10561"/>
    <cellStyle name="표준 23 3 3 2 4 5 3" xfId="10562"/>
    <cellStyle name="표준 23 3 3 2 4 6" xfId="10563"/>
    <cellStyle name="표준 23 3 3 2 4 6 2" xfId="10564"/>
    <cellStyle name="표준 23 3 3 2 4 7" xfId="10565"/>
    <cellStyle name="표준 23 3 3 2 4 8" xfId="10566"/>
    <cellStyle name="표준 23 3 3 2 5" xfId="10567"/>
    <cellStyle name="표준 23 3 3 2 5 2" xfId="10568"/>
    <cellStyle name="표준 23 3 3 2 5 2 2" xfId="10569"/>
    <cellStyle name="표준 23 3 3 2 5 2 2 2" xfId="10570"/>
    <cellStyle name="표준 23 3 3 2 5 2 2 2 2" xfId="10571"/>
    <cellStyle name="표준 23 3 3 2 5 2 2 2 2 2" xfId="10572"/>
    <cellStyle name="표준 23 3 3 2 5 2 2 2 3" xfId="10573"/>
    <cellStyle name="표준 23 3 3 2 5 2 2 3" xfId="10574"/>
    <cellStyle name="표준 23 3 3 2 5 2 2 3 2" xfId="10575"/>
    <cellStyle name="표준 23 3 3 2 5 2 2 4" xfId="10576"/>
    <cellStyle name="표준 23 3 3 2 5 2 3" xfId="10577"/>
    <cellStyle name="표준 23 3 3 2 5 2 3 2" xfId="10578"/>
    <cellStyle name="표준 23 3 3 2 5 2 3 2 2" xfId="10579"/>
    <cellStyle name="표준 23 3 3 2 5 2 3 3" xfId="10580"/>
    <cellStyle name="표준 23 3 3 2 5 2 4" xfId="10581"/>
    <cellStyle name="표준 23 3 3 2 5 2 4 2" xfId="10582"/>
    <cellStyle name="표준 23 3 3 2 5 2 5" xfId="10583"/>
    <cellStyle name="표준 23 3 3 2 5 3" xfId="10584"/>
    <cellStyle name="표준 23 3 3 2 5 3 2" xfId="10585"/>
    <cellStyle name="표준 23 3 3 2 5 3 2 2" xfId="10586"/>
    <cellStyle name="표준 23 3 3 2 5 3 2 2 2" xfId="10587"/>
    <cellStyle name="표준 23 3 3 2 5 3 2 3" xfId="10588"/>
    <cellStyle name="표준 23 3 3 2 5 3 3" xfId="10589"/>
    <cellStyle name="표준 23 3 3 2 5 3 3 2" xfId="10590"/>
    <cellStyle name="표준 23 3 3 2 5 3 4" xfId="10591"/>
    <cellStyle name="표준 23 3 3 2 5 4" xfId="10592"/>
    <cellStyle name="표준 23 3 3 2 5 4 2" xfId="10593"/>
    <cellStyle name="표준 23 3 3 2 5 4 2 2" xfId="10594"/>
    <cellStyle name="표준 23 3 3 2 5 4 3" xfId="10595"/>
    <cellStyle name="표준 23 3 3 2 5 5" xfId="10596"/>
    <cellStyle name="표준 23 3 3 2 5 5 2" xfId="10597"/>
    <cellStyle name="표준 23 3 3 2 5 6" xfId="10598"/>
    <cellStyle name="표준 23 3 3 2 6" xfId="10599"/>
    <cellStyle name="표준 23 3 3 2 6 2" xfId="10600"/>
    <cellStyle name="표준 23 3 3 2 6 2 2" xfId="10601"/>
    <cellStyle name="표준 23 3 3 2 6 2 2 2" xfId="10602"/>
    <cellStyle name="표준 23 3 3 2 6 2 2 2 2" xfId="10603"/>
    <cellStyle name="표준 23 3 3 2 6 2 2 3" xfId="10604"/>
    <cellStyle name="표준 23 3 3 2 6 2 3" xfId="10605"/>
    <cellStyle name="표준 23 3 3 2 6 2 3 2" xfId="10606"/>
    <cellStyle name="표준 23 3 3 2 6 2 4" xfId="10607"/>
    <cellStyle name="표준 23 3 3 2 6 3" xfId="10608"/>
    <cellStyle name="표준 23 3 3 2 6 3 2" xfId="10609"/>
    <cellStyle name="표준 23 3 3 2 6 3 2 2" xfId="10610"/>
    <cellStyle name="표준 23 3 3 2 6 3 3" xfId="10611"/>
    <cellStyle name="표준 23 3 3 2 6 4" xfId="10612"/>
    <cellStyle name="표준 23 3 3 2 6 4 2" xfId="10613"/>
    <cellStyle name="표준 23 3 3 2 6 5" xfId="10614"/>
    <cellStyle name="표준 23 3 3 2 7" xfId="10615"/>
    <cellStyle name="표준 23 3 3 2 7 2" xfId="10616"/>
    <cellStyle name="표준 23 3 3 2 7 2 2" xfId="10617"/>
    <cellStyle name="표준 23 3 3 2 7 2 2 2" xfId="10618"/>
    <cellStyle name="표준 23 3 3 2 7 2 3" xfId="10619"/>
    <cellStyle name="표준 23 3 3 2 7 3" xfId="10620"/>
    <cellStyle name="표준 23 3 3 2 7 3 2" xfId="10621"/>
    <cellStyle name="표준 23 3 3 2 7 4" xfId="10622"/>
    <cellStyle name="표준 23 3 3 2 8" xfId="10623"/>
    <cellStyle name="표준 23 3 3 2 8 2" xfId="10624"/>
    <cellStyle name="표준 23 3 3 2 8 2 2" xfId="10625"/>
    <cellStyle name="표준 23 3 3 2 8 3" xfId="10626"/>
    <cellStyle name="표준 23 3 3 2 9" xfId="10627"/>
    <cellStyle name="표준 23 3 3 2 9 2" xfId="10628"/>
    <cellStyle name="표준 23 3 3 3" xfId="10629"/>
    <cellStyle name="표준 23 3 3 3 10" xfId="10630"/>
    <cellStyle name="표준 23 3 3 3 2" xfId="10631"/>
    <cellStyle name="표준 23 3 3 3 2 2" xfId="10632"/>
    <cellStyle name="표준 23 3 3 3 2 2 2" xfId="10633"/>
    <cellStyle name="표준 23 3 3 3 2 2 2 2" xfId="10634"/>
    <cellStyle name="표준 23 3 3 3 2 2 2 2 2" xfId="10635"/>
    <cellStyle name="표준 23 3 3 3 2 2 2 2 2 2" xfId="10636"/>
    <cellStyle name="표준 23 3 3 3 2 2 2 2 2 2 2" xfId="10637"/>
    <cellStyle name="표준 23 3 3 3 2 2 2 2 2 2 2 2" xfId="10638"/>
    <cellStyle name="표준 23 3 3 3 2 2 2 2 2 2 3" xfId="10639"/>
    <cellStyle name="표준 23 3 3 3 2 2 2 2 2 3" xfId="10640"/>
    <cellStyle name="표준 23 3 3 3 2 2 2 2 2 3 2" xfId="10641"/>
    <cellStyle name="표준 23 3 3 3 2 2 2 2 2 4" xfId="10642"/>
    <cellStyle name="표준 23 3 3 3 2 2 2 2 3" xfId="10643"/>
    <cellStyle name="표준 23 3 3 3 2 2 2 2 3 2" xfId="10644"/>
    <cellStyle name="표준 23 3 3 3 2 2 2 2 3 2 2" xfId="10645"/>
    <cellStyle name="표준 23 3 3 3 2 2 2 2 3 3" xfId="10646"/>
    <cellStyle name="표준 23 3 3 3 2 2 2 2 4" xfId="10647"/>
    <cellStyle name="표준 23 3 3 3 2 2 2 2 4 2" xfId="10648"/>
    <cellStyle name="표준 23 3 3 3 2 2 2 2 5" xfId="10649"/>
    <cellStyle name="표준 23 3 3 3 2 2 2 3" xfId="10650"/>
    <cellStyle name="표준 23 3 3 3 2 2 2 3 2" xfId="10651"/>
    <cellStyle name="표준 23 3 3 3 2 2 2 3 2 2" xfId="10652"/>
    <cellStyle name="표준 23 3 3 3 2 2 2 3 2 2 2" xfId="10653"/>
    <cellStyle name="표준 23 3 3 3 2 2 2 3 2 3" xfId="10654"/>
    <cellStyle name="표준 23 3 3 3 2 2 2 3 3" xfId="10655"/>
    <cellStyle name="표준 23 3 3 3 2 2 2 3 3 2" xfId="10656"/>
    <cellStyle name="표준 23 3 3 3 2 2 2 3 4" xfId="10657"/>
    <cellStyle name="표준 23 3 3 3 2 2 2 4" xfId="10658"/>
    <cellStyle name="표준 23 3 3 3 2 2 2 4 2" xfId="10659"/>
    <cellStyle name="표준 23 3 3 3 2 2 2 4 2 2" xfId="10660"/>
    <cellStyle name="표준 23 3 3 3 2 2 2 4 3" xfId="10661"/>
    <cellStyle name="표준 23 3 3 3 2 2 2 5" xfId="10662"/>
    <cellStyle name="표준 23 3 3 3 2 2 2 5 2" xfId="10663"/>
    <cellStyle name="표준 23 3 3 3 2 2 2 6" xfId="10664"/>
    <cellStyle name="표준 23 3 3 3 2 2 3" xfId="10665"/>
    <cellStyle name="표준 23 3 3 3 2 2 3 2" xfId="10666"/>
    <cellStyle name="표준 23 3 3 3 2 2 3 2 2" xfId="10667"/>
    <cellStyle name="표준 23 3 3 3 2 2 3 2 2 2" xfId="10668"/>
    <cellStyle name="표준 23 3 3 3 2 2 3 2 2 2 2" xfId="10669"/>
    <cellStyle name="표준 23 3 3 3 2 2 3 2 2 3" xfId="10670"/>
    <cellStyle name="표준 23 3 3 3 2 2 3 2 3" xfId="10671"/>
    <cellStyle name="표준 23 3 3 3 2 2 3 2 3 2" xfId="10672"/>
    <cellStyle name="표준 23 3 3 3 2 2 3 2 4" xfId="10673"/>
    <cellStyle name="표준 23 3 3 3 2 2 3 3" xfId="10674"/>
    <cellStyle name="표준 23 3 3 3 2 2 3 3 2" xfId="10675"/>
    <cellStyle name="표준 23 3 3 3 2 2 3 3 2 2" xfId="10676"/>
    <cellStyle name="표준 23 3 3 3 2 2 3 3 3" xfId="10677"/>
    <cellStyle name="표준 23 3 3 3 2 2 3 4" xfId="10678"/>
    <cellStyle name="표준 23 3 3 3 2 2 3 4 2" xfId="10679"/>
    <cellStyle name="표준 23 3 3 3 2 2 3 5" xfId="10680"/>
    <cellStyle name="표준 23 3 3 3 2 2 4" xfId="10681"/>
    <cellStyle name="표준 23 3 3 3 2 2 4 2" xfId="10682"/>
    <cellStyle name="표준 23 3 3 3 2 2 4 2 2" xfId="10683"/>
    <cellStyle name="표준 23 3 3 3 2 2 4 2 2 2" xfId="10684"/>
    <cellStyle name="표준 23 3 3 3 2 2 4 2 3" xfId="10685"/>
    <cellStyle name="표준 23 3 3 3 2 2 4 3" xfId="10686"/>
    <cellStyle name="표준 23 3 3 3 2 2 4 3 2" xfId="10687"/>
    <cellStyle name="표준 23 3 3 3 2 2 4 4" xfId="10688"/>
    <cellStyle name="표준 23 3 3 3 2 2 5" xfId="10689"/>
    <cellStyle name="표준 23 3 3 3 2 2 5 2" xfId="10690"/>
    <cellStyle name="표준 23 3 3 3 2 2 5 2 2" xfId="10691"/>
    <cellStyle name="표준 23 3 3 3 2 2 5 3" xfId="10692"/>
    <cellStyle name="표준 23 3 3 3 2 2 6" xfId="10693"/>
    <cellStyle name="표준 23 3 3 3 2 2 6 2" xfId="10694"/>
    <cellStyle name="표준 23 3 3 3 2 2 7" xfId="10695"/>
    <cellStyle name="표준 23 3 3 3 2 2 8" xfId="10696"/>
    <cellStyle name="표준 23 3 3 3 2 3" xfId="10697"/>
    <cellStyle name="표준 23 3 3 3 2 3 2" xfId="10698"/>
    <cellStyle name="표준 23 3 3 3 2 3 2 2" xfId="10699"/>
    <cellStyle name="표준 23 3 3 3 2 3 2 2 2" xfId="10700"/>
    <cellStyle name="표준 23 3 3 3 2 3 2 2 2 2" xfId="10701"/>
    <cellStyle name="표준 23 3 3 3 2 3 2 2 2 2 2" xfId="10702"/>
    <cellStyle name="표준 23 3 3 3 2 3 2 2 2 3" xfId="10703"/>
    <cellStyle name="표준 23 3 3 3 2 3 2 2 3" xfId="10704"/>
    <cellStyle name="표준 23 3 3 3 2 3 2 2 3 2" xfId="10705"/>
    <cellStyle name="표준 23 3 3 3 2 3 2 2 4" xfId="10706"/>
    <cellStyle name="표준 23 3 3 3 2 3 2 3" xfId="10707"/>
    <cellStyle name="표준 23 3 3 3 2 3 2 3 2" xfId="10708"/>
    <cellStyle name="표준 23 3 3 3 2 3 2 3 2 2" xfId="10709"/>
    <cellStyle name="표준 23 3 3 3 2 3 2 3 3" xfId="10710"/>
    <cellStyle name="표준 23 3 3 3 2 3 2 4" xfId="10711"/>
    <cellStyle name="표준 23 3 3 3 2 3 2 4 2" xfId="10712"/>
    <cellStyle name="표준 23 3 3 3 2 3 2 5" xfId="10713"/>
    <cellStyle name="표준 23 3 3 3 2 3 3" xfId="10714"/>
    <cellStyle name="표준 23 3 3 3 2 3 3 2" xfId="10715"/>
    <cellStyle name="표준 23 3 3 3 2 3 3 2 2" xfId="10716"/>
    <cellStyle name="표준 23 3 3 3 2 3 3 2 2 2" xfId="10717"/>
    <cellStyle name="표준 23 3 3 3 2 3 3 2 3" xfId="10718"/>
    <cellStyle name="표준 23 3 3 3 2 3 3 3" xfId="10719"/>
    <cellStyle name="표준 23 3 3 3 2 3 3 3 2" xfId="10720"/>
    <cellStyle name="표준 23 3 3 3 2 3 3 4" xfId="10721"/>
    <cellStyle name="표준 23 3 3 3 2 3 4" xfId="10722"/>
    <cellStyle name="표준 23 3 3 3 2 3 4 2" xfId="10723"/>
    <cellStyle name="표준 23 3 3 3 2 3 4 2 2" xfId="10724"/>
    <cellStyle name="표준 23 3 3 3 2 3 4 3" xfId="10725"/>
    <cellStyle name="표준 23 3 3 3 2 3 5" xfId="10726"/>
    <cellStyle name="표준 23 3 3 3 2 3 5 2" xfId="10727"/>
    <cellStyle name="표준 23 3 3 3 2 3 6" xfId="10728"/>
    <cellStyle name="표준 23 3 3 3 2 4" xfId="10729"/>
    <cellStyle name="표준 23 3 3 3 2 4 2" xfId="10730"/>
    <cellStyle name="표준 23 3 3 3 2 4 2 2" xfId="10731"/>
    <cellStyle name="표준 23 3 3 3 2 4 2 2 2" xfId="10732"/>
    <cellStyle name="표준 23 3 3 3 2 4 2 2 2 2" xfId="10733"/>
    <cellStyle name="표준 23 3 3 3 2 4 2 2 3" xfId="10734"/>
    <cellStyle name="표준 23 3 3 3 2 4 2 3" xfId="10735"/>
    <cellStyle name="표준 23 3 3 3 2 4 2 3 2" xfId="10736"/>
    <cellStyle name="표준 23 3 3 3 2 4 2 4" xfId="10737"/>
    <cellStyle name="표준 23 3 3 3 2 4 3" xfId="10738"/>
    <cellStyle name="표준 23 3 3 3 2 4 3 2" xfId="10739"/>
    <cellStyle name="표준 23 3 3 3 2 4 3 2 2" xfId="10740"/>
    <cellStyle name="표준 23 3 3 3 2 4 3 3" xfId="10741"/>
    <cellStyle name="표준 23 3 3 3 2 4 4" xfId="10742"/>
    <cellStyle name="표준 23 3 3 3 2 4 4 2" xfId="10743"/>
    <cellStyle name="표준 23 3 3 3 2 4 5" xfId="10744"/>
    <cellStyle name="표준 23 3 3 3 2 5" xfId="10745"/>
    <cellStyle name="표준 23 3 3 3 2 5 2" xfId="10746"/>
    <cellStyle name="표준 23 3 3 3 2 5 2 2" xfId="10747"/>
    <cellStyle name="표준 23 3 3 3 2 5 2 2 2" xfId="10748"/>
    <cellStyle name="표준 23 3 3 3 2 5 2 3" xfId="10749"/>
    <cellStyle name="표준 23 3 3 3 2 5 3" xfId="10750"/>
    <cellStyle name="표준 23 3 3 3 2 5 3 2" xfId="10751"/>
    <cellStyle name="표준 23 3 3 3 2 5 4" xfId="10752"/>
    <cellStyle name="표준 23 3 3 3 2 6" xfId="10753"/>
    <cellStyle name="표준 23 3 3 3 2 6 2" xfId="10754"/>
    <cellStyle name="표준 23 3 3 3 2 6 2 2" xfId="10755"/>
    <cellStyle name="표준 23 3 3 3 2 6 3" xfId="10756"/>
    <cellStyle name="표준 23 3 3 3 2 7" xfId="10757"/>
    <cellStyle name="표준 23 3 3 3 2 7 2" xfId="10758"/>
    <cellStyle name="표준 23 3 3 3 2 8" xfId="10759"/>
    <cellStyle name="표준 23 3 3 3 2 9" xfId="10760"/>
    <cellStyle name="표준 23 3 3 3 3" xfId="10761"/>
    <cellStyle name="표준 23 3 3 3 3 2" xfId="10762"/>
    <cellStyle name="표준 23 3 3 3 3 2 2" xfId="10763"/>
    <cellStyle name="표준 23 3 3 3 3 2 2 2" xfId="10764"/>
    <cellStyle name="표준 23 3 3 3 3 2 2 2 2" xfId="10765"/>
    <cellStyle name="표준 23 3 3 3 3 2 2 2 2 2" xfId="10766"/>
    <cellStyle name="표준 23 3 3 3 3 2 2 2 2 2 2" xfId="10767"/>
    <cellStyle name="표준 23 3 3 3 3 2 2 2 2 3" xfId="10768"/>
    <cellStyle name="표준 23 3 3 3 3 2 2 2 3" xfId="10769"/>
    <cellStyle name="표준 23 3 3 3 3 2 2 2 3 2" xfId="10770"/>
    <cellStyle name="표준 23 3 3 3 3 2 2 2 4" xfId="10771"/>
    <cellStyle name="표준 23 3 3 3 3 2 2 3" xfId="10772"/>
    <cellStyle name="표준 23 3 3 3 3 2 2 3 2" xfId="10773"/>
    <cellStyle name="표준 23 3 3 3 3 2 2 3 2 2" xfId="10774"/>
    <cellStyle name="표준 23 3 3 3 3 2 2 3 3" xfId="10775"/>
    <cellStyle name="표준 23 3 3 3 3 2 2 4" xfId="10776"/>
    <cellStyle name="표준 23 3 3 3 3 2 2 4 2" xfId="10777"/>
    <cellStyle name="표준 23 3 3 3 3 2 2 5" xfId="10778"/>
    <cellStyle name="표준 23 3 3 3 3 2 3" xfId="10779"/>
    <cellStyle name="표준 23 3 3 3 3 2 3 2" xfId="10780"/>
    <cellStyle name="표준 23 3 3 3 3 2 3 2 2" xfId="10781"/>
    <cellStyle name="표준 23 3 3 3 3 2 3 2 2 2" xfId="10782"/>
    <cellStyle name="표준 23 3 3 3 3 2 3 2 3" xfId="10783"/>
    <cellStyle name="표준 23 3 3 3 3 2 3 3" xfId="10784"/>
    <cellStyle name="표준 23 3 3 3 3 2 3 3 2" xfId="10785"/>
    <cellStyle name="표준 23 3 3 3 3 2 3 4" xfId="10786"/>
    <cellStyle name="표준 23 3 3 3 3 2 4" xfId="10787"/>
    <cellStyle name="표준 23 3 3 3 3 2 4 2" xfId="10788"/>
    <cellStyle name="표준 23 3 3 3 3 2 4 2 2" xfId="10789"/>
    <cellStyle name="표준 23 3 3 3 3 2 4 3" xfId="10790"/>
    <cellStyle name="표준 23 3 3 3 3 2 5" xfId="10791"/>
    <cellStyle name="표준 23 3 3 3 3 2 5 2" xfId="10792"/>
    <cellStyle name="표준 23 3 3 3 3 2 6" xfId="10793"/>
    <cellStyle name="표준 23 3 3 3 3 3" xfId="10794"/>
    <cellStyle name="표준 23 3 3 3 3 3 2" xfId="10795"/>
    <cellStyle name="표준 23 3 3 3 3 3 2 2" xfId="10796"/>
    <cellStyle name="표준 23 3 3 3 3 3 2 2 2" xfId="10797"/>
    <cellStyle name="표준 23 3 3 3 3 3 2 2 2 2" xfId="10798"/>
    <cellStyle name="표준 23 3 3 3 3 3 2 2 3" xfId="10799"/>
    <cellStyle name="표준 23 3 3 3 3 3 2 3" xfId="10800"/>
    <cellStyle name="표준 23 3 3 3 3 3 2 3 2" xfId="10801"/>
    <cellStyle name="표준 23 3 3 3 3 3 2 4" xfId="10802"/>
    <cellStyle name="표준 23 3 3 3 3 3 3" xfId="10803"/>
    <cellStyle name="표준 23 3 3 3 3 3 3 2" xfId="10804"/>
    <cellStyle name="표준 23 3 3 3 3 3 3 2 2" xfId="10805"/>
    <cellStyle name="표준 23 3 3 3 3 3 3 3" xfId="10806"/>
    <cellStyle name="표준 23 3 3 3 3 3 4" xfId="10807"/>
    <cellStyle name="표준 23 3 3 3 3 3 4 2" xfId="10808"/>
    <cellStyle name="표준 23 3 3 3 3 3 5" xfId="10809"/>
    <cellStyle name="표준 23 3 3 3 3 4" xfId="10810"/>
    <cellStyle name="표준 23 3 3 3 3 4 2" xfId="10811"/>
    <cellStyle name="표준 23 3 3 3 3 4 2 2" xfId="10812"/>
    <cellStyle name="표준 23 3 3 3 3 4 2 2 2" xfId="10813"/>
    <cellStyle name="표준 23 3 3 3 3 4 2 3" xfId="10814"/>
    <cellStyle name="표준 23 3 3 3 3 4 3" xfId="10815"/>
    <cellStyle name="표준 23 3 3 3 3 4 3 2" xfId="10816"/>
    <cellStyle name="표준 23 3 3 3 3 4 4" xfId="10817"/>
    <cellStyle name="표준 23 3 3 3 3 5" xfId="10818"/>
    <cellStyle name="표준 23 3 3 3 3 5 2" xfId="10819"/>
    <cellStyle name="표준 23 3 3 3 3 5 2 2" xfId="10820"/>
    <cellStyle name="표준 23 3 3 3 3 5 3" xfId="10821"/>
    <cellStyle name="표준 23 3 3 3 3 6" xfId="10822"/>
    <cellStyle name="표준 23 3 3 3 3 6 2" xfId="10823"/>
    <cellStyle name="표준 23 3 3 3 3 7" xfId="10824"/>
    <cellStyle name="표준 23 3 3 3 3 8" xfId="10825"/>
    <cellStyle name="표준 23 3 3 3 4" xfId="10826"/>
    <cellStyle name="표준 23 3 3 3 4 2" xfId="10827"/>
    <cellStyle name="표준 23 3 3 3 4 2 2" xfId="10828"/>
    <cellStyle name="표준 23 3 3 3 4 2 2 2" xfId="10829"/>
    <cellStyle name="표준 23 3 3 3 4 2 2 2 2" xfId="10830"/>
    <cellStyle name="표준 23 3 3 3 4 2 2 2 2 2" xfId="10831"/>
    <cellStyle name="표준 23 3 3 3 4 2 2 2 3" xfId="10832"/>
    <cellStyle name="표준 23 3 3 3 4 2 2 3" xfId="10833"/>
    <cellStyle name="표준 23 3 3 3 4 2 2 3 2" xfId="10834"/>
    <cellStyle name="표준 23 3 3 3 4 2 2 4" xfId="10835"/>
    <cellStyle name="표준 23 3 3 3 4 2 3" xfId="10836"/>
    <cellStyle name="표준 23 3 3 3 4 2 3 2" xfId="10837"/>
    <cellStyle name="표준 23 3 3 3 4 2 3 2 2" xfId="10838"/>
    <cellStyle name="표준 23 3 3 3 4 2 3 3" xfId="10839"/>
    <cellStyle name="표준 23 3 3 3 4 2 4" xfId="10840"/>
    <cellStyle name="표준 23 3 3 3 4 2 4 2" xfId="10841"/>
    <cellStyle name="표준 23 3 3 3 4 2 5" xfId="10842"/>
    <cellStyle name="표준 23 3 3 3 4 3" xfId="10843"/>
    <cellStyle name="표준 23 3 3 3 4 3 2" xfId="10844"/>
    <cellStyle name="표준 23 3 3 3 4 3 2 2" xfId="10845"/>
    <cellStyle name="표준 23 3 3 3 4 3 2 2 2" xfId="10846"/>
    <cellStyle name="표준 23 3 3 3 4 3 2 3" xfId="10847"/>
    <cellStyle name="표준 23 3 3 3 4 3 3" xfId="10848"/>
    <cellStyle name="표준 23 3 3 3 4 3 3 2" xfId="10849"/>
    <cellStyle name="표준 23 3 3 3 4 3 4" xfId="10850"/>
    <cellStyle name="표준 23 3 3 3 4 4" xfId="10851"/>
    <cellStyle name="표준 23 3 3 3 4 4 2" xfId="10852"/>
    <cellStyle name="표준 23 3 3 3 4 4 2 2" xfId="10853"/>
    <cellStyle name="표준 23 3 3 3 4 4 3" xfId="10854"/>
    <cellStyle name="표준 23 3 3 3 4 5" xfId="10855"/>
    <cellStyle name="표준 23 3 3 3 4 5 2" xfId="10856"/>
    <cellStyle name="표준 23 3 3 3 4 6" xfId="10857"/>
    <cellStyle name="표준 23 3 3 3 5" xfId="10858"/>
    <cellStyle name="표준 23 3 3 3 5 2" xfId="10859"/>
    <cellStyle name="표준 23 3 3 3 5 2 2" xfId="10860"/>
    <cellStyle name="표준 23 3 3 3 5 2 2 2" xfId="10861"/>
    <cellStyle name="표준 23 3 3 3 5 2 2 2 2" xfId="10862"/>
    <cellStyle name="표준 23 3 3 3 5 2 2 3" xfId="10863"/>
    <cellStyle name="표준 23 3 3 3 5 2 3" xfId="10864"/>
    <cellStyle name="표준 23 3 3 3 5 2 3 2" xfId="10865"/>
    <cellStyle name="표준 23 3 3 3 5 2 4" xfId="10866"/>
    <cellStyle name="표준 23 3 3 3 5 3" xfId="10867"/>
    <cellStyle name="표준 23 3 3 3 5 3 2" xfId="10868"/>
    <cellStyle name="표준 23 3 3 3 5 3 2 2" xfId="10869"/>
    <cellStyle name="표준 23 3 3 3 5 3 3" xfId="10870"/>
    <cellStyle name="표준 23 3 3 3 5 4" xfId="10871"/>
    <cellStyle name="표준 23 3 3 3 5 4 2" xfId="10872"/>
    <cellStyle name="표준 23 3 3 3 5 5" xfId="10873"/>
    <cellStyle name="표준 23 3 3 3 6" xfId="10874"/>
    <cellStyle name="표준 23 3 3 3 6 2" xfId="10875"/>
    <cellStyle name="표준 23 3 3 3 6 2 2" xfId="10876"/>
    <cellStyle name="표준 23 3 3 3 6 2 2 2" xfId="10877"/>
    <cellStyle name="표준 23 3 3 3 6 2 3" xfId="10878"/>
    <cellStyle name="표준 23 3 3 3 6 3" xfId="10879"/>
    <cellStyle name="표준 23 3 3 3 6 3 2" xfId="10880"/>
    <cellStyle name="표준 23 3 3 3 6 4" xfId="10881"/>
    <cellStyle name="표준 23 3 3 3 7" xfId="10882"/>
    <cellStyle name="표준 23 3 3 3 7 2" xfId="10883"/>
    <cellStyle name="표준 23 3 3 3 7 2 2" xfId="10884"/>
    <cellStyle name="표준 23 3 3 3 7 3" xfId="10885"/>
    <cellStyle name="표준 23 3 3 3 8" xfId="10886"/>
    <cellStyle name="표준 23 3 3 3 8 2" xfId="10887"/>
    <cellStyle name="표준 23 3 3 3 9" xfId="10888"/>
    <cellStyle name="표준 23 3 3 4" xfId="10889"/>
    <cellStyle name="표준 23 3 3 4 2" xfId="10890"/>
    <cellStyle name="표준 23 3 3 4 2 2" xfId="10891"/>
    <cellStyle name="표준 23 3 3 4 2 2 2" xfId="10892"/>
    <cellStyle name="표준 23 3 3 4 2 2 2 2" xfId="10893"/>
    <cellStyle name="표준 23 3 3 4 2 2 2 2 2" xfId="10894"/>
    <cellStyle name="표준 23 3 3 4 2 2 2 2 2 2" xfId="10895"/>
    <cellStyle name="표준 23 3 3 4 2 2 2 2 2 2 2" xfId="10896"/>
    <cellStyle name="표준 23 3 3 4 2 2 2 2 2 3" xfId="10897"/>
    <cellStyle name="표준 23 3 3 4 2 2 2 2 3" xfId="10898"/>
    <cellStyle name="표준 23 3 3 4 2 2 2 2 3 2" xfId="10899"/>
    <cellStyle name="표준 23 3 3 4 2 2 2 2 4" xfId="10900"/>
    <cellStyle name="표준 23 3 3 4 2 2 2 3" xfId="10901"/>
    <cellStyle name="표준 23 3 3 4 2 2 2 3 2" xfId="10902"/>
    <cellStyle name="표준 23 3 3 4 2 2 2 3 2 2" xfId="10903"/>
    <cellStyle name="표준 23 3 3 4 2 2 2 3 3" xfId="10904"/>
    <cellStyle name="표준 23 3 3 4 2 2 2 4" xfId="10905"/>
    <cellStyle name="표준 23 3 3 4 2 2 2 4 2" xfId="10906"/>
    <cellStyle name="표준 23 3 3 4 2 2 2 5" xfId="10907"/>
    <cellStyle name="표준 23 3 3 4 2 2 3" xfId="10908"/>
    <cellStyle name="표준 23 3 3 4 2 2 3 2" xfId="10909"/>
    <cellStyle name="표준 23 3 3 4 2 2 3 2 2" xfId="10910"/>
    <cellStyle name="표준 23 3 3 4 2 2 3 2 2 2" xfId="10911"/>
    <cellStyle name="표준 23 3 3 4 2 2 3 2 3" xfId="10912"/>
    <cellStyle name="표준 23 3 3 4 2 2 3 3" xfId="10913"/>
    <cellStyle name="표준 23 3 3 4 2 2 3 3 2" xfId="10914"/>
    <cellStyle name="표준 23 3 3 4 2 2 3 4" xfId="10915"/>
    <cellStyle name="표준 23 3 3 4 2 2 4" xfId="10916"/>
    <cellStyle name="표준 23 3 3 4 2 2 4 2" xfId="10917"/>
    <cellStyle name="표준 23 3 3 4 2 2 4 2 2" xfId="10918"/>
    <cellStyle name="표준 23 3 3 4 2 2 4 3" xfId="10919"/>
    <cellStyle name="표준 23 3 3 4 2 2 5" xfId="10920"/>
    <cellStyle name="표준 23 3 3 4 2 2 5 2" xfId="10921"/>
    <cellStyle name="표준 23 3 3 4 2 2 6" xfId="10922"/>
    <cellStyle name="표준 23 3 3 4 2 3" xfId="10923"/>
    <cellStyle name="표준 23 3 3 4 2 3 2" xfId="10924"/>
    <cellStyle name="표준 23 3 3 4 2 3 2 2" xfId="10925"/>
    <cellStyle name="표준 23 3 3 4 2 3 2 2 2" xfId="10926"/>
    <cellStyle name="표준 23 3 3 4 2 3 2 2 2 2" xfId="10927"/>
    <cellStyle name="표준 23 3 3 4 2 3 2 2 3" xfId="10928"/>
    <cellStyle name="표준 23 3 3 4 2 3 2 3" xfId="10929"/>
    <cellStyle name="표준 23 3 3 4 2 3 2 3 2" xfId="10930"/>
    <cellStyle name="표준 23 3 3 4 2 3 2 4" xfId="10931"/>
    <cellStyle name="표준 23 3 3 4 2 3 3" xfId="10932"/>
    <cellStyle name="표준 23 3 3 4 2 3 3 2" xfId="10933"/>
    <cellStyle name="표준 23 3 3 4 2 3 3 2 2" xfId="10934"/>
    <cellStyle name="표준 23 3 3 4 2 3 3 3" xfId="10935"/>
    <cellStyle name="표준 23 3 3 4 2 3 4" xfId="10936"/>
    <cellStyle name="표준 23 3 3 4 2 3 4 2" xfId="10937"/>
    <cellStyle name="표준 23 3 3 4 2 3 5" xfId="10938"/>
    <cellStyle name="표준 23 3 3 4 2 4" xfId="10939"/>
    <cellStyle name="표준 23 3 3 4 2 4 2" xfId="10940"/>
    <cellStyle name="표준 23 3 3 4 2 4 2 2" xfId="10941"/>
    <cellStyle name="표준 23 3 3 4 2 4 2 2 2" xfId="10942"/>
    <cellStyle name="표준 23 3 3 4 2 4 2 3" xfId="10943"/>
    <cellStyle name="표준 23 3 3 4 2 4 3" xfId="10944"/>
    <cellStyle name="표준 23 3 3 4 2 4 3 2" xfId="10945"/>
    <cellStyle name="표준 23 3 3 4 2 4 4" xfId="10946"/>
    <cellStyle name="표준 23 3 3 4 2 5" xfId="10947"/>
    <cellStyle name="표준 23 3 3 4 2 5 2" xfId="10948"/>
    <cellStyle name="표준 23 3 3 4 2 5 2 2" xfId="10949"/>
    <cellStyle name="표준 23 3 3 4 2 5 3" xfId="10950"/>
    <cellStyle name="표준 23 3 3 4 2 6" xfId="10951"/>
    <cellStyle name="표준 23 3 3 4 2 6 2" xfId="10952"/>
    <cellStyle name="표준 23 3 3 4 2 7" xfId="10953"/>
    <cellStyle name="표준 23 3 3 4 2 8" xfId="10954"/>
    <cellStyle name="표준 23 3 3 4 3" xfId="10955"/>
    <cellStyle name="표준 23 3 3 4 3 2" xfId="10956"/>
    <cellStyle name="표준 23 3 3 4 3 2 2" xfId="10957"/>
    <cellStyle name="표준 23 3 3 4 3 2 2 2" xfId="10958"/>
    <cellStyle name="표준 23 3 3 4 3 2 2 2 2" xfId="10959"/>
    <cellStyle name="표준 23 3 3 4 3 2 2 2 2 2" xfId="10960"/>
    <cellStyle name="표준 23 3 3 4 3 2 2 2 3" xfId="10961"/>
    <cellStyle name="표준 23 3 3 4 3 2 2 3" xfId="10962"/>
    <cellStyle name="표준 23 3 3 4 3 2 2 3 2" xfId="10963"/>
    <cellStyle name="표준 23 3 3 4 3 2 2 4" xfId="10964"/>
    <cellStyle name="표준 23 3 3 4 3 2 3" xfId="10965"/>
    <cellStyle name="표준 23 3 3 4 3 2 3 2" xfId="10966"/>
    <cellStyle name="표준 23 3 3 4 3 2 3 2 2" xfId="10967"/>
    <cellStyle name="표준 23 3 3 4 3 2 3 3" xfId="10968"/>
    <cellStyle name="표준 23 3 3 4 3 2 4" xfId="10969"/>
    <cellStyle name="표준 23 3 3 4 3 2 4 2" xfId="10970"/>
    <cellStyle name="표준 23 3 3 4 3 2 5" xfId="10971"/>
    <cellStyle name="표준 23 3 3 4 3 3" xfId="10972"/>
    <cellStyle name="표준 23 3 3 4 3 3 2" xfId="10973"/>
    <cellStyle name="표준 23 3 3 4 3 3 2 2" xfId="10974"/>
    <cellStyle name="표준 23 3 3 4 3 3 2 2 2" xfId="10975"/>
    <cellStyle name="표준 23 3 3 4 3 3 2 3" xfId="10976"/>
    <cellStyle name="표준 23 3 3 4 3 3 3" xfId="10977"/>
    <cellStyle name="표준 23 3 3 4 3 3 3 2" xfId="10978"/>
    <cellStyle name="표준 23 3 3 4 3 3 4" xfId="10979"/>
    <cellStyle name="표준 23 3 3 4 3 4" xfId="10980"/>
    <cellStyle name="표준 23 3 3 4 3 4 2" xfId="10981"/>
    <cellStyle name="표준 23 3 3 4 3 4 2 2" xfId="10982"/>
    <cellStyle name="표준 23 3 3 4 3 4 3" xfId="10983"/>
    <cellStyle name="표준 23 3 3 4 3 5" xfId="10984"/>
    <cellStyle name="표준 23 3 3 4 3 5 2" xfId="10985"/>
    <cellStyle name="표준 23 3 3 4 3 6" xfId="10986"/>
    <cellStyle name="표준 23 3 3 4 4" xfId="10987"/>
    <cellStyle name="표준 23 3 3 4 4 2" xfId="10988"/>
    <cellStyle name="표준 23 3 3 4 4 2 2" xfId="10989"/>
    <cellStyle name="표준 23 3 3 4 4 2 2 2" xfId="10990"/>
    <cellStyle name="표준 23 3 3 4 4 2 2 2 2" xfId="10991"/>
    <cellStyle name="표준 23 3 3 4 4 2 2 3" xfId="10992"/>
    <cellStyle name="표준 23 3 3 4 4 2 3" xfId="10993"/>
    <cellStyle name="표준 23 3 3 4 4 2 3 2" xfId="10994"/>
    <cellStyle name="표준 23 3 3 4 4 2 4" xfId="10995"/>
    <cellStyle name="표준 23 3 3 4 4 3" xfId="10996"/>
    <cellStyle name="표준 23 3 3 4 4 3 2" xfId="10997"/>
    <cellStyle name="표준 23 3 3 4 4 3 2 2" xfId="10998"/>
    <cellStyle name="표준 23 3 3 4 4 3 3" xfId="10999"/>
    <cellStyle name="표준 23 3 3 4 4 4" xfId="11000"/>
    <cellStyle name="표준 23 3 3 4 4 4 2" xfId="11001"/>
    <cellStyle name="표준 23 3 3 4 4 5" xfId="11002"/>
    <cellStyle name="표준 23 3 3 4 5" xfId="11003"/>
    <cellStyle name="표준 23 3 3 4 5 2" xfId="11004"/>
    <cellStyle name="표준 23 3 3 4 5 2 2" xfId="11005"/>
    <cellStyle name="표준 23 3 3 4 5 2 2 2" xfId="11006"/>
    <cellStyle name="표준 23 3 3 4 5 2 3" xfId="11007"/>
    <cellStyle name="표준 23 3 3 4 5 3" xfId="11008"/>
    <cellStyle name="표준 23 3 3 4 5 3 2" xfId="11009"/>
    <cellStyle name="표준 23 3 3 4 5 4" xfId="11010"/>
    <cellStyle name="표준 23 3 3 4 6" xfId="11011"/>
    <cellStyle name="표준 23 3 3 4 6 2" xfId="11012"/>
    <cellStyle name="표준 23 3 3 4 6 2 2" xfId="11013"/>
    <cellStyle name="표준 23 3 3 4 6 3" xfId="11014"/>
    <cellStyle name="표준 23 3 3 4 7" xfId="11015"/>
    <cellStyle name="표준 23 3 3 4 7 2" xfId="11016"/>
    <cellStyle name="표준 23 3 3 4 8" xfId="11017"/>
    <cellStyle name="표준 23 3 3 4 9" xfId="11018"/>
    <cellStyle name="표준 23 3 3 5" xfId="11019"/>
    <cellStyle name="표준 23 3 3 5 2" xfId="11020"/>
    <cellStyle name="표준 23 3 3 5 2 2" xfId="11021"/>
    <cellStyle name="표준 23 3 3 5 2 2 2" xfId="11022"/>
    <cellStyle name="표준 23 3 3 5 2 2 2 2" xfId="11023"/>
    <cellStyle name="표준 23 3 3 5 2 2 2 2 2" xfId="11024"/>
    <cellStyle name="표준 23 3 3 5 2 2 2 2 2 2" xfId="11025"/>
    <cellStyle name="표준 23 3 3 5 2 2 2 2 3" xfId="11026"/>
    <cellStyle name="표준 23 3 3 5 2 2 2 3" xfId="11027"/>
    <cellStyle name="표준 23 3 3 5 2 2 2 3 2" xfId="11028"/>
    <cellStyle name="표준 23 3 3 5 2 2 2 4" xfId="11029"/>
    <cellStyle name="표준 23 3 3 5 2 2 3" xfId="11030"/>
    <cellStyle name="표준 23 3 3 5 2 2 3 2" xfId="11031"/>
    <cellStyle name="표준 23 3 3 5 2 2 3 2 2" xfId="11032"/>
    <cellStyle name="표준 23 3 3 5 2 2 3 3" xfId="11033"/>
    <cellStyle name="표준 23 3 3 5 2 2 4" xfId="11034"/>
    <cellStyle name="표준 23 3 3 5 2 2 4 2" xfId="11035"/>
    <cellStyle name="표준 23 3 3 5 2 2 5" xfId="11036"/>
    <cellStyle name="표준 23 3 3 5 2 3" xfId="11037"/>
    <cellStyle name="표준 23 3 3 5 2 3 2" xfId="11038"/>
    <cellStyle name="표준 23 3 3 5 2 3 2 2" xfId="11039"/>
    <cellStyle name="표준 23 3 3 5 2 3 2 2 2" xfId="11040"/>
    <cellStyle name="표준 23 3 3 5 2 3 2 3" xfId="11041"/>
    <cellStyle name="표준 23 3 3 5 2 3 3" xfId="11042"/>
    <cellStyle name="표준 23 3 3 5 2 3 3 2" xfId="11043"/>
    <cellStyle name="표준 23 3 3 5 2 3 4" xfId="11044"/>
    <cellStyle name="표준 23 3 3 5 2 4" xfId="11045"/>
    <cellStyle name="표준 23 3 3 5 2 4 2" xfId="11046"/>
    <cellStyle name="표준 23 3 3 5 2 4 2 2" xfId="11047"/>
    <cellStyle name="표준 23 3 3 5 2 4 3" xfId="11048"/>
    <cellStyle name="표준 23 3 3 5 2 5" xfId="11049"/>
    <cellStyle name="표준 23 3 3 5 2 5 2" xfId="11050"/>
    <cellStyle name="표준 23 3 3 5 2 6" xfId="11051"/>
    <cellStyle name="표준 23 3 3 5 3" xfId="11052"/>
    <cellStyle name="표준 23 3 3 5 3 2" xfId="11053"/>
    <cellStyle name="표준 23 3 3 5 3 2 2" xfId="11054"/>
    <cellStyle name="표준 23 3 3 5 3 2 2 2" xfId="11055"/>
    <cellStyle name="표준 23 3 3 5 3 2 2 2 2" xfId="11056"/>
    <cellStyle name="표준 23 3 3 5 3 2 2 3" xfId="11057"/>
    <cellStyle name="표준 23 3 3 5 3 2 3" xfId="11058"/>
    <cellStyle name="표준 23 3 3 5 3 2 3 2" xfId="11059"/>
    <cellStyle name="표준 23 3 3 5 3 2 4" xfId="11060"/>
    <cellStyle name="표준 23 3 3 5 3 3" xfId="11061"/>
    <cellStyle name="표준 23 3 3 5 3 3 2" xfId="11062"/>
    <cellStyle name="표준 23 3 3 5 3 3 2 2" xfId="11063"/>
    <cellStyle name="표준 23 3 3 5 3 3 3" xfId="11064"/>
    <cellStyle name="표준 23 3 3 5 3 4" xfId="11065"/>
    <cellStyle name="표준 23 3 3 5 3 4 2" xfId="11066"/>
    <cellStyle name="표준 23 3 3 5 3 5" xfId="11067"/>
    <cellStyle name="표준 23 3 3 5 4" xfId="11068"/>
    <cellStyle name="표준 23 3 3 5 4 2" xfId="11069"/>
    <cellStyle name="표준 23 3 3 5 4 2 2" xfId="11070"/>
    <cellStyle name="표준 23 3 3 5 4 2 2 2" xfId="11071"/>
    <cellStyle name="표준 23 3 3 5 4 2 3" xfId="11072"/>
    <cellStyle name="표준 23 3 3 5 4 3" xfId="11073"/>
    <cellStyle name="표준 23 3 3 5 4 3 2" xfId="11074"/>
    <cellStyle name="표준 23 3 3 5 4 4" xfId="11075"/>
    <cellStyle name="표준 23 3 3 5 5" xfId="11076"/>
    <cellStyle name="표준 23 3 3 5 5 2" xfId="11077"/>
    <cellStyle name="표준 23 3 3 5 5 2 2" xfId="11078"/>
    <cellStyle name="표준 23 3 3 5 5 3" xfId="11079"/>
    <cellStyle name="표준 23 3 3 5 6" xfId="11080"/>
    <cellStyle name="표준 23 3 3 5 6 2" xfId="11081"/>
    <cellStyle name="표준 23 3 3 5 7" xfId="11082"/>
    <cellStyle name="표준 23 3 3 5 8" xfId="11083"/>
    <cellStyle name="표준 23 3 3 6" xfId="11084"/>
    <cellStyle name="표준 23 3 3 6 2" xfId="11085"/>
    <cellStyle name="표준 23 3 3 6 2 2" xfId="11086"/>
    <cellStyle name="표준 23 3 3 6 2 2 2" xfId="11087"/>
    <cellStyle name="표준 23 3 3 6 2 2 2 2" xfId="11088"/>
    <cellStyle name="표준 23 3 3 6 2 2 2 2 2" xfId="11089"/>
    <cellStyle name="표준 23 3 3 6 2 2 2 3" xfId="11090"/>
    <cellStyle name="표준 23 3 3 6 2 2 3" xfId="11091"/>
    <cellStyle name="표준 23 3 3 6 2 2 3 2" xfId="11092"/>
    <cellStyle name="표준 23 3 3 6 2 2 4" xfId="11093"/>
    <cellStyle name="표준 23 3 3 6 2 3" xfId="11094"/>
    <cellStyle name="표준 23 3 3 6 2 3 2" xfId="11095"/>
    <cellStyle name="표준 23 3 3 6 2 3 2 2" xfId="11096"/>
    <cellStyle name="표준 23 3 3 6 2 3 3" xfId="11097"/>
    <cellStyle name="표준 23 3 3 6 2 4" xfId="11098"/>
    <cellStyle name="표준 23 3 3 6 2 4 2" xfId="11099"/>
    <cellStyle name="표준 23 3 3 6 2 5" xfId="11100"/>
    <cellStyle name="표준 23 3 3 6 3" xfId="11101"/>
    <cellStyle name="표준 23 3 3 6 3 2" xfId="11102"/>
    <cellStyle name="표준 23 3 3 6 3 2 2" xfId="11103"/>
    <cellStyle name="표준 23 3 3 6 3 2 2 2" xfId="11104"/>
    <cellStyle name="표준 23 3 3 6 3 2 3" xfId="11105"/>
    <cellStyle name="표준 23 3 3 6 3 3" xfId="11106"/>
    <cellStyle name="표준 23 3 3 6 3 3 2" xfId="11107"/>
    <cellStyle name="표준 23 3 3 6 3 4" xfId="11108"/>
    <cellStyle name="표준 23 3 3 6 4" xfId="11109"/>
    <cellStyle name="표준 23 3 3 6 4 2" xfId="11110"/>
    <cellStyle name="표준 23 3 3 6 4 2 2" xfId="11111"/>
    <cellStyle name="표준 23 3 3 6 4 3" xfId="11112"/>
    <cellStyle name="표준 23 3 3 6 5" xfId="11113"/>
    <cellStyle name="표준 23 3 3 6 5 2" xfId="11114"/>
    <cellStyle name="표준 23 3 3 6 6" xfId="11115"/>
    <cellStyle name="표준 23 3 3 7" xfId="11116"/>
    <cellStyle name="표준 23 3 3 7 2" xfId="11117"/>
    <cellStyle name="표준 23 3 3 7 2 2" xfId="11118"/>
    <cellStyle name="표준 23 3 3 7 2 2 2" xfId="11119"/>
    <cellStyle name="표준 23 3 3 7 2 2 2 2" xfId="11120"/>
    <cellStyle name="표준 23 3 3 7 2 2 3" xfId="11121"/>
    <cellStyle name="표준 23 3 3 7 2 3" xfId="11122"/>
    <cellStyle name="표준 23 3 3 7 2 3 2" xfId="11123"/>
    <cellStyle name="표준 23 3 3 7 2 4" xfId="11124"/>
    <cellStyle name="표준 23 3 3 7 3" xfId="11125"/>
    <cellStyle name="표준 23 3 3 7 3 2" xfId="11126"/>
    <cellStyle name="표준 23 3 3 7 3 2 2" xfId="11127"/>
    <cellStyle name="표준 23 3 3 7 3 3" xfId="11128"/>
    <cellStyle name="표준 23 3 3 7 4" xfId="11129"/>
    <cellStyle name="표준 23 3 3 7 4 2" xfId="11130"/>
    <cellStyle name="표준 23 3 3 7 5" xfId="11131"/>
    <cellStyle name="표준 23 3 3 8" xfId="11132"/>
    <cellStyle name="표준 23 3 3 8 2" xfId="11133"/>
    <cellStyle name="표준 23 3 3 8 2 2" xfId="11134"/>
    <cellStyle name="표준 23 3 3 8 2 2 2" xfId="11135"/>
    <cellStyle name="표준 23 3 3 8 2 3" xfId="11136"/>
    <cellStyle name="표준 23 3 3 8 3" xfId="11137"/>
    <cellStyle name="표준 23 3 3 8 3 2" xfId="11138"/>
    <cellStyle name="표준 23 3 3 8 4" xfId="11139"/>
    <cellStyle name="표준 23 3 3 9" xfId="11140"/>
    <cellStyle name="표준 23 3 3 9 2" xfId="11141"/>
    <cellStyle name="표준 23 3 3 9 2 2" xfId="11142"/>
    <cellStyle name="표준 23 3 3 9 3" xfId="11143"/>
    <cellStyle name="표준 23 3 4" xfId="11144"/>
    <cellStyle name="표준 23 3 4 10" xfId="11145"/>
    <cellStyle name="표준 23 3 4 11" xfId="11146"/>
    <cellStyle name="표준 23 3 4 2" xfId="11147"/>
    <cellStyle name="표준 23 3 4 2 10" xfId="11148"/>
    <cellStyle name="표준 23 3 4 2 2" xfId="11149"/>
    <cellStyle name="표준 23 3 4 2 2 2" xfId="11150"/>
    <cellStyle name="표준 23 3 4 2 2 2 2" xfId="11151"/>
    <cellStyle name="표준 23 3 4 2 2 2 2 2" xfId="11152"/>
    <cellStyle name="표준 23 3 4 2 2 2 2 2 2" xfId="11153"/>
    <cellStyle name="표준 23 3 4 2 2 2 2 2 2 2" xfId="11154"/>
    <cellStyle name="표준 23 3 4 2 2 2 2 2 2 2 2" xfId="11155"/>
    <cellStyle name="표준 23 3 4 2 2 2 2 2 2 2 2 2" xfId="11156"/>
    <cellStyle name="표준 23 3 4 2 2 2 2 2 2 2 3" xfId="11157"/>
    <cellStyle name="표준 23 3 4 2 2 2 2 2 2 3" xfId="11158"/>
    <cellStyle name="표준 23 3 4 2 2 2 2 2 2 3 2" xfId="11159"/>
    <cellStyle name="표준 23 3 4 2 2 2 2 2 2 4" xfId="11160"/>
    <cellStyle name="표준 23 3 4 2 2 2 2 2 3" xfId="11161"/>
    <cellStyle name="표준 23 3 4 2 2 2 2 2 3 2" xfId="11162"/>
    <cellStyle name="표준 23 3 4 2 2 2 2 2 3 2 2" xfId="11163"/>
    <cellStyle name="표준 23 3 4 2 2 2 2 2 3 3" xfId="11164"/>
    <cellStyle name="표준 23 3 4 2 2 2 2 2 4" xfId="11165"/>
    <cellStyle name="표준 23 3 4 2 2 2 2 2 4 2" xfId="11166"/>
    <cellStyle name="표준 23 3 4 2 2 2 2 2 5" xfId="11167"/>
    <cellStyle name="표준 23 3 4 2 2 2 2 3" xfId="11168"/>
    <cellStyle name="표준 23 3 4 2 2 2 2 3 2" xfId="11169"/>
    <cellStyle name="표준 23 3 4 2 2 2 2 3 2 2" xfId="11170"/>
    <cellStyle name="표준 23 3 4 2 2 2 2 3 2 2 2" xfId="11171"/>
    <cellStyle name="표준 23 3 4 2 2 2 2 3 2 3" xfId="11172"/>
    <cellStyle name="표준 23 3 4 2 2 2 2 3 3" xfId="11173"/>
    <cellStyle name="표준 23 3 4 2 2 2 2 3 3 2" xfId="11174"/>
    <cellStyle name="표준 23 3 4 2 2 2 2 3 4" xfId="11175"/>
    <cellStyle name="표준 23 3 4 2 2 2 2 4" xfId="11176"/>
    <cellStyle name="표준 23 3 4 2 2 2 2 4 2" xfId="11177"/>
    <cellStyle name="표준 23 3 4 2 2 2 2 4 2 2" xfId="11178"/>
    <cellStyle name="표준 23 3 4 2 2 2 2 4 3" xfId="11179"/>
    <cellStyle name="표준 23 3 4 2 2 2 2 5" xfId="11180"/>
    <cellStyle name="표준 23 3 4 2 2 2 2 5 2" xfId="11181"/>
    <cellStyle name="표준 23 3 4 2 2 2 2 6" xfId="11182"/>
    <cellStyle name="표준 23 3 4 2 2 2 3" xfId="11183"/>
    <cellStyle name="표준 23 3 4 2 2 2 3 2" xfId="11184"/>
    <cellStyle name="표준 23 3 4 2 2 2 3 2 2" xfId="11185"/>
    <cellStyle name="표준 23 3 4 2 2 2 3 2 2 2" xfId="11186"/>
    <cellStyle name="표준 23 3 4 2 2 2 3 2 2 2 2" xfId="11187"/>
    <cellStyle name="표준 23 3 4 2 2 2 3 2 2 3" xfId="11188"/>
    <cellStyle name="표준 23 3 4 2 2 2 3 2 3" xfId="11189"/>
    <cellStyle name="표준 23 3 4 2 2 2 3 2 3 2" xfId="11190"/>
    <cellStyle name="표준 23 3 4 2 2 2 3 2 4" xfId="11191"/>
    <cellStyle name="표준 23 3 4 2 2 2 3 3" xfId="11192"/>
    <cellStyle name="표준 23 3 4 2 2 2 3 3 2" xfId="11193"/>
    <cellStyle name="표준 23 3 4 2 2 2 3 3 2 2" xfId="11194"/>
    <cellStyle name="표준 23 3 4 2 2 2 3 3 3" xfId="11195"/>
    <cellStyle name="표준 23 3 4 2 2 2 3 4" xfId="11196"/>
    <cellStyle name="표준 23 3 4 2 2 2 3 4 2" xfId="11197"/>
    <cellStyle name="표준 23 3 4 2 2 2 3 5" xfId="11198"/>
    <cellStyle name="표준 23 3 4 2 2 2 4" xfId="11199"/>
    <cellStyle name="표준 23 3 4 2 2 2 4 2" xfId="11200"/>
    <cellStyle name="표준 23 3 4 2 2 2 4 2 2" xfId="11201"/>
    <cellStyle name="표준 23 3 4 2 2 2 4 2 2 2" xfId="11202"/>
    <cellStyle name="표준 23 3 4 2 2 2 4 2 3" xfId="11203"/>
    <cellStyle name="표준 23 3 4 2 2 2 4 3" xfId="11204"/>
    <cellStyle name="표준 23 3 4 2 2 2 4 3 2" xfId="11205"/>
    <cellStyle name="표준 23 3 4 2 2 2 4 4" xfId="11206"/>
    <cellStyle name="표준 23 3 4 2 2 2 5" xfId="11207"/>
    <cellStyle name="표준 23 3 4 2 2 2 5 2" xfId="11208"/>
    <cellStyle name="표준 23 3 4 2 2 2 5 2 2" xfId="11209"/>
    <cellStyle name="표준 23 3 4 2 2 2 5 3" xfId="11210"/>
    <cellStyle name="표준 23 3 4 2 2 2 6" xfId="11211"/>
    <cellStyle name="표준 23 3 4 2 2 2 6 2" xfId="11212"/>
    <cellStyle name="표준 23 3 4 2 2 2 7" xfId="11213"/>
    <cellStyle name="표준 23 3 4 2 2 2 8" xfId="11214"/>
    <cellStyle name="표준 23 3 4 2 2 3" xfId="11215"/>
    <cellStyle name="표준 23 3 4 2 2 3 2" xfId="11216"/>
    <cellStyle name="표준 23 3 4 2 2 3 2 2" xfId="11217"/>
    <cellStyle name="표준 23 3 4 2 2 3 2 2 2" xfId="11218"/>
    <cellStyle name="표준 23 3 4 2 2 3 2 2 2 2" xfId="11219"/>
    <cellStyle name="표준 23 3 4 2 2 3 2 2 2 2 2" xfId="11220"/>
    <cellStyle name="표준 23 3 4 2 2 3 2 2 2 3" xfId="11221"/>
    <cellStyle name="표준 23 3 4 2 2 3 2 2 3" xfId="11222"/>
    <cellStyle name="표준 23 3 4 2 2 3 2 2 3 2" xfId="11223"/>
    <cellStyle name="표준 23 3 4 2 2 3 2 2 4" xfId="11224"/>
    <cellStyle name="표준 23 3 4 2 2 3 2 3" xfId="11225"/>
    <cellStyle name="표준 23 3 4 2 2 3 2 3 2" xfId="11226"/>
    <cellStyle name="표준 23 3 4 2 2 3 2 3 2 2" xfId="11227"/>
    <cellStyle name="표준 23 3 4 2 2 3 2 3 3" xfId="11228"/>
    <cellStyle name="표준 23 3 4 2 2 3 2 4" xfId="11229"/>
    <cellStyle name="표준 23 3 4 2 2 3 2 4 2" xfId="11230"/>
    <cellStyle name="표준 23 3 4 2 2 3 2 5" xfId="11231"/>
    <cellStyle name="표준 23 3 4 2 2 3 3" xfId="11232"/>
    <cellStyle name="표준 23 3 4 2 2 3 3 2" xfId="11233"/>
    <cellStyle name="표준 23 3 4 2 2 3 3 2 2" xfId="11234"/>
    <cellStyle name="표준 23 3 4 2 2 3 3 2 2 2" xfId="11235"/>
    <cellStyle name="표준 23 3 4 2 2 3 3 2 3" xfId="11236"/>
    <cellStyle name="표준 23 3 4 2 2 3 3 3" xfId="11237"/>
    <cellStyle name="표준 23 3 4 2 2 3 3 3 2" xfId="11238"/>
    <cellStyle name="표준 23 3 4 2 2 3 3 4" xfId="11239"/>
    <cellStyle name="표준 23 3 4 2 2 3 4" xfId="11240"/>
    <cellStyle name="표준 23 3 4 2 2 3 4 2" xfId="11241"/>
    <cellStyle name="표준 23 3 4 2 2 3 4 2 2" xfId="11242"/>
    <cellStyle name="표준 23 3 4 2 2 3 4 3" xfId="11243"/>
    <cellStyle name="표준 23 3 4 2 2 3 5" xfId="11244"/>
    <cellStyle name="표준 23 3 4 2 2 3 5 2" xfId="11245"/>
    <cellStyle name="표준 23 3 4 2 2 3 6" xfId="11246"/>
    <cellStyle name="표준 23 3 4 2 2 4" xfId="11247"/>
    <cellStyle name="표준 23 3 4 2 2 4 2" xfId="11248"/>
    <cellStyle name="표준 23 3 4 2 2 4 2 2" xfId="11249"/>
    <cellStyle name="표준 23 3 4 2 2 4 2 2 2" xfId="11250"/>
    <cellStyle name="표준 23 3 4 2 2 4 2 2 2 2" xfId="11251"/>
    <cellStyle name="표준 23 3 4 2 2 4 2 2 3" xfId="11252"/>
    <cellStyle name="표준 23 3 4 2 2 4 2 3" xfId="11253"/>
    <cellStyle name="표준 23 3 4 2 2 4 2 3 2" xfId="11254"/>
    <cellStyle name="표준 23 3 4 2 2 4 2 4" xfId="11255"/>
    <cellStyle name="표준 23 3 4 2 2 4 3" xfId="11256"/>
    <cellStyle name="표준 23 3 4 2 2 4 3 2" xfId="11257"/>
    <cellStyle name="표준 23 3 4 2 2 4 3 2 2" xfId="11258"/>
    <cellStyle name="표준 23 3 4 2 2 4 3 3" xfId="11259"/>
    <cellStyle name="표준 23 3 4 2 2 4 4" xfId="11260"/>
    <cellStyle name="표준 23 3 4 2 2 4 4 2" xfId="11261"/>
    <cellStyle name="표준 23 3 4 2 2 4 5" xfId="11262"/>
    <cellStyle name="표준 23 3 4 2 2 5" xfId="11263"/>
    <cellStyle name="표준 23 3 4 2 2 5 2" xfId="11264"/>
    <cellStyle name="표준 23 3 4 2 2 5 2 2" xfId="11265"/>
    <cellStyle name="표준 23 3 4 2 2 5 2 2 2" xfId="11266"/>
    <cellStyle name="표준 23 3 4 2 2 5 2 3" xfId="11267"/>
    <cellStyle name="표준 23 3 4 2 2 5 3" xfId="11268"/>
    <cellStyle name="표준 23 3 4 2 2 5 3 2" xfId="11269"/>
    <cellStyle name="표준 23 3 4 2 2 5 4" xfId="11270"/>
    <cellStyle name="표준 23 3 4 2 2 6" xfId="11271"/>
    <cellStyle name="표준 23 3 4 2 2 6 2" xfId="11272"/>
    <cellStyle name="표준 23 3 4 2 2 6 2 2" xfId="11273"/>
    <cellStyle name="표준 23 3 4 2 2 6 3" xfId="11274"/>
    <cellStyle name="표준 23 3 4 2 2 7" xfId="11275"/>
    <cellStyle name="표준 23 3 4 2 2 7 2" xfId="11276"/>
    <cellStyle name="표준 23 3 4 2 2 8" xfId="11277"/>
    <cellStyle name="표준 23 3 4 2 2 9" xfId="11278"/>
    <cellStyle name="표준 23 3 4 2 3" xfId="11279"/>
    <cellStyle name="표준 23 3 4 2 3 2" xfId="11280"/>
    <cellStyle name="표준 23 3 4 2 3 2 2" xfId="11281"/>
    <cellStyle name="표준 23 3 4 2 3 2 2 2" xfId="11282"/>
    <cellStyle name="표준 23 3 4 2 3 2 2 2 2" xfId="11283"/>
    <cellStyle name="표준 23 3 4 2 3 2 2 2 2 2" xfId="11284"/>
    <cellStyle name="표준 23 3 4 2 3 2 2 2 2 2 2" xfId="11285"/>
    <cellStyle name="표준 23 3 4 2 3 2 2 2 2 3" xfId="11286"/>
    <cellStyle name="표준 23 3 4 2 3 2 2 2 3" xfId="11287"/>
    <cellStyle name="표준 23 3 4 2 3 2 2 2 3 2" xfId="11288"/>
    <cellStyle name="표준 23 3 4 2 3 2 2 2 4" xfId="11289"/>
    <cellStyle name="표준 23 3 4 2 3 2 2 3" xfId="11290"/>
    <cellStyle name="표준 23 3 4 2 3 2 2 3 2" xfId="11291"/>
    <cellStyle name="표준 23 3 4 2 3 2 2 3 2 2" xfId="11292"/>
    <cellStyle name="표준 23 3 4 2 3 2 2 3 3" xfId="11293"/>
    <cellStyle name="표준 23 3 4 2 3 2 2 4" xfId="11294"/>
    <cellStyle name="표준 23 3 4 2 3 2 2 4 2" xfId="11295"/>
    <cellStyle name="표준 23 3 4 2 3 2 2 5" xfId="11296"/>
    <cellStyle name="표준 23 3 4 2 3 2 3" xfId="11297"/>
    <cellStyle name="표준 23 3 4 2 3 2 3 2" xfId="11298"/>
    <cellStyle name="표준 23 3 4 2 3 2 3 2 2" xfId="11299"/>
    <cellStyle name="표준 23 3 4 2 3 2 3 2 2 2" xfId="11300"/>
    <cellStyle name="표준 23 3 4 2 3 2 3 2 3" xfId="11301"/>
    <cellStyle name="표준 23 3 4 2 3 2 3 3" xfId="11302"/>
    <cellStyle name="표준 23 3 4 2 3 2 3 3 2" xfId="11303"/>
    <cellStyle name="표준 23 3 4 2 3 2 3 4" xfId="11304"/>
    <cellStyle name="표준 23 3 4 2 3 2 4" xfId="11305"/>
    <cellStyle name="표준 23 3 4 2 3 2 4 2" xfId="11306"/>
    <cellStyle name="표준 23 3 4 2 3 2 4 2 2" xfId="11307"/>
    <cellStyle name="표준 23 3 4 2 3 2 4 3" xfId="11308"/>
    <cellStyle name="표준 23 3 4 2 3 2 5" xfId="11309"/>
    <cellStyle name="표준 23 3 4 2 3 2 5 2" xfId="11310"/>
    <cellStyle name="표준 23 3 4 2 3 2 6" xfId="11311"/>
    <cellStyle name="표준 23 3 4 2 3 3" xfId="11312"/>
    <cellStyle name="표준 23 3 4 2 3 3 2" xfId="11313"/>
    <cellStyle name="표준 23 3 4 2 3 3 2 2" xfId="11314"/>
    <cellStyle name="표준 23 3 4 2 3 3 2 2 2" xfId="11315"/>
    <cellStyle name="표준 23 3 4 2 3 3 2 2 2 2" xfId="11316"/>
    <cellStyle name="표준 23 3 4 2 3 3 2 2 3" xfId="11317"/>
    <cellStyle name="표준 23 3 4 2 3 3 2 3" xfId="11318"/>
    <cellStyle name="표준 23 3 4 2 3 3 2 3 2" xfId="11319"/>
    <cellStyle name="표준 23 3 4 2 3 3 2 4" xfId="11320"/>
    <cellStyle name="표준 23 3 4 2 3 3 3" xfId="11321"/>
    <cellStyle name="표준 23 3 4 2 3 3 3 2" xfId="11322"/>
    <cellStyle name="표준 23 3 4 2 3 3 3 2 2" xfId="11323"/>
    <cellStyle name="표준 23 3 4 2 3 3 3 3" xfId="11324"/>
    <cellStyle name="표준 23 3 4 2 3 3 4" xfId="11325"/>
    <cellStyle name="표준 23 3 4 2 3 3 4 2" xfId="11326"/>
    <cellStyle name="표준 23 3 4 2 3 3 5" xfId="11327"/>
    <cellStyle name="표준 23 3 4 2 3 4" xfId="11328"/>
    <cellStyle name="표준 23 3 4 2 3 4 2" xfId="11329"/>
    <cellStyle name="표준 23 3 4 2 3 4 2 2" xfId="11330"/>
    <cellStyle name="표준 23 3 4 2 3 4 2 2 2" xfId="11331"/>
    <cellStyle name="표준 23 3 4 2 3 4 2 3" xfId="11332"/>
    <cellStyle name="표준 23 3 4 2 3 4 3" xfId="11333"/>
    <cellStyle name="표준 23 3 4 2 3 4 3 2" xfId="11334"/>
    <cellStyle name="표준 23 3 4 2 3 4 4" xfId="11335"/>
    <cellStyle name="표준 23 3 4 2 3 5" xfId="11336"/>
    <cellStyle name="표준 23 3 4 2 3 5 2" xfId="11337"/>
    <cellStyle name="표준 23 3 4 2 3 5 2 2" xfId="11338"/>
    <cellStyle name="표준 23 3 4 2 3 5 3" xfId="11339"/>
    <cellStyle name="표준 23 3 4 2 3 6" xfId="11340"/>
    <cellStyle name="표준 23 3 4 2 3 6 2" xfId="11341"/>
    <cellStyle name="표준 23 3 4 2 3 7" xfId="11342"/>
    <cellStyle name="표준 23 3 4 2 3 8" xfId="11343"/>
    <cellStyle name="표준 23 3 4 2 4" xfId="11344"/>
    <cellStyle name="표준 23 3 4 2 4 2" xfId="11345"/>
    <cellStyle name="표준 23 3 4 2 4 2 2" xfId="11346"/>
    <cellStyle name="표준 23 3 4 2 4 2 2 2" xfId="11347"/>
    <cellStyle name="표준 23 3 4 2 4 2 2 2 2" xfId="11348"/>
    <cellStyle name="표준 23 3 4 2 4 2 2 2 2 2" xfId="11349"/>
    <cellStyle name="표준 23 3 4 2 4 2 2 2 3" xfId="11350"/>
    <cellStyle name="표준 23 3 4 2 4 2 2 3" xfId="11351"/>
    <cellStyle name="표준 23 3 4 2 4 2 2 3 2" xfId="11352"/>
    <cellStyle name="표준 23 3 4 2 4 2 2 4" xfId="11353"/>
    <cellStyle name="표준 23 3 4 2 4 2 3" xfId="11354"/>
    <cellStyle name="표준 23 3 4 2 4 2 3 2" xfId="11355"/>
    <cellStyle name="표준 23 3 4 2 4 2 3 2 2" xfId="11356"/>
    <cellStyle name="표준 23 3 4 2 4 2 3 3" xfId="11357"/>
    <cellStyle name="표준 23 3 4 2 4 2 4" xfId="11358"/>
    <cellStyle name="표준 23 3 4 2 4 2 4 2" xfId="11359"/>
    <cellStyle name="표준 23 3 4 2 4 2 5" xfId="11360"/>
    <cellStyle name="표준 23 3 4 2 4 3" xfId="11361"/>
    <cellStyle name="표준 23 3 4 2 4 3 2" xfId="11362"/>
    <cellStyle name="표준 23 3 4 2 4 3 2 2" xfId="11363"/>
    <cellStyle name="표준 23 3 4 2 4 3 2 2 2" xfId="11364"/>
    <cellStyle name="표준 23 3 4 2 4 3 2 3" xfId="11365"/>
    <cellStyle name="표준 23 3 4 2 4 3 3" xfId="11366"/>
    <cellStyle name="표준 23 3 4 2 4 3 3 2" xfId="11367"/>
    <cellStyle name="표준 23 3 4 2 4 3 4" xfId="11368"/>
    <cellStyle name="표준 23 3 4 2 4 4" xfId="11369"/>
    <cellStyle name="표준 23 3 4 2 4 4 2" xfId="11370"/>
    <cellStyle name="표준 23 3 4 2 4 4 2 2" xfId="11371"/>
    <cellStyle name="표준 23 3 4 2 4 4 3" xfId="11372"/>
    <cellStyle name="표준 23 3 4 2 4 5" xfId="11373"/>
    <cellStyle name="표준 23 3 4 2 4 5 2" xfId="11374"/>
    <cellStyle name="표준 23 3 4 2 4 6" xfId="11375"/>
    <cellStyle name="표준 23 3 4 2 5" xfId="11376"/>
    <cellStyle name="표준 23 3 4 2 5 2" xfId="11377"/>
    <cellStyle name="표준 23 3 4 2 5 2 2" xfId="11378"/>
    <cellStyle name="표준 23 3 4 2 5 2 2 2" xfId="11379"/>
    <cellStyle name="표준 23 3 4 2 5 2 2 2 2" xfId="11380"/>
    <cellStyle name="표준 23 3 4 2 5 2 2 3" xfId="11381"/>
    <cellStyle name="표준 23 3 4 2 5 2 3" xfId="11382"/>
    <cellStyle name="표준 23 3 4 2 5 2 3 2" xfId="11383"/>
    <cellStyle name="표준 23 3 4 2 5 2 4" xfId="11384"/>
    <cellStyle name="표준 23 3 4 2 5 3" xfId="11385"/>
    <cellStyle name="표준 23 3 4 2 5 3 2" xfId="11386"/>
    <cellStyle name="표준 23 3 4 2 5 3 2 2" xfId="11387"/>
    <cellStyle name="표준 23 3 4 2 5 3 3" xfId="11388"/>
    <cellStyle name="표준 23 3 4 2 5 4" xfId="11389"/>
    <cellStyle name="표준 23 3 4 2 5 4 2" xfId="11390"/>
    <cellStyle name="표준 23 3 4 2 5 5" xfId="11391"/>
    <cellStyle name="표준 23 3 4 2 6" xfId="11392"/>
    <cellStyle name="표준 23 3 4 2 6 2" xfId="11393"/>
    <cellStyle name="표준 23 3 4 2 6 2 2" xfId="11394"/>
    <cellStyle name="표준 23 3 4 2 6 2 2 2" xfId="11395"/>
    <cellStyle name="표준 23 3 4 2 6 2 3" xfId="11396"/>
    <cellStyle name="표준 23 3 4 2 6 3" xfId="11397"/>
    <cellStyle name="표준 23 3 4 2 6 3 2" xfId="11398"/>
    <cellStyle name="표준 23 3 4 2 6 4" xfId="11399"/>
    <cellStyle name="표준 23 3 4 2 7" xfId="11400"/>
    <cellStyle name="표준 23 3 4 2 7 2" xfId="11401"/>
    <cellStyle name="표준 23 3 4 2 7 2 2" xfId="11402"/>
    <cellStyle name="표준 23 3 4 2 7 3" xfId="11403"/>
    <cellStyle name="표준 23 3 4 2 8" xfId="11404"/>
    <cellStyle name="표준 23 3 4 2 8 2" xfId="11405"/>
    <cellStyle name="표준 23 3 4 2 9" xfId="11406"/>
    <cellStyle name="표준 23 3 4 3" xfId="11407"/>
    <cellStyle name="표준 23 3 4 3 2" xfId="11408"/>
    <cellStyle name="표준 23 3 4 3 2 2" xfId="11409"/>
    <cellStyle name="표준 23 3 4 3 2 2 2" xfId="11410"/>
    <cellStyle name="표준 23 3 4 3 2 2 2 2" xfId="11411"/>
    <cellStyle name="표준 23 3 4 3 2 2 2 2 2" xfId="11412"/>
    <cellStyle name="표준 23 3 4 3 2 2 2 2 2 2" xfId="11413"/>
    <cellStyle name="표준 23 3 4 3 2 2 2 2 2 2 2" xfId="11414"/>
    <cellStyle name="표준 23 3 4 3 2 2 2 2 2 3" xfId="11415"/>
    <cellStyle name="표준 23 3 4 3 2 2 2 2 3" xfId="11416"/>
    <cellStyle name="표준 23 3 4 3 2 2 2 2 3 2" xfId="11417"/>
    <cellStyle name="표준 23 3 4 3 2 2 2 2 4" xfId="11418"/>
    <cellStyle name="표준 23 3 4 3 2 2 2 3" xfId="11419"/>
    <cellStyle name="표준 23 3 4 3 2 2 2 3 2" xfId="11420"/>
    <cellStyle name="표준 23 3 4 3 2 2 2 3 2 2" xfId="11421"/>
    <cellStyle name="표준 23 3 4 3 2 2 2 3 3" xfId="11422"/>
    <cellStyle name="표준 23 3 4 3 2 2 2 4" xfId="11423"/>
    <cellStyle name="표준 23 3 4 3 2 2 2 4 2" xfId="11424"/>
    <cellStyle name="표준 23 3 4 3 2 2 2 5" xfId="11425"/>
    <cellStyle name="표준 23 3 4 3 2 2 3" xfId="11426"/>
    <cellStyle name="표준 23 3 4 3 2 2 3 2" xfId="11427"/>
    <cellStyle name="표준 23 3 4 3 2 2 3 2 2" xfId="11428"/>
    <cellStyle name="표준 23 3 4 3 2 2 3 2 2 2" xfId="11429"/>
    <cellStyle name="표준 23 3 4 3 2 2 3 2 3" xfId="11430"/>
    <cellStyle name="표준 23 3 4 3 2 2 3 3" xfId="11431"/>
    <cellStyle name="표준 23 3 4 3 2 2 3 3 2" xfId="11432"/>
    <cellStyle name="표준 23 3 4 3 2 2 3 4" xfId="11433"/>
    <cellStyle name="표준 23 3 4 3 2 2 4" xfId="11434"/>
    <cellStyle name="표준 23 3 4 3 2 2 4 2" xfId="11435"/>
    <cellStyle name="표준 23 3 4 3 2 2 4 2 2" xfId="11436"/>
    <cellStyle name="표준 23 3 4 3 2 2 4 3" xfId="11437"/>
    <cellStyle name="표준 23 3 4 3 2 2 5" xfId="11438"/>
    <cellStyle name="표준 23 3 4 3 2 2 5 2" xfId="11439"/>
    <cellStyle name="표준 23 3 4 3 2 2 6" xfId="11440"/>
    <cellStyle name="표준 23 3 4 3 2 3" xfId="11441"/>
    <cellStyle name="표준 23 3 4 3 2 3 2" xfId="11442"/>
    <cellStyle name="표준 23 3 4 3 2 3 2 2" xfId="11443"/>
    <cellStyle name="표준 23 3 4 3 2 3 2 2 2" xfId="11444"/>
    <cellStyle name="표준 23 3 4 3 2 3 2 2 2 2" xfId="11445"/>
    <cellStyle name="표준 23 3 4 3 2 3 2 2 3" xfId="11446"/>
    <cellStyle name="표준 23 3 4 3 2 3 2 3" xfId="11447"/>
    <cellStyle name="표준 23 3 4 3 2 3 2 3 2" xfId="11448"/>
    <cellStyle name="표준 23 3 4 3 2 3 2 4" xfId="11449"/>
    <cellStyle name="표준 23 3 4 3 2 3 3" xfId="11450"/>
    <cellStyle name="표준 23 3 4 3 2 3 3 2" xfId="11451"/>
    <cellStyle name="표준 23 3 4 3 2 3 3 2 2" xfId="11452"/>
    <cellStyle name="표준 23 3 4 3 2 3 3 3" xfId="11453"/>
    <cellStyle name="표준 23 3 4 3 2 3 4" xfId="11454"/>
    <cellStyle name="표준 23 3 4 3 2 3 4 2" xfId="11455"/>
    <cellStyle name="표준 23 3 4 3 2 3 5" xfId="11456"/>
    <cellStyle name="표준 23 3 4 3 2 4" xfId="11457"/>
    <cellStyle name="표준 23 3 4 3 2 4 2" xfId="11458"/>
    <cellStyle name="표준 23 3 4 3 2 4 2 2" xfId="11459"/>
    <cellStyle name="표준 23 3 4 3 2 4 2 2 2" xfId="11460"/>
    <cellStyle name="표준 23 3 4 3 2 4 2 3" xfId="11461"/>
    <cellStyle name="표준 23 3 4 3 2 4 3" xfId="11462"/>
    <cellStyle name="표준 23 3 4 3 2 4 3 2" xfId="11463"/>
    <cellStyle name="표준 23 3 4 3 2 4 4" xfId="11464"/>
    <cellStyle name="표준 23 3 4 3 2 5" xfId="11465"/>
    <cellStyle name="표준 23 3 4 3 2 5 2" xfId="11466"/>
    <cellStyle name="표준 23 3 4 3 2 5 2 2" xfId="11467"/>
    <cellStyle name="표준 23 3 4 3 2 5 3" xfId="11468"/>
    <cellStyle name="표준 23 3 4 3 2 6" xfId="11469"/>
    <cellStyle name="표준 23 3 4 3 2 6 2" xfId="11470"/>
    <cellStyle name="표준 23 3 4 3 2 7" xfId="11471"/>
    <cellStyle name="표준 23 3 4 3 2 8" xfId="11472"/>
    <cellStyle name="표준 23 3 4 3 3" xfId="11473"/>
    <cellStyle name="표준 23 3 4 3 3 2" xfId="11474"/>
    <cellStyle name="표준 23 3 4 3 3 2 2" xfId="11475"/>
    <cellStyle name="표준 23 3 4 3 3 2 2 2" xfId="11476"/>
    <cellStyle name="표준 23 3 4 3 3 2 2 2 2" xfId="11477"/>
    <cellStyle name="표준 23 3 4 3 3 2 2 2 2 2" xfId="11478"/>
    <cellStyle name="표준 23 3 4 3 3 2 2 2 3" xfId="11479"/>
    <cellStyle name="표준 23 3 4 3 3 2 2 3" xfId="11480"/>
    <cellStyle name="표준 23 3 4 3 3 2 2 3 2" xfId="11481"/>
    <cellStyle name="표준 23 3 4 3 3 2 2 4" xfId="11482"/>
    <cellStyle name="표준 23 3 4 3 3 2 3" xfId="11483"/>
    <cellStyle name="표준 23 3 4 3 3 2 3 2" xfId="11484"/>
    <cellStyle name="표준 23 3 4 3 3 2 3 2 2" xfId="11485"/>
    <cellStyle name="표준 23 3 4 3 3 2 3 3" xfId="11486"/>
    <cellStyle name="표준 23 3 4 3 3 2 4" xfId="11487"/>
    <cellStyle name="표준 23 3 4 3 3 2 4 2" xfId="11488"/>
    <cellStyle name="표준 23 3 4 3 3 2 5" xfId="11489"/>
    <cellStyle name="표준 23 3 4 3 3 3" xfId="11490"/>
    <cellStyle name="표준 23 3 4 3 3 3 2" xfId="11491"/>
    <cellStyle name="표준 23 3 4 3 3 3 2 2" xfId="11492"/>
    <cellStyle name="표준 23 3 4 3 3 3 2 2 2" xfId="11493"/>
    <cellStyle name="표준 23 3 4 3 3 3 2 3" xfId="11494"/>
    <cellStyle name="표준 23 3 4 3 3 3 3" xfId="11495"/>
    <cellStyle name="표준 23 3 4 3 3 3 3 2" xfId="11496"/>
    <cellStyle name="표준 23 3 4 3 3 3 4" xfId="11497"/>
    <cellStyle name="표준 23 3 4 3 3 4" xfId="11498"/>
    <cellStyle name="표준 23 3 4 3 3 4 2" xfId="11499"/>
    <cellStyle name="표준 23 3 4 3 3 4 2 2" xfId="11500"/>
    <cellStyle name="표준 23 3 4 3 3 4 3" xfId="11501"/>
    <cellStyle name="표준 23 3 4 3 3 5" xfId="11502"/>
    <cellStyle name="표준 23 3 4 3 3 5 2" xfId="11503"/>
    <cellStyle name="표준 23 3 4 3 3 6" xfId="11504"/>
    <cellStyle name="표준 23 3 4 3 4" xfId="11505"/>
    <cellStyle name="표준 23 3 4 3 4 2" xfId="11506"/>
    <cellStyle name="표준 23 3 4 3 4 2 2" xfId="11507"/>
    <cellStyle name="표준 23 3 4 3 4 2 2 2" xfId="11508"/>
    <cellStyle name="표준 23 3 4 3 4 2 2 2 2" xfId="11509"/>
    <cellStyle name="표준 23 3 4 3 4 2 2 3" xfId="11510"/>
    <cellStyle name="표준 23 3 4 3 4 2 3" xfId="11511"/>
    <cellStyle name="표준 23 3 4 3 4 2 3 2" xfId="11512"/>
    <cellStyle name="표준 23 3 4 3 4 2 4" xfId="11513"/>
    <cellStyle name="표준 23 3 4 3 4 3" xfId="11514"/>
    <cellStyle name="표준 23 3 4 3 4 3 2" xfId="11515"/>
    <cellStyle name="표준 23 3 4 3 4 3 2 2" xfId="11516"/>
    <cellStyle name="표준 23 3 4 3 4 3 3" xfId="11517"/>
    <cellStyle name="표준 23 3 4 3 4 4" xfId="11518"/>
    <cellStyle name="표준 23 3 4 3 4 4 2" xfId="11519"/>
    <cellStyle name="표준 23 3 4 3 4 5" xfId="11520"/>
    <cellStyle name="표준 23 3 4 3 5" xfId="11521"/>
    <cellStyle name="표준 23 3 4 3 5 2" xfId="11522"/>
    <cellStyle name="표준 23 3 4 3 5 2 2" xfId="11523"/>
    <cellStyle name="표준 23 3 4 3 5 2 2 2" xfId="11524"/>
    <cellStyle name="표준 23 3 4 3 5 2 3" xfId="11525"/>
    <cellStyle name="표준 23 3 4 3 5 3" xfId="11526"/>
    <cellStyle name="표준 23 3 4 3 5 3 2" xfId="11527"/>
    <cellStyle name="표준 23 3 4 3 5 4" xfId="11528"/>
    <cellStyle name="표준 23 3 4 3 6" xfId="11529"/>
    <cellStyle name="표준 23 3 4 3 6 2" xfId="11530"/>
    <cellStyle name="표준 23 3 4 3 6 2 2" xfId="11531"/>
    <cellStyle name="표준 23 3 4 3 6 3" xfId="11532"/>
    <cellStyle name="표준 23 3 4 3 7" xfId="11533"/>
    <cellStyle name="표준 23 3 4 3 7 2" xfId="11534"/>
    <cellStyle name="표준 23 3 4 3 8" xfId="11535"/>
    <cellStyle name="표준 23 3 4 3 9" xfId="11536"/>
    <cellStyle name="표준 23 3 4 4" xfId="11537"/>
    <cellStyle name="표준 23 3 4 4 2" xfId="11538"/>
    <cellStyle name="표준 23 3 4 4 2 2" xfId="11539"/>
    <cellStyle name="표준 23 3 4 4 2 2 2" xfId="11540"/>
    <cellStyle name="표준 23 3 4 4 2 2 2 2" xfId="11541"/>
    <cellStyle name="표준 23 3 4 4 2 2 2 2 2" xfId="11542"/>
    <cellStyle name="표준 23 3 4 4 2 2 2 2 2 2" xfId="11543"/>
    <cellStyle name="표준 23 3 4 4 2 2 2 2 3" xfId="11544"/>
    <cellStyle name="표준 23 3 4 4 2 2 2 3" xfId="11545"/>
    <cellStyle name="표준 23 3 4 4 2 2 2 3 2" xfId="11546"/>
    <cellStyle name="표준 23 3 4 4 2 2 2 4" xfId="11547"/>
    <cellStyle name="표준 23 3 4 4 2 2 3" xfId="11548"/>
    <cellStyle name="표준 23 3 4 4 2 2 3 2" xfId="11549"/>
    <cellStyle name="표준 23 3 4 4 2 2 3 2 2" xfId="11550"/>
    <cellStyle name="표준 23 3 4 4 2 2 3 3" xfId="11551"/>
    <cellStyle name="표준 23 3 4 4 2 2 4" xfId="11552"/>
    <cellStyle name="표준 23 3 4 4 2 2 4 2" xfId="11553"/>
    <cellStyle name="표준 23 3 4 4 2 2 5" xfId="11554"/>
    <cellStyle name="표준 23 3 4 4 2 3" xfId="11555"/>
    <cellStyle name="표준 23 3 4 4 2 3 2" xfId="11556"/>
    <cellStyle name="표준 23 3 4 4 2 3 2 2" xfId="11557"/>
    <cellStyle name="표준 23 3 4 4 2 3 2 2 2" xfId="11558"/>
    <cellStyle name="표준 23 3 4 4 2 3 2 3" xfId="11559"/>
    <cellStyle name="표준 23 3 4 4 2 3 3" xfId="11560"/>
    <cellStyle name="표준 23 3 4 4 2 3 3 2" xfId="11561"/>
    <cellStyle name="표준 23 3 4 4 2 3 4" xfId="11562"/>
    <cellStyle name="표준 23 3 4 4 2 4" xfId="11563"/>
    <cellStyle name="표준 23 3 4 4 2 4 2" xfId="11564"/>
    <cellStyle name="표준 23 3 4 4 2 4 2 2" xfId="11565"/>
    <cellStyle name="표준 23 3 4 4 2 4 3" xfId="11566"/>
    <cellStyle name="표준 23 3 4 4 2 5" xfId="11567"/>
    <cellStyle name="표준 23 3 4 4 2 5 2" xfId="11568"/>
    <cellStyle name="표준 23 3 4 4 2 6" xfId="11569"/>
    <cellStyle name="표준 23 3 4 4 3" xfId="11570"/>
    <cellStyle name="표준 23 3 4 4 3 2" xfId="11571"/>
    <cellStyle name="표준 23 3 4 4 3 2 2" xfId="11572"/>
    <cellStyle name="표준 23 3 4 4 3 2 2 2" xfId="11573"/>
    <cellStyle name="표준 23 3 4 4 3 2 2 2 2" xfId="11574"/>
    <cellStyle name="표준 23 3 4 4 3 2 2 3" xfId="11575"/>
    <cellStyle name="표준 23 3 4 4 3 2 3" xfId="11576"/>
    <cellStyle name="표준 23 3 4 4 3 2 3 2" xfId="11577"/>
    <cellStyle name="표준 23 3 4 4 3 2 4" xfId="11578"/>
    <cellStyle name="표준 23 3 4 4 3 3" xfId="11579"/>
    <cellStyle name="표준 23 3 4 4 3 3 2" xfId="11580"/>
    <cellStyle name="표준 23 3 4 4 3 3 2 2" xfId="11581"/>
    <cellStyle name="표준 23 3 4 4 3 3 3" xfId="11582"/>
    <cellStyle name="표준 23 3 4 4 3 4" xfId="11583"/>
    <cellStyle name="표준 23 3 4 4 3 4 2" xfId="11584"/>
    <cellStyle name="표준 23 3 4 4 3 5" xfId="11585"/>
    <cellStyle name="표준 23 3 4 4 4" xfId="11586"/>
    <cellStyle name="표준 23 3 4 4 4 2" xfId="11587"/>
    <cellStyle name="표준 23 3 4 4 4 2 2" xfId="11588"/>
    <cellStyle name="표준 23 3 4 4 4 2 2 2" xfId="11589"/>
    <cellStyle name="표준 23 3 4 4 4 2 3" xfId="11590"/>
    <cellStyle name="표준 23 3 4 4 4 3" xfId="11591"/>
    <cellStyle name="표준 23 3 4 4 4 3 2" xfId="11592"/>
    <cellStyle name="표준 23 3 4 4 4 4" xfId="11593"/>
    <cellStyle name="표준 23 3 4 4 5" xfId="11594"/>
    <cellStyle name="표준 23 3 4 4 5 2" xfId="11595"/>
    <cellStyle name="표준 23 3 4 4 5 2 2" xfId="11596"/>
    <cellStyle name="표준 23 3 4 4 5 3" xfId="11597"/>
    <cellStyle name="표준 23 3 4 4 6" xfId="11598"/>
    <cellStyle name="표준 23 3 4 4 6 2" xfId="11599"/>
    <cellStyle name="표준 23 3 4 4 7" xfId="11600"/>
    <cellStyle name="표준 23 3 4 4 8" xfId="11601"/>
    <cellStyle name="표준 23 3 4 5" xfId="11602"/>
    <cellStyle name="표준 23 3 4 5 2" xfId="11603"/>
    <cellStyle name="표준 23 3 4 5 2 2" xfId="11604"/>
    <cellStyle name="표준 23 3 4 5 2 2 2" xfId="11605"/>
    <cellStyle name="표준 23 3 4 5 2 2 2 2" xfId="11606"/>
    <cellStyle name="표준 23 3 4 5 2 2 2 2 2" xfId="11607"/>
    <cellStyle name="표준 23 3 4 5 2 2 2 3" xfId="11608"/>
    <cellStyle name="표준 23 3 4 5 2 2 3" xfId="11609"/>
    <cellStyle name="표준 23 3 4 5 2 2 3 2" xfId="11610"/>
    <cellStyle name="표준 23 3 4 5 2 2 4" xfId="11611"/>
    <cellStyle name="표준 23 3 4 5 2 3" xfId="11612"/>
    <cellStyle name="표준 23 3 4 5 2 3 2" xfId="11613"/>
    <cellStyle name="표준 23 3 4 5 2 3 2 2" xfId="11614"/>
    <cellStyle name="표준 23 3 4 5 2 3 3" xfId="11615"/>
    <cellStyle name="표준 23 3 4 5 2 4" xfId="11616"/>
    <cellStyle name="표준 23 3 4 5 2 4 2" xfId="11617"/>
    <cellStyle name="표준 23 3 4 5 2 5" xfId="11618"/>
    <cellStyle name="표준 23 3 4 5 3" xfId="11619"/>
    <cellStyle name="표준 23 3 4 5 3 2" xfId="11620"/>
    <cellStyle name="표준 23 3 4 5 3 2 2" xfId="11621"/>
    <cellStyle name="표준 23 3 4 5 3 2 2 2" xfId="11622"/>
    <cellStyle name="표준 23 3 4 5 3 2 3" xfId="11623"/>
    <cellStyle name="표준 23 3 4 5 3 3" xfId="11624"/>
    <cellStyle name="표준 23 3 4 5 3 3 2" xfId="11625"/>
    <cellStyle name="표준 23 3 4 5 3 4" xfId="11626"/>
    <cellStyle name="표준 23 3 4 5 4" xfId="11627"/>
    <cellStyle name="표준 23 3 4 5 4 2" xfId="11628"/>
    <cellStyle name="표준 23 3 4 5 4 2 2" xfId="11629"/>
    <cellStyle name="표준 23 3 4 5 4 3" xfId="11630"/>
    <cellStyle name="표준 23 3 4 5 5" xfId="11631"/>
    <cellStyle name="표준 23 3 4 5 5 2" xfId="11632"/>
    <cellStyle name="표준 23 3 4 5 6" xfId="11633"/>
    <cellStyle name="표준 23 3 4 6" xfId="11634"/>
    <cellStyle name="표준 23 3 4 6 2" xfId="11635"/>
    <cellStyle name="표준 23 3 4 6 2 2" xfId="11636"/>
    <cellStyle name="표준 23 3 4 6 2 2 2" xfId="11637"/>
    <cellStyle name="표준 23 3 4 6 2 2 2 2" xfId="11638"/>
    <cellStyle name="표준 23 3 4 6 2 2 3" xfId="11639"/>
    <cellStyle name="표준 23 3 4 6 2 3" xfId="11640"/>
    <cellStyle name="표준 23 3 4 6 2 3 2" xfId="11641"/>
    <cellStyle name="표준 23 3 4 6 2 4" xfId="11642"/>
    <cellStyle name="표준 23 3 4 6 3" xfId="11643"/>
    <cellStyle name="표준 23 3 4 6 3 2" xfId="11644"/>
    <cellStyle name="표준 23 3 4 6 3 2 2" xfId="11645"/>
    <cellStyle name="표준 23 3 4 6 3 3" xfId="11646"/>
    <cellStyle name="표준 23 3 4 6 4" xfId="11647"/>
    <cellStyle name="표준 23 3 4 6 4 2" xfId="11648"/>
    <cellStyle name="표준 23 3 4 6 5" xfId="11649"/>
    <cellStyle name="표준 23 3 4 7" xfId="11650"/>
    <cellStyle name="표준 23 3 4 7 2" xfId="11651"/>
    <cellStyle name="표준 23 3 4 7 2 2" xfId="11652"/>
    <cellStyle name="표준 23 3 4 7 2 2 2" xfId="11653"/>
    <cellStyle name="표준 23 3 4 7 2 3" xfId="11654"/>
    <cellStyle name="표준 23 3 4 7 3" xfId="11655"/>
    <cellStyle name="표준 23 3 4 7 3 2" xfId="11656"/>
    <cellStyle name="표준 23 3 4 7 4" xfId="11657"/>
    <cellStyle name="표준 23 3 4 8" xfId="11658"/>
    <cellStyle name="표준 23 3 4 8 2" xfId="11659"/>
    <cellStyle name="표준 23 3 4 8 2 2" xfId="11660"/>
    <cellStyle name="표준 23 3 4 8 3" xfId="11661"/>
    <cellStyle name="표준 23 3 4 9" xfId="11662"/>
    <cellStyle name="표준 23 3 4 9 2" xfId="11663"/>
    <cellStyle name="표준 23 3 5" xfId="11664"/>
    <cellStyle name="표준 23 3 5 10" xfId="11665"/>
    <cellStyle name="표준 23 3 5 11" xfId="11666"/>
    <cellStyle name="표준 23 3 5 2" xfId="11667"/>
    <cellStyle name="표준 23 3 5 2 10" xfId="11668"/>
    <cellStyle name="표준 23 3 5 2 2" xfId="11669"/>
    <cellStyle name="표준 23 3 5 2 2 2" xfId="11670"/>
    <cellStyle name="표준 23 3 5 2 2 2 2" xfId="11671"/>
    <cellStyle name="표준 23 3 5 2 2 2 2 2" xfId="11672"/>
    <cellStyle name="표준 23 3 5 2 2 2 2 2 2" xfId="11673"/>
    <cellStyle name="표준 23 3 5 2 2 2 2 2 2 2" xfId="11674"/>
    <cellStyle name="표준 23 3 5 2 2 2 2 2 2 2 2" xfId="11675"/>
    <cellStyle name="표준 23 3 5 2 2 2 2 2 2 2 2 2" xfId="11676"/>
    <cellStyle name="표준 23 3 5 2 2 2 2 2 2 2 3" xfId="11677"/>
    <cellStyle name="표준 23 3 5 2 2 2 2 2 2 3" xfId="11678"/>
    <cellStyle name="표준 23 3 5 2 2 2 2 2 2 3 2" xfId="11679"/>
    <cellStyle name="표준 23 3 5 2 2 2 2 2 2 4" xfId="11680"/>
    <cellStyle name="표준 23 3 5 2 2 2 2 2 3" xfId="11681"/>
    <cellStyle name="표준 23 3 5 2 2 2 2 2 3 2" xfId="11682"/>
    <cellStyle name="표준 23 3 5 2 2 2 2 2 3 2 2" xfId="11683"/>
    <cellStyle name="표준 23 3 5 2 2 2 2 2 3 3" xfId="11684"/>
    <cellStyle name="표준 23 3 5 2 2 2 2 2 4" xfId="11685"/>
    <cellStyle name="표준 23 3 5 2 2 2 2 2 4 2" xfId="11686"/>
    <cellStyle name="표준 23 3 5 2 2 2 2 2 5" xfId="11687"/>
    <cellStyle name="표준 23 3 5 2 2 2 2 3" xfId="11688"/>
    <cellStyle name="표준 23 3 5 2 2 2 2 3 2" xfId="11689"/>
    <cellStyle name="표준 23 3 5 2 2 2 2 3 2 2" xfId="11690"/>
    <cellStyle name="표준 23 3 5 2 2 2 2 3 2 2 2" xfId="11691"/>
    <cellStyle name="표준 23 3 5 2 2 2 2 3 2 3" xfId="11692"/>
    <cellStyle name="표준 23 3 5 2 2 2 2 3 3" xfId="11693"/>
    <cellStyle name="표준 23 3 5 2 2 2 2 3 3 2" xfId="11694"/>
    <cellStyle name="표준 23 3 5 2 2 2 2 3 4" xfId="11695"/>
    <cellStyle name="표준 23 3 5 2 2 2 2 4" xfId="11696"/>
    <cellStyle name="표준 23 3 5 2 2 2 2 4 2" xfId="11697"/>
    <cellStyle name="표준 23 3 5 2 2 2 2 4 2 2" xfId="11698"/>
    <cellStyle name="표준 23 3 5 2 2 2 2 4 3" xfId="11699"/>
    <cellStyle name="표준 23 3 5 2 2 2 2 5" xfId="11700"/>
    <cellStyle name="표준 23 3 5 2 2 2 2 5 2" xfId="11701"/>
    <cellStyle name="표준 23 3 5 2 2 2 2 6" xfId="11702"/>
    <cellStyle name="표준 23 3 5 2 2 2 3" xfId="11703"/>
    <cellStyle name="표준 23 3 5 2 2 2 3 2" xfId="11704"/>
    <cellStyle name="표준 23 3 5 2 2 2 3 2 2" xfId="11705"/>
    <cellStyle name="표준 23 3 5 2 2 2 3 2 2 2" xfId="11706"/>
    <cellStyle name="표준 23 3 5 2 2 2 3 2 2 2 2" xfId="11707"/>
    <cellStyle name="표준 23 3 5 2 2 2 3 2 2 3" xfId="11708"/>
    <cellStyle name="표준 23 3 5 2 2 2 3 2 3" xfId="11709"/>
    <cellStyle name="표준 23 3 5 2 2 2 3 2 3 2" xfId="11710"/>
    <cellStyle name="표준 23 3 5 2 2 2 3 2 4" xfId="11711"/>
    <cellStyle name="표준 23 3 5 2 2 2 3 3" xfId="11712"/>
    <cellStyle name="표준 23 3 5 2 2 2 3 3 2" xfId="11713"/>
    <cellStyle name="표준 23 3 5 2 2 2 3 3 2 2" xfId="11714"/>
    <cellStyle name="표준 23 3 5 2 2 2 3 3 3" xfId="11715"/>
    <cellStyle name="표준 23 3 5 2 2 2 3 4" xfId="11716"/>
    <cellStyle name="표준 23 3 5 2 2 2 3 4 2" xfId="11717"/>
    <cellStyle name="표준 23 3 5 2 2 2 3 5" xfId="11718"/>
    <cellStyle name="표준 23 3 5 2 2 2 4" xfId="11719"/>
    <cellStyle name="표준 23 3 5 2 2 2 4 2" xfId="11720"/>
    <cellStyle name="표준 23 3 5 2 2 2 4 2 2" xfId="11721"/>
    <cellStyle name="표준 23 3 5 2 2 2 4 2 2 2" xfId="11722"/>
    <cellStyle name="표준 23 3 5 2 2 2 4 2 3" xfId="11723"/>
    <cellStyle name="표준 23 3 5 2 2 2 4 3" xfId="11724"/>
    <cellStyle name="표준 23 3 5 2 2 2 4 3 2" xfId="11725"/>
    <cellStyle name="표준 23 3 5 2 2 2 4 4" xfId="11726"/>
    <cellStyle name="표준 23 3 5 2 2 2 5" xfId="11727"/>
    <cellStyle name="표준 23 3 5 2 2 2 5 2" xfId="11728"/>
    <cellStyle name="표준 23 3 5 2 2 2 5 2 2" xfId="11729"/>
    <cellStyle name="표준 23 3 5 2 2 2 5 3" xfId="11730"/>
    <cellStyle name="표준 23 3 5 2 2 2 6" xfId="11731"/>
    <cellStyle name="표준 23 3 5 2 2 2 6 2" xfId="11732"/>
    <cellStyle name="표준 23 3 5 2 2 2 7" xfId="11733"/>
    <cellStyle name="표준 23 3 5 2 2 2 8" xfId="11734"/>
    <cellStyle name="표준 23 3 5 2 2 3" xfId="11735"/>
    <cellStyle name="표준 23 3 5 2 2 3 2" xfId="11736"/>
    <cellStyle name="표준 23 3 5 2 2 3 2 2" xfId="11737"/>
    <cellStyle name="표준 23 3 5 2 2 3 2 2 2" xfId="11738"/>
    <cellStyle name="표준 23 3 5 2 2 3 2 2 2 2" xfId="11739"/>
    <cellStyle name="표준 23 3 5 2 2 3 2 2 2 2 2" xfId="11740"/>
    <cellStyle name="표준 23 3 5 2 2 3 2 2 2 3" xfId="11741"/>
    <cellStyle name="표준 23 3 5 2 2 3 2 2 3" xfId="11742"/>
    <cellStyle name="표준 23 3 5 2 2 3 2 2 3 2" xfId="11743"/>
    <cellStyle name="표준 23 3 5 2 2 3 2 2 4" xfId="11744"/>
    <cellStyle name="표준 23 3 5 2 2 3 2 3" xfId="11745"/>
    <cellStyle name="표준 23 3 5 2 2 3 2 3 2" xfId="11746"/>
    <cellStyle name="표준 23 3 5 2 2 3 2 3 2 2" xfId="11747"/>
    <cellStyle name="표준 23 3 5 2 2 3 2 3 3" xfId="11748"/>
    <cellStyle name="표준 23 3 5 2 2 3 2 4" xfId="11749"/>
    <cellStyle name="표준 23 3 5 2 2 3 2 4 2" xfId="11750"/>
    <cellStyle name="표준 23 3 5 2 2 3 2 5" xfId="11751"/>
    <cellStyle name="표준 23 3 5 2 2 3 3" xfId="11752"/>
    <cellStyle name="표준 23 3 5 2 2 3 3 2" xfId="11753"/>
    <cellStyle name="표준 23 3 5 2 2 3 3 2 2" xfId="11754"/>
    <cellStyle name="표준 23 3 5 2 2 3 3 2 2 2" xfId="11755"/>
    <cellStyle name="표준 23 3 5 2 2 3 3 2 3" xfId="11756"/>
    <cellStyle name="표준 23 3 5 2 2 3 3 3" xfId="11757"/>
    <cellStyle name="표준 23 3 5 2 2 3 3 3 2" xfId="11758"/>
    <cellStyle name="표준 23 3 5 2 2 3 3 4" xfId="11759"/>
    <cellStyle name="표준 23 3 5 2 2 3 4" xfId="11760"/>
    <cellStyle name="표준 23 3 5 2 2 3 4 2" xfId="11761"/>
    <cellStyle name="표준 23 3 5 2 2 3 4 2 2" xfId="11762"/>
    <cellStyle name="표준 23 3 5 2 2 3 4 3" xfId="11763"/>
    <cellStyle name="표준 23 3 5 2 2 3 5" xfId="11764"/>
    <cellStyle name="표준 23 3 5 2 2 3 5 2" xfId="11765"/>
    <cellStyle name="표준 23 3 5 2 2 3 6" xfId="11766"/>
    <cellStyle name="표준 23 3 5 2 2 4" xfId="11767"/>
    <cellStyle name="표준 23 3 5 2 2 4 2" xfId="11768"/>
    <cellStyle name="표준 23 3 5 2 2 4 2 2" xfId="11769"/>
    <cellStyle name="표준 23 3 5 2 2 4 2 2 2" xfId="11770"/>
    <cellStyle name="표준 23 3 5 2 2 4 2 2 2 2" xfId="11771"/>
    <cellStyle name="표준 23 3 5 2 2 4 2 2 3" xfId="11772"/>
    <cellStyle name="표준 23 3 5 2 2 4 2 3" xfId="11773"/>
    <cellStyle name="표준 23 3 5 2 2 4 2 3 2" xfId="11774"/>
    <cellStyle name="표준 23 3 5 2 2 4 2 4" xfId="11775"/>
    <cellStyle name="표준 23 3 5 2 2 4 3" xfId="11776"/>
    <cellStyle name="표준 23 3 5 2 2 4 3 2" xfId="11777"/>
    <cellStyle name="표준 23 3 5 2 2 4 3 2 2" xfId="11778"/>
    <cellStyle name="표준 23 3 5 2 2 4 3 3" xfId="11779"/>
    <cellStyle name="표준 23 3 5 2 2 4 4" xfId="11780"/>
    <cellStyle name="표준 23 3 5 2 2 4 4 2" xfId="11781"/>
    <cellStyle name="표준 23 3 5 2 2 4 5" xfId="11782"/>
    <cellStyle name="표준 23 3 5 2 2 5" xfId="11783"/>
    <cellStyle name="표준 23 3 5 2 2 5 2" xfId="11784"/>
    <cellStyle name="표준 23 3 5 2 2 5 2 2" xfId="11785"/>
    <cellStyle name="표준 23 3 5 2 2 5 2 2 2" xfId="11786"/>
    <cellStyle name="표준 23 3 5 2 2 5 2 3" xfId="11787"/>
    <cellStyle name="표준 23 3 5 2 2 5 3" xfId="11788"/>
    <cellStyle name="표준 23 3 5 2 2 5 3 2" xfId="11789"/>
    <cellStyle name="표준 23 3 5 2 2 5 4" xfId="11790"/>
    <cellStyle name="표준 23 3 5 2 2 6" xfId="11791"/>
    <cellStyle name="표준 23 3 5 2 2 6 2" xfId="11792"/>
    <cellStyle name="표준 23 3 5 2 2 6 2 2" xfId="11793"/>
    <cellStyle name="표준 23 3 5 2 2 6 3" xfId="11794"/>
    <cellStyle name="표준 23 3 5 2 2 7" xfId="11795"/>
    <cellStyle name="표준 23 3 5 2 2 7 2" xfId="11796"/>
    <cellStyle name="표준 23 3 5 2 2 8" xfId="11797"/>
    <cellStyle name="표준 23 3 5 2 2 9" xfId="11798"/>
    <cellStyle name="표준 23 3 5 2 3" xfId="11799"/>
    <cellStyle name="표준 23 3 5 2 3 2" xfId="11800"/>
    <cellStyle name="표준 23 3 5 2 3 2 2" xfId="11801"/>
    <cellStyle name="표준 23 3 5 2 3 2 2 2" xfId="11802"/>
    <cellStyle name="표준 23 3 5 2 3 2 2 2 2" xfId="11803"/>
    <cellStyle name="표준 23 3 5 2 3 2 2 2 2 2" xfId="11804"/>
    <cellStyle name="표준 23 3 5 2 3 2 2 2 2 2 2" xfId="11805"/>
    <cellStyle name="표준 23 3 5 2 3 2 2 2 2 3" xfId="11806"/>
    <cellStyle name="표준 23 3 5 2 3 2 2 2 3" xfId="11807"/>
    <cellStyle name="표준 23 3 5 2 3 2 2 2 3 2" xfId="11808"/>
    <cellStyle name="표준 23 3 5 2 3 2 2 2 4" xfId="11809"/>
    <cellStyle name="표준 23 3 5 2 3 2 2 3" xfId="11810"/>
    <cellStyle name="표준 23 3 5 2 3 2 2 3 2" xfId="11811"/>
    <cellStyle name="표준 23 3 5 2 3 2 2 3 2 2" xfId="11812"/>
    <cellStyle name="표준 23 3 5 2 3 2 2 3 3" xfId="11813"/>
    <cellStyle name="표준 23 3 5 2 3 2 2 4" xfId="11814"/>
    <cellStyle name="표준 23 3 5 2 3 2 2 4 2" xfId="11815"/>
    <cellStyle name="표준 23 3 5 2 3 2 2 5" xfId="11816"/>
    <cellStyle name="표준 23 3 5 2 3 2 3" xfId="11817"/>
    <cellStyle name="표준 23 3 5 2 3 2 3 2" xfId="11818"/>
    <cellStyle name="표준 23 3 5 2 3 2 3 2 2" xfId="11819"/>
    <cellStyle name="표준 23 3 5 2 3 2 3 2 2 2" xfId="11820"/>
    <cellStyle name="표준 23 3 5 2 3 2 3 2 3" xfId="11821"/>
    <cellStyle name="표준 23 3 5 2 3 2 3 3" xfId="11822"/>
    <cellStyle name="표준 23 3 5 2 3 2 3 3 2" xfId="11823"/>
    <cellStyle name="표준 23 3 5 2 3 2 3 4" xfId="11824"/>
    <cellStyle name="표준 23 3 5 2 3 2 4" xfId="11825"/>
    <cellStyle name="표준 23 3 5 2 3 2 4 2" xfId="11826"/>
    <cellStyle name="표준 23 3 5 2 3 2 4 2 2" xfId="11827"/>
    <cellStyle name="표준 23 3 5 2 3 2 4 3" xfId="11828"/>
    <cellStyle name="표준 23 3 5 2 3 2 5" xfId="11829"/>
    <cellStyle name="표준 23 3 5 2 3 2 5 2" xfId="11830"/>
    <cellStyle name="표준 23 3 5 2 3 2 6" xfId="11831"/>
    <cellStyle name="표준 23 3 5 2 3 3" xfId="11832"/>
    <cellStyle name="표준 23 3 5 2 3 3 2" xfId="11833"/>
    <cellStyle name="표준 23 3 5 2 3 3 2 2" xfId="11834"/>
    <cellStyle name="표준 23 3 5 2 3 3 2 2 2" xfId="11835"/>
    <cellStyle name="표준 23 3 5 2 3 3 2 2 2 2" xfId="11836"/>
    <cellStyle name="표준 23 3 5 2 3 3 2 2 3" xfId="11837"/>
    <cellStyle name="표준 23 3 5 2 3 3 2 3" xfId="11838"/>
    <cellStyle name="표준 23 3 5 2 3 3 2 3 2" xfId="11839"/>
    <cellStyle name="표준 23 3 5 2 3 3 2 4" xfId="11840"/>
    <cellStyle name="표준 23 3 5 2 3 3 3" xfId="11841"/>
    <cellStyle name="표준 23 3 5 2 3 3 3 2" xfId="11842"/>
    <cellStyle name="표준 23 3 5 2 3 3 3 2 2" xfId="11843"/>
    <cellStyle name="표준 23 3 5 2 3 3 3 3" xfId="11844"/>
    <cellStyle name="표준 23 3 5 2 3 3 4" xfId="11845"/>
    <cellStyle name="표준 23 3 5 2 3 3 4 2" xfId="11846"/>
    <cellStyle name="표준 23 3 5 2 3 3 5" xfId="11847"/>
    <cellStyle name="표준 23 3 5 2 3 4" xfId="11848"/>
    <cellStyle name="표준 23 3 5 2 3 4 2" xfId="11849"/>
    <cellStyle name="표준 23 3 5 2 3 4 2 2" xfId="11850"/>
    <cellStyle name="표준 23 3 5 2 3 4 2 2 2" xfId="11851"/>
    <cellStyle name="표준 23 3 5 2 3 4 2 3" xfId="11852"/>
    <cellStyle name="표준 23 3 5 2 3 4 3" xfId="11853"/>
    <cellStyle name="표준 23 3 5 2 3 4 3 2" xfId="11854"/>
    <cellStyle name="표준 23 3 5 2 3 4 4" xfId="11855"/>
    <cellStyle name="표준 23 3 5 2 3 5" xfId="11856"/>
    <cellStyle name="표준 23 3 5 2 3 5 2" xfId="11857"/>
    <cellStyle name="표준 23 3 5 2 3 5 2 2" xfId="11858"/>
    <cellStyle name="표준 23 3 5 2 3 5 3" xfId="11859"/>
    <cellStyle name="표준 23 3 5 2 3 6" xfId="11860"/>
    <cellStyle name="표준 23 3 5 2 3 6 2" xfId="11861"/>
    <cellStyle name="표준 23 3 5 2 3 7" xfId="11862"/>
    <cellStyle name="표준 23 3 5 2 3 8" xfId="11863"/>
    <cellStyle name="표준 23 3 5 2 4" xfId="11864"/>
    <cellStyle name="표준 23 3 5 2 4 2" xfId="11865"/>
    <cellStyle name="표준 23 3 5 2 4 2 2" xfId="11866"/>
    <cellStyle name="표준 23 3 5 2 4 2 2 2" xfId="11867"/>
    <cellStyle name="표준 23 3 5 2 4 2 2 2 2" xfId="11868"/>
    <cellStyle name="표준 23 3 5 2 4 2 2 2 2 2" xfId="11869"/>
    <cellStyle name="표준 23 3 5 2 4 2 2 2 3" xfId="11870"/>
    <cellStyle name="표준 23 3 5 2 4 2 2 3" xfId="11871"/>
    <cellStyle name="표준 23 3 5 2 4 2 2 3 2" xfId="11872"/>
    <cellStyle name="표준 23 3 5 2 4 2 2 4" xfId="11873"/>
    <cellStyle name="표준 23 3 5 2 4 2 3" xfId="11874"/>
    <cellStyle name="표준 23 3 5 2 4 2 3 2" xfId="11875"/>
    <cellStyle name="표준 23 3 5 2 4 2 3 2 2" xfId="11876"/>
    <cellStyle name="표준 23 3 5 2 4 2 3 3" xfId="11877"/>
    <cellStyle name="표준 23 3 5 2 4 2 4" xfId="11878"/>
    <cellStyle name="표준 23 3 5 2 4 2 4 2" xfId="11879"/>
    <cellStyle name="표준 23 3 5 2 4 2 5" xfId="11880"/>
    <cellStyle name="표준 23 3 5 2 4 3" xfId="11881"/>
    <cellStyle name="표준 23 3 5 2 4 3 2" xfId="11882"/>
    <cellStyle name="표준 23 3 5 2 4 3 2 2" xfId="11883"/>
    <cellStyle name="표준 23 3 5 2 4 3 2 2 2" xfId="11884"/>
    <cellStyle name="표준 23 3 5 2 4 3 2 3" xfId="11885"/>
    <cellStyle name="표준 23 3 5 2 4 3 3" xfId="11886"/>
    <cellStyle name="표준 23 3 5 2 4 3 3 2" xfId="11887"/>
    <cellStyle name="표준 23 3 5 2 4 3 4" xfId="11888"/>
    <cellStyle name="표준 23 3 5 2 4 4" xfId="11889"/>
    <cellStyle name="표준 23 3 5 2 4 4 2" xfId="11890"/>
    <cellStyle name="표준 23 3 5 2 4 4 2 2" xfId="11891"/>
    <cellStyle name="표준 23 3 5 2 4 4 3" xfId="11892"/>
    <cellStyle name="표준 23 3 5 2 4 5" xfId="11893"/>
    <cellStyle name="표준 23 3 5 2 4 5 2" xfId="11894"/>
    <cellStyle name="표준 23 3 5 2 4 6" xfId="11895"/>
    <cellStyle name="표준 23 3 5 2 5" xfId="11896"/>
    <cellStyle name="표준 23 3 5 2 5 2" xfId="11897"/>
    <cellStyle name="표준 23 3 5 2 5 2 2" xfId="11898"/>
    <cellStyle name="표준 23 3 5 2 5 2 2 2" xfId="11899"/>
    <cellStyle name="표준 23 3 5 2 5 2 2 2 2" xfId="11900"/>
    <cellStyle name="표준 23 3 5 2 5 2 2 3" xfId="11901"/>
    <cellStyle name="표준 23 3 5 2 5 2 3" xfId="11902"/>
    <cellStyle name="표준 23 3 5 2 5 2 3 2" xfId="11903"/>
    <cellStyle name="표준 23 3 5 2 5 2 4" xfId="11904"/>
    <cellStyle name="표준 23 3 5 2 5 3" xfId="11905"/>
    <cellStyle name="표준 23 3 5 2 5 3 2" xfId="11906"/>
    <cellStyle name="표준 23 3 5 2 5 3 2 2" xfId="11907"/>
    <cellStyle name="표준 23 3 5 2 5 3 3" xfId="11908"/>
    <cellStyle name="표준 23 3 5 2 5 4" xfId="11909"/>
    <cellStyle name="표준 23 3 5 2 5 4 2" xfId="11910"/>
    <cellStyle name="표준 23 3 5 2 5 5" xfId="11911"/>
    <cellStyle name="표준 23 3 5 2 6" xfId="11912"/>
    <cellStyle name="표준 23 3 5 2 6 2" xfId="11913"/>
    <cellStyle name="표준 23 3 5 2 6 2 2" xfId="11914"/>
    <cellStyle name="표준 23 3 5 2 6 2 2 2" xfId="11915"/>
    <cellStyle name="표준 23 3 5 2 6 2 3" xfId="11916"/>
    <cellStyle name="표준 23 3 5 2 6 3" xfId="11917"/>
    <cellStyle name="표준 23 3 5 2 6 3 2" xfId="11918"/>
    <cellStyle name="표준 23 3 5 2 6 4" xfId="11919"/>
    <cellStyle name="표준 23 3 5 2 7" xfId="11920"/>
    <cellStyle name="표준 23 3 5 2 7 2" xfId="11921"/>
    <cellStyle name="표준 23 3 5 2 7 2 2" xfId="11922"/>
    <cellStyle name="표준 23 3 5 2 7 3" xfId="11923"/>
    <cellStyle name="표준 23 3 5 2 8" xfId="11924"/>
    <cellStyle name="표준 23 3 5 2 8 2" xfId="11925"/>
    <cellStyle name="표준 23 3 5 2 9" xfId="11926"/>
    <cellStyle name="표준 23 3 5 3" xfId="11927"/>
    <cellStyle name="표준 23 3 5 3 2" xfId="11928"/>
    <cellStyle name="표준 23 3 5 3 2 2" xfId="11929"/>
    <cellStyle name="표준 23 3 5 3 2 2 2" xfId="11930"/>
    <cellStyle name="표준 23 3 5 3 2 2 2 2" xfId="11931"/>
    <cellStyle name="표준 23 3 5 3 2 2 2 2 2" xfId="11932"/>
    <cellStyle name="표준 23 3 5 3 2 2 2 2 2 2" xfId="11933"/>
    <cellStyle name="표준 23 3 5 3 2 2 2 2 2 2 2" xfId="11934"/>
    <cellStyle name="표준 23 3 5 3 2 2 2 2 2 3" xfId="11935"/>
    <cellStyle name="표준 23 3 5 3 2 2 2 2 3" xfId="11936"/>
    <cellStyle name="표준 23 3 5 3 2 2 2 2 3 2" xfId="11937"/>
    <cellStyle name="표준 23 3 5 3 2 2 2 2 4" xfId="11938"/>
    <cellStyle name="표준 23 3 5 3 2 2 2 3" xfId="11939"/>
    <cellStyle name="표준 23 3 5 3 2 2 2 3 2" xfId="11940"/>
    <cellStyle name="표준 23 3 5 3 2 2 2 3 2 2" xfId="11941"/>
    <cellStyle name="표준 23 3 5 3 2 2 2 3 3" xfId="11942"/>
    <cellStyle name="표준 23 3 5 3 2 2 2 4" xfId="11943"/>
    <cellStyle name="표준 23 3 5 3 2 2 2 4 2" xfId="11944"/>
    <cellStyle name="표준 23 3 5 3 2 2 2 5" xfId="11945"/>
    <cellStyle name="표준 23 3 5 3 2 2 3" xfId="11946"/>
    <cellStyle name="표준 23 3 5 3 2 2 3 2" xfId="11947"/>
    <cellStyle name="표준 23 3 5 3 2 2 3 2 2" xfId="11948"/>
    <cellStyle name="표준 23 3 5 3 2 2 3 2 2 2" xfId="11949"/>
    <cellStyle name="표준 23 3 5 3 2 2 3 2 3" xfId="11950"/>
    <cellStyle name="표준 23 3 5 3 2 2 3 3" xfId="11951"/>
    <cellStyle name="표준 23 3 5 3 2 2 3 3 2" xfId="11952"/>
    <cellStyle name="표준 23 3 5 3 2 2 3 4" xfId="11953"/>
    <cellStyle name="표준 23 3 5 3 2 2 4" xfId="11954"/>
    <cellStyle name="표준 23 3 5 3 2 2 4 2" xfId="11955"/>
    <cellStyle name="표준 23 3 5 3 2 2 4 2 2" xfId="11956"/>
    <cellStyle name="표준 23 3 5 3 2 2 4 3" xfId="11957"/>
    <cellStyle name="표준 23 3 5 3 2 2 5" xfId="11958"/>
    <cellStyle name="표준 23 3 5 3 2 2 5 2" xfId="11959"/>
    <cellStyle name="표준 23 3 5 3 2 2 6" xfId="11960"/>
    <cellStyle name="표준 23 3 5 3 2 3" xfId="11961"/>
    <cellStyle name="표준 23 3 5 3 2 3 2" xfId="11962"/>
    <cellStyle name="표준 23 3 5 3 2 3 2 2" xfId="11963"/>
    <cellStyle name="표준 23 3 5 3 2 3 2 2 2" xfId="11964"/>
    <cellStyle name="표준 23 3 5 3 2 3 2 2 2 2" xfId="11965"/>
    <cellStyle name="표준 23 3 5 3 2 3 2 2 3" xfId="11966"/>
    <cellStyle name="표준 23 3 5 3 2 3 2 3" xfId="11967"/>
    <cellStyle name="표준 23 3 5 3 2 3 2 3 2" xfId="11968"/>
    <cellStyle name="표준 23 3 5 3 2 3 2 4" xfId="11969"/>
    <cellStyle name="표준 23 3 5 3 2 3 3" xfId="11970"/>
    <cellStyle name="표준 23 3 5 3 2 3 3 2" xfId="11971"/>
    <cellStyle name="표준 23 3 5 3 2 3 3 2 2" xfId="11972"/>
    <cellStyle name="표준 23 3 5 3 2 3 3 3" xfId="11973"/>
    <cellStyle name="표준 23 3 5 3 2 3 4" xfId="11974"/>
    <cellStyle name="표준 23 3 5 3 2 3 4 2" xfId="11975"/>
    <cellStyle name="표준 23 3 5 3 2 3 5" xfId="11976"/>
    <cellStyle name="표준 23 3 5 3 2 4" xfId="11977"/>
    <cellStyle name="표준 23 3 5 3 2 4 2" xfId="11978"/>
    <cellStyle name="표준 23 3 5 3 2 4 2 2" xfId="11979"/>
    <cellStyle name="표준 23 3 5 3 2 4 2 2 2" xfId="11980"/>
    <cellStyle name="표준 23 3 5 3 2 4 2 3" xfId="11981"/>
    <cellStyle name="표준 23 3 5 3 2 4 3" xfId="11982"/>
    <cellStyle name="표준 23 3 5 3 2 4 3 2" xfId="11983"/>
    <cellStyle name="표준 23 3 5 3 2 4 4" xfId="11984"/>
    <cellStyle name="표준 23 3 5 3 2 5" xfId="11985"/>
    <cellStyle name="표준 23 3 5 3 2 5 2" xfId="11986"/>
    <cellStyle name="표준 23 3 5 3 2 5 2 2" xfId="11987"/>
    <cellStyle name="표준 23 3 5 3 2 5 3" xfId="11988"/>
    <cellStyle name="표준 23 3 5 3 2 6" xfId="11989"/>
    <cellStyle name="표준 23 3 5 3 2 6 2" xfId="11990"/>
    <cellStyle name="표준 23 3 5 3 2 7" xfId="11991"/>
    <cellStyle name="표준 23 3 5 3 2 8" xfId="11992"/>
    <cellStyle name="표준 23 3 5 3 3" xfId="11993"/>
    <cellStyle name="표준 23 3 5 3 3 2" xfId="11994"/>
    <cellStyle name="표준 23 3 5 3 3 2 2" xfId="11995"/>
    <cellStyle name="표준 23 3 5 3 3 2 2 2" xfId="11996"/>
    <cellStyle name="표준 23 3 5 3 3 2 2 2 2" xfId="11997"/>
    <cellStyle name="표준 23 3 5 3 3 2 2 2 2 2" xfId="11998"/>
    <cellStyle name="표준 23 3 5 3 3 2 2 2 3" xfId="11999"/>
    <cellStyle name="표준 23 3 5 3 3 2 2 3" xfId="12000"/>
    <cellStyle name="표준 23 3 5 3 3 2 2 3 2" xfId="12001"/>
    <cellStyle name="표준 23 3 5 3 3 2 2 4" xfId="12002"/>
    <cellStyle name="표준 23 3 5 3 3 2 3" xfId="12003"/>
    <cellStyle name="표준 23 3 5 3 3 2 3 2" xfId="12004"/>
    <cellStyle name="표준 23 3 5 3 3 2 3 2 2" xfId="12005"/>
    <cellStyle name="표준 23 3 5 3 3 2 3 3" xfId="12006"/>
    <cellStyle name="표준 23 3 5 3 3 2 4" xfId="12007"/>
    <cellStyle name="표준 23 3 5 3 3 2 4 2" xfId="12008"/>
    <cellStyle name="표준 23 3 5 3 3 2 5" xfId="12009"/>
    <cellStyle name="표준 23 3 5 3 3 3" xfId="12010"/>
    <cellStyle name="표준 23 3 5 3 3 3 2" xfId="12011"/>
    <cellStyle name="표준 23 3 5 3 3 3 2 2" xfId="12012"/>
    <cellStyle name="표준 23 3 5 3 3 3 2 2 2" xfId="12013"/>
    <cellStyle name="표준 23 3 5 3 3 3 2 3" xfId="12014"/>
    <cellStyle name="표준 23 3 5 3 3 3 3" xfId="12015"/>
    <cellStyle name="표준 23 3 5 3 3 3 3 2" xfId="12016"/>
    <cellStyle name="표준 23 3 5 3 3 3 4" xfId="12017"/>
    <cellStyle name="표준 23 3 5 3 3 4" xfId="12018"/>
    <cellStyle name="표준 23 3 5 3 3 4 2" xfId="12019"/>
    <cellStyle name="표준 23 3 5 3 3 4 2 2" xfId="12020"/>
    <cellStyle name="표준 23 3 5 3 3 4 3" xfId="12021"/>
    <cellStyle name="표준 23 3 5 3 3 5" xfId="12022"/>
    <cellStyle name="표준 23 3 5 3 3 5 2" xfId="12023"/>
    <cellStyle name="표준 23 3 5 3 3 6" xfId="12024"/>
    <cellStyle name="표준 23 3 5 3 4" xfId="12025"/>
    <cellStyle name="표준 23 3 5 3 4 2" xfId="12026"/>
    <cellStyle name="표준 23 3 5 3 4 2 2" xfId="12027"/>
    <cellStyle name="표준 23 3 5 3 4 2 2 2" xfId="12028"/>
    <cellStyle name="표준 23 3 5 3 4 2 2 2 2" xfId="12029"/>
    <cellStyle name="표준 23 3 5 3 4 2 2 3" xfId="12030"/>
    <cellStyle name="표준 23 3 5 3 4 2 3" xfId="12031"/>
    <cellStyle name="표준 23 3 5 3 4 2 3 2" xfId="12032"/>
    <cellStyle name="표준 23 3 5 3 4 2 4" xfId="12033"/>
    <cellStyle name="표준 23 3 5 3 4 3" xfId="12034"/>
    <cellStyle name="표준 23 3 5 3 4 3 2" xfId="12035"/>
    <cellStyle name="표준 23 3 5 3 4 3 2 2" xfId="12036"/>
    <cellStyle name="표준 23 3 5 3 4 3 3" xfId="12037"/>
    <cellStyle name="표준 23 3 5 3 4 4" xfId="12038"/>
    <cellStyle name="표준 23 3 5 3 4 4 2" xfId="12039"/>
    <cellStyle name="표준 23 3 5 3 4 5" xfId="12040"/>
    <cellStyle name="표준 23 3 5 3 5" xfId="12041"/>
    <cellStyle name="표준 23 3 5 3 5 2" xfId="12042"/>
    <cellStyle name="표준 23 3 5 3 5 2 2" xfId="12043"/>
    <cellStyle name="표준 23 3 5 3 5 2 2 2" xfId="12044"/>
    <cellStyle name="표준 23 3 5 3 5 2 3" xfId="12045"/>
    <cellStyle name="표준 23 3 5 3 5 3" xfId="12046"/>
    <cellStyle name="표준 23 3 5 3 5 3 2" xfId="12047"/>
    <cellStyle name="표준 23 3 5 3 5 4" xfId="12048"/>
    <cellStyle name="표준 23 3 5 3 6" xfId="12049"/>
    <cellStyle name="표준 23 3 5 3 6 2" xfId="12050"/>
    <cellStyle name="표준 23 3 5 3 6 2 2" xfId="12051"/>
    <cellStyle name="표준 23 3 5 3 6 3" xfId="12052"/>
    <cellStyle name="표준 23 3 5 3 7" xfId="12053"/>
    <cellStyle name="표준 23 3 5 3 7 2" xfId="12054"/>
    <cellStyle name="표준 23 3 5 3 8" xfId="12055"/>
    <cellStyle name="표준 23 3 5 3 9" xfId="12056"/>
    <cellStyle name="표준 23 3 5 4" xfId="12057"/>
    <cellStyle name="표준 23 3 5 4 2" xfId="12058"/>
    <cellStyle name="표준 23 3 5 4 2 2" xfId="12059"/>
    <cellStyle name="표준 23 3 5 4 2 2 2" xfId="12060"/>
    <cellStyle name="표준 23 3 5 4 2 2 2 2" xfId="12061"/>
    <cellStyle name="표준 23 3 5 4 2 2 2 2 2" xfId="12062"/>
    <cellStyle name="표준 23 3 5 4 2 2 2 2 2 2" xfId="12063"/>
    <cellStyle name="표준 23 3 5 4 2 2 2 2 3" xfId="12064"/>
    <cellStyle name="표준 23 3 5 4 2 2 2 3" xfId="12065"/>
    <cellStyle name="표준 23 3 5 4 2 2 2 3 2" xfId="12066"/>
    <cellStyle name="표준 23 3 5 4 2 2 2 4" xfId="12067"/>
    <cellStyle name="표준 23 3 5 4 2 2 3" xfId="12068"/>
    <cellStyle name="표준 23 3 5 4 2 2 3 2" xfId="12069"/>
    <cellStyle name="표준 23 3 5 4 2 2 3 2 2" xfId="12070"/>
    <cellStyle name="표준 23 3 5 4 2 2 3 3" xfId="12071"/>
    <cellStyle name="표준 23 3 5 4 2 2 4" xfId="12072"/>
    <cellStyle name="표준 23 3 5 4 2 2 4 2" xfId="12073"/>
    <cellStyle name="표준 23 3 5 4 2 2 5" xfId="12074"/>
    <cellStyle name="표준 23 3 5 4 2 3" xfId="12075"/>
    <cellStyle name="표준 23 3 5 4 2 3 2" xfId="12076"/>
    <cellStyle name="표준 23 3 5 4 2 3 2 2" xfId="12077"/>
    <cellStyle name="표준 23 3 5 4 2 3 2 2 2" xfId="12078"/>
    <cellStyle name="표준 23 3 5 4 2 3 2 3" xfId="12079"/>
    <cellStyle name="표준 23 3 5 4 2 3 3" xfId="12080"/>
    <cellStyle name="표준 23 3 5 4 2 3 3 2" xfId="12081"/>
    <cellStyle name="표준 23 3 5 4 2 3 4" xfId="12082"/>
    <cellStyle name="표준 23 3 5 4 2 4" xfId="12083"/>
    <cellStyle name="표준 23 3 5 4 2 4 2" xfId="12084"/>
    <cellStyle name="표준 23 3 5 4 2 4 2 2" xfId="12085"/>
    <cellStyle name="표준 23 3 5 4 2 4 3" xfId="12086"/>
    <cellStyle name="표준 23 3 5 4 2 5" xfId="12087"/>
    <cellStyle name="표준 23 3 5 4 2 5 2" xfId="12088"/>
    <cellStyle name="표준 23 3 5 4 2 6" xfId="12089"/>
    <cellStyle name="표준 23 3 5 4 3" xfId="12090"/>
    <cellStyle name="표준 23 3 5 4 3 2" xfId="12091"/>
    <cellStyle name="표준 23 3 5 4 3 2 2" xfId="12092"/>
    <cellStyle name="표준 23 3 5 4 3 2 2 2" xfId="12093"/>
    <cellStyle name="표준 23 3 5 4 3 2 2 2 2" xfId="12094"/>
    <cellStyle name="표준 23 3 5 4 3 2 2 3" xfId="12095"/>
    <cellStyle name="표준 23 3 5 4 3 2 3" xfId="12096"/>
    <cellStyle name="표준 23 3 5 4 3 2 3 2" xfId="12097"/>
    <cellStyle name="표준 23 3 5 4 3 2 4" xfId="12098"/>
    <cellStyle name="표준 23 3 5 4 3 3" xfId="12099"/>
    <cellStyle name="표준 23 3 5 4 3 3 2" xfId="12100"/>
    <cellStyle name="표준 23 3 5 4 3 3 2 2" xfId="12101"/>
    <cellStyle name="표준 23 3 5 4 3 3 3" xfId="12102"/>
    <cellStyle name="표준 23 3 5 4 3 4" xfId="12103"/>
    <cellStyle name="표준 23 3 5 4 3 4 2" xfId="12104"/>
    <cellStyle name="표준 23 3 5 4 3 5" xfId="12105"/>
    <cellStyle name="표준 23 3 5 4 4" xfId="12106"/>
    <cellStyle name="표준 23 3 5 4 4 2" xfId="12107"/>
    <cellStyle name="표준 23 3 5 4 4 2 2" xfId="12108"/>
    <cellStyle name="표준 23 3 5 4 4 2 2 2" xfId="12109"/>
    <cellStyle name="표준 23 3 5 4 4 2 3" xfId="12110"/>
    <cellStyle name="표준 23 3 5 4 4 3" xfId="12111"/>
    <cellStyle name="표준 23 3 5 4 4 3 2" xfId="12112"/>
    <cellStyle name="표준 23 3 5 4 4 4" xfId="12113"/>
    <cellStyle name="표준 23 3 5 4 5" xfId="12114"/>
    <cellStyle name="표준 23 3 5 4 5 2" xfId="12115"/>
    <cellStyle name="표준 23 3 5 4 5 2 2" xfId="12116"/>
    <cellStyle name="표준 23 3 5 4 5 3" xfId="12117"/>
    <cellStyle name="표준 23 3 5 4 6" xfId="12118"/>
    <cellStyle name="표준 23 3 5 4 6 2" xfId="12119"/>
    <cellStyle name="표준 23 3 5 4 7" xfId="12120"/>
    <cellStyle name="표준 23 3 5 4 8" xfId="12121"/>
    <cellStyle name="표준 23 3 5 5" xfId="12122"/>
    <cellStyle name="표준 23 3 5 5 2" xfId="12123"/>
    <cellStyle name="표준 23 3 5 5 2 2" xfId="12124"/>
    <cellStyle name="표준 23 3 5 5 2 2 2" xfId="12125"/>
    <cellStyle name="표준 23 3 5 5 2 2 2 2" xfId="12126"/>
    <cellStyle name="표준 23 3 5 5 2 2 2 2 2" xfId="12127"/>
    <cellStyle name="표준 23 3 5 5 2 2 2 3" xfId="12128"/>
    <cellStyle name="표준 23 3 5 5 2 2 3" xfId="12129"/>
    <cellStyle name="표준 23 3 5 5 2 2 3 2" xfId="12130"/>
    <cellStyle name="표준 23 3 5 5 2 2 4" xfId="12131"/>
    <cellStyle name="표준 23 3 5 5 2 3" xfId="12132"/>
    <cellStyle name="표준 23 3 5 5 2 3 2" xfId="12133"/>
    <cellStyle name="표준 23 3 5 5 2 3 2 2" xfId="12134"/>
    <cellStyle name="표준 23 3 5 5 2 3 3" xfId="12135"/>
    <cellStyle name="표준 23 3 5 5 2 4" xfId="12136"/>
    <cellStyle name="표준 23 3 5 5 2 4 2" xfId="12137"/>
    <cellStyle name="표준 23 3 5 5 2 5" xfId="12138"/>
    <cellStyle name="표준 23 3 5 5 3" xfId="12139"/>
    <cellStyle name="표준 23 3 5 5 3 2" xfId="12140"/>
    <cellStyle name="표준 23 3 5 5 3 2 2" xfId="12141"/>
    <cellStyle name="표준 23 3 5 5 3 2 2 2" xfId="12142"/>
    <cellStyle name="표준 23 3 5 5 3 2 3" xfId="12143"/>
    <cellStyle name="표준 23 3 5 5 3 3" xfId="12144"/>
    <cellStyle name="표준 23 3 5 5 3 3 2" xfId="12145"/>
    <cellStyle name="표준 23 3 5 5 3 4" xfId="12146"/>
    <cellStyle name="표준 23 3 5 5 4" xfId="12147"/>
    <cellStyle name="표준 23 3 5 5 4 2" xfId="12148"/>
    <cellStyle name="표준 23 3 5 5 4 2 2" xfId="12149"/>
    <cellStyle name="표준 23 3 5 5 4 3" xfId="12150"/>
    <cellStyle name="표준 23 3 5 5 5" xfId="12151"/>
    <cellStyle name="표준 23 3 5 5 5 2" xfId="12152"/>
    <cellStyle name="표준 23 3 5 5 6" xfId="12153"/>
    <cellStyle name="표준 23 3 5 6" xfId="12154"/>
    <cellStyle name="표준 23 3 5 6 2" xfId="12155"/>
    <cellStyle name="표준 23 3 5 6 2 2" xfId="12156"/>
    <cellStyle name="표준 23 3 5 6 2 2 2" xfId="12157"/>
    <cellStyle name="표준 23 3 5 6 2 2 2 2" xfId="12158"/>
    <cellStyle name="표준 23 3 5 6 2 2 3" xfId="12159"/>
    <cellStyle name="표준 23 3 5 6 2 3" xfId="12160"/>
    <cellStyle name="표준 23 3 5 6 2 3 2" xfId="12161"/>
    <cellStyle name="표준 23 3 5 6 2 4" xfId="12162"/>
    <cellStyle name="표준 23 3 5 6 3" xfId="12163"/>
    <cellStyle name="표준 23 3 5 6 3 2" xfId="12164"/>
    <cellStyle name="표준 23 3 5 6 3 2 2" xfId="12165"/>
    <cellStyle name="표준 23 3 5 6 3 3" xfId="12166"/>
    <cellStyle name="표준 23 3 5 6 4" xfId="12167"/>
    <cellStyle name="표준 23 3 5 6 4 2" xfId="12168"/>
    <cellStyle name="표준 23 3 5 6 5" xfId="12169"/>
    <cellStyle name="표준 23 3 5 7" xfId="12170"/>
    <cellStyle name="표준 23 3 5 7 2" xfId="12171"/>
    <cellStyle name="표준 23 3 5 7 2 2" xfId="12172"/>
    <cellStyle name="표준 23 3 5 7 2 2 2" xfId="12173"/>
    <cellStyle name="표준 23 3 5 7 2 3" xfId="12174"/>
    <cellStyle name="표준 23 3 5 7 3" xfId="12175"/>
    <cellStyle name="표준 23 3 5 7 3 2" xfId="12176"/>
    <cellStyle name="표준 23 3 5 7 4" xfId="12177"/>
    <cellStyle name="표준 23 3 5 8" xfId="12178"/>
    <cellStyle name="표준 23 3 5 8 2" xfId="12179"/>
    <cellStyle name="표준 23 3 5 8 2 2" xfId="12180"/>
    <cellStyle name="표준 23 3 5 8 3" xfId="12181"/>
    <cellStyle name="표준 23 3 5 9" xfId="12182"/>
    <cellStyle name="표준 23 3 5 9 2" xfId="12183"/>
    <cellStyle name="표준 23 3 6" xfId="12184"/>
    <cellStyle name="표준 23 3 6 10" xfId="12185"/>
    <cellStyle name="표준 23 3 6 11" xfId="12186"/>
    <cellStyle name="표준 23 3 6 2" xfId="12187"/>
    <cellStyle name="표준 23 3 6 2 10" xfId="12188"/>
    <cellStyle name="표준 23 3 6 2 2" xfId="12189"/>
    <cellStyle name="표준 23 3 6 2 2 2" xfId="12190"/>
    <cellStyle name="표준 23 3 6 2 2 2 2" xfId="12191"/>
    <cellStyle name="표준 23 3 6 2 2 2 2 2" xfId="12192"/>
    <cellStyle name="표준 23 3 6 2 2 2 2 2 2" xfId="12193"/>
    <cellStyle name="표준 23 3 6 2 2 2 2 2 2 2" xfId="12194"/>
    <cellStyle name="표준 23 3 6 2 2 2 2 2 2 2 2" xfId="12195"/>
    <cellStyle name="표준 23 3 6 2 2 2 2 2 2 2 2 2" xfId="12196"/>
    <cellStyle name="표준 23 3 6 2 2 2 2 2 2 2 3" xfId="12197"/>
    <cellStyle name="표준 23 3 6 2 2 2 2 2 2 3" xfId="12198"/>
    <cellStyle name="표준 23 3 6 2 2 2 2 2 2 3 2" xfId="12199"/>
    <cellStyle name="표준 23 3 6 2 2 2 2 2 2 4" xfId="12200"/>
    <cellStyle name="표준 23 3 6 2 2 2 2 2 3" xfId="12201"/>
    <cellStyle name="표준 23 3 6 2 2 2 2 2 3 2" xfId="12202"/>
    <cellStyle name="표준 23 3 6 2 2 2 2 2 3 2 2" xfId="12203"/>
    <cellStyle name="표준 23 3 6 2 2 2 2 2 3 3" xfId="12204"/>
    <cellStyle name="표준 23 3 6 2 2 2 2 2 4" xfId="12205"/>
    <cellStyle name="표준 23 3 6 2 2 2 2 2 4 2" xfId="12206"/>
    <cellStyle name="표준 23 3 6 2 2 2 2 2 5" xfId="12207"/>
    <cellStyle name="표준 23 3 6 2 2 2 2 3" xfId="12208"/>
    <cellStyle name="표준 23 3 6 2 2 2 2 3 2" xfId="12209"/>
    <cellStyle name="표준 23 3 6 2 2 2 2 3 2 2" xfId="12210"/>
    <cellStyle name="표준 23 3 6 2 2 2 2 3 2 2 2" xfId="12211"/>
    <cellStyle name="표준 23 3 6 2 2 2 2 3 2 3" xfId="12212"/>
    <cellStyle name="표준 23 3 6 2 2 2 2 3 3" xfId="12213"/>
    <cellStyle name="표준 23 3 6 2 2 2 2 3 3 2" xfId="12214"/>
    <cellStyle name="표준 23 3 6 2 2 2 2 3 4" xfId="12215"/>
    <cellStyle name="표준 23 3 6 2 2 2 2 4" xfId="12216"/>
    <cellStyle name="표준 23 3 6 2 2 2 2 4 2" xfId="12217"/>
    <cellStyle name="표준 23 3 6 2 2 2 2 4 2 2" xfId="12218"/>
    <cellStyle name="표준 23 3 6 2 2 2 2 4 3" xfId="12219"/>
    <cellStyle name="표준 23 3 6 2 2 2 2 5" xfId="12220"/>
    <cellStyle name="표준 23 3 6 2 2 2 2 5 2" xfId="12221"/>
    <cellStyle name="표준 23 3 6 2 2 2 2 6" xfId="12222"/>
    <cellStyle name="표준 23 3 6 2 2 2 3" xfId="12223"/>
    <cellStyle name="표준 23 3 6 2 2 2 3 2" xfId="12224"/>
    <cellStyle name="표준 23 3 6 2 2 2 3 2 2" xfId="12225"/>
    <cellStyle name="표준 23 3 6 2 2 2 3 2 2 2" xfId="12226"/>
    <cellStyle name="표준 23 3 6 2 2 2 3 2 2 2 2" xfId="12227"/>
    <cellStyle name="표준 23 3 6 2 2 2 3 2 2 3" xfId="12228"/>
    <cellStyle name="표준 23 3 6 2 2 2 3 2 3" xfId="12229"/>
    <cellStyle name="표준 23 3 6 2 2 2 3 2 3 2" xfId="12230"/>
    <cellStyle name="표준 23 3 6 2 2 2 3 2 4" xfId="12231"/>
    <cellStyle name="표준 23 3 6 2 2 2 3 3" xfId="12232"/>
    <cellStyle name="표준 23 3 6 2 2 2 3 3 2" xfId="12233"/>
    <cellStyle name="표준 23 3 6 2 2 2 3 3 2 2" xfId="12234"/>
    <cellStyle name="표준 23 3 6 2 2 2 3 3 3" xfId="12235"/>
    <cellStyle name="표준 23 3 6 2 2 2 3 4" xfId="12236"/>
    <cellStyle name="표준 23 3 6 2 2 2 3 4 2" xfId="12237"/>
    <cellStyle name="표준 23 3 6 2 2 2 3 5" xfId="12238"/>
    <cellStyle name="표준 23 3 6 2 2 2 4" xfId="12239"/>
    <cellStyle name="표준 23 3 6 2 2 2 4 2" xfId="12240"/>
    <cellStyle name="표준 23 3 6 2 2 2 4 2 2" xfId="12241"/>
    <cellStyle name="표준 23 3 6 2 2 2 4 2 2 2" xfId="12242"/>
    <cellStyle name="표준 23 3 6 2 2 2 4 2 3" xfId="12243"/>
    <cellStyle name="표준 23 3 6 2 2 2 4 3" xfId="12244"/>
    <cellStyle name="표준 23 3 6 2 2 2 4 3 2" xfId="12245"/>
    <cellStyle name="표준 23 3 6 2 2 2 4 4" xfId="12246"/>
    <cellStyle name="표준 23 3 6 2 2 2 5" xfId="12247"/>
    <cellStyle name="표준 23 3 6 2 2 2 5 2" xfId="12248"/>
    <cellStyle name="표준 23 3 6 2 2 2 5 2 2" xfId="12249"/>
    <cellStyle name="표준 23 3 6 2 2 2 5 3" xfId="12250"/>
    <cellStyle name="표준 23 3 6 2 2 2 6" xfId="12251"/>
    <cellStyle name="표준 23 3 6 2 2 2 6 2" xfId="12252"/>
    <cellStyle name="표준 23 3 6 2 2 2 7" xfId="12253"/>
    <cellStyle name="표준 23 3 6 2 2 2 8" xfId="12254"/>
    <cellStyle name="표준 23 3 6 2 2 3" xfId="12255"/>
    <cellStyle name="표준 23 3 6 2 2 3 2" xfId="12256"/>
    <cellStyle name="표준 23 3 6 2 2 3 2 2" xfId="12257"/>
    <cellStyle name="표준 23 3 6 2 2 3 2 2 2" xfId="12258"/>
    <cellStyle name="표준 23 3 6 2 2 3 2 2 2 2" xfId="12259"/>
    <cellStyle name="표준 23 3 6 2 2 3 2 2 2 2 2" xfId="12260"/>
    <cellStyle name="표준 23 3 6 2 2 3 2 2 2 3" xfId="12261"/>
    <cellStyle name="표준 23 3 6 2 2 3 2 2 3" xfId="12262"/>
    <cellStyle name="표준 23 3 6 2 2 3 2 2 3 2" xfId="12263"/>
    <cellStyle name="표준 23 3 6 2 2 3 2 2 4" xfId="12264"/>
    <cellStyle name="표준 23 3 6 2 2 3 2 3" xfId="12265"/>
    <cellStyle name="표준 23 3 6 2 2 3 2 3 2" xfId="12266"/>
    <cellStyle name="표준 23 3 6 2 2 3 2 3 2 2" xfId="12267"/>
    <cellStyle name="표준 23 3 6 2 2 3 2 3 3" xfId="12268"/>
    <cellStyle name="표준 23 3 6 2 2 3 2 4" xfId="12269"/>
    <cellStyle name="표준 23 3 6 2 2 3 2 4 2" xfId="12270"/>
    <cellStyle name="표준 23 3 6 2 2 3 2 5" xfId="12271"/>
    <cellStyle name="표준 23 3 6 2 2 3 3" xfId="12272"/>
    <cellStyle name="표준 23 3 6 2 2 3 3 2" xfId="12273"/>
    <cellStyle name="표준 23 3 6 2 2 3 3 2 2" xfId="12274"/>
    <cellStyle name="표준 23 3 6 2 2 3 3 2 2 2" xfId="12275"/>
    <cellStyle name="표준 23 3 6 2 2 3 3 2 3" xfId="12276"/>
    <cellStyle name="표준 23 3 6 2 2 3 3 3" xfId="12277"/>
    <cellStyle name="표준 23 3 6 2 2 3 3 3 2" xfId="12278"/>
    <cellStyle name="표준 23 3 6 2 2 3 3 4" xfId="12279"/>
    <cellStyle name="표준 23 3 6 2 2 3 4" xfId="12280"/>
    <cellStyle name="표준 23 3 6 2 2 3 4 2" xfId="12281"/>
    <cellStyle name="표준 23 3 6 2 2 3 4 2 2" xfId="12282"/>
    <cellStyle name="표준 23 3 6 2 2 3 4 3" xfId="12283"/>
    <cellStyle name="표준 23 3 6 2 2 3 5" xfId="12284"/>
    <cellStyle name="표준 23 3 6 2 2 3 5 2" xfId="12285"/>
    <cellStyle name="표준 23 3 6 2 2 3 6" xfId="12286"/>
    <cellStyle name="표준 23 3 6 2 2 4" xfId="12287"/>
    <cellStyle name="표준 23 3 6 2 2 4 2" xfId="12288"/>
    <cellStyle name="표준 23 3 6 2 2 4 2 2" xfId="12289"/>
    <cellStyle name="표준 23 3 6 2 2 4 2 2 2" xfId="12290"/>
    <cellStyle name="표준 23 3 6 2 2 4 2 2 2 2" xfId="12291"/>
    <cellStyle name="표준 23 3 6 2 2 4 2 2 3" xfId="12292"/>
    <cellStyle name="표준 23 3 6 2 2 4 2 3" xfId="12293"/>
    <cellStyle name="표준 23 3 6 2 2 4 2 3 2" xfId="12294"/>
    <cellStyle name="표준 23 3 6 2 2 4 2 4" xfId="12295"/>
    <cellStyle name="표준 23 3 6 2 2 4 3" xfId="12296"/>
    <cellStyle name="표준 23 3 6 2 2 4 3 2" xfId="12297"/>
    <cellStyle name="표준 23 3 6 2 2 4 3 2 2" xfId="12298"/>
    <cellStyle name="표준 23 3 6 2 2 4 3 3" xfId="12299"/>
    <cellStyle name="표준 23 3 6 2 2 4 4" xfId="12300"/>
    <cellStyle name="표준 23 3 6 2 2 4 4 2" xfId="12301"/>
    <cellStyle name="표준 23 3 6 2 2 4 5" xfId="12302"/>
    <cellStyle name="표준 23 3 6 2 2 5" xfId="12303"/>
    <cellStyle name="표준 23 3 6 2 2 5 2" xfId="12304"/>
    <cellStyle name="표준 23 3 6 2 2 5 2 2" xfId="12305"/>
    <cellStyle name="표준 23 3 6 2 2 5 2 2 2" xfId="12306"/>
    <cellStyle name="표준 23 3 6 2 2 5 2 3" xfId="12307"/>
    <cellStyle name="표준 23 3 6 2 2 5 3" xfId="12308"/>
    <cellStyle name="표준 23 3 6 2 2 5 3 2" xfId="12309"/>
    <cellStyle name="표준 23 3 6 2 2 5 4" xfId="12310"/>
    <cellStyle name="표준 23 3 6 2 2 6" xfId="12311"/>
    <cellStyle name="표준 23 3 6 2 2 6 2" xfId="12312"/>
    <cellStyle name="표준 23 3 6 2 2 6 2 2" xfId="12313"/>
    <cellStyle name="표준 23 3 6 2 2 6 3" xfId="12314"/>
    <cellStyle name="표준 23 3 6 2 2 7" xfId="12315"/>
    <cellStyle name="표준 23 3 6 2 2 7 2" xfId="12316"/>
    <cellStyle name="표준 23 3 6 2 2 8" xfId="12317"/>
    <cellStyle name="표준 23 3 6 2 2 9" xfId="12318"/>
    <cellStyle name="표준 23 3 6 2 3" xfId="12319"/>
    <cellStyle name="표준 23 3 6 2 3 2" xfId="12320"/>
    <cellStyle name="표준 23 3 6 2 3 2 2" xfId="12321"/>
    <cellStyle name="표준 23 3 6 2 3 2 2 2" xfId="12322"/>
    <cellStyle name="표준 23 3 6 2 3 2 2 2 2" xfId="12323"/>
    <cellStyle name="표준 23 3 6 2 3 2 2 2 2 2" xfId="12324"/>
    <cellStyle name="표준 23 3 6 2 3 2 2 2 2 2 2" xfId="12325"/>
    <cellStyle name="표준 23 3 6 2 3 2 2 2 2 3" xfId="12326"/>
    <cellStyle name="표준 23 3 6 2 3 2 2 2 3" xfId="12327"/>
    <cellStyle name="표준 23 3 6 2 3 2 2 2 3 2" xfId="12328"/>
    <cellStyle name="표준 23 3 6 2 3 2 2 2 4" xfId="12329"/>
    <cellStyle name="표준 23 3 6 2 3 2 2 3" xfId="12330"/>
    <cellStyle name="표준 23 3 6 2 3 2 2 3 2" xfId="12331"/>
    <cellStyle name="표준 23 3 6 2 3 2 2 3 2 2" xfId="12332"/>
    <cellStyle name="표준 23 3 6 2 3 2 2 3 3" xfId="12333"/>
    <cellStyle name="표준 23 3 6 2 3 2 2 4" xfId="12334"/>
    <cellStyle name="표준 23 3 6 2 3 2 2 4 2" xfId="12335"/>
    <cellStyle name="표준 23 3 6 2 3 2 2 5" xfId="12336"/>
    <cellStyle name="표준 23 3 6 2 3 2 3" xfId="12337"/>
    <cellStyle name="표준 23 3 6 2 3 2 3 2" xfId="12338"/>
    <cellStyle name="표준 23 3 6 2 3 2 3 2 2" xfId="12339"/>
    <cellStyle name="표준 23 3 6 2 3 2 3 2 2 2" xfId="12340"/>
    <cellStyle name="표준 23 3 6 2 3 2 3 2 3" xfId="12341"/>
    <cellStyle name="표준 23 3 6 2 3 2 3 3" xfId="12342"/>
    <cellStyle name="표준 23 3 6 2 3 2 3 3 2" xfId="12343"/>
    <cellStyle name="표준 23 3 6 2 3 2 3 4" xfId="12344"/>
    <cellStyle name="표준 23 3 6 2 3 2 4" xfId="12345"/>
    <cellStyle name="표준 23 3 6 2 3 2 4 2" xfId="12346"/>
    <cellStyle name="표준 23 3 6 2 3 2 4 2 2" xfId="12347"/>
    <cellStyle name="표준 23 3 6 2 3 2 4 3" xfId="12348"/>
    <cellStyle name="표준 23 3 6 2 3 2 5" xfId="12349"/>
    <cellStyle name="표준 23 3 6 2 3 2 5 2" xfId="12350"/>
    <cellStyle name="표준 23 3 6 2 3 2 6" xfId="12351"/>
    <cellStyle name="표준 23 3 6 2 3 3" xfId="12352"/>
    <cellStyle name="표준 23 3 6 2 3 3 2" xfId="12353"/>
    <cellStyle name="표준 23 3 6 2 3 3 2 2" xfId="12354"/>
    <cellStyle name="표준 23 3 6 2 3 3 2 2 2" xfId="12355"/>
    <cellStyle name="표준 23 3 6 2 3 3 2 2 2 2" xfId="12356"/>
    <cellStyle name="표준 23 3 6 2 3 3 2 2 3" xfId="12357"/>
    <cellStyle name="표준 23 3 6 2 3 3 2 3" xfId="12358"/>
    <cellStyle name="표준 23 3 6 2 3 3 2 3 2" xfId="12359"/>
    <cellStyle name="표준 23 3 6 2 3 3 2 4" xfId="12360"/>
    <cellStyle name="표준 23 3 6 2 3 3 3" xfId="12361"/>
    <cellStyle name="표준 23 3 6 2 3 3 3 2" xfId="12362"/>
    <cellStyle name="표준 23 3 6 2 3 3 3 2 2" xfId="12363"/>
    <cellStyle name="표준 23 3 6 2 3 3 3 3" xfId="12364"/>
    <cellStyle name="표준 23 3 6 2 3 3 4" xfId="12365"/>
    <cellStyle name="표준 23 3 6 2 3 3 4 2" xfId="12366"/>
    <cellStyle name="표준 23 3 6 2 3 3 5" xfId="12367"/>
    <cellStyle name="표준 23 3 6 2 3 4" xfId="12368"/>
    <cellStyle name="표준 23 3 6 2 3 4 2" xfId="12369"/>
    <cellStyle name="표준 23 3 6 2 3 4 2 2" xfId="12370"/>
    <cellStyle name="표준 23 3 6 2 3 4 2 2 2" xfId="12371"/>
    <cellStyle name="표준 23 3 6 2 3 4 2 3" xfId="12372"/>
    <cellStyle name="표준 23 3 6 2 3 4 3" xfId="12373"/>
    <cellStyle name="표준 23 3 6 2 3 4 3 2" xfId="12374"/>
    <cellStyle name="표준 23 3 6 2 3 4 4" xfId="12375"/>
    <cellStyle name="표준 23 3 6 2 3 5" xfId="12376"/>
    <cellStyle name="표준 23 3 6 2 3 5 2" xfId="12377"/>
    <cellStyle name="표준 23 3 6 2 3 5 2 2" xfId="12378"/>
    <cellStyle name="표준 23 3 6 2 3 5 3" xfId="12379"/>
    <cellStyle name="표준 23 3 6 2 3 6" xfId="12380"/>
    <cellStyle name="표준 23 3 6 2 3 6 2" xfId="12381"/>
    <cellStyle name="표준 23 3 6 2 3 7" xfId="12382"/>
    <cellStyle name="표준 23 3 6 2 3 8" xfId="12383"/>
    <cellStyle name="표준 23 3 6 2 4" xfId="12384"/>
    <cellStyle name="표준 23 3 6 2 4 2" xfId="12385"/>
    <cellStyle name="표준 23 3 6 2 4 2 2" xfId="12386"/>
    <cellStyle name="표준 23 3 6 2 4 2 2 2" xfId="12387"/>
    <cellStyle name="표준 23 3 6 2 4 2 2 2 2" xfId="12388"/>
    <cellStyle name="표준 23 3 6 2 4 2 2 2 2 2" xfId="12389"/>
    <cellStyle name="표준 23 3 6 2 4 2 2 2 3" xfId="12390"/>
    <cellStyle name="표준 23 3 6 2 4 2 2 3" xfId="12391"/>
    <cellStyle name="표준 23 3 6 2 4 2 2 3 2" xfId="12392"/>
    <cellStyle name="표준 23 3 6 2 4 2 2 4" xfId="12393"/>
    <cellStyle name="표준 23 3 6 2 4 2 3" xfId="12394"/>
    <cellStyle name="표준 23 3 6 2 4 2 3 2" xfId="12395"/>
    <cellStyle name="표준 23 3 6 2 4 2 3 2 2" xfId="12396"/>
    <cellStyle name="표준 23 3 6 2 4 2 3 3" xfId="12397"/>
    <cellStyle name="표준 23 3 6 2 4 2 4" xfId="12398"/>
    <cellStyle name="표준 23 3 6 2 4 2 4 2" xfId="12399"/>
    <cellStyle name="표준 23 3 6 2 4 2 5" xfId="12400"/>
    <cellStyle name="표준 23 3 6 2 4 3" xfId="12401"/>
    <cellStyle name="표준 23 3 6 2 4 3 2" xfId="12402"/>
    <cellStyle name="표준 23 3 6 2 4 3 2 2" xfId="12403"/>
    <cellStyle name="표준 23 3 6 2 4 3 2 2 2" xfId="12404"/>
    <cellStyle name="표준 23 3 6 2 4 3 2 3" xfId="12405"/>
    <cellStyle name="표준 23 3 6 2 4 3 3" xfId="12406"/>
    <cellStyle name="표준 23 3 6 2 4 3 3 2" xfId="12407"/>
    <cellStyle name="표준 23 3 6 2 4 3 4" xfId="12408"/>
    <cellStyle name="표준 23 3 6 2 4 4" xfId="12409"/>
    <cellStyle name="표준 23 3 6 2 4 4 2" xfId="12410"/>
    <cellStyle name="표준 23 3 6 2 4 4 2 2" xfId="12411"/>
    <cellStyle name="표준 23 3 6 2 4 4 3" xfId="12412"/>
    <cellStyle name="표준 23 3 6 2 4 5" xfId="12413"/>
    <cellStyle name="표준 23 3 6 2 4 5 2" xfId="12414"/>
    <cellStyle name="표준 23 3 6 2 4 6" xfId="12415"/>
    <cellStyle name="표준 23 3 6 2 5" xfId="12416"/>
    <cellStyle name="표준 23 3 6 2 5 2" xfId="12417"/>
    <cellStyle name="표준 23 3 6 2 5 2 2" xfId="12418"/>
    <cellStyle name="표준 23 3 6 2 5 2 2 2" xfId="12419"/>
    <cellStyle name="표준 23 3 6 2 5 2 2 2 2" xfId="12420"/>
    <cellStyle name="표준 23 3 6 2 5 2 2 3" xfId="12421"/>
    <cellStyle name="표준 23 3 6 2 5 2 3" xfId="12422"/>
    <cellStyle name="표준 23 3 6 2 5 2 3 2" xfId="12423"/>
    <cellStyle name="표준 23 3 6 2 5 2 4" xfId="12424"/>
    <cellStyle name="표준 23 3 6 2 5 3" xfId="12425"/>
    <cellStyle name="표준 23 3 6 2 5 3 2" xfId="12426"/>
    <cellStyle name="표준 23 3 6 2 5 3 2 2" xfId="12427"/>
    <cellStyle name="표준 23 3 6 2 5 3 3" xfId="12428"/>
    <cellStyle name="표준 23 3 6 2 5 4" xfId="12429"/>
    <cellStyle name="표준 23 3 6 2 5 4 2" xfId="12430"/>
    <cellStyle name="표준 23 3 6 2 5 5" xfId="12431"/>
    <cellStyle name="표준 23 3 6 2 6" xfId="12432"/>
    <cellStyle name="표준 23 3 6 2 6 2" xfId="12433"/>
    <cellStyle name="표준 23 3 6 2 6 2 2" xfId="12434"/>
    <cellStyle name="표준 23 3 6 2 6 2 2 2" xfId="12435"/>
    <cellStyle name="표준 23 3 6 2 6 2 3" xfId="12436"/>
    <cellStyle name="표준 23 3 6 2 6 3" xfId="12437"/>
    <cellStyle name="표준 23 3 6 2 6 3 2" xfId="12438"/>
    <cellStyle name="표준 23 3 6 2 6 4" xfId="12439"/>
    <cellStyle name="표준 23 3 6 2 7" xfId="12440"/>
    <cellStyle name="표준 23 3 6 2 7 2" xfId="12441"/>
    <cellStyle name="표준 23 3 6 2 7 2 2" xfId="12442"/>
    <cellStyle name="표준 23 3 6 2 7 3" xfId="12443"/>
    <cellStyle name="표준 23 3 6 2 8" xfId="12444"/>
    <cellStyle name="표준 23 3 6 2 8 2" xfId="12445"/>
    <cellStyle name="표준 23 3 6 2 9" xfId="12446"/>
    <cellStyle name="표준 23 3 6 3" xfId="12447"/>
    <cellStyle name="표준 23 3 6 3 2" xfId="12448"/>
    <cellStyle name="표준 23 3 6 3 2 2" xfId="12449"/>
    <cellStyle name="표준 23 3 6 3 2 2 2" xfId="12450"/>
    <cellStyle name="표준 23 3 6 3 2 2 2 2" xfId="12451"/>
    <cellStyle name="표준 23 3 6 3 2 2 2 2 2" xfId="12452"/>
    <cellStyle name="표준 23 3 6 3 2 2 2 2 2 2" xfId="12453"/>
    <cellStyle name="표준 23 3 6 3 2 2 2 2 2 2 2" xfId="12454"/>
    <cellStyle name="표준 23 3 6 3 2 2 2 2 2 3" xfId="12455"/>
    <cellStyle name="표준 23 3 6 3 2 2 2 2 3" xfId="12456"/>
    <cellStyle name="표준 23 3 6 3 2 2 2 2 3 2" xfId="12457"/>
    <cellStyle name="표준 23 3 6 3 2 2 2 2 4" xfId="12458"/>
    <cellStyle name="표준 23 3 6 3 2 2 2 3" xfId="12459"/>
    <cellStyle name="표준 23 3 6 3 2 2 2 3 2" xfId="12460"/>
    <cellStyle name="표준 23 3 6 3 2 2 2 3 2 2" xfId="12461"/>
    <cellStyle name="표준 23 3 6 3 2 2 2 3 3" xfId="12462"/>
    <cellStyle name="표준 23 3 6 3 2 2 2 4" xfId="12463"/>
    <cellStyle name="표준 23 3 6 3 2 2 2 4 2" xfId="12464"/>
    <cellStyle name="표준 23 3 6 3 2 2 2 5" xfId="12465"/>
    <cellStyle name="표준 23 3 6 3 2 2 3" xfId="12466"/>
    <cellStyle name="표준 23 3 6 3 2 2 3 2" xfId="12467"/>
    <cellStyle name="표준 23 3 6 3 2 2 3 2 2" xfId="12468"/>
    <cellStyle name="표준 23 3 6 3 2 2 3 2 2 2" xfId="12469"/>
    <cellStyle name="표준 23 3 6 3 2 2 3 2 3" xfId="12470"/>
    <cellStyle name="표준 23 3 6 3 2 2 3 3" xfId="12471"/>
    <cellStyle name="표준 23 3 6 3 2 2 3 3 2" xfId="12472"/>
    <cellStyle name="표준 23 3 6 3 2 2 3 4" xfId="12473"/>
    <cellStyle name="표준 23 3 6 3 2 2 4" xfId="12474"/>
    <cellStyle name="표준 23 3 6 3 2 2 4 2" xfId="12475"/>
    <cellStyle name="표준 23 3 6 3 2 2 4 2 2" xfId="12476"/>
    <cellStyle name="표준 23 3 6 3 2 2 4 3" xfId="12477"/>
    <cellStyle name="표준 23 3 6 3 2 2 5" xfId="12478"/>
    <cellStyle name="표준 23 3 6 3 2 2 5 2" xfId="12479"/>
    <cellStyle name="표준 23 3 6 3 2 2 6" xfId="12480"/>
    <cellStyle name="표준 23 3 6 3 2 3" xfId="12481"/>
    <cellStyle name="표준 23 3 6 3 2 3 2" xfId="12482"/>
    <cellStyle name="표준 23 3 6 3 2 3 2 2" xfId="12483"/>
    <cellStyle name="표준 23 3 6 3 2 3 2 2 2" xfId="12484"/>
    <cellStyle name="표준 23 3 6 3 2 3 2 2 2 2" xfId="12485"/>
    <cellStyle name="표준 23 3 6 3 2 3 2 2 3" xfId="12486"/>
    <cellStyle name="표준 23 3 6 3 2 3 2 3" xfId="12487"/>
    <cellStyle name="표준 23 3 6 3 2 3 2 3 2" xfId="12488"/>
    <cellStyle name="표준 23 3 6 3 2 3 2 4" xfId="12489"/>
    <cellStyle name="표준 23 3 6 3 2 3 3" xfId="12490"/>
    <cellStyle name="표준 23 3 6 3 2 3 3 2" xfId="12491"/>
    <cellStyle name="표준 23 3 6 3 2 3 3 2 2" xfId="12492"/>
    <cellStyle name="표준 23 3 6 3 2 3 3 3" xfId="12493"/>
    <cellStyle name="표준 23 3 6 3 2 3 4" xfId="12494"/>
    <cellStyle name="표준 23 3 6 3 2 3 4 2" xfId="12495"/>
    <cellStyle name="표준 23 3 6 3 2 3 5" xfId="12496"/>
    <cellStyle name="표준 23 3 6 3 2 4" xfId="12497"/>
    <cellStyle name="표준 23 3 6 3 2 4 2" xfId="12498"/>
    <cellStyle name="표준 23 3 6 3 2 4 2 2" xfId="12499"/>
    <cellStyle name="표준 23 3 6 3 2 4 2 2 2" xfId="12500"/>
    <cellStyle name="표준 23 3 6 3 2 4 2 3" xfId="12501"/>
    <cellStyle name="표준 23 3 6 3 2 4 3" xfId="12502"/>
    <cellStyle name="표준 23 3 6 3 2 4 3 2" xfId="12503"/>
    <cellStyle name="표준 23 3 6 3 2 4 4" xfId="12504"/>
    <cellStyle name="표준 23 3 6 3 2 5" xfId="12505"/>
    <cellStyle name="표준 23 3 6 3 2 5 2" xfId="12506"/>
    <cellStyle name="표준 23 3 6 3 2 5 2 2" xfId="12507"/>
    <cellStyle name="표준 23 3 6 3 2 5 3" xfId="12508"/>
    <cellStyle name="표준 23 3 6 3 2 6" xfId="12509"/>
    <cellStyle name="표준 23 3 6 3 2 6 2" xfId="12510"/>
    <cellStyle name="표준 23 3 6 3 2 7" xfId="12511"/>
    <cellStyle name="표준 23 3 6 3 2 8" xfId="12512"/>
    <cellStyle name="표준 23 3 6 3 3" xfId="12513"/>
    <cellStyle name="표준 23 3 6 3 3 2" xfId="12514"/>
    <cellStyle name="표준 23 3 6 3 3 2 2" xfId="12515"/>
    <cellStyle name="표준 23 3 6 3 3 2 2 2" xfId="12516"/>
    <cellStyle name="표준 23 3 6 3 3 2 2 2 2" xfId="12517"/>
    <cellStyle name="표준 23 3 6 3 3 2 2 2 2 2" xfId="12518"/>
    <cellStyle name="표준 23 3 6 3 3 2 2 2 3" xfId="12519"/>
    <cellStyle name="표준 23 3 6 3 3 2 2 3" xfId="12520"/>
    <cellStyle name="표준 23 3 6 3 3 2 2 3 2" xfId="12521"/>
    <cellStyle name="표준 23 3 6 3 3 2 2 4" xfId="12522"/>
    <cellStyle name="표준 23 3 6 3 3 2 3" xfId="12523"/>
    <cellStyle name="표준 23 3 6 3 3 2 3 2" xfId="12524"/>
    <cellStyle name="표준 23 3 6 3 3 2 3 2 2" xfId="12525"/>
    <cellStyle name="표준 23 3 6 3 3 2 3 3" xfId="12526"/>
    <cellStyle name="표준 23 3 6 3 3 2 4" xfId="12527"/>
    <cellStyle name="표준 23 3 6 3 3 2 4 2" xfId="12528"/>
    <cellStyle name="표준 23 3 6 3 3 2 5" xfId="12529"/>
    <cellStyle name="표준 23 3 6 3 3 3" xfId="12530"/>
    <cellStyle name="표준 23 3 6 3 3 3 2" xfId="12531"/>
    <cellStyle name="표준 23 3 6 3 3 3 2 2" xfId="12532"/>
    <cellStyle name="표준 23 3 6 3 3 3 2 2 2" xfId="12533"/>
    <cellStyle name="표준 23 3 6 3 3 3 2 3" xfId="12534"/>
    <cellStyle name="표준 23 3 6 3 3 3 3" xfId="12535"/>
    <cellStyle name="표준 23 3 6 3 3 3 3 2" xfId="12536"/>
    <cellStyle name="표준 23 3 6 3 3 3 4" xfId="12537"/>
    <cellStyle name="표준 23 3 6 3 3 4" xfId="12538"/>
    <cellStyle name="표준 23 3 6 3 3 4 2" xfId="12539"/>
    <cellStyle name="표준 23 3 6 3 3 4 2 2" xfId="12540"/>
    <cellStyle name="표준 23 3 6 3 3 4 3" xfId="12541"/>
    <cellStyle name="표준 23 3 6 3 3 5" xfId="12542"/>
    <cellStyle name="표준 23 3 6 3 3 5 2" xfId="12543"/>
    <cellStyle name="표준 23 3 6 3 3 6" xfId="12544"/>
    <cellStyle name="표준 23 3 6 3 4" xfId="12545"/>
    <cellStyle name="표준 23 3 6 3 4 2" xfId="12546"/>
    <cellStyle name="표준 23 3 6 3 4 2 2" xfId="12547"/>
    <cellStyle name="표준 23 3 6 3 4 2 2 2" xfId="12548"/>
    <cellStyle name="표준 23 3 6 3 4 2 2 2 2" xfId="12549"/>
    <cellStyle name="표준 23 3 6 3 4 2 2 3" xfId="12550"/>
    <cellStyle name="표준 23 3 6 3 4 2 3" xfId="12551"/>
    <cellStyle name="표준 23 3 6 3 4 2 3 2" xfId="12552"/>
    <cellStyle name="표준 23 3 6 3 4 2 4" xfId="12553"/>
    <cellStyle name="표준 23 3 6 3 4 3" xfId="12554"/>
    <cellStyle name="표준 23 3 6 3 4 3 2" xfId="12555"/>
    <cellStyle name="표준 23 3 6 3 4 3 2 2" xfId="12556"/>
    <cellStyle name="표준 23 3 6 3 4 3 3" xfId="12557"/>
    <cellStyle name="표준 23 3 6 3 4 4" xfId="12558"/>
    <cellStyle name="표준 23 3 6 3 4 4 2" xfId="12559"/>
    <cellStyle name="표준 23 3 6 3 4 5" xfId="12560"/>
    <cellStyle name="표준 23 3 6 3 5" xfId="12561"/>
    <cellStyle name="표준 23 3 6 3 5 2" xfId="12562"/>
    <cellStyle name="표준 23 3 6 3 5 2 2" xfId="12563"/>
    <cellStyle name="표준 23 3 6 3 5 2 2 2" xfId="12564"/>
    <cellStyle name="표준 23 3 6 3 5 2 3" xfId="12565"/>
    <cellStyle name="표준 23 3 6 3 5 3" xfId="12566"/>
    <cellStyle name="표준 23 3 6 3 5 3 2" xfId="12567"/>
    <cellStyle name="표준 23 3 6 3 5 4" xfId="12568"/>
    <cellStyle name="표준 23 3 6 3 6" xfId="12569"/>
    <cellStyle name="표준 23 3 6 3 6 2" xfId="12570"/>
    <cellStyle name="표준 23 3 6 3 6 2 2" xfId="12571"/>
    <cellStyle name="표준 23 3 6 3 6 3" xfId="12572"/>
    <cellStyle name="표준 23 3 6 3 7" xfId="12573"/>
    <cellStyle name="표준 23 3 6 3 7 2" xfId="12574"/>
    <cellStyle name="표준 23 3 6 3 8" xfId="12575"/>
    <cellStyle name="표준 23 3 6 3 9" xfId="12576"/>
    <cellStyle name="표준 23 3 6 4" xfId="12577"/>
    <cellStyle name="표준 23 3 6 4 2" xfId="12578"/>
    <cellStyle name="표준 23 3 6 4 2 2" xfId="12579"/>
    <cellStyle name="표준 23 3 6 4 2 2 2" xfId="12580"/>
    <cellStyle name="표준 23 3 6 4 2 2 2 2" xfId="12581"/>
    <cellStyle name="표준 23 3 6 4 2 2 2 2 2" xfId="12582"/>
    <cellStyle name="표준 23 3 6 4 2 2 2 2 2 2" xfId="12583"/>
    <cellStyle name="표준 23 3 6 4 2 2 2 2 3" xfId="12584"/>
    <cellStyle name="표준 23 3 6 4 2 2 2 3" xfId="12585"/>
    <cellStyle name="표준 23 3 6 4 2 2 2 3 2" xfId="12586"/>
    <cellStyle name="표준 23 3 6 4 2 2 2 4" xfId="12587"/>
    <cellStyle name="표준 23 3 6 4 2 2 3" xfId="12588"/>
    <cellStyle name="표준 23 3 6 4 2 2 3 2" xfId="12589"/>
    <cellStyle name="표준 23 3 6 4 2 2 3 2 2" xfId="12590"/>
    <cellStyle name="표준 23 3 6 4 2 2 3 3" xfId="12591"/>
    <cellStyle name="표준 23 3 6 4 2 2 4" xfId="12592"/>
    <cellStyle name="표준 23 3 6 4 2 2 4 2" xfId="12593"/>
    <cellStyle name="표준 23 3 6 4 2 2 5" xfId="12594"/>
    <cellStyle name="표준 23 3 6 4 2 3" xfId="12595"/>
    <cellStyle name="표준 23 3 6 4 2 3 2" xfId="12596"/>
    <cellStyle name="표준 23 3 6 4 2 3 2 2" xfId="12597"/>
    <cellStyle name="표준 23 3 6 4 2 3 2 2 2" xfId="12598"/>
    <cellStyle name="표준 23 3 6 4 2 3 2 3" xfId="12599"/>
    <cellStyle name="표준 23 3 6 4 2 3 3" xfId="12600"/>
    <cellStyle name="표준 23 3 6 4 2 3 3 2" xfId="12601"/>
    <cellStyle name="표준 23 3 6 4 2 3 4" xfId="12602"/>
    <cellStyle name="표준 23 3 6 4 2 4" xfId="12603"/>
    <cellStyle name="표준 23 3 6 4 2 4 2" xfId="12604"/>
    <cellStyle name="표준 23 3 6 4 2 4 2 2" xfId="12605"/>
    <cellStyle name="표준 23 3 6 4 2 4 3" xfId="12606"/>
    <cellStyle name="표준 23 3 6 4 2 5" xfId="12607"/>
    <cellStyle name="표준 23 3 6 4 2 5 2" xfId="12608"/>
    <cellStyle name="표준 23 3 6 4 2 6" xfId="12609"/>
    <cellStyle name="표준 23 3 6 4 3" xfId="12610"/>
    <cellStyle name="표준 23 3 6 4 3 2" xfId="12611"/>
    <cellStyle name="표준 23 3 6 4 3 2 2" xfId="12612"/>
    <cellStyle name="표준 23 3 6 4 3 2 2 2" xfId="12613"/>
    <cellStyle name="표준 23 3 6 4 3 2 2 2 2" xfId="12614"/>
    <cellStyle name="표준 23 3 6 4 3 2 2 3" xfId="12615"/>
    <cellStyle name="표준 23 3 6 4 3 2 3" xfId="12616"/>
    <cellStyle name="표준 23 3 6 4 3 2 3 2" xfId="12617"/>
    <cellStyle name="표준 23 3 6 4 3 2 4" xfId="12618"/>
    <cellStyle name="표준 23 3 6 4 3 3" xfId="12619"/>
    <cellStyle name="표준 23 3 6 4 3 3 2" xfId="12620"/>
    <cellStyle name="표준 23 3 6 4 3 3 2 2" xfId="12621"/>
    <cellStyle name="표준 23 3 6 4 3 3 3" xfId="12622"/>
    <cellStyle name="표준 23 3 6 4 3 4" xfId="12623"/>
    <cellStyle name="표준 23 3 6 4 3 4 2" xfId="12624"/>
    <cellStyle name="표준 23 3 6 4 3 5" xfId="12625"/>
    <cellStyle name="표준 23 3 6 4 4" xfId="12626"/>
    <cellStyle name="표준 23 3 6 4 4 2" xfId="12627"/>
    <cellStyle name="표준 23 3 6 4 4 2 2" xfId="12628"/>
    <cellStyle name="표준 23 3 6 4 4 2 2 2" xfId="12629"/>
    <cellStyle name="표준 23 3 6 4 4 2 3" xfId="12630"/>
    <cellStyle name="표준 23 3 6 4 4 3" xfId="12631"/>
    <cellStyle name="표준 23 3 6 4 4 3 2" xfId="12632"/>
    <cellStyle name="표준 23 3 6 4 4 4" xfId="12633"/>
    <cellStyle name="표준 23 3 6 4 5" xfId="12634"/>
    <cellStyle name="표준 23 3 6 4 5 2" xfId="12635"/>
    <cellStyle name="표준 23 3 6 4 5 2 2" xfId="12636"/>
    <cellStyle name="표준 23 3 6 4 5 3" xfId="12637"/>
    <cellStyle name="표준 23 3 6 4 6" xfId="12638"/>
    <cellStyle name="표준 23 3 6 4 6 2" xfId="12639"/>
    <cellStyle name="표준 23 3 6 4 7" xfId="12640"/>
    <cellStyle name="표준 23 3 6 4 8" xfId="12641"/>
    <cellStyle name="표준 23 3 6 5" xfId="12642"/>
    <cellStyle name="표준 23 3 6 5 2" xfId="12643"/>
    <cellStyle name="표준 23 3 6 5 2 2" xfId="12644"/>
    <cellStyle name="표준 23 3 6 5 2 2 2" xfId="12645"/>
    <cellStyle name="표준 23 3 6 5 2 2 2 2" xfId="12646"/>
    <cellStyle name="표준 23 3 6 5 2 2 2 2 2" xfId="12647"/>
    <cellStyle name="표준 23 3 6 5 2 2 2 3" xfId="12648"/>
    <cellStyle name="표준 23 3 6 5 2 2 3" xfId="12649"/>
    <cellStyle name="표준 23 3 6 5 2 2 3 2" xfId="12650"/>
    <cellStyle name="표준 23 3 6 5 2 2 4" xfId="12651"/>
    <cellStyle name="표준 23 3 6 5 2 3" xfId="12652"/>
    <cellStyle name="표준 23 3 6 5 2 3 2" xfId="12653"/>
    <cellStyle name="표준 23 3 6 5 2 3 2 2" xfId="12654"/>
    <cellStyle name="표준 23 3 6 5 2 3 3" xfId="12655"/>
    <cellStyle name="표준 23 3 6 5 2 4" xfId="12656"/>
    <cellStyle name="표준 23 3 6 5 2 4 2" xfId="12657"/>
    <cellStyle name="표준 23 3 6 5 2 5" xfId="12658"/>
    <cellStyle name="표준 23 3 6 5 3" xfId="12659"/>
    <cellStyle name="표준 23 3 6 5 3 2" xfId="12660"/>
    <cellStyle name="표준 23 3 6 5 3 2 2" xfId="12661"/>
    <cellStyle name="표준 23 3 6 5 3 2 2 2" xfId="12662"/>
    <cellStyle name="표준 23 3 6 5 3 2 3" xfId="12663"/>
    <cellStyle name="표준 23 3 6 5 3 3" xfId="12664"/>
    <cellStyle name="표준 23 3 6 5 3 3 2" xfId="12665"/>
    <cellStyle name="표준 23 3 6 5 3 4" xfId="12666"/>
    <cellStyle name="표준 23 3 6 5 4" xfId="12667"/>
    <cellStyle name="표준 23 3 6 5 4 2" xfId="12668"/>
    <cellStyle name="표준 23 3 6 5 4 2 2" xfId="12669"/>
    <cellStyle name="표준 23 3 6 5 4 3" xfId="12670"/>
    <cellStyle name="표준 23 3 6 5 5" xfId="12671"/>
    <cellStyle name="표준 23 3 6 5 5 2" xfId="12672"/>
    <cellStyle name="표준 23 3 6 5 6" xfId="12673"/>
    <cellStyle name="표준 23 3 6 6" xfId="12674"/>
    <cellStyle name="표준 23 3 6 6 2" xfId="12675"/>
    <cellStyle name="표준 23 3 6 6 2 2" xfId="12676"/>
    <cellStyle name="표준 23 3 6 6 2 2 2" xfId="12677"/>
    <cellStyle name="표준 23 3 6 6 2 2 2 2" xfId="12678"/>
    <cellStyle name="표준 23 3 6 6 2 2 3" xfId="12679"/>
    <cellStyle name="표준 23 3 6 6 2 3" xfId="12680"/>
    <cellStyle name="표준 23 3 6 6 2 3 2" xfId="12681"/>
    <cellStyle name="표준 23 3 6 6 2 4" xfId="12682"/>
    <cellStyle name="표준 23 3 6 6 3" xfId="12683"/>
    <cellStyle name="표준 23 3 6 6 3 2" xfId="12684"/>
    <cellStyle name="표준 23 3 6 6 3 2 2" xfId="12685"/>
    <cellStyle name="표준 23 3 6 6 3 3" xfId="12686"/>
    <cellStyle name="표준 23 3 6 6 4" xfId="12687"/>
    <cellStyle name="표준 23 3 6 6 4 2" xfId="12688"/>
    <cellStyle name="표준 23 3 6 6 5" xfId="12689"/>
    <cellStyle name="표준 23 3 6 7" xfId="12690"/>
    <cellStyle name="표준 23 3 6 7 2" xfId="12691"/>
    <cellStyle name="표준 23 3 6 7 2 2" xfId="12692"/>
    <cellStyle name="표준 23 3 6 7 2 2 2" xfId="12693"/>
    <cellStyle name="표준 23 3 6 7 2 3" xfId="12694"/>
    <cellStyle name="표준 23 3 6 7 3" xfId="12695"/>
    <cellStyle name="표준 23 3 6 7 3 2" xfId="12696"/>
    <cellStyle name="표준 23 3 6 7 4" xfId="12697"/>
    <cellStyle name="표준 23 3 6 8" xfId="12698"/>
    <cellStyle name="표준 23 3 6 8 2" xfId="12699"/>
    <cellStyle name="표준 23 3 6 8 2 2" xfId="12700"/>
    <cellStyle name="표준 23 3 6 8 3" xfId="12701"/>
    <cellStyle name="표준 23 3 6 9" xfId="12702"/>
    <cellStyle name="표준 23 3 6 9 2" xfId="12703"/>
    <cellStyle name="표준 23 3 7" xfId="12704"/>
    <cellStyle name="표준 23 3 7 10" xfId="12705"/>
    <cellStyle name="표준 23 3 7 2" xfId="12706"/>
    <cellStyle name="표준 23 3 7 2 2" xfId="12707"/>
    <cellStyle name="표준 23 3 7 2 2 2" xfId="12708"/>
    <cellStyle name="표준 23 3 7 2 2 2 2" xfId="12709"/>
    <cellStyle name="표준 23 3 7 2 2 2 2 2" xfId="12710"/>
    <cellStyle name="표준 23 3 7 2 2 2 2 2 2" xfId="12711"/>
    <cellStyle name="표준 23 3 7 2 2 2 2 2 2 2" xfId="12712"/>
    <cellStyle name="표준 23 3 7 2 2 2 2 2 2 2 2" xfId="12713"/>
    <cellStyle name="표준 23 3 7 2 2 2 2 2 2 3" xfId="12714"/>
    <cellStyle name="표준 23 3 7 2 2 2 2 2 3" xfId="12715"/>
    <cellStyle name="표준 23 3 7 2 2 2 2 2 3 2" xfId="12716"/>
    <cellStyle name="표준 23 3 7 2 2 2 2 2 4" xfId="12717"/>
    <cellStyle name="표준 23 3 7 2 2 2 2 3" xfId="12718"/>
    <cellStyle name="표준 23 3 7 2 2 2 2 3 2" xfId="12719"/>
    <cellStyle name="표준 23 3 7 2 2 2 2 3 2 2" xfId="12720"/>
    <cellStyle name="표준 23 3 7 2 2 2 2 3 3" xfId="12721"/>
    <cellStyle name="표준 23 3 7 2 2 2 2 4" xfId="12722"/>
    <cellStyle name="표준 23 3 7 2 2 2 2 4 2" xfId="12723"/>
    <cellStyle name="표준 23 3 7 2 2 2 2 5" xfId="12724"/>
    <cellStyle name="표준 23 3 7 2 2 2 3" xfId="12725"/>
    <cellStyle name="표준 23 3 7 2 2 2 3 2" xfId="12726"/>
    <cellStyle name="표준 23 3 7 2 2 2 3 2 2" xfId="12727"/>
    <cellStyle name="표준 23 3 7 2 2 2 3 2 2 2" xfId="12728"/>
    <cellStyle name="표준 23 3 7 2 2 2 3 2 3" xfId="12729"/>
    <cellStyle name="표준 23 3 7 2 2 2 3 3" xfId="12730"/>
    <cellStyle name="표준 23 3 7 2 2 2 3 3 2" xfId="12731"/>
    <cellStyle name="표준 23 3 7 2 2 2 3 4" xfId="12732"/>
    <cellStyle name="표준 23 3 7 2 2 2 4" xfId="12733"/>
    <cellStyle name="표준 23 3 7 2 2 2 4 2" xfId="12734"/>
    <cellStyle name="표준 23 3 7 2 2 2 4 2 2" xfId="12735"/>
    <cellStyle name="표준 23 3 7 2 2 2 4 3" xfId="12736"/>
    <cellStyle name="표준 23 3 7 2 2 2 5" xfId="12737"/>
    <cellStyle name="표준 23 3 7 2 2 2 5 2" xfId="12738"/>
    <cellStyle name="표준 23 3 7 2 2 2 6" xfId="12739"/>
    <cellStyle name="표준 23 3 7 2 2 3" xfId="12740"/>
    <cellStyle name="표준 23 3 7 2 2 3 2" xfId="12741"/>
    <cellStyle name="표준 23 3 7 2 2 3 2 2" xfId="12742"/>
    <cellStyle name="표준 23 3 7 2 2 3 2 2 2" xfId="12743"/>
    <cellStyle name="표준 23 3 7 2 2 3 2 2 2 2" xfId="12744"/>
    <cellStyle name="표준 23 3 7 2 2 3 2 2 3" xfId="12745"/>
    <cellStyle name="표준 23 3 7 2 2 3 2 3" xfId="12746"/>
    <cellStyle name="표준 23 3 7 2 2 3 2 3 2" xfId="12747"/>
    <cellStyle name="표준 23 3 7 2 2 3 2 4" xfId="12748"/>
    <cellStyle name="표준 23 3 7 2 2 3 3" xfId="12749"/>
    <cellStyle name="표준 23 3 7 2 2 3 3 2" xfId="12750"/>
    <cellStyle name="표준 23 3 7 2 2 3 3 2 2" xfId="12751"/>
    <cellStyle name="표준 23 3 7 2 2 3 3 3" xfId="12752"/>
    <cellStyle name="표준 23 3 7 2 2 3 4" xfId="12753"/>
    <cellStyle name="표준 23 3 7 2 2 3 4 2" xfId="12754"/>
    <cellStyle name="표준 23 3 7 2 2 3 5" xfId="12755"/>
    <cellStyle name="표준 23 3 7 2 2 4" xfId="12756"/>
    <cellStyle name="표준 23 3 7 2 2 4 2" xfId="12757"/>
    <cellStyle name="표준 23 3 7 2 2 4 2 2" xfId="12758"/>
    <cellStyle name="표준 23 3 7 2 2 4 2 2 2" xfId="12759"/>
    <cellStyle name="표준 23 3 7 2 2 4 2 3" xfId="12760"/>
    <cellStyle name="표준 23 3 7 2 2 4 3" xfId="12761"/>
    <cellStyle name="표준 23 3 7 2 2 4 3 2" xfId="12762"/>
    <cellStyle name="표준 23 3 7 2 2 4 4" xfId="12763"/>
    <cellStyle name="표준 23 3 7 2 2 5" xfId="12764"/>
    <cellStyle name="표준 23 3 7 2 2 5 2" xfId="12765"/>
    <cellStyle name="표준 23 3 7 2 2 5 2 2" xfId="12766"/>
    <cellStyle name="표준 23 3 7 2 2 5 3" xfId="12767"/>
    <cellStyle name="표준 23 3 7 2 2 6" xfId="12768"/>
    <cellStyle name="표준 23 3 7 2 2 6 2" xfId="12769"/>
    <cellStyle name="표준 23 3 7 2 2 7" xfId="12770"/>
    <cellStyle name="표준 23 3 7 2 2 8" xfId="12771"/>
    <cellStyle name="표준 23 3 7 2 3" xfId="12772"/>
    <cellStyle name="표준 23 3 7 2 3 2" xfId="12773"/>
    <cellStyle name="표준 23 3 7 2 3 2 2" xfId="12774"/>
    <cellStyle name="표준 23 3 7 2 3 2 2 2" xfId="12775"/>
    <cellStyle name="표준 23 3 7 2 3 2 2 2 2" xfId="12776"/>
    <cellStyle name="표준 23 3 7 2 3 2 2 2 2 2" xfId="12777"/>
    <cellStyle name="표준 23 3 7 2 3 2 2 2 3" xfId="12778"/>
    <cellStyle name="표준 23 3 7 2 3 2 2 3" xfId="12779"/>
    <cellStyle name="표준 23 3 7 2 3 2 2 3 2" xfId="12780"/>
    <cellStyle name="표준 23 3 7 2 3 2 2 4" xfId="12781"/>
    <cellStyle name="표준 23 3 7 2 3 2 3" xfId="12782"/>
    <cellStyle name="표준 23 3 7 2 3 2 3 2" xfId="12783"/>
    <cellStyle name="표준 23 3 7 2 3 2 3 2 2" xfId="12784"/>
    <cellStyle name="표준 23 3 7 2 3 2 3 3" xfId="12785"/>
    <cellStyle name="표준 23 3 7 2 3 2 4" xfId="12786"/>
    <cellStyle name="표준 23 3 7 2 3 2 4 2" xfId="12787"/>
    <cellStyle name="표준 23 3 7 2 3 2 5" xfId="12788"/>
    <cellStyle name="표준 23 3 7 2 3 3" xfId="12789"/>
    <cellStyle name="표준 23 3 7 2 3 3 2" xfId="12790"/>
    <cellStyle name="표준 23 3 7 2 3 3 2 2" xfId="12791"/>
    <cellStyle name="표준 23 3 7 2 3 3 2 2 2" xfId="12792"/>
    <cellStyle name="표준 23 3 7 2 3 3 2 3" xfId="12793"/>
    <cellStyle name="표준 23 3 7 2 3 3 3" xfId="12794"/>
    <cellStyle name="표준 23 3 7 2 3 3 3 2" xfId="12795"/>
    <cellStyle name="표준 23 3 7 2 3 3 4" xfId="12796"/>
    <cellStyle name="표준 23 3 7 2 3 4" xfId="12797"/>
    <cellStyle name="표준 23 3 7 2 3 4 2" xfId="12798"/>
    <cellStyle name="표준 23 3 7 2 3 4 2 2" xfId="12799"/>
    <cellStyle name="표준 23 3 7 2 3 4 3" xfId="12800"/>
    <cellStyle name="표준 23 3 7 2 3 5" xfId="12801"/>
    <cellStyle name="표준 23 3 7 2 3 5 2" xfId="12802"/>
    <cellStyle name="표준 23 3 7 2 3 6" xfId="12803"/>
    <cellStyle name="표준 23 3 7 2 4" xfId="12804"/>
    <cellStyle name="표준 23 3 7 2 4 2" xfId="12805"/>
    <cellStyle name="표준 23 3 7 2 4 2 2" xfId="12806"/>
    <cellStyle name="표준 23 3 7 2 4 2 2 2" xfId="12807"/>
    <cellStyle name="표준 23 3 7 2 4 2 2 2 2" xfId="12808"/>
    <cellStyle name="표준 23 3 7 2 4 2 2 3" xfId="12809"/>
    <cellStyle name="표준 23 3 7 2 4 2 3" xfId="12810"/>
    <cellStyle name="표준 23 3 7 2 4 2 3 2" xfId="12811"/>
    <cellStyle name="표준 23 3 7 2 4 2 4" xfId="12812"/>
    <cellStyle name="표준 23 3 7 2 4 3" xfId="12813"/>
    <cellStyle name="표준 23 3 7 2 4 3 2" xfId="12814"/>
    <cellStyle name="표준 23 3 7 2 4 3 2 2" xfId="12815"/>
    <cellStyle name="표준 23 3 7 2 4 3 3" xfId="12816"/>
    <cellStyle name="표준 23 3 7 2 4 4" xfId="12817"/>
    <cellStyle name="표준 23 3 7 2 4 4 2" xfId="12818"/>
    <cellStyle name="표준 23 3 7 2 4 5" xfId="12819"/>
    <cellStyle name="표준 23 3 7 2 5" xfId="12820"/>
    <cellStyle name="표준 23 3 7 2 5 2" xfId="12821"/>
    <cellStyle name="표준 23 3 7 2 5 2 2" xfId="12822"/>
    <cellStyle name="표준 23 3 7 2 5 2 2 2" xfId="12823"/>
    <cellStyle name="표준 23 3 7 2 5 2 3" xfId="12824"/>
    <cellStyle name="표준 23 3 7 2 5 3" xfId="12825"/>
    <cellStyle name="표준 23 3 7 2 5 3 2" xfId="12826"/>
    <cellStyle name="표준 23 3 7 2 5 4" xfId="12827"/>
    <cellStyle name="표준 23 3 7 2 6" xfId="12828"/>
    <cellStyle name="표준 23 3 7 2 6 2" xfId="12829"/>
    <cellStyle name="표준 23 3 7 2 6 2 2" xfId="12830"/>
    <cellStyle name="표준 23 3 7 2 6 3" xfId="12831"/>
    <cellStyle name="표준 23 3 7 2 7" xfId="12832"/>
    <cellStyle name="표준 23 3 7 2 7 2" xfId="12833"/>
    <cellStyle name="표준 23 3 7 2 8" xfId="12834"/>
    <cellStyle name="표준 23 3 7 2 9" xfId="12835"/>
    <cellStyle name="표준 23 3 7 3" xfId="12836"/>
    <cellStyle name="표준 23 3 7 3 2" xfId="12837"/>
    <cellStyle name="표준 23 3 7 3 2 2" xfId="12838"/>
    <cellStyle name="표준 23 3 7 3 2 2 2" xfId="12839"/>
    <cellStyle name="표준 23 3 7 3 2 2 2 2" xfId="12840"/>
    <cellStyle name="표준 23 3 7 3 2 2 2 2 2" xfId="12841"/>
    <cellStyle name="표준 23 3 7 3 2 2 2 2 2 2" xfId="12842"/>
    <cellStyle name="표준 23 3 7 3 2 2 2 2 3" xfId="12843"/>
    <cellStyle name="표준 23 3 7 3 2 2 2 3" xfId="12844"/>
    <cellStyle name="표준 23 3 7 3 2 2 2 3 2" xfId="12845"/>
    <cellStyle name="표준 23 3 7 3 2 2 2 4" xfId="12846"/>
    <cellStyle name="표준 23 3 7 3 2 2 3" xfId="12847"/>
    <cellStyle name="표준 23 3 7 3 2 2 3 2" xfId="12848"/>
    <cellStyle name="표준 23 3 7 3 2 2 3 2 2" xfId="12849"/>
    <cellStyle name="표준 23 3 7 3 2 2 3 3" xfId="12850"/>
    <cellStyle name="표준 23 3 7 3 2 2 4" xfId="12851"/>
    <cellStyle name="표준 23 3 7 3 2 2 4 2" xfId="12852"/>
    <cellStyle name="표준 23 3 7 3 2 2 5" xfId="12853"/>
    <cellStyle name="표준 23 3 7 3 2 3" xfId="12854"/>
    <cellStyle name="표준 23 3 7 3 2 3 2" xfId="12855"/>
    <cellStyle name="표준 23 3 7 3 2 3 2 2" xfId="12856"/>
    <cellStyle name="표준 23 3 7 3 2 3 2 2 2" xfId="12857"/>
    <cellStyle name="표준 23 3 7 3 2 3 2 3" xfId="12858"/>
    <cellStyle name="표준 23 3 7 3 2 3 3" xfId="12859"/>
    <cellStyle name="표준 23 3 7 3 2 3 3 2" xfId="12860"/>
    <cellStyle name="표준 23 3 7 3 2 3 4" xfId="12861"/>
    <cellStyle name="표준 23 3 7 3 2 4" xfId="12862"/>
    <cellStyle name="표준 23 3 7 3 2 4 2" xfId="12863"/>
    <cellStyle name="표준 23 3 7 3 2 4 2 2" xfId="12864"/>
    <cellStyle name="표준 23 3 7 3 2 4 3" xfId="12865"/>
    <cellStyle name="표준 23 3 7 3 2 5" xfId="12866"/>
    <cellStyle name="표준 23 3 7 3 2 5 2" xfId="12867"/>
    <cellStyle name="표준 23 3 7 3 2 6" xfId="12868"/>
    <cellStyle name="표준 23 3 7 3 3" xfId="12869"/>
    <cellStyle name="표준 23 3 7 3 3 2" xfId="12870"/>
    <cellStyle name="표준 23 3 7 3 3 2 2" xfId="12871"/>
    <cellStyle name="표준 23 3 7 3 3 2 2 2" xfId="12872"/>
    <cellStyle name="표준 23 3 7 3 3 2 2 2 2" xfId="12873"/>
    <cellStyle name="표준 23 3 7 3 3 2 2 3" xfId="12874"/>
    <cellStyle name="표준 23 3 7 3 3 2 3" xfId="12875"/>
    <cellStyle name="표준 23 3 7 3 3 2 3 2" xfId="12876"/>
    <cellStyle name="표준 23 3 7 3 3 2 4" xfId="12877"/>
    <cellStyle name="표준 23 3 7 3 3 3" xfId="12878"/>
    <cellStyle name="표준 23 3 7 3 3 3 2" xfId="12879"/>
    <cellStyle name="표준 23 3 7 3 3 3 2 2" xfId="12880"/>
    <cellStyle name="표준 23 3 7 3 3 3 3" xfId="12881"/>
    <cellStyle name="표준 23 3 7 3 3 4" xfId="12882"/>
    <cellStyle name="표준 23 3 7 3 3 4 2" xfId="12883"/>
    <cellStyle name="표준 23 3 7 3 3 5" xfId="12884"/>
    <cellStyle name="표준 23 3 7 3 4" xfId="12885"/>
    <cellStyle name="표준 23 3 7 3 4 2" xfId="12886"/>
    <cellStyle name="표준 23 3 7 3 4 2 2" xfId="12887"/>
    <cellStyle name="표준 23 3 7 3 4 2 2 2" xfId="12888"/>
    <cellStyle name="표준 23 3 7 3 4 2 3" xfId="12889"/>
    <cellStyle name="표준 23 3 7 3 4 3" xfId="12890"/>
    <cellStyle name="표준 23 3 7 3 4 3 2" xfId="12891"/>
    <cellStyle name="표준 23 3 7 3 4 4" xfId="12892"/>
    <cellStyle name="표준 23 3 7 3 5" xfId="12893"/>
    <cellStyle name="표준 23 3 7 3 5 2" xfId="12894"/>
    <cellStyle name="표준 23 3 7 3 5 2 2" xfId="12895"/>
    <cellStyle name="표준 23 3 7 3 5 3" xfId="12896"/>
    <cellStyle name="표준 23 3 7 3 6" xfId="12897"/>
    <cellStyle name="표준 23 3 7 3 6 2" xfId="12898"/>
    <cellStyle name="표준 23 3 7 3 7" xfId="12899"/>
    <cellStyle name="표준 23 3 7 3 8" xfId="12900"/>
    <cellStyle name="표준 23 3 7 4" xfId="12901"/>
    <cellStyle name="표준 23 3 7 4 2" xfId="12902"/>
    <cellStyle name="표준 23 3 7 4 2 2" xfId="12903"/>
    <cellStyle name="표준 23 3 7 4 2 2 2" xfId="12904"/>
    <cellStyle name="표준 23 3 7 4 2 2 2 2" xfId="12905"/>
    <cellStyle name="표준 23 3 7 4 2 2 2 2 2" xfId="12906"/>
    <cellStyle name="표준 23 3 7 4 2 2 2 3" xfId="12907"/>
    <cellStyle name="표준 23 3 7 4 2 2 3" xfId="12908"/>
    <cellStyle name="표준 23 3 7 4 2 2 3 2" xfId="12909"/>
    <cellStyle name="표준 23 3 7 4 2 2 4" xfId="12910"/>
    <cellStyle name="표준 23 3 7 4 2 3" xfId="12911"/>
    <cellStyle name="표준 23 3 7 4 2 3 2" xfId="12912"/>
    <cellStyle name="표준 23 3 7 4 2 3 2 2" xfId="12913"/>
    <cellStyle name="표준 23 3 7 4 2 3 3" xfId="12914"/>
    <cellStyle name="표준 23 3 7 4 2 4" xfId="12915"/>
    <cellStyle name="표준 23 3 7 4 2 4 2" xfId="12916"/>
    <cellStyle name="표준 23 3 7 4 2 5" xfId="12917"/>
    <cellStyle name="표준 23 3 7 4 3" xfId="12918"/>
    <cellStyle name="표준 23 3 7 4 3 2" xfId="12919"/>
    <cellStyle name="표준 23 3 7 4 3 2 2" xfId="12920"/>
    <cellStyle name="표준 23 3 7 4 3 2 2 2" xfId="12921"/>
    <cellStyle name="표준 23 3 7 4 3 2 3" xfId="12922"/>
    <cellStyle name="표준 23 3 7 4 3 3" xfId="12923"/>
    <cellStyle name="표준 23 3 7 4 3 3 2" xfId="12924"/>
    <cellStyle name="표준 23 3 7 4 3 4" xfId="12925"/>
    <cellStyle name="표준 23 3 7 4 4" xfId="12926"/>
    <cellStyle name="표준 23 3 7 4 4 2" xfId="12927"/>
    <cellStyle name="표준 23 3 7 4 4 2 2" xfId="12928"/>
    <cellStyle name="표준 23 3 7 4 4 3" xfId="12929"/>
    <cellStyle name="표준 23 3 7 4 5" xfId="12930"/>
    <cellStyle name="표준 23 3 7 4 5 2" xfId="12931"/>
    <cellStyle name="표준 23 3 7 4 6" xfId="12932"/>
    <cellStyle name="표준 23 3 7 5" xfId="12933"/>
    <cellStyle name="표준 23 3 7 5 2" xfId="12934"/>
    <cellStyle name="표준 23 3 7 5 2 2" xfId="12935"/>
    <cellStyle name="표준 23 3 7 5 2 2 2" xfId="12936"/>
    <cellStyle name="표준 23 3 7 5 2 2 2 2" xfId="12937"/>
    <cellStyle name="표준 23 3 7 5 2 2 3" xfId="12938"/>
    <cellStyle name="표준 23 3 7 5 2 3" xfId="12939"/>
    <cellStyle name="표준 23 3 7 5 2 3 2" xfId="12940"/>
    <cellStyle name="표준 23 3 7 5 2 4" xfId="12941"/>
    <cellStyle name="표준 23 3 7 5 3" xfId="12942"/>
    <cellStyle name="표준 23 3 7 5 3 2" xfId="12943"/>
    <cellStyle name="표준 23 3 7 5 3 2 2" xfId="12944"/>
    <cellStyle name="표준 23 3 7 5 3 3" xfId="12945"/>
    <cellStyle name="표준 23 3 7 5 4" xfId="12946"/>
    <cellStyle name="표준 23 3 7 5 4 2" xfId="12947"/>
    <cellStyle name="표준 23 3 7 5 5" xfId="12948"/>
    <cellStyle name="표준 23 3 7 6" xfId="12949"/>
    <cellStyle name="표준 23 3 7 6 2" xfId="12950"/>
    <cellStyle name="표준 23 3 7 6 2 2" xfId="12951"/>
    <cellStyle name="표준 23 3 7 6 2 2 2" xfId="12952"/>
    <cellStyle name="표준 23 3 7 6 2 3" xfId="12953"/>
    <cellStyle name="표준 23 3 7 6 3" xfId="12954"/>
    <cellStyle name="표준 23 3 7 6 3 2" xfId="12955"/>
    <cellStyle name="표준 23 3 7 6 4" xfId="12956"/>
    <cellStyle name="표준 23 3 7 7" xfId="12957"/>
    <cellStyle name="표준 23 3 7 7 2" xfId="12958"/>
    <cellStyle name="표준 23 3 7 7 2 2" xfId="12959"/>
    <cellStyle name="표준 23 3 7 7 3" xfId="12960"/>
    <cellStyle name="표준 23 3 7 8" xfId="12961"/>
    <cellStyle name="표준 23 3 7 8 2" xfId="12962"/>
    <cellStyle name="표준 23 3 7 9" xfId="12963"/>
    <cellStyle name="표준 23 3 8" xfId="12964"/>
    <cellStyle name="표준 23 3 8 2" xfId="12965"/>
    <cellStyle name="표준 23 3 8 2 2" xfId="12966"/>
    <cellStyle name="표준 23 3 8 2 2 2" xfId="12967"/>
    <cellStyle name="표준 23 3 8 2 2 2 2" xfId="12968"/>
    <cellStyle name="표준 23 3 8 2 2 2 2 2" xfId="12969"/>
    <cellStyle name="표준 23 3 8 2 2 2 2 2 2" xfId="12970"/>
    <cellStyle name="표준 23 3 8 2 2 2 2 2 2 2" xfId="12971"/>
    <cellStyle name="표준 23 3 8 2 2 2 2 2 3" xfId="12972"/>
    <cellStyle name="표준 23 3 8 2 2 2 2 3" xfId="12973"/>
    <cellStyle name="표준 23 3 8 2 2 2 2 3 2" xfId="12974"/>
    <cellStyle name="표준 23 3 8 2 2 2 2 4" xfId="12975"/>
    <cellStyle name="표준 23 3 8 2 2 2 3" xfId="12976"/>
    <cellStyle name="표준 23 3 8 2 2 2 3 2" xfId="12977"/>
    <cellStyle name="표준 23 3 8 2 2 2 3 2 2" xfId="12978"/>
    <cellStyle name="표준 23 3 8 2 2 2 3 3" xfId="12979"/>
    <cellStyle name="표준 23 3 8 2 2 2 4" xfId="12980"/>
    <cellStyle name="표준 23 3 8 2 2 2 4 2" xfId="12981"/>
    <cellStyle name="표준 23 3 8 2 2 2 5" xfId="12982"/>
    <cellStyle name="표준 23 3 8 2 2 3" xfId="12983"/>
    <cellStyle name="표준 23 3 8 2 2 3 2" xfId="12984"/>
    <cellStyle name="표준 23 3 8 2 2 3 2 2" xfId="12985"/>
    <cellStyle name="표준 23 3 8 2 2 3 2 2 2" xfId="12986"/>
    <cellStyle name="표준 23 3 8 2 2 3 2 3" xfId="12987"/>
    <cellStyle name="표준 23 3 8 2 2 3 3" xfId="12988"/>
    <cellStyle name="표준 23 3 8 2 2 3 3 2" xfId="12989"/>
    <cellStyle name="표준 23 3 8 2 2 3 4" xfId="12990"/>
    <cellStyle name="표준 23 3 8 2 2 4" xfId="12991"/>
    <cellStyle name="표준 23 3 8 2 2 4 2" xfId="12992"/>
    <cellStyle name="표준 23 3 8 2 2 4 2 2" xfId="12993"/>
    <cellStyle name="표준 23 3 8 2 2 4 3" xfId="12994"/>
    <cellStyle name="표준 23 3 8 2 2 5" xfId="12995"/>
    <cellStyle name="표준 23 3 8 2 2 5 2" xfId="12996"/>
    <cellStyle name="표준 23 3 8 2 2 6" xfId="12997"/>
    <cellStyle name="표준 23 3 8 2 3" xfId="12998"/>
    <cellStyle name="표준 23 3 8 2 3 2" xfId="12999"/>
    <cellStyle name="표준 23 3 8 2 3 2 2" xfId="13000"/>
    <cellStyle name="표준 23 3 8 2 3 2 2 2" xfId="13001"/>
    <cellStyle name="표준 23 3 8 2 3 2 2 2 2" xfId="13002"/>
    <cellStyle name="표준 23 3 8 2 3 2 2 3" xfId="13003"/>
    <cellStyle name="표준 23 3 8 2 3 2 3" xfId="13004"/>
    <cellStyle name="표준 23 3 8 2 3 2 3 2" xfId="13005"/>
    <cellStyle name="표준 23 3 8 2 3 2 4" xfId="13006"/>
    <cellStyle name="표준 23 3 8 2 3 3" xfId="13007"/>
    <cellStyle name="표준 23 3 8 2 3 3 2" xfId="13008"/>
    <cellStyle name="표준 23 3 8 2 3 3 2 2" xfId="13009"/>
    <cellStyle name="표준 23 3 8 2 3 3 3" xfId="13010"/>
    <cellStyle name="표준 23 3 8 2 3 4" xfId="13011"/>
    <cellStyle name="표준 23 3 8 2 3 4 2" xfId="13012"/>
    <cellStyle name="표준 23 3 8 2 3 5" xfId="13013"/>
    <cellStyle name="표준 23 3 8 2 4" xfId="13014"/>
    <cellStyle name="표준 23 3 8 2 4 2" xfId="13015"/>
    <cellStyle name="표준 23 3 8 2 4 2 2" xfId="13016"/>
    <cellStyle name="표준 23 3 8 2 4 2 2 2" xfId="13017"/>
    <cellStyle name="표준 23 3 8 2 4 2 3" xfId="13018"/>
    <cellStyle name="표준 23 3 8 2 4 3" xfId="13019"/>
    <cellStyle name="표준 23 3 8 2 4 3 2" xfId="13020"/>
    <cellStyle name="표준 23 3 8 2 4 4" xfId="13021"/>
    <cellStyle name="표준 23 3 8 2 5" xfId="13022"/>
    <cellStyle name="표준 23 3 8 2 5 2" xfId="13023"/>
    <cellStyle name="표준 23 3 8 2 5 2 2" xfId="13024"/>
    <cellStyle name="표준 23 3 8 2 5 3" xfId="13025"/>
    <cellStyle name="표준 23 3 8 2 6" xfId="13026"/>
    <cellStyle name="표준 23 3 8 2 6 2" xfId="13027"/>
    <cellStyle name="표준 23 3 8 2 7" xfId="13028"/>
    <cellStyle name="표준 23 3 8 2 8" xfId="13029"/>
    <cellStyle name="표준 23 3 8 3" xfId="13030"/>
    <cellStyle name="표준 23 3 8 3 2" xfId="13031"/>
    <cellStyle name="표준 23 3 8 3 2 2" xfId="13032"/>
    <cellStyle name="표준 23 3 8 3 2 2 2" xfId="13033"/>
    <cellStyle name="표준 23 3 8 3 2 2 2 2" xfId="13034"/>
    <cellStyle name="표준 23 3 8 3 2 2 2 2 2" xfId="13035"/>
    <cellStyle name="표준 23 3 8 3 2 2 2 3" xfId="13036"/>
    <cellStyle name="표준 23 3 8 3 2 2 3" xfId="13037"/>
    <cellStyle name="표준 23 3 8 3 2 2 3 2" xfId="13038"/>
    <cellStyle name="표준 23 3 8 3 2 2 4" xfId="13039"/>
    <cellStyle name="표준 23 3 8 3 2 3" xfId="13040"/>
    <cellStyle name="표준 23 3 8 3 2 3 2" xfId="13041"/>
    <cellStyle name="표준 23 3 8 3 2 3 2 2" xfId="13042"/>
    <cellStyle name="표준 23 3 8 3 2 3 3" xfId="13043"/>
    <cellStyle name="표준 23 3 8 3 2 4" xfId="13044"/>
    <cellStyle name="표준 23 3 8 3 2 4 2" xfId="13045"/>
    <cellStyle name="표준 23 3 8 3 2 5" xfId="13046"/>
    <cellStyle name="표준 23 3 8 3 3" xfId="13047"/>
    <cellStyle name="표준 23 3 8 3 3 2" xfId="13048"/>
    <cellStyle name="표준 23 3 8 3 3 2 2" xfId="13049"/>
    <cellStyle name="표준 23 3 8 3 3 2 2 2" xfId="13050"/>
    <cellStyle name="표준 23 3 8 3 3 2 3" xfId="13051"/>
    <cellStyle name="표준 23 3 8 3 3 3" xfId="13052"/>
    <cellStyle name="표준 23 3 8 3 3 3 2" xfId="13053"/>
    <cellStyle name="표준 23 3 8 3 3 4" xfId="13054"/>
    <cellStyle name="표준 23 3 8 3 4" xfId="13055"/>
    <cellStyle name="표준 23 3 8 3 4 2" xfId="13056"/>
    <cellStyle name="표준 23 3 8 3 4 2 2" xfId="13057"/>
    <cellStyle name="표준 23 3 8 3 4 3" xfId="13058"/>
    <cellStyle name="표준 23 3 8 3 5" xfId="13059"/>
    <cellStyle name="표준 23 3 8 3 5 2" xfId="13060"/>
    <cellStyle name="표준 23 3 8 3 6" xfId="13061"/>
    <cellStyle name="표준 23 3 8 4" xfId="13062"/>
    <cellStyle name="표준 23 3 8 4 2" xfId="13063"/>
    <cellStyle name="표준 23 3 8 4 2 2" xfId="13064"/>
    <cellStyle name="표준 23 3 8 4 2 2 2" xfId="13065"/>
    <cellStyle name="표준 23 3 8 4 2 2 2 2" xfId="13066"/>
    <cellStyle name="표준 23 3 8 4 2 2 3" xfId="13067"/>
    <cellStyle name="표준 23 3 8 4 2 3" xfId="13068"/>
    <cellStyle name="표준 23 3 8 4 2 3 2" xfId="13069"/>
    <cellStyle name="표준 23 3 8 4 2 4" xfId="13070"/>
    <cellStyle name="표준 23 3 8 4 3" xfId="13071"/>
    <cellStyle name="표준 23 3 8 4 3 2" xfId="13072"/>
    <cellStyle name="표준 23 3 8 4 3 2 2" xfId="13073"/>
    <cellStyle name="표준 23 3 8 4 3 3" xfId="13074"/>
    <cellStyle name="표준 23 3 8 4 4" xfId="13075"/>
    <cellStyle name="표준 23 3 8 4 4 2" xfId="13076"/>
    <cellStyle name="표준 23 3 8 4 5" xfId="13077"/>
    <cellStyle name="표준 23 3 8 5" xfId="13078"/>
    <cellStyle name="표준 23 3 8 5 2" xfId="13079"/>
    <cellStyle name="표준 23 3 8 5 2 2" xfId="13080"/>
    <cellStyle name="표준 23 3 8 5 2 2 2" xfId="13081"/>
    <cellStyle name="표준 23 3 8 5 2 3" xfId="13082"/>
    <cellStyle name="표준 23 3 8 5 3" xfId="13083"/>
    <cellStyle name="표준 23 3 8 5 3 2" xfId="13084"/>
    <cellStyle name="표준 23 3 8 5 4" xfId="13085"/>
    <cellStyle name="표준 23 3 8 6" xfId="13086"/>
    <cellStyle name="표준 23 3 8 6 2" xfId="13087"/>
    <cellStyle name="표준 23 3 8 6 2 2" xfId="13088"/>
    <cellStyle name="표준 23 3 8 6 3" xfId="13089"/>
    <cellStyle name="표준 23 3 8 7" xfId="13090"/>
    <cellStyle name="표준 23 3 8 7 2" xfId="13091"/>
    <cellStyle name="표준 23 3 8 8" xfId="13092"/>
    <cellStyle name="표준 23 3 8 9" xfId="13093"/>
    <cellStyle name="표준 23 3 9" xfId="13094"/>
    <cellStyle name="표준 23 3 9 2" xfId="13095"/>
    <cellStyle name="표준 23 3 9 2 2" xfId="13096"/>
    <cellStyle name="표준 23 3 9 2 2 2" xfId="13097"/>
    <cellStyle name="표준 23 3 9 2 2 2 2" xfId="13098"/>
    <cellStyle name="표준 23 3 9 2 2 2 2 2" xfId="13099"/>
    <cellStyle name="표준 23 3 9 2 2 2 2 2 2" xfId="13100"/>
    <cellStyle name="표준 23 3 9 2 2 2 2 3" xfId="13101"/>
    <cellStyle name="표준 23 3 9 2 2 2 3" xfId="13102"/>
    <cellStyle name="표준 23 3 9 2 2 2 3 2" xfId="13103"/>
    <cellStyle name="표준 23 3 9 2 2 2 4" xfId="13104"/>
    <cellStyle name="표준 23 3 9 2 2 3" xfId="13105"/>
    <cellStyle name="표준 23 3 9 2 2 3 2" xfId="13106"/>
    <cellStyle name="표준 23 3 9 2 2 3 2 2" xfId="13107"/>
    <cellStyle name="표준 23 3 9 2 2 3 3" xfId="13108"/>
    <cellStyle name="표준 23 3 9 2 2 4" xfId="13109"/>
    <cellStyle name="표준 23 3 9 2 2 4 2" xfId="13110"/>
    <cellStyle name="표준 23 3 9 2 2 5" xfId="13111"/>
    <cellStyle name="표준 23 3 9 2 3" xfId="13112"/>
    <cellStyle name="표준 23 3 9 2 3 2" xfId="13113"/>
    <cellStyle name="표준 23 3 9 2 3 2 2" xfId="13114"/>
    <cellStyle name="표준 23 3 9 2 3 2 2 2" xfId="13115"/>
    <cellStyle name="표준 23 3 9 2 3 2 3" xfId="13116"/>
    <cellStyle name="표준 23 3 9 2 3 3" xfId="13117"/>
    <cellStyle name="표준 23 3 9 2 3 3 2" xfId="13118"/>
    <cellStyle name="표준 23 3 9 2 3 4" xfId="13119"/>
    <cellStyle name="표준 23 3 9 2 4" xfId="13120"/>
    <cellStyle name="표준 23 3 9 2 4 2" xfId="13121"/>
    <cellStyle name="표준 23 3 9 2 4 2 2" xfId="13122"/>
    <cellStyle name="표준 23 3 9 2 4 3" xfId="13123"/>
    <cellStyle name="표준 23 3 9 2 5" xfId="13124"/>
    <cellStyle name="표준 23 3 9 2 5 2" xfId="13125"/>
    <cellStyle name="표준 23 3 9 2 6" xfId="13126"/>
    <cellStyle name="표준 23 3 9 3" xfId="13127"/>
    <cellStyle name="표준 23 3 9 3 2" xfId="13128"/>
    <cellStyle name="표준 23 3 9 3 2 2" xfId="13129"/>
    <cellStyle name="표준 23 3 9 3 2 2 2" xfId="13130"/>
    <cellStyle name="표준 23 3 9 3 2 2 2 2" xfId="13131"/>
    <cellStyle name="표준 23 3 9 3 2 2 3" xfId="13132"/>
    <cellStyle name="표준 23 3 9 3 2 3" xfId="13133"/>
    <cellStyle name="표준 23 3 9 3 2 3 2" xfId="13134"/>
    <cellStyle name="표준 23 3 9 3 2 4" xfId="13135"/>
    <cellStyle name="표준 23 3 9 3 3" xfId="13136"/>
    <cellStyle name="표준 23 3 9 3 3 2" xfId="13137"/>
    <cellStyle name="표준 23 3 9 3 3 2 2" xfId="13138"/>
    <cellStyle name="표준 23 3 9 3 3 3" xfId="13139"/>
    <cellStyle name="표준 23 3 9 3 4" xfId="13140"/>
    <cellStyle name="표준 23 3 9 3 4 2" xfId="13141"/>
    <cellStyle name="표준 23 3 9 3 5" xfId="13142"/>
    <cellStyle name="표준 23 3 9 4" xfId="13143"/>
    <cellStyle name="표준 23 3 9 4 2" xfId="13144"/>
    <cellStyle name="표준 23 3 9 4 2 2" xfId="13145"/>
    <cellStyle name="표준 23 3 9 4 2 2 2" xfId="13146"/>
    <cellStyle name="표준 23 3 9 4 2 3" xfId="13147"/>
    <cellStyle name="표준 23 3 9 4 3" xfId="13148"/>
    <cellStyle name="표준 23 3 9 4 3 2" xfId="13149"/>
    <cellStyle name="표준 23 3 9 4 4" xfId="13150"/>
    <cellStyle name="표준 23 3 9 5" xfId="13151"/>
    <cellStyle name="표준 23 3 9 5 2" xfId="13152"/>
    <cellStyle name="표준 23 3 9 5 2 2" xfId="13153"/>
    <cellStyle name="표준 23 3 9 5 3" xfId="13154"/>
    <cellStyle name="표준 23 3 9 6" xfId="13155"/>
    <cellStyle name="표준 23 3 9 6 2" xfId="13156"/>
    <cellStyle name="표준 23 3 9 7" xfId="13157"/>
    <cellStyle name="표준 23 3 9 8" xfId="13158"/>
    <cellStyle name="표준 23 4" xfId="13159"/>
    <cellStyle name="표준 23 4 10" xfId="13160"/>
    <cellStyle name="표준 23 4 11" xfId="13161"/>
    <cellStyle name="표준 23 4 2" xfId="13162"/>
    <cellStyle name="표준 23 4 2 10" xfId="13163"/>
    <cellStyle name="표준 23 4 2 2" xfId="13164"/>
    <cellStyle name="표준 23 4 2 2 2" xfId="13165"/>
    <cellStyle name="표준 23 4 2 2 2 2" xfId="13166"/>
    <cellStyle name="표준 23 4 2 2 2 2 2" xfId="13167"/>
    <cellStyle name="표준 23 4 2 2 2 2 2 2" xfId="13168"/>
    <cellStyle name="표준 23 4 2 2 2 2 2 2 2" xfId="13169"/>
    <cellStyle name="표준 23 4 2 2 2 2 2 2 2 2" xfId="13170"/>
    <cellStyle name="표준 23 4 2 2 2 2 2 2 2 2 2" xfId="13171"/>
    <cellStyle name="표준 23 4 2 2 2 2 2 2 2 3" xfId="13172"/>
    <cellStyle name="표준 23 4 2 2 2 2 2 2 3" xfId="13173"/>
    <cellStyle name="표준 23 4 2 2 2 2 2 2 3 2" xfId="13174"/>
    <cellStyle name="표준 23 4 2 2 2 2 2 2 4" xfId="13175"/>
    <cellStyle name="표준 23 4 2 2 2 2 2 3" xfId="13176"/>
    <cellStyle name="표준 23 4 2 2 2 2 2 3 2" xfId="13177"/>
    <cellStyle name="표준 23 4 2 2 2 2 2 3 2 2" xfId="13178"/>
    <cellStyle name="표준 23 4 2 2 2 2 2 3 3" xfId="13179"/>
    <cellStyle name="표준 23 4 2 2 2 2 2 4" xfId="13180"/>
    <cellStyle name="표준 23 4 2 2 2 2 2 4 2" xfId="13181"/>
    <cellStyle name="표준 23 4 2 2 2 2 2 5" xfId="13182"/>
    <cellStyle name="표준 23 4 2 2 2 2 3" xfId="13183"/>
    <cellStyle name="표준 23 4 2 2 2 2 3 2" xfId="13184"/>
    <cellStyle name="표준 23 4 2 2 2 2 3 2 2" xfId="13185"/>
    <cellStyle name="표준 23 4 2 2 2 2 3 2 2 2" xfId="13186"/>
    <cellStyle name="표준 23 4 2 2 2 2 3 2 3" xfId="13187"/>
    <cellStyle name="표준 23 4 2 2 2 2 3 3" xfId="13188"/>
    <cellStyle name="표준 23 4 2 2 2 2 3 3 2" xfId="13189"/>
    <cellStyle name="표준 23 4 2 2 2 2 3 4" xfId="13190"/>
    <cellStyle name="표준 23 4 2 2 2 2 4" xfId="13191"/>
    <cellStyle name="표준 23 4 2 2 2 2 4 2" xfId="13192"/>
    <cellStyle name="표준 23 4 2 2 2 2 4 2 2" xfId="13193"/>
    <cellStyle name="표준 23 4 2 2 2 2 4 3" xfId="13194"/>
    <cellStyle name="표준 23 4 2 2 2 2 5" xfId="13195"/>
    <cellStyle name="표준 23 4 2 2 2 2 5 2" xfId="13196"/>
    <cellStyle name="표준 23 4 2 2 2 2 6" xfId="13197"/>
    <cellStyle name="표준 23 4 2 2 2 3" xfId="13198"/>
    <cellStyle name="표준 23 4 2 2 2 3 2" xfId="13199"/>
    <cellStyle name="표준 23 4 2 2 2 3 2 2" xfId="13200"/>
    <cellStyle name="표준 23 4 2 2 2 3 2 2 2" xfId="13201"/>
    <cellStyle name="표준 23 4 2 2 2 3 2 2 2 2" xfId="13202"/>
    <cellStyle name="표준 23 4 2 2 2 3 2 2 3" xfId="13203"/>
    <cellStyle name="표준 23 4 2 2 2 3 2 3" xfId="13204"/>
    <cellStyle name="표준 23 4 2 2 2 3 2 3 2" xfId="13205"/>
    <cellStyle name="표준 23 4 2 2 2 3 2 4" xfId="13206"/>
    <cellStyle name="표준 23 4 2 2 2 3 3" xfId="13207"/>
    <cellStyle name="표준 23 4 2 2 2 3 3 2" xfId="13208"/>
    <cellStyle name="표준 23 4 2 2 2 3 3 2 2" xfId="13209"/>
    <cellStyle name="표준 23 4 2 2 2 3 3 3" xfId="13210"/>
    <cellStyle name="표준 23 4 2 2 2 3 4" xfId="13211"/>
    <cellStyle name="표준 23 4 2 2 2 3 4 2" xfId="13212"/>
    <cellStyle name="표준 23 4 2 2 2 3 5" xfId="13213"/>
    <cellStyle name="표준 23 4 2 2 2 4" xfId="13214"/>
    <cellStyle name="표준 23 4 2 2 2 4 2" xfId="13215"/>
    <cellStyle name="표준 23 4 2 2 2 4 2 2" xfId="13216"/>
    <cellStyle name="표준 23 4 2 2 2 4 2 2 2" xfId="13217"/>
    <cellStyle name="표준 23 4 2 2 2 4 2 3" xfId="13218"/>
    <cellStyle name="표준 23 4 2 2 2 4 3" xfId="13219"/>
    <cellStyle name="표준 23 4 2 2 2 4 3 2" xfId="13220"/>
    <cellStyle name="표준 23 4 2 2 2 4 4" xfId="13221"/>
    <cellStyle name="표준 23 4 2 2 2 5" xfId="13222"/>
    <cellStyle name="표준 23 4 2 2 2 5 2" xfId="13223"/>
    <cellStyle name="표준 23 4 2 2 2 5 2 2" xfId="13224"/>
    <cellStyle name="표준 23 4 2 2 2 5 3" xfId="13225"/>
    <cellStyle name="표준 23 4 2 2 2 6" xfId="13226"/>
    <cellStyle name="표준 23 4 2 2 2 6 2" xfId="13227"/>
    <cellStyle name="표준 23 4 2 2 2 7" xfId="13228"/>
    <cellStyle name="표준 23 4 2 2 2 8" xfId="13229"/>
    <cellStyle name="표준 23 4 2 2 3" xfId="13230"/>
    <cellStyle name="표준 23 4 2 2 3 2" xfId="13231"/>
    <cellStyle name="표준 23 4 2 2 3 2 2" xfId="13232"/>
    <cellStyle name="표준 23 4 2 2 3 2 2 2" xfId="13233"/>
    <cellStyle name="표준 23 4 2 2 3 2 2 2 2" xfId="13234"/>
    <cellStyle name="표준 23 4 2 2 3 2 2 2 2 2" xfId="13235"/>
    <cellStyle name="표준 23 4 2 2 3 2 2 2 3" xfId="13236"/>
    <cellStyle name="표준 23 4 2 2 3 2 2 3" xfId="13237"/>
    <cellStyle name="표준 23 4 2 2 3 2 2 3 2" xfId="13238"/>
    <cellStyle name="표준 23 4 2 2 3 2 2 4" xfId="13239"/>
    <cellStyle name="표준 23 4 2 2 3 2 3" xfId="13240"/>
    <cellStyle name="표준 23 4 2 2 3 2 3 2" xfId="13241"/>
    <cellStyle name="표준 23 4 2 2 3 2 3 2 2" xfId="13242"/>
    <cellStyle name="표준 23 4 2 2 3 2 3 3" xfId="13243"/>
    <cellStyle name="표준 23 4 2 2 3 2 4" xfId="13244"/>
    <cellStyle name="표준 23 4 2 2 3 2 4 2" xfId="13245"/>
    <cellStyle name="표준 23 4 2 2 3 2 5" xfId="13246"/>
    <cellStyle name="표준 23 4 2 2 3 3" xfId="13247"/>
    <cellStyle name="표준 23 4 2 2 3 3 2" xfId="13248"/>
    <cellStyle name="표준 23 4 2 2 3 3 2 2" xfId="13249"/>
    <cellStyle name="표준 23 4 2 2 3 3 2 2 2" xfId="13250"/>
    <cellStyle name="표준 23 4 2 2 3 3 2 3" xfId="13251"/>
    <cellStyle name="표준 23 4 2 2 3 3 3" xfId="13252"/>
    <cellStyle name="표준 23 4 2 2 3 3 3 2" xfId="13253"/>
    <cellStyle name="표준 23 4 2 2 3 3 4" xfId="13254"/>
    <cellStyle name="표준 23 4 2 2 3 4" xfId="13255"/>
    <cellStyle name="표준 23 4 2 2 3 4 2" xfId="13256"/>
    <cellStyle name="표준 23 4 2 2 3 4 2 2" xfId="13257"/>
    <cellStyle name="표준 23 4 2 2 3 4 3" xfId="13258"/>
    <cellStyle name="표준 23 4 2 2 3 5" xfId="13259"/>
    <cellStyle name="표준 23 4 2 2 3 5 2" xfId="13260"/>
    <cellStyle name="표준 23 4 2 2 3 6" xfId="13261"/>
    <cellStyle name="표준 23 4 2 2 4" xfId="13262"/>
    <cellStyle name="표준 23 4 2 2 4 2" xfId="13263"/>
    <cellStyle name="표준 23 4 2 2 4 2 2" xfId="13264"/>
    <cellStyle name="표준 23 4 2 2 4 2 2 2" xfId="13265"/>
    <cellStyle name="표준 23 4 2 2 4 2 2 2 2" xfId="13266"/>
    <cellStyle name="표준 23 4 2 2 4 2 2 3" xfId="13267"/>
    <cellStyle name="표준 23 4 2 2 4 2 3" xfId="13268"/>
    <cellStyle name="표준 23 4 2 2 4 2 3 2" xfId="13269"/>
    <cellStyle name="표준 23 4 2 2 4 2 4" xfId="13270"/>
    <cellStyle name="표준 23 4 2 2 4 3" xfId="13271"/>
    <cellStyle name="표준 23 4 2 2 4 3 2" xfId="13272"/>
    <cellStyle name="표준 23 4 2 2 4 3 2 2" xfId="13273"/>
    <cellStyle name="표준 23 4 2 2 4 3 3" xfId="13274"/>
    <cellStyle name="표준 23 4 2 2 4 4" xfId="13275"/>
    <cellStyle name="표준 23 4 2 2 4 4 2" xfId="13276"/>
    <cellStyle name="표준 23 4 2 2 4 5" xfId="13277"/>
    <cellStyle name="표준 23 4 2 2 5" xfId="13278"/>
    <cellStyle name="표준 23 4 2 2 5 2" xfId="13279"/>
    <cellStyle name="표준 23 4 2 2 5 2 2" xfId="13280"/>
    <cellStyle name="표준 23 4 2 2 5 2 2 2" xfId="13281"/>
    <cellStyle name="표준 23 4 2 2 5 2 3" xfId="13282"/>
    <cellStyle name="표준 23 4 2 2 5 3" xfId="13283"/>
    <cellStyle name="표준 23 4 2 2 5 3 2" xfId="13284"/>
    <cellStyle name="표준 23 4 2 2 5 4" xfId="13285"/>
    <cellStyle name="표준 23 4 2 2 6" xfId="13286"/>
    <cellStyle name="표준 23 4 2 2 6 2" xfId="13287"/>
    <cellStyle name="표준 23 4 2 2 6 2 2" xfId="13288"/>
    <cellStyle name="표준 23 4 2 2 6 3" xfId="13289"/>
    <cellStyle name="표준 23 4 2 2 7" xfId="13290"/>
    <cellStyle name="표준 23 4 2 2 7 2" xfId="13291"/>
    <cellStyle name="표준 23 4 2 2 8" xfId="13292"/>
    <cellStyle name="표준 23 4 2 2 9" xfId="13293"/>
    <cellStyle name="표준 23 4 2 3" xfId="13294"/>
    <cellStyle name="표준 23 4 2 3 2" xfId="13295"/>
    <cellStyle name="표준 23 4 2 3 2 2" xfId="13296"/>
    <cellStyle name="표준 23 4 2 3 2 2 2" xfId="13297"/>
    <cellStyle name="표준 23 4 2 3 2 2 2 2" xfId="13298"/>
    <cellStyle name="표준 23 4 2 3 2 2 2 2 2" xfId="13299"/>
    <cellStyle name="표준 23 4 2 3 2 2 2 2 2 2" xfId="13300"/>
    <cellStyle name="표준 23 4 2 3 2 2 2 2 3" xfId="13301"/>
    <cellStyle name="표준 23 4 2 3 2 2 2 3" xfId="13302"/>
    <cellStyle name="표준 23 4 2 3 2 2 2 3 2" xfId="13303"/>
    <cellStyle name="표준 23 4 2 3 2 2 2 4" xfId="13304"/>
    <cellStyle name="표준 23 4 2 3 2 2 3" xfId="13305"/>
    <cellStyle name="표준 23 4 2 3 2 2 3 2" xfId="13306"/>
    <cellStyle name="표준 23 4 2 3 2 2 3 2 2" xfId="13307"/>
    <cellStyle name="표준 23 4 2 3 2 2 3 3" xfId="13308"/>
    <cellStyle name="표준 23 4 2 3 2 2 4" xfId="13309"/>
    <cellStyle name="표준 23 4 2 3 2 2 4 2" xfId="13310"/>
    <cellStyle name="표준 23 4 2 3 2 2 5" xfId="13311"/>
    <cellStyle name="표준 23 4 2 3 2 3" xfId="13312"/>
    <cellStyle name="표준 23 4 2 3 2 3 2" xfId="13313"/>
    <cellStyle name="표준 23 4 2 3 2 3 2 2" xfId="13314"/>
    <cellStyle name="표준 23 4 2 3 2 3 2 2 2" xfId="13315"/>
    <cellStyle name="표준 23 4 2 3 2 3 2 3" xfId="13316"/>
    <cellStyle name="표준 23 4 2 3 2 3 3" xfId="13317"/>
    <cellStyle name="표준 23 4 2 3 2 3 3 2" xfId="13318"/>
    <cellStyle name="표준 23 4 2 3 2 3 4" xfId="13319"/>
    <cellStyle name="표준 23 4 2 3 2 4" xfId="13320"/>
    <cellStyle name="표준 23 4 2 3 2 4 2" xfId="13321"/>
    <cellStyle name="표준 23 4 2 3 2 4 2 2" xfId="13322"/>
    <cellStyle name="표준 23 4 2 3 2 4 3" xfId="13323"/>
    <cellStyle name="표준 23 4 2 3 2 5" xfId="13324"/>
    <cellStyle name="표준 23 4 2 3 2 5 2" xfId="13325"/>
    <cellStyle name="표준 23 4 2 3 2 6" xfId="13326"/>
    <cellStyle name="표준 23 4 2 3 3" xfId="13327"/>
    <cellStyle name="표준 23 4 2 3 3 2" xfId="13328"/>
    <cellStyle name="표준 23 4 2 3 3 2 2" xfId="13329"/>
    <cellStyle name="표준 23 4 2 3 3 2 2 2" xfId="13330"/>
    <cellStyle name="표준 23 4 2 3 3 2 2 2 2" xfId="13331"/>
    <cellStyle name="표준 23 4 2 3 3 2 2 3" xfId="13332"/>
    <cellStyle name="표준 23 4 2 3 3 2 3" xfId="13333"/>
    <cellStyle name="표준 23 4 2 3 3 2 3 2" xfId="13334"/>
    <cellStyle name="표준 23 4 2 3 3 2 4" xfId="13335"/>
    <cellStyle name="표준 23 4 2 3 3 3" xfId="13336"/>
    <cellStyle name="표준 23 4 2 3 3 3 2" xfId="13337"/>
    <cellStyle name="표준 23 4 2 3 3 3 2 2" xfId="13338"/>
    <cellStyle name="표준 23 4 2 3 3 3 3" xfId="13339"/>
    <cellStyle name="표준 23 4 2 3 3 4" xfId="13340"/>
    <cellStyle name="표준 23 4 2 3 3 4 2" xfId="13341"/>
    <cellStyle name="표준 23 4 2 3 3 5" xfId="13342"/>
    <cellStyle name="표준 23 4 2 3 4" xfId="13343"/>
    <cellStyle name="표준 23 4 2 3 4 2" xfId="13344"/>
    <cellStyle name="표준 23 4 2 3 4 2 2" xfId="13345"/>
    <cellStyle name="표준 23 4 2 3 4 2 2 2" xfId="13346"/>
    <cellStyle name="표준 23 4 2 3 4 2 3" xfId="13347"/>
    <cellStyle name="표준 23 4 2 3 4 3" xfId="13348"/>
    <cellStyle name="표준 23 4 2 3 4 3 2" xfId="13349"/>
    <cellStyle name="표준 23 4 2 3 4 4" xfId="13350"/>
    <cellStyle name="표준 23 4 2 3 5" xfId="13351"/>
    <cellStyle name="표준 23 4 2 3 5 2" xfId="13352"/>
    <cellStyle name="표준 23 4 2 3 5 2 2" xfId="13353"/>
    <cellStyle name="표준 23 4 2 3 5 3" xfId="13354"/>
    <cellStyle name="표준 23 4 2 3 6" xfId="13355"/>
    <cellStyle name="표준 23 4 2 3 6 2" xfId="13356"/>
    <cellStyle name="표준 23 4 2 3 7" xfId="13357"/>
    <cellStyle name="표준 23 4 2 3 8" xfId="13358"/>
    <cellStyle name="표준 23 4 2 4" xfId="13359"/>
    <cellStyle name="표준 23 4 2 4 2" xfId="13360"/>
    <cellStyle name="표준 23 4 2 4 2 2" xfId="13361"/>
    <cellStyle name="표준 23 4 2 4 2 2 2" xfId="13362"/>
    <cellStyle name="표준 23 4 2 4 2 2 2 2" xfId="13363"/>
    <cellStyle name="표준 23 4 2 4 2 2 2 2 2" xfId="13364"/>
    <cellStyle name="표준 23 4 2 4 2 2 2 3" xfId="13365"/>
    <cellStyle name="표준 23 4 2 4 2 2 3" xfId="13366"/>
    <cellStyle name="표준 23 4 2 4 2 2 3 2" xfId="13367"/>
    <cellStyle name="표준 23 4 2 4 2 2 4" xfId="13368"/>
    <cellStyle name="표준 23 4 2 4 2 3" xfId="13369"/>
    <cellStyle name="표준 23 4 2 4 2 3 2" xfId="13370"/>
    <cellStyle name="표준 23 4 2 4 2 3 2 2" xfId="13371"/>
    <cellStyle name="표준 23 4 2 4 2 3 3" xfId="13372"/>
    <cellStyle name="표준 23 4 2 4 2 4" xfId="13373"/>
    <cellStyle name="표준 23 4 2 4 2 4 2" xfId="13374"/>
    <cellStyle name="표준 23 4 2 4 2 5" xfId="13375"/>
    <cellStyle name="표준 23 4 2 4 3" xfId="13376"/>
    <cellStyle name="표준 23 4 2 4 3 2" xfId="13377"/>
    <cellStyle name="표준 23 4 2 4 3 2 2" xfId="13378"/>
    <cellStyle name="표준 23 4 2 4 3 2 2 2" xfId="13379"/>
    <cellStyle name="표준 23 4 2 4 3 2 3" xfId="13380"/>
    <cellStyle name="표준 23 4 2 4 3 3" xfId="13381"/>
    <cellStyle name="표준 23 4 2 4 3 3 2" xfId="13382"/>
    <cellStyle name="표준 23 4 2 4 3 4" xfId="13383"/>
    <cellStyle name="표준 23 4 2 4 4" xfId="13384"/>
    <cellStyle name="표준 23 4 2 4 4 2" xfId="13385"/>
    <cellStyle name="표준 23 4 2 4 4 2 2" xfId="13386"/>
    <cellStyle name="표준 23 4 2 4 4 3" xfId="13387"/>
    <cellStyle name="표준 23 4 2 4 5" xfId="13388"/>
    <cellStyle name="표준 23 4 2 4 5 2" xfId="13389"/>
    <cellStyle name="표준 23 4 2 4 6" xfId="13390"/>
    <cellStyle name="표준 23 4 2 5" xfId="13391"/>
    <cellStyle name="표준 23 4 2 5 2" xfId="13392"/>
    <cellStyle name="표준 23 4 2 5 2 2" xfId="13393"/>
    <cellStyle name="표준 23 4 2 5 2 2 2" xfId="13394"/>
    <cellStyle name="표준 23 4 2 5 2 2 2 2" xfId="13395"/>
    <cellStyle name="표준 23 4 2 5 2 2 3" xfId="13396"/>
    <cellStyle name="표준 23 4 2 5 2 3" xfId="13397"/>
    <cellStyle name="표준 23 4 2 5 2 3 2" xfId="13398"/>
    <cellStyle name="표준 23 4 2 5 2 4" xfId="13399"/>
    <cellStyle name="표준 23 4 2 5 3" xfId="13400"/>
    <cellStyle name="표준 23 4 2 5 3 2" xfId="13401"/>
    <cellStyle name="표준 23 4 2 5 3 2 2" xfId="13402"/>
    <cellStyle name="표준 23 4 2 5 3 3" xfId="13403"/>
    <cellStyle name="표준 23 4 2 5 4" xfId="13404"/>
    <cellStyle name="표준 23 4 2 5 4 2" xfId="13405"/>
    <cellStyle name="표준 23 4 2 5 5" xfId="13406"/>
    <cellStyle name="표준 23 4 2 6" xfId="13407"/>
    <cellStyle name="표준 23 4 2 6 2" xfId="13408"/>
    <cellStyle name="표준 23 4 2 6 2 2" xfId="13409"/>
    <cellStyle name="표준 23 4 2 6 2 2 2" xfId="13410"/>
    <cellStyle name="표준 23 4 2 6 2 3" xfId="13411"/>
    <cellStyle name="표준 23 4 2 6 3" xfId="13412"/>
    <cellStyle name="표준 23 4 2 6 3 2" xfId="13413"/>
    <cellStyle name="표준 23 4 2 6 4" xfId="13414"/>
    <cellStyle name="표준 23 4 2 7" xfId="13415"/>
    <cellStyle name="표준 23 4 2 7 2" xfId="13416"/>
    <cellStyle name="표준 23 4 2 7 2 2" xfId="13417"/>
    <cellStyle name="표준 23 4 2 7 3" xfId="13418"/>
    <cellStyle name="표준 23 4 2 8" xfId="13419"/>
    <cellStyle name="표준 23 4 2 8 2" xfId="13420"/>
    <cellStyle name="표준 23 4 2 9" xfId="13421"/>
    <cellStyle name="표준 23 4 3" xfId="13422"/>
    <cellStyle name="표준 23 4 3 2" xfId="13423"/>
    <cellStyle name="표준 23 4 3 2 2" xfId="13424"/>
    <cellStyle name="표준 23 4 3 2 2 2" xfId="13425"/>
    <cellStyle name="표준 23 4 3 2 2 2 2" xfId="13426"/>
    <cellStyle name="표준 23 4 3 2 2 2 2 2" xfId="13427"/>
    <cellStyle name="표준 23 4 3 2 2 2 2 2 2" xfId="13428"/>
    <cellStyle name="표준 23 4 3 2 2 2 2 2 2 2" xfId="13429"/>
    <cellStyle name="표준 23 4 3 2 2 2 2 2 3" xfId="13430"/>
    <cellStyle name="표준 23 4 3 2 2 2 2 3" xfId="13431"/>
    <cellStyle name="표준 23 4 3 2 2 2 2 3 2" xfId="13432"/>
    <cellStyle name="표준 23 4 3 2 2 2 2 4" xfId="13433"/>
    <cellStyle name="표준 23 4 3 2 2 2 3" xfId="13434"/>
    <cellStyle name="표준 23 4 3 2 2 2 3 2" xfId="13435"/>
    <cellStyle name="표준 23 4 3 2 2 2 3 2 2" xfId="13436"/>
    <cellStyle name="표준 23 4 3 2 2 2 3 3" xfId="13437"/>
    <cellStyle name="표준 23 4 3 2 2 2 4" xfId="13438"/>
    <cellStyle name="표준 23 4 3 2 2 2 4 2" xfId="13439"/>
    <cellStyle name="표준 23 4 3 2 2 2 5" xfId="13440"/>
    <cellStyle name="표준 23 4 3 2 2 3" xfId="13441"/>
    <cellStyle name="표준 23 4 3 2 2 3 2" xfId="13442"/>
    <cellStyle name="표준 23 4 3 2 2 3 2 2" xfId="13443"/>
    <cellStyle name="표준 23 4 3 2 2 3 2 2 2" xfId="13444"/>
    <cellStyle name="표준 23 4 3 2 2 3 2 3" xfId="13445"/>
    <cellStyle name="표준 23 4 3 2 2 3 3" xfId="13446"/>
    <cellStyle name="표준 23 4 3 2 2 3 3 2" xfId="13447"/>
    <cellStyle name="표준 23 4 3 2 2 3 4" xfId="13448"/>
    <cellStyle name="표준 23 4 3 2 2 4" xfId="13449"/>
    <cellStyle name="표준 23 4 3 2 2 4 2" xfId="13450"/>
    <cellStyle name="표준 23 4 3 2 2 4 2 2" xfId="13451"/>
    <cellStyle name="표준 23 4 3 2 2 4 3" xfId="13452"/>
    <cellStyle name="표준 23 4 3 2 2 5" xfId="13453"/>
    <cellStyle name="표준 23 4 3 2 2 5 2" xfId="13454"/>
    <cellStyle name="표준 23 4 3 2 2 6" xfId="13455"/>
    <cellStyle name="표준 23 4 3 2 3" xfId="13456"/>
    <cellStyle name="표준 23 4 3 2 3 2" xfId="13457"/>
    <cellStyle name="표준 23 4 3 2 3 2 2" xfId="13458"/>
    <cellStyle name="표준 23 4 3 2 3 2 2 2" xfId="13459"/>
    <cellStyle name="표준 23 4 3 2 3 2 2 2 2" xfId="13460"/>
    <cellStyle name="표준 23 4 3 2 3 2 2 3" xfId="13461"/>
    <cellStyle name="표준 23 4 3 2 3 2 3" xfId="13462"/>
    <cellStyle name="표준 23 4 3 2 3 2 3 2" xfId="13463"/>
    <cellStyle name="표준 23 4 3 2 3 2 4" xfId="13464"/>
    <cellStyle name="표준 23 4 3 2 3 3" xfId="13465"/>
    <cellStyle name="표준 23 4 3 2 3 3 2" xfId="13466"/>
    <cellStyle name="표준 23 4 3 2 3 3 2 2" xfId="13467"/>
    <cellStyle name="표준 23 4 3 2 3 3 3" xfId="13468"/>
    <cellStyle name="표준 23 4 3 2 3 4" xfId="13469"/>
    <cellStyle name="표준 23 4 3 2 3 4 2" xfId="13470"/>
    <cellStyle name="표준 23 4 3 2 3 5" xfId="13471"/>
    <cellStyle name="표준 23 4 3 2 4" xfId="13472"/>
    <cellStyle name="표준 23 4 3 2 4 2" xfId="13473"/>
    <cellStyle name="표준 23 4 3 2 4 2 2" xfId="13474"/>
    <cellStyle name="표준 23 4 3 2 4 2 2 2" xfId="13475"/>
    <cellStyle name="표준 23 4 3 2 4 2 3" xfId="13476"/>
    <cellStyle name="표준 23 4 3 2 4 3" xfId="13477"/>
    <cellStyle name="표준 23 4 3 2 4 3 2" xfId="13478"/>
    <cellStyle name="표준 23 4 3 2 4 4" xfId="13479"/>
    <cellStyle name="표준 23 4 3 2 5" xfId="13480"/>
    <cellStyle name="표준 23 4 3 2 5 2" xfId="13481"/>
    <cellStyle name="표준 23 4 3 2 5 2 2" xfId="13482"/>
    <cellStyle name="표준 23 4 3 2 5 3" xfId="13483"/>
    <cellStyle name="표준 23 4 3 2 6" xfId="13484"/>
    <cellStyle name="표준 23 4 3 2 6 2" xfId="13485"/>
    <cellStyle name="표준 23 4 3 2 7" xfId="13486"/>
    <cellStyle name="표준 23 4 3 2 8" xfId="13487"/>
    <cellStyle name="표준 23 4 3 3" xfId="13488"/>
    <cellStyle name="표준 23 4 3 3 2" xfId="13489"/>
    <cellStyle name="표준 23 4 3 3 2 2" xfId="13490"/>
    <cellStyle name="표준 23 4 3 3 2 2 2" xfId="13491"/>
    <cellStyle name="표준 23 4 3 3 2 2 2 2" xfId="13492"/>
    <cellStyle name="표준 23 4 3 3 2 2 2 2 2" xfId="13493"/>
    <cellStyle name="표준 23 4 3 3 2 2 2 3" xfId="13494"/>
    <cellStyle name="표준 23 4 3 3 2 2 3" xfId="13495"/>
    <cellStyle name="표준 23 4 3 3 2 2 3 2" xfId="13496"/>
    <cellStyle name="표준 23 4 3 3 2 2 4" xfId="13497"/>
    <cellStyle name="표준 23 4 3 3 2 3" xfId="13498"/>
    <cellStyle name="표준 23 4 3 3 2 3 2" xfId="13499"/>
    <cellStyle name="표준 23 4 3 3 2 3 2 2" xfId="13500"/>
    <cellStyle name="표준 23 4 3 3 2 3 3" xfId="13501"/>
    <cellStyle name="표준 23 4 3 3 2 4" xfId="13502"/>
    <cellStyle name="표준 23 4 3 3 2 4 2" xfId="13503"/>
    <cellStyle name="표준 23 4 3 3 2 5" xfId="13504"/>
    <cellStyle name="표준 23 4 3 3 3" xfId="13505"/>
    <cellStyle name="표준 23 4 3 3 3 2" xfId="13506"/>
    <cellStyle name="표준 23 4 3 3 3 2 2" xfId="13507"/>
    <cellStyle name="표준 23 4 3 3 3 2 2 2" xfId="13508"/>
    <cellStyle name="표준 23 4 3 3 3 2 3" xfId="13509"/>
    <cellStyle name="표준 23 4 3 3 3 3" xfId="13510"/>
    <cellStyle name="표준 23 4 3 3 3 3 2" xfId="13511"/>
    <cellStyle name="표준 23 4 3 3 3 4" xfId="13512"/>
    <cellStyle name="표준 23 4 3 3 4" xfId="13513"/>
    <cellStyle name="표준 23 4 3 3 4 2" xfId="13514"/>
    <cellStyle name="표준 23 4 3 3 4 2 2" xfId="13515"/>
    <cellStyle name="표준 23 4 3 3 4 3" xfId="13516"/>
    <cellStyle name="표준 23 4 3 3 5" xfId="13517"/>
    <cellStyle name="표준 23 4 3 3 5 2" xfId="13518"/>
    <cellStyle name="표준 23 4 3 3 6" xfId="13519"/>
    <cellStyle name="표준 23 4 3 4" xfId="13520"/>
    <cellStyle name="표준 23 4 3 4 2" xfId="13521"/>
    <cellStyle name="표준 23 4 3 4 2 2" xfId="13522"/>
    <cellStyle name="표준 23 4 3 4 2 2 2" xfId="13523"/>
    <cellStyle name="표준 23 4 3 4 2 2 2 2" xfId="13524"/>
    <cellStyle name="표준 23 4 3 4 2 2 3" xfId="13525"/>
    <cellStyle name="표준 23 4 3 4 2 3" xfId="13526"/>
    <cellStyle name="표준 23 4 3 4 2 3 2" xfId="13527"/>
    <cellStyle name="표준 23 4 3 4 2 4" xfId="13528"/>
    <cellStyle name="표준 23 4 3 4 3" xfId="13529"/>
    <cellStyle name="표준 23 4 3 4 3 2" xfId="13530"/>
    <cellStyle name="표준 23 4 3 4 3 2 2" xfId="13531"/>
    <cellStyle name="표준 23 4 3 4 3 3" xfId="13532"/>
    <cellStyle name="표준 23 4 3 4 4" xfId="13533"/>
    <cellStyle name="표준 23 4 3 4 4 2" xfId="13534"/>
    <cellStyle name="표준 23 4 3 4 5" xfId="13535"/>
    <cellStyle name="표준 23 4 3 5" xfId="13536"/>
    <cellStyle name="표준 23 4 3 5 2" xfId="13537"/>
    <cellStyle name="표준 23 4 3 5 2 2" xfId="13538"/>
    <cellStyle name="표준 23 4 3 5 2 2 2" xfId="13539"/>
    <cellStyle name="표준 23 4 3 5 2 3" xfId="13540"/>
    <cellStyle name="표준 23 4 3 5 3" xfId="13541"/>
    <cellStyle name="표준 23 4 3 5 3 2" xfId="13542"/>
    <cellStyle name="표준 23 4 3 5 4" xfId="13543"/>
    <cellStyle name="표준 23 4 3 6" xfId="13544"/>
    <cellStyle name="표준 23 4 3 6 2" xfId="13545"/>
    <cellStyle name="표준 23 4 3 6 2 2" xfId="13546"/>
    <cellStyle name="표준 23 4 3 6 3" xfId="13547"/>
    <cellStyle name="표준 23 4 3 7" xfId="13548"/>
    <cellStyle name="표준 23 4 3 7 2" xfId="13549"/>
    <cellStyle name="표준 23 4 3 8" xfId="13550"/>
    <cellStyle name="표준 23 4 3 9" xfId="13551"/>
    <cellStyle name="표준 23 4 4" xfId="13552"/>
    <cellStyle name="표준 23 4 4 2" xfId="13553"/>
    <cellStyle name="표준 23 4 4 2 2" xfId="13554"/>
    <cellStyle name="표준 23 4 4 2 2 2" xfId="13555"/>
    <cellStyle name="표준 23 4 4 2 2 2 2" xfId="13556"/>
    <cellStyle name="표준 23 4 4 2 2 2 2 2" xfId="13557"/>
    <cellStyle name="표준 23 4 4 2 2 2 2 2 2" xfId="13558"/>
    <cellStyle name="표준 23 4 4 2 2 2 2 3" xfId="13559"/>
    <cellStyle name="표준 23 4 4 2 2 2 3" xfId="13560"/>
    <cellStyle name="표준 23 4 4 2 2 2 3 2" xfId="13561"/>
    <cellStyle name="표준 23 4 4 2 2 2 4" xfId="13562"/>
    <cellStyle name="표준 23 4 4 2 2 3" xfId="13563"/>
    <cellStyle name="표준 23 4 4 2 2 3 2" xfId="13564"/>
    <cellStyle name="표준 23 4 4 2 2 3 2 2" xfId="13565"/>
    <cellStyle name="표준 23 4 4 2 2 3 3" xfId="13566"/>
    <cellStyle name="표준 23 4 4 2 2 4" xfId="13567"/>
    <cellStyle name="표준 23 4 4 2 2 4 2" xfId="13568"/>
    <cellStyle name="표준 23 4 4 2 2 5" xfId="13569"/>
    <cellStyle name="표준 23 4 4 2 3" xfId="13570"/>
    <cellStyle name="표준 23 4 4 2 3 2" xfId="13571"/>
    <cellStyle name="표준 23 4 4 2 3 2 2" xfId="13572"/>
    <cellStyle name="표준 23 4 4 2 3 2 2 2" xfId="13573"/>
    <cellStyle name="표준 23 4 4 2 3 2 3" xfId="13574"/>
    <cellStyle name="표준 23 4 4 2 3 3" xfId="13575"/>
    <cellStyle name="표준 23 4 4 2 3 3 2" xfId="13576"/>
    <cellStyle name="표준 23 4 4 2 3 4" xfId="13577"/>
    <cellStyle name="표준 23 4 4 2 4" xfId="13578"/>
    <cellStyle name="표준 23 4 4 2 4 2" xfId="13579"/>
    <cellStyle name="표준 23 4 4 2 4 2 2" xfId="13580"/>
    <cellStyle name="표준 23 4 4 2 4 3" xfId="13581"/>
    <cellStyle name="표준 23 4 4 2 5" xfId="13582"/>
    <cellStyle name="표준 23 4 4 2 5 2" xfId="13583"/>
    <cellStyle name="표준 23 4 4 2 6" xfId="13584"/>
    <cellStyle name="표준 23 4 4 3" xfId="13585"/>
    <cellStyle name="표준 23 4 4 3 2" xfId="13586"/>
    <cellStyle name="표준 23 4 4 3 2 2" xfId="13587"/>
    <cellStyle name="표준 23 4 4 3 2 2 2" xfId="13588"/>
    <cellStyle name="표준 23 4 4 3 2 2 2 2" xfId="13589"/>
    <cellStyle name="표준 23 4 4 3 2 2 3" xfId="13590"/>
    <cellStyle name="표준 23 4 4 3 2 3" xfId="13591"/>
    <cellStyle name="표준 23 4 4 3 2 3 2" xfId="13592"/>
    <cellStyle name="표준 23 4 4 3 2 4" xfId="13593"/>
    <cellStyle name="표준 23 4 4 3 3" xfId="13594"/>
    <cellStyle name="표준 23 4 4 3 3 2" xfId="13595"/>
    <cellStyle name="표준 23 4 4 3 3 2 2" xfId="13596"/>
    <cellStyle name="표준 23 4 4 3 3 3" xfId="13597"/>
    <cellStyle name="표준 23 4 4 3 4" xfId="13598"/>
    <cellStyle name="표준 23 4 4 3 4 2" xfId="13599"/>
    <cellStyle name="표준 23 4 4 3 5" xfId="13600"/>
    <cellStyle name="표준 23 4 4 4" xfId="13601"/>
    <cellStyle name="표준 23 4 4 4 2" xfId="13602"/>
    <cellStyle name="표준 23 4 4 4 2 2" xfId="13603"/>
    <cellStyle name="표준 23 4 4 4 2 2 2" xfId="13604"/>
    <cellStyle name="표준 23 4 4 4 2 3" xfId="13605"/>
    <cellStyle name="표준 23 4 4 4 3" xfId="13606"/>
    <cellStyle name="표준 23 4 4 4 3 2" xfId="13607"/>
    <cellStyle name="표준 23 4 4 4 4" xfId="13608"/>
    <cellStyle name="표준 23 4 4 5" xfId="13609"/>
    <cellStyle name="표준 23 4 4 5 2" xfId="13610"/>
    <cellStyle name="표준 23 4 4 5 2 2" xfId="13611"/>
    <cellStyle name="표준 23 4 4 5 3" xfId="13612"/>
    <cellStyle name="표준 23 4 4 6" xfId="13613"/>
    <cellStyle name="표준 23 4 4 6 2" xfId="13614"/>
    <cellStyle name="표준 23 4 4 7" xfId="13615"/>
    <cellStyle name="표준 23 4 4 8" xfId="13616"/>
    <cellStyle name="표준 23 4 5" xfId="13617"/>
    <cellStyle name="표준 23 4 5 2" xfId="13618"/>
    <cellStyle name="표준 23 4 5 2 2" xfId="13619"/>
    <cellStyle name="표준 23 4 5 2 2 2" xfId="13620"/>
    <cellStyle name="표준 23 4 5 2 2 2 2" xfId="13621"/>
    <cellStyle name="표준 23 4 5 2 2 2 2 2" xfId="13622"/>
    <cellStyle name="표준 23 4 5 2 2 2 3" xfId="13623"/>
    <cellStyle name="표준 23 4 5 2 2 3" xfId="13624"/>
    <cellStyle name="표준 23 4 5 2 2 3 2" xfId="13625"/>
    <cellStyle name="표준 23 4 5 2 2 4" xfId="13626"/>
    <cellStyle name="표준 23 4 5 2 3" xfId="13627"/>
    <cellStyle name="표준 23 4 5 2 3 2" xfId="13628"/>
    <cellStyle name="표준 23 4 5 2 3 2 2" xfId="13629"/>
    <cellStyle name="표준 23 4 5 2 3 3" xfId="13630"/>
    <cellStyle name="표준 23 4 5 2 4" xfId="13631"/>
    <cellStyle name="표준 23 4 5 2 4 2" xfId="13632"/>
    <cellStyle name="표준 23 4 5 2 5" xfId="13633"/>
    <cellStyle name="표준 23 4 5 3" xfId="13634"/>
    <cellStyle name="표준 23 4 5 3 2" xfId="13635"/>
    <cellStyle name="표준 23 4 5 3 2 2" xfId="13636"/>
    <cellStyle name="표준 23 4 5 3 2 2 2" xfId="13637"/>
    <cellStyle name="표준 23 4 5 3 2 3" xfId="13638"/>
    <cellStyle name="표준 23 4 5 3 3" xfId="13639"/>
    <cellStyle name="표준 23 4 5 3 3 2" xfId="13640"/>
    <cellStyle name="표준 23 4 5 3 4" xfId="13641"/>
    <cellStyle name="표준 23 4 5 4" xfId="13642"/>
    <cellStyle name="표준 23 4 5 4 2" xfId="13643"/>
    <cellStyle name="표준 23 4 5 4 2 2" xfId="13644"/>
    <cellStyle name="표준 23 4 5 4 3" xfId="13645"/>
    <cellStyle name="표준 23 4 5 5" xfId="13646"/>
    <cellStyle name="표준 23 4 5 5 2" xfId="13647"/>
    <cellStyle name="표준 23 4 5 6" xfId="13648"/>
    <cellStyle name="표준 23 4 6" xfId="13649"/>
    <cellStyle name="표준 23 4 6 2" xfId="13650"/>
    <cellStyle name="표준 23 4 6 2 2" xfId="13651"/>
    <cellStyle name="표준 23 4 6 2 2 2" xfId="13652"/>
    <cellStyle name="표준 23 4 6 2 2 2 2" xfId="13653"/>
    <cellStyle name="표준 23 4 6 2 2 3" xfId="13654"/>
    <cellStyle name="표준 23 4 6 2 3" xfId="13655"/>
    <cellStyle name="표준 23 4 6 2 3 2" xfId="13656"/>
    <cellStyle name="표준 23 4 6 2 4" xfId="13657"/>
    <cellStyle name="표준 23 4 6 3" xfId="13658"/>
    <cellStyle name="표준 23 4 6 3 2" xfId="13659"/>
    <cellStyle name="표준 23 4 6 3 2 2" xfId="13660"/>
    <cellStyle name="표준 23 4 6 3 3" xfId="13661"/>
    <cellStyle name="표준 23 4 6 4" xfId="13662"/>
    <cellStyle name="표준 23 4 6 4 2" xfId="13663"/>
    <cellStyle name="표준 23 4 6 5" xfId="13664"/>
    <cellStyle name="표준 23 4 7" xfId="13665"/>
    <cellStyle name="표준 23 4 7 2" xfId="13666"/>
    <cellStyle name="표준 23 4 7 2 2" xfId="13667"/>
    <cellStyle name="표준 23 4 7 2 2 2" xfId="13668"/>
    <cellStyle name="표준 23 4 7 2 3" xfId="13669"/>
    <cellStyle name="표준 23 4 7 3" xfId="13670"/>
    <cellStyle name="표준 23 4 7 3 2" xfId="13671"/>
    <cellStyle name="표준 23 4 7 4" xfId="13672"/>
    <cellStyle name="표준 23 4 8" xfId="13673"/>
    <cellStyle name="표준 23 4 8 2" xfId="13674"/>
    <cellStyle name="표준 23 4 8 2 2" xfId="13675"/>
    <cellStyle name="표준 23 4 8 3" xfId="13676"/>
    <cellStyle name="표준 23 4 9" xfId="13677"/>
    <cellStyle name="표준 23 4 9 2" xfId="13678"/>
    <cellStyle name="표준 23 5" xfId="13679"/>
    <cellStyle name="표준 23 5 10" xfId="13680"/>
    <cellStyle name="표준 23 5 11" xfId="13681"/>
    <cellStyle name="표준 23 5 2" xfId="13682"/>
    <cellStyle name="표준 23 5 2 10" xfId="13683"/>
    <cellStyle name="표준 23 5 2 2" xfId="13684"/>
    <cellStyle name="표준 23 5 2 2 2" xfId="13685"/>
    <cellStyle name="표준 23 5 2 2 2 2" xfId="13686"/>
    <cellStyle name="표준 23 5 2 2 2 2 2" xfId="13687"/>
    <cellStyle name="표준 23 5 2 2 2 2 2 2" xfId="13688"/>
    <cellStyle name="표준 23 5 2 2 2 2 2 2 2" xfId="13689"/>
    <cellStyle name="표준 23 5 2 2 2 2 2 2 2 2" xfId="13690"/>
    <cellStyle name="표준 23 5 2 2 2 2 2 2 2 2 2" xfId="13691"/>
    <cellStyle name="표준 23 5 2 2 2 2 2 2 2 3" xfId="13692"/>
    <cellStyle name="표준 23 5 2 2 2 2 2 2 3" xfId="13693"/>
    <cellStyle name="표준 23 5 2 2 2 2 2 2 3 2" xfId="13694"/>
    <cellStyle name="표준 23 5 2 2 2 2 2 2 4" xfId="13695"/>
    <cellStyle name="표준 23 5 2 2 2 2 2 3" xfId="13696"/>
    <cellStyle name="표준 23 5 2 2 2 2 2 3 2" xfId="13697"/>
    <cellStyle name="표준 23 5 2 2 2 2 2 3 2 2" xfId="13698"/>
    <cellStyle name="표준 23 5 2 2 2 2 2 3 3" xfId="13699"/>
    <cellStyle name="표준 23 5 2 2 2 2 2 4" xfId="13700"/>
    <cellStyle name="표준 23 5 2 2 2 2 2 4 2" xfId="13701"/>
    <cellStyle name="표준 23 5 2 2 2 2 2 5" xfId="13702"/>
    <cellStyle name="표준 23 5 2 2 2 2 3" xfId="13703"/>
    <cellStyle name="표준 23 5 2 2 2 2 3 2" xfId="13704"/>
    <cellStyle name="표준 23 5 2 2 2 2 3 2 2" xfId="13705"/>
    <cellStyle name="표준 23 5 2 2 2 2 3 2 2 2" xfId="13706"/>
    <cellStyle name="표준 23 5 2 2 2 2 3 2 3" xfId="13707"/>
    <cellStyle name="표준 23 5 2 2 2 2 3 3" xfId="13708"/>
    <cellStyle name="표준 23 5 2 2 2 2 3 3 2" xfId="13709"/>
    <cellStyle name="표준 23 5 2 2 2 2 3 4" xfId="13710"/>
    <cellStyle name="표준 23 5 2 2 2 2 4" xfId="13711"/>
    <cellStyle name="표준 23 5 2 2 2 2 4 2" xfId="13712"/>
    <cellStyle name="표준 23 5 2 2 2 2 4 2 2" xfId="13713"/>
    <cellStyle name="표준 23 5 2 2 2 2 4 3" xfId="13714"/>
    <cellStyle name="표준 23 5 2 2 2 2 5" xfId="13715"/>
    <cellStyle name="표준 23 5 2 2 2 2 5 2" xfId="13716"/>
    <cellStyle name="표준 23 5 2 2 2 2 6" xfId="13717"/>
    <cellStyle name="표준 23 5 2 2 2 3" xfId="13718"/>
    <cellStyle name="표준 23 5 2 2 2 3 2" xfId="13719"/>
    <cellStyle name="표준 23 5 2 2 2 3 2 2" xfId="13720"/>
    <cellStyle name="표준 23 5 2 2 2 3 2 2 2" xfId="13721"/>
    <cellStyle name="표준 23 5 2 2 2 3 2 2 2 2" xfId="13722"/>
    <cellStyle name="표준 23 5 2 2 2 3 2 2 3" xfId="13723"/>
    <cellStyle name="표준 23 5 2 2 2 3 2 3" xfId="13724"/>
    <cellStyle name="표준 23 5 2 2 2 3 2 3 2" xfId="13725"/>
    <cellStyle name="표준 23 5 2 2 2 3 2 4" xfId="13726"/>
    <cellStyle name="표준 23 5 2 2 2 3 3" xfId="13727"/>
    <cellStyle name="표준 23 5 2 2 2 3 3 2" xfId="13728"/>
    <cellStyle name="표준 23 5 2 2 2 3 3 2 2" xfId="13729"/>
    <cellStyle name="표준 23 5 2 2 2 3 3 3" xfId="13730"/>
    <cellStyle name="표준 23 5 2 2 2 3 4" xfId="13731"/>
    <cellStyle name="표준 23 5 2 2 2 3 4 2" xfId="13732"/>
    <cellStyle name="표준 23 5 2 2 2 3 5" xfId="13733"/>
    <cellStyle name="표준 23 5 2 2 2 4" xfId="13734"/>
    <cellStyle name="표준 23 5 2 2 2 4 2" xfId="13735"/>
    <cellStyle name="표준 23 5 2 2 2 4 2 2" xfId="13736"/>
    <cellStyle name="표준 23 5 2 2 2 4 2 2 2" xfId="13737"/>
    <cellStyle name="표준 23 5 2 2 2 4 2 3" xfId="13738"/>
    <cellStyle name="표준 23 5 2 2 2 4 3" xfId="13739"/>
    <cellStyle name="표준 23 5 2 2 2 4 3 2" xfId="13740"/>
    <cellStyle name="표준 23 5 2 2 2 4 4" xfId="13741"/>
    <cellStyle name="표준 23 5 2 2 2 5" xfId="13742"/>
    <cellStyle name="표준 23 5 2 2 2 5 2" xfId="13743"/>
    <cellStyle name="표준 23 5 2 2 2 5 2 2" xfId="13744"/>
    <cellStyle name="표준 23 5 2 2 2 5 3" xfId="13745"/>
    <cellStyle name="표준 23 5 2 2 2 6" xfId="13746"/>
    <cellStyle name="표준 23 5 2 2 2 6 2" xfId="13747"/>
    <cellStyle name="표준 23 5 2 2 2 7" xfId="13748"/>
    <cellStyle name="표준 23 5 2 2 2 8" xfId="13749"/>
    <cellStyle name="표준 23 5 2 2 3" xfId="13750"/>
    <cellStyle name="표준 23 5 2 2 3 2" xfId="13751"/>
    <cellStyle name="표준 23 5 2 2 3 2 2" xfId="13752"/>
    <cellStyle name="표준 23 5 2 2 3 2 2 2" xfId="13753"/>
    <cellStyle name="표준 23 5 2 2 3 2 2 2 2" xfId="13754"/>
    <cellStyle name="표준 23 5 2 2 3 2 2 2 2 2" xfId="13755"/>
    <cellStyle name="표준 23 5 2 2 3 2 2 2 3" xfId="13756"/>
    <cellStyle name="표준 23 5 2 2 3 2 2 3" xfId="13757"/>
    <cellStyle name="표준 23 5 2 2 3 2 2 3 2" xfId="13758"/>
    <cellStyle name="표준 23 5 2 2 3 2 2 4" xfId="13759"/>
    <cellStyle name="표준 23 5 2 2 3 2 3" xfId="13760"/>
    <cellStyle name="표준 23 5 2 2 3 2 3 2" xfId="13761"/>
    <cellStyle name="표준 23 5 2 2 3 2 3 2 2" xfId="13762"/>
    <cellStyle name="표준 23 5 2 2 3 2 3 3" xfId="13763"/>
    <cellStyle name="표준 23 5 2 2 3 2 4" xfId="13764"/>
    <cellStyle name="표준 23 5 2 2 3 2 4 2" xfId="13765"/>
    <cellStyle name="표준 23 5 2 2 3 2 5" xfId="13766"/>
    <cellStyle name="표준 23 5 2 2 3 3" xfId="13767"/>
    <cellStyle name="표준 23 5 2 2 3 3 2" xfId="13768"/>
    <cellStyle name="표준 23 5 2 2 3 3 2 2" xfId="13769"/>
    <cellStyle name="표준 23 5 2 2 3 3 2 2 2" xfId="13770"/>
    <cellStyle name="표준 23 5 2 2 3 3 2 3" xfId="13771"/>
    <cellStyle name="표준 23 5 2 2 3 3 3" xfId="13772"/>
    <cellStyle name="표준 23 5 2 2 3 3 3 2" xfId="13773"/>
    <cellStyle name="표준 23 5 2 2 3 3 4" xfId="13774"/>
    <cellStyle name="표준 23 5 2 2 3 4" xfId="13775"/>
    <cellStyle name="표준 23 5 2 2 3 4 2" xfId="13776"/>
    <cellStyle name="표준 23 5 2 2 3 4 2 2" xfId="13777"/>
    <cellStyle name="표준 23 5 2 2 3 4 3" xfId="13778"/>
    <cellStyle name="표준 23 5 2 2 3 5" xfId="13779"/>
    <cellStyle name="표준 23 5 2 2 3 5 2" xfId="13780"/>
    <cellStyle name="표준 23 5 2 2 3 6" xfId="13781"/>
    <cellStyle name="표준 23 5 2 2 4" xfId="13782"/>
    <cellStyle name="표준 23 5 2 2 4 2" xfId="13783"/>
    <cellStyle name="표준 23 5 2 2 4 2 2" xfId="13784"/>
    <cellStyle name="표준 23 5 2 2 4 2 2 2" xfId="13785"/>
    <cellStyle name="표준 23 5 2 2 4 2 2 2 2" xfId="13786"/>
    <cellStyle name="표준 23 5 2 2 4 2 2 3" xfId="13787"/>
    <cellStyle name="표준 23 5 2 2 4 2 3" xfId="13788"/>
    <cellStyle name="표준 23 5 2 2 4 2 3 2" xfId="13789"/>
    <cellStyle name="표준 23 5 2 2 4 2 4" xfId="13790"/>
    <cellStyle name="표준 23 5 2 2 4 3" xfId="13791"/>
    <cellStyle name="표준 23 5 2 2 4 3 2" xfId="13792"/>
    <cellStyle name="표준 23 5 2 2 4 3 2 2" xfId="13793"/>
    <cellStyle name="표준 23 5 2 2 4 3 3" xfId="13794"/>
    <cellStyle name="표준 23 5 2 2 4 4" xfId="13795"/>
    <cellStyle name="표준 23 5 2 2 4 4 2" xfId="13796"/>
    <cellStyle name="표준 23 5 2 2 4 5" xfId="13797"/>
    <cellStyle name="표준 23 5 2 2 5" xfId="13798"/>
    <cellStyle name="표준 23 5 2 2 5 2" xfId="13799"/>
    <cellStyle name="표준 23 5 2 2 5 2 2" xfId="13800"/>
    <cellStyle name="표준 23 5 2 2 5 2 2 2" xfId="13801"/>
    <cellStyle name="표준 23 5 2 2 5 2 3" xfId="13802"/>
    <cellStyle name="표준 23 5 2 2 5 3" xfId="13803"/>
    <cellStyle name="표준 23 5 2 2 5 3 2" xfId="13804"/>
    <cellStyle name="표준 23 5 2 2 5 4" xfId="13805"/>
    <cellStyle name="표준 23 5 2 2 6" xfId="13806"/>
    <cellStyle name="표준 23 5 2 2 6 2" xfId="13807"/>
    <cellStyle name="표준 23 5 2 2 6 2 2" xfId="13808"/>
    <cellStyle name="표준 23 5 2 2 6 3" xfId="13809"/>
    <cellStyle name="표준 23 5 2 2 7" xfId="13810"/>
    <cellStyle name="표준 23 5 2 2 7 2" xfId="13811"/>
    <cellStyle name="표준 23 5 2 2 8" xfId="13812"/>
    <cellStyle name="표준 23 5 2 2 9" xfId="13813"/>
    <cellStyle name="표준 23 5 2 3" xfId="13814"/>
    <cellStyle name="표준 23 5 2 3 2" xfId="13815"/>
    <cellStyle name="표준 23 5 2 3 2 2" xfId="13816"/>
    <cellStyle name="표준 23 5 2 3 2 2 2" xfId="13817"/>
    <cellStyle name="표준 23 5 2 3 2 2 2 2" xfId="13818"/>
    <cellStyle name="표준 23 5 2 3 2 2 2 2 2" xfId="13819"/>
    <cellStyle name="표준 23 5 2 3 2 2 2 2 2 2" xfId="13820"/>
    <cellStyle name="표준 23 5 2 3 2 2 2 2 3" xfId="13821"/>
    <cellStyle name="표준 23 5 2 3 2 2 2 3" xfId="13822"/>
    <cellStyle name="표준 23 5 2 3 2 2 2 3 2" xfId="13823"/>
    <cellStyle name="표준 23 5 2 3 2 2 2 4" xfId="13824"/>
    <cellStyle name="표준 23 5 2 3 2 2 3" xfId="13825"/>
    <cellStyle name="표준 23 5 2 3 2 2 3 2" xfId="13826"/>
    <cellStyle name="표준 23 5 2 3 2 2 3 2 2" xfId="13827"/>
    <cellStyle name="표준 23 5 2 3 2 2 3 3" xfId="13828"/>
    <cellStyle name="표준 23 5 2 3 2 2 4" xfId="13829"/>
    <cellStyle name="표준 23 5 2 3 2 2 4 2" xfId="13830"/>
    <cellStyle name="표준 23 5 2 3 2 2 5" xfId="13831"/>
    <cellStyle name="표준 23 5 2 3 2 3" xfId="13832"/>
    <cellStyle name="표준 23 5 2 3 2 3 2" xfId="13833"/>
    <cellStyle name="표준 23 5 2 3 2 3 2 2" xfId="13834"/>
    <cellStyle name="표준 23 5 2 3 2 3 2 2 2" xfId="13835"/>
    <cellStyle name="표준 23 5 2 3 2 3 2 3" xfId="13836"/>
    <cellStyle name="표준 23 5 2 3 2 3 3" xfId="13837"/>
    <cellStyle name="표준 23 5 2 3 2 3 3 2" xfId="13838"/>
    <cellStyle name="표준 23 5 2 3 2 3 4" xfId="13839"/>
    <cellStyle name="표준 23 5 2 3 2 4" xfId="13840"/>
    <cellStyle name="표준 23 5 2 3 2 4 2" xfId="13841"/>
    <cellStyle name="표준 23 5 2 3 2 4 2 2" xfId="13842"/>
    <cellStyle name="표준 23 5 2 3 2 4 3" xfId="13843"/>
    <cellStyle name="표준 23 5 2 3 2 5" xfId="13844"/>
    <cellStyle name="표준 23 5 2 3 2 5 2" xfId="13845"/>
    <cellStyle name="표준 23 5 2 3 2 6" xfId="13846"/>
    <cellStyle name="표준 23 5 2 3 3" xfId="13847"/>
    <cellStyle name="표준 23 5 2 3 3 2" xfId="13848"/>
    <cellStyle name="표준 23 5 2 3 3 2 2" xfId="13849"/>
    <cellStyle name="표준 23 5 2 3 3 2 2 2" xfId="13850"/>
    <cellStyle name="표준 23 5 2 3 3 2 2 2 2" xfId="13851"/>
    <cellStyle name="표준 23 5 2 3 3 2 2 3" xfId="13852"/>
    <cellStyle name="표준 23 5 2 3 3 2 3" xfId="13853"/>
    <cellStyle name="표준 23 5 2 3 3 2 3 2" xfId="13854"/>
    <cellStyle name="표준 23 5 2 3 3 2 4" xfId="13855"/>
    <cellStyle name="표준 23 5 2 3 3 3" xfId="13856"/>
    <cellStyle name="표준 23 5 2 3 3 3 2" xfId="13857"/>
    <cellStyle name="표준 23 5 2 3 3 3 2 2" xfId="13858"/>
    <cellStyle name="표준 23 5 2 3 3 3 3" xfId="13859"/>
    <cellStyle name="표준 23 5 2 3 3 4" xfId="13860"/>
    <cellStyle name="표준 23 5 2 3 3 4 2" xfId="13861"/>
    <cellStyle name="표준 23 5 2 3 3 5" xfId="13862"/>
    <cellStyle name="표준 23 5 2 3 4" xfId="13863"/>
    <cellStyle name="표준 23 5 2 3 4 2" xfId="13864"/>
    <cellStyle name="표준 23 5 2 3 4 2 2" xfId="13865"/>
    <cellStyle name="표준 23 5 2 3 4 2 2 2" xfId="13866"/>
    <cellStyle name="표준 23 5 2 3 4 2 3" xfId="13867"/>
    <cellStyle name="표준 23 5 2 3 4 3" xfId="13868"/>
    <cellStyle name="표준 23 5 2 3 4 3 2" xfId="13869"/>
    <cellStyle name="표준 23 5 2 3 4 4" xfId="13870"/>
    <cellStyle name="표준 23 5 2 3 5" xfId="13871"/>
    <cellStyle name="표준 23 5 2 3 5 2" xfId="13872"/>
    <cellStyle name="표준 23 5 2 3 5 2 2" xfId="13873"/>
    <cellStyle name="표준 23 5 2 3 5 3" xfId="13874"/>
    <cellStyle name="표준 23 5 2 3 6" xfId="13875"/>
    <cellStyle name="표준 23 5 2 3 6 2" xfId="13876"/>
    <cellStyle name="표준 23 5 2 3 7" xfId="13877"/>
    <cellStyle name="표준 23 5 2 3 8" xfId="13878"/>
    <cellStyle name="표준 23 5 2 4" xfId="13879"/>
    <cellStyle name="표준 23 5 2 4 2" xfId="13880"/>
    <cellStyle name="표준 23 5 2 4 2 2" xfId="13881"/>
    <cellStyle name="표준 23 5 2 4 2 2 2" xfId="13882"/>
    <cellStyle name="표준 23 5 2 4 2 2 2 2" xfId="13883"/>
    <cellStyle name="표준 23 5 2 4 2 2 2 2 2" xfId="13884"/>
    <cellStyle name="표준 23 5 2 4 2 2 2 3" xfId="13885"/>
    <cellStyle name="표준 23 5 2 4 2 2 3" xfId="13886"/>
    <cellStyle name="표준 23 5 2 4 2 2 3 2" xfId="13887"/>
    <cellStyle name="표준 23 5 2 4 2 2 4" xfId="13888"/>
    <cellStyle name="표준 23 5 2 4 2 3" xfId="13889"/>
    <cellStyle name="표준 23 5 2 4 2 3 2" xfId="13890"/>
    <cellStyle name="표준 23 5 2 4 2 3 2 2" xfId="13891"/>
    <cellStyle name="표준 23 5 2 4 2 3 3" xfId="13892"/>
    <cellStyle name="표준 23 5 2 4 2 4" xfId="13893"/>
    <cellStyle name="표준 23 5 2 4 2 4 2" xfId="13894"/>
    <cellStyle name="표준 23 5 2 4 2 5" xfId="13895"/>
    <cellStyle name="표준 23 5 2 4 3" xfId="13896"/>
    <cellStyle name="표준 23 5 2 4 3 2" xfId="13897"/>
    <cellStyle name="표준 23 5 2 4 3 2 2" xfId="13898"/>
    <cellStyle name="표준 23 5 2 4 3 2 2 2" xfId="13899"/>
    <cellStyle name="표준 23 5 2 4 3 2 3" xfId="13900"/>
    <cellStyle name="표준 23 5 2 4 3 3" xfId="13901"/>
    <cellStyle name="표준 23 5 2 4 3 3 2" xfId="13902"/>
    <cellStyle name="표준 23 5 2 4 3 4" xfId="13903"/>
    <cellStyle name="표준 23 5 2 4 4" xfId="13904"/>
    <cellStyle name="표준 23 5 2 4 4 2" xfId="13905"/>
    <cellStyle name="표준 23 5 2 4 4 2 2" xfId="13906"/>
    <cellStyle name="표준 23 5 2 4 4 3" xfId="13907"/>
    <cellStyle name="표준 23 5 2 4 5" xfId="13908"/>
    <cellStyle name="표준 23 5 2 4 5 2" xfId="13909"/>
    <cellStyle name="표준 23 5 2 4 6" xfId="13910"/>
    <cellStyle name="표준 23 5 2 5" xfId="13911"/>
    <cellStyle name="표준 23 5 2 5 2" xfId="13912"/>
    <cellStyle name="표준 23 5 2 5 2 2" xfId="13913"/>
    <cellStyle name="표준 23 5 2 5 2 2 2" xfId="13914"/>
    <cellStyle name="표준 23 5 2 5 2 2 2 2" xfId="13915"/>
    <cellStyle name="표준 23 5 2 5 2 2 3" xfId="13916"/>
    <cellStyle name="표준 23 5 2 5 2 3" xfId="13917"/>
    <cellStyle name="표준 23 5 2 5 2 3 2" xfId="13918"/>
    <cellStyle name="표준 23 5 2 5 2 4" xfId="13919"/>
    <cellStyle name="표준 23 5 2 5 3" xfId="13920"/>
    <cellStyle name="표준 23 5 2 5 3 2" xfId="13921"/>
    <cellStyle name="표준 23 5 2 5 3 2 2" xfId="13922"/>
    <cellStyle name="표준 23 5 2 5 3 3" xfId="13923"/>
    <cellStyle name="표준 23 5 2 5 4" xfId="13924"/>
    <cellStyle name="표준 23 5 2 5 4 2" xfId="13925"/>
    <cellStyle name="표준 23 5 2 5 5" xfId="13926"/>
    <cellStyle name="표준 23 5 2 6" xfId="13927"/>
    <cellStyle name="표준 23 5 2 6 2" xfId="13928"/>
    <cellStyle name="표준 23 5 2 6 2 2" xfId="13929"/>
    <cellStyle name="표준 23 5 2 6 2 2 2" xfId="13930"/>
    <cellStyle name="표준 23 5 2 6 2 3" xfId="13931"/>
    <cellStyle name="표준 23 5 2 6 3" xfId="13932"/>
    <cellStyle name="표준 23 5 2 6 3 2" xfId="13933"/>
    <cellStyle name="표준 23 5 2 6 4" xfId="13934"/>
    <cellStyle name="표준 23 5 2 7" xfId="13935"/>
    <cellStyle name="표준 23 5 2 7 2" xfId="13936"/>
    <cellStyle name="표준 23 5 2 7 2 2" xfId="13937"/>
    <cellStyle name="표준 23 5 2 7 3" xfId="13938"/>
    <cellStyle name="표준 23 5 2 8" xfId="13939"/>
    <cellStyle name="표준 23 5 2 8 2" xfId="13940"/>
    <cellStyle name="표준 23 5 2 9" xfId="13941"/>
    <cellStyle name="표준 23 5 3" xfId="13942"/>
    <cellStyle name="표준 23 5 3 2" xfId="13943"/>
    <cellStyle name="표준 23 5 3 2 2" xfId="13944"/>
    <cellStyle name="표준 23 5 3 2 2 2" xfId="13945"/>
    <cellStyle name="표준 23 5 3 2 2 2 2" xfId="13946"/>
    <cellStyle name="표준 23 5 3 2 2 2 2 2" xfId="13947"/>
    <cellStyle name="표준 23 5 3 2 2 2 2 2 2" xfId="13948"/>
    <cellStyle name="표준 23 5 3 2 2 2 2 2 2 2" xfId="13949"/>
    <cellStyle name="표준 23 5 3 2 2 2 2 2 3" xfId="13950"/>
    <cellStyle name="표준 23 5 3 2 2 2 2 3" xfId="13951"/>
    <cellStyle name="표준 23 5 3 2 2 2 2 3 2" xfId="13952"/>
    <cellStyle name="표준 23 5 3 2 2 2 2 4" xfId="13953"/>
    <cellStyle name="표준 23 5 3 2 2 2 3" xfId="13954"/>
    <cellStyle name="표준 23 5 3 2 2 2 3 2" xfId="13955"/>
    <cellStyle name="표준 23 5 3 2 2 2 3 2 2" xfId="13956"/>
    <cellStyle name="표준 23 5 3 2 2 2 3 3" xfId="13957"/>
    <cellStyle name="표준 23 5 3 2 2 2 4" xfId="13958"/>
    <cellStyle name="표준 23 5 3 2 2 2 4 2" xfId="13959"/>
    <cellStyle name="표준 23 5 3 2 2 2 5" xfId="13960"/>
    <cellStyle name="표준 23 5 3 2 2 3" xfId="13961"/>
    <cellStyle name="표준 23 5 3 2 2 3 2" xfId="13962"/>
    <cellStyle name="표준 23 5 3 2 2 3 2 2" xfId="13963"/>
    <cellStyle name="표준 23 5 3 2 2 3 2 2 2" xfId="13964"/>
    <cellStyle name="표준 23 5 3 2 2 3 2 3" xfId="13965"/>
    <cellStyle name="표준 23 5 3 2 2 3 3" xfId="13966"/>
    <cellStyle name="표준 23 5 3 2 2 3 3 2" xfId="13967"/>
    <cellStyle name="표준 23 5 3 2 2 3 4" xfId="13968"/>
    <cellStyle name="표준 23 5 3 2 2 4" xfId="13969"/>
    <cellStyle name="표준 23 5 3 2 2 4 2" xfId="13970"/>
    <cellStyle name="표준 23 5 3 2 2 4 2 2" xfId="13971"/>
    <cellStyle name="표준 23 5 3 2 2 4 3" xfId="13972"/>
    <cellStyle name="표준 23 5 3 2 2 5" xfId="13973"/>
    <cellStyle name="표준 23 5 3 2 2 5 2" xfId="13974"/>
    <cellStyle name="표준 23 5 3 2 2 6" xfId="13975"/>
    <cellStyle name="표준 23 5 3 2 3" xfId="13976"/>
    <cellStyle name="표준 23 5 3 2 3 2" xfId="13977"/>
    <cellStyle name="표준 23 5 3 2 3 2 2" xfId="13978"/>
    <cellStyle name="표준 23 5 3 2 3 2 2 2" xfId="13979"/>
    <cellStyle name="표준 23 5 3 2 3 2 2 2 2" xfId="13980"/>
    <cellStyle name="표준 23 5 3 2 3 2 2 3" xfId="13981"/>
    <cellStyle name="표준 23 5 3 2 3 2 3" xfId="13982"/>
    <cellStyle name="표준 23 5 3 2 3 2 3 2" xfId="13983"/>
    <cellStyle name="표준 23 5 3 2 3 2 4" xfId="13984"/>
    <cellStyle name="표준 23 5 3 2 3 3" xfId="13985"/>
    <cellStyle name="표준 23 5 3 2 3 3 2" xfId="13986"/>
    <cellStyle name="표준 23 5 3 2 3 3 2 2" xfId="13987"/>
    <cellStyle name="표준 23 5 3 2 3 3 3" xfId="13988"/>
    <cellStyle name="표준 23 5 3 2 3 4" xfId="13989"/>
    <cellStyle name="표준 23 5 3 2 3 4 2" xfId="13990"/>
    <cellStyle name="표준 23 5 3 2 3 5" xfId="13991"/>
    <cellStyle name="표준 23 5 3 2 4" xfId="13992"/>
    <cellStyle name="표준 23 5 3 2 4 2" xfId="13993"/>
    <cellStyle name="표준 23 5 3 2 4 2 2" xfId="13994"/>
    <cellStyle name="표준 23 5 3 2 4 2 2 2" xfId="13995"/>
    <cellStyle name="표준 23 5 3 2 4 2 3" xfId="13996"/>
    <cellStyle name="표준 23 5 3 2 4 3" xfId="13997"/>
    <cellStyle name="표준 23 5 3 2 4 3 2" xfId="13998"/>
    <cellStyle name="표준 23 5 3 2 4 4" xfId="13999"/>
    <cellStyle name="표준 23 5 3 2 5" xfId="14000"/>
    <cellStyle name="표준 23 5 3 2 5 2" xfId="14001"/>
    <cellStyle name="표준 23 5 3 2 5 2 2" xfId="14002"/>
    <cellStyle name="표준 23 5 3 2 5 3" xfId="14003"/>
    <cellStyle name="표준 23 5 3 2 6" xfId="14004"/>
    <cellStyle name="표준 23 5 3 2 6 2" xfId="14005"/>
    <cellStyle name="표준 23 5 3 2 7" xfId="14006"/>
    <cellStyle name="표준 23 5 3 2 8" xfId="14007"/>
    <cellStyle name="표준 23 5 3 3" xfId="14008"/>
    <cellStyle name="표준 23 5 3 3 2" xfId="14009"/>
    <cellStyle name="표준 23 5 3 3 2 2" xfId="14010"/>
    <cellStyle name="표준 23 5 3 3 2 2 2" xfId="14011"/>
    <cellStyle name="표준 23 5 3 3 2 2 2 2" xfId="14012"/>
    <cellStyle name="표준 23 5 3 3 2 2 2 2 2" xfId="14013"/>
    <cellStyle name="표준 23 5 3 3 2 2 2 3" xfId="14014"/>
    <cellStyle name="표준 23 5 3 3 2 2 3" xfId="14015"/>
    <cellStyle name="표준 23 5 3 3 2 2 3 2" xfId="14016"/>
    <cellStyle name="표준 23 5 3 3 2 2 4" xfId="14017"/>
    <cellStyle name="표준 23 5 3 3 2 3" xfId="14018"/>
    <cellStyle name="표준 23 5 3 3 2 3 2" xfId="14019"/>
    <cellStyle name="표준 23 5 3 3 2 3 2 2" xfId="14020"/>
    <cellStyle name="표준 23 5 3 3 2 3 3" xfId="14021"/>
    <cellStyle name="표준 23 5 3 3 2 4" xfId="14022"/>
    <cellStyle name="표준 23 5 3 3 2 4 2" xfId="14023"/>
    <cellStyle name="표준 23 5 3 3 2 5" xfId="14024"/>
    <cellStyle name="표준 23 5 3 3 3" xfId="14025"/>
    <cellStyle name="표준 23 5 3 3 3 2" xfId="14026"/>
    <cellStyle name="표준 23 5 3 3 3 2 2" xfId="14027"/>
    <cellStyle name="표준 23 5 3 3 3 2 2 2" xfId="14028"/>
    <cellStyle name="표준 23 5 3 3 3 2 3" xfId="14029"/>
    <cellStyle name="표준 23 5 3 3 3 3" xfId="14030"/>
    <cellStyle name="표준 23 5 3 3 3 3 2" xfId="14031"/>
    <cellStyle name="표준 23 5 3 3 3 4" xfId="14032"/>
    <cellStyle name="표준 23 5 3 3 4" xfId="14033"/>
    <cellStyle name="표준 23 5 3 3 4 2" xfId="14034"/>
    <cellStyle name="표준 23 5 3 3 4 2 2" xfId="14035"/>
    <cellStyle name="표준 23 5 3 3 4 3" xfId="14036"/>
    <cellStyle name="표준 23 5 3 3 5" xfId="14037"/>
    <cellStyle name="표준 23 5 3 3 5 2" xfId="14038"/>
    <cellStyle name="표준 23 5 3 3 6" xfId="14039"/>
    <cellStyle name="표준 23 5 3 4" xfId="14040"/>
    <cellStyle name="표준 23 5 3 4 2" xfId="14041"/>
    <cellStyle name="표준 23 5 3 4 2 2" xfId="14042"/>
    <cellStyle name="표준 23 5 3 4 2 2 2" xfId="14043"/>
    <cellStyle name="표준 23 5 3 4 2 2 2 2" xfId="14044"/>
    <cellStyle name="표준 23 5 3 4 2 2 3" xfId="14045"/>
    <cellStyle name="표준 23 5 3 4 2 3" xfId="14046"/>
    <cellStyle name="표준 23 5 3 4 2 3 2" xfId="14047"/>
    <cellStyle name="표준 23 5 3 4 2 4" xfId="14048"/>
    <cellStyle name="표준 23 5 3 4 3" xfId="14049"/>
    <cellStyle name="표준 23 5 3 4 3 2" xfId="14050"/>
    <cellStyle name="표준 23 5 3 4 3 2 2" xfId="14051"/>
    <cellStyle name="표준 23 5 3 4 3 3" xfId="14052"/>
    <cellStyle name="표준 23 5 3 4 4" xfId="14053"/>
    <cellStyle name="표준 23 5 3 4 4 2" xfId="14054"/>
    <cellStyle name="표준 23 5 3 4 5" xfId="14055"/>
    <cellStyle name="표준 23 5 3 5" xfId="14056"/>
    <cellStyle name="표준 23 5 3 5 2" xfId="14057"/>
    <cellStyle name="표준 23 5 3 5 2 2" xfId="14058"/>
    <cellStyle name="표준 23 5 3 5 2 2 2" xfId="14059"/>
    <cellStyle name="표준 23 5 3 5 2 3" xfId="14060"/>
    <cellStyle name="표준 23 5 3 5 3" xfId="14061"/>
    <cellStyle name="표준 23 5 3 5 3 2" xfId="14062"/>
    <cellStyle name="표준 23 5 3 5 4" xfId="14063"/>
    <cellStyle name="표준 23 5 3 6" xfId="14064"/>
    <cellStyle name="표준 23 5 3 6 2" xfId="14065"/>
    <cellStyle name="표준 23 5 3 6 2 2" xfId="14066"/>
    <cellStyle name="표준 23 5 3 6 3" xfId="14067"/>
    <cellStyle name="표준 23 5 3 7" xfId="14068"/>
    <cellStyle name="표준 23 5 3 7 2" xfId="14069"/>
    <cellStyle name="표준 23 5 3 8" xfId="14070"/>
    <cellStyle name="표준 23 5 3 9" xfId="14071"/>
    <cellStyle name="표준 23 5 4" xfId="14072"/>
    <cellStyle name="표준 23 5 4 2" xfId="14073"/>
    <cellStyle name="표준 23 5 4 2 2" xfId="14074"/>
    <cellStyle name="표준 23 5 4 2 2 2" xfId="14075"/>
    <cellStyle name="표준 23 5 4 2 2 2 2" xfId="14076"/>
    <cellStyle name="표준 23 5 4 2 2 2 2 2" xfId="14077"/>
    <cellStyle name="표준 23 5 4 2 2 2 2 2 2" xfId="14078"/>
    <cellStyle name="표준 23 5 4 2 2 2 2 3" xfId="14079"/>
    <cellStyle name="표준 23 5 4 2 2 2 3" xfId="14080"/>
    <cellStyle name="표준 23 5 4 2 2 2 3 2" xfId="14081"/>
    <cellStyle name="표준 23 5 4 2 2 2 4" xfId="14082"/>
    <cellStyle name="표준 23 5 4 2 2 3" xfId="14083"/>
    <cellStyle name="표준 23 5 4 2 2 3 2" xfId="14084"/>
    <cellStyle name="표준 23 5 4 2 2 3 2 2" xfId="14085"/>
    <cellStyle name="표준 23 5 4 2 2 3 3" xfId="14086"/>
    <cellStyle name="표준 23 5 4 2 2 4" xfId="14087"/>
    <cellStyle name="표준 23 5 4 2 2 4 2" xfId="14088"/>
    <cellStyle name="표준 23 5 4 2 2 5" xfId="14089"/>
    <cellStyle name="표준 23 5 4 2 3" xfId="14090"/>
    <cellStyle name="표준 23 5 4 2 3 2" xfId="14091"/>
    <cellStyle name="표준 23 5 4 2 3 2 2" xfId="14092"/>
    <cellStyle name="표준 23 5 4 2 3 2 2 2" xfId="14093"/>
    <cellStyle name="표준 23 5 4 2 3 2 3" xfId="14094"/>
    <cellStyle name="표준 23 5 4 2 3 3" xfId="14095"/>
    <cellStyle name="표준 23 5 4 2 3 3 2" xfId="14096"/>
    <cellStyle name="표준 23 5 4 2 3 4" xfId="14097"/>
    <cellStyle name="표준 23 5 4 2 4" xfId="14098"/>
    <cellStyle name="표준 23 5 4 2 4 2" xfId="14099"/>
    <cellStyle name="표준 23 5 4 2 4 2 2" xfId="14100"/>
    <cellStyle name="표준 23 5 4 2 4 3" xfId="14101"/>
    <cellStyle name="표준 23 5 4 2 5" xfId="14102"/>
    <cellStyle name="표준 23 5 4 2 5 2" xfId="14103"/>
    <cellStyle name="표준 23 5 4 2 6" xfId="14104"/>
    <cellStyle name="표준 23 5 4 3" xfId="14105"/>
    <cellStyle name="표준 23 5 4 3 2" xfId="14106"/>
    <cellStyle name="표준 23 5 4 3 2 2" xfId="14107"/>
    <cellStyle name="표준 23 5 4 3 2 2 2" xfId="14108"/>
    <cellStyle name="표준 23 5 4 3 2 2 2 2" xfId="14109"/>
    <cellStyle name="표준 23 5 4 3 2 2 3" xfId="14110"/>
    <cellStyle name="표준 23 5 4 3 2 3" xfId="14111"/>
    <cellStyle name="표준 23 5 4 3 2 3 2" xfId="14112"/>
    <cellStyle name="표준 23 5 4 3 2 4" xfId="14113"/>
    <cellStyle name="표준 23 5 4 3 3" xfId="14114"/>
    <cellStyle name="표준 23 5 4 3 3 2" xfId="14115"/>
    <cellStyle name="표준 23 5 4 3 3 2 2" xfId="14116"/>
    <cellStyle name="표준 23 5 4 3 3 3" xfId="14117"/>
    <cellStyle name="표준 23 5 4 3 4" xfId="14118"/>
    <cellStyle name="표준 23 5 4 3 4 2" xfId="14119"/>
    <cellStyle name="표준 23 5 4 3 5" xfId="14120"/>
    <cellStyle name="표준 23 5 4 4" xfId="14121"/>
    <cellStyle name="표준 23 5 4 4 2" xfId="14122"/>
    <cellStyle name="표준 23 5 4 4 2 2" xfId="14123"/>
    <cellStyle name="표준 23 5 4 4 2 2 2" xfId="14124"/>
    <cellStyle name="표준 23 5 4 4 2 3" xfId="14125"/>
    <cellStyle name="표준 23 5 4 4 3" xfId="14126"/>
    <cellStyle name="표준 23 5 4 4 3 2" xfId="14127"/>
    <cellStyle name="표준 23 5 4 4 4" xfId="14128"/>
    <cellStyle name="표준 23 5 4 5" xfId="14129"/>
    <cellStyle name="표준 23 5 4 5 2" xfId="14130"/>
    <cellStyle name="표준 23 5 4 5 2 2" xfId="14131"/>
    <cellStyle name="표준 23 5 4 5 3" xfId="14132"/>
    <cellStyle name="표준 23 5 4 6" xfId="14133"/>
    <cellStyle name="표준 23 5 4 6 2" xfId="14134"/>
    <cellStyle name="표준 23 5 4 7" xfId="14135"/>
    <cellStyle name="표준 23 5 4 8" xfId="14136"/>
    <cellStyle name="표준 23 5 5" xfId="14137"/>
    <cellStyle name="표준 23 5 5 2" xfId="14138"/>
    <cellStyle name="표준 23 5 5 2 2" xfId="14139"/>
    <cellStyle name="표준 23 5 5 2 2 2" xfId="14140"/>
    <cellStyle name="표준 23 5 5 2 2 2 2" xfId="14141"/>
    <cellStyle name="표준 23 5 5 2 2 2 2 2" xfId="14142"/>
    <cellStyle name="표준 23 5 5 2 2 2 3" xfId="14143"/>
    <cellStyle name="표준 23 5 5 2 2 3" xfId="14144"/>
    <cellStyle name="표준 23 5 5 2 2 3 2" xfId="14145"/>
    <cellStyle name="표준 23 5 5 2 2 4" xfId="14146"/>
    <cellStyle name="표준 23 5 5 2 3" xfId="14147"/>
    <cellStyle name="표준 23 5 5 2 3 2" xfId="14148"/>
    <cellStyle name="표준 23 5 5 2 3 2 2" xfId="14149"/>
    <cellStyle name="표준 23 5 5 2 3 3" xfId="14150"/>
    <cellStyle name="표준 23 5 5 2 4" xfId="14151"/>
    <cellStyle name="표준 23 5 5 2 4 2" xfId="14152"/>
    <cellStyle name="표준 23 5 5 2 5" xfId="14153"/>
    <cellStyle name="표준 23 5 5 3" xfId="14154"/>
    <cellStyle name="표준 23 5 5 3 2" xfId="14155"/>
    <cellStyle name="표준 23 5 5 3 2 2" xfId="14156"/>
    <cellStyle name="표준 23 5 5 3 2 2 2" xfId="14157"/>
    <cellStyle name="표준 23 5 5 3 2 3" xfId="14158"/>
    <cellStyle name="표준 23 5 5 3 3" xfId="14159"/>
    <cellStyle name="표준 23 5 5 3 3 2" xfId="14160"/>
    <cellStyle name="표준 23 5 5 3 4" xfId="14161"/>
    <cellStyle name="표준 23 5 5 4" xfId="14162"/>
    <cellStyle name="표준 23 5 5 4 2" xfId="14163"/>
    <cellStyle name="표준 23 5 5 4 2 2" xfId="14164"/>
    <cellStyle name="표준 23 5 5 4 3" xfId="14165"/>
    <cellStyle name="표준 23 5 5 5" xfId="14166"/>
    <cellStyle name="표준 23 5 5 5 2" xfId="14167"/>
    <cellStyle name="표준 23 5 5 6" xfId="14168"/>
    <cellStyle name="표준 23 5 6" xfId="14169"/>
    <cellStyle name="표준 23 5 6 2" xfId="14170"/>
    <cellStyle name="표준 23 5 6 2 2" xfId="14171"/>
    <cellStyle name="표준 23 5 6 2 2 2" xfId="14172"/>
    <cellStyle name="표준 23 5 6 2 2 2 2" xfId="14173"/>
    <cellStyle name="표준 23 5 6 2 2 3" xfId="14174"/>
    <cellStyle name="표준 23 5 6 2 3" xfId="14175"/>
    <cellStyle name="표준 23 5 6 2 3 2" xfId="14176"/>
    <cellStyle name="표준 23 5 6 2 4" xfId="14177"/>
    <cellStyle name="표준 23 5 6 3" xfId="14178"/>
    <cellStyle name="표준 23 5 6 3 2" xfId="14179"/>
    <cellStyle name="표준 23 5 6 3 2 2" xfId="14180"/>
    <cellStyle name="표준 23 5 6 3 3" xfId="14181"/>
    <cellStyle name="표준 23 5 6 4" xfId="14182"/>
    <cellStyle name="표준 23 5 6 4 2" xfId="14183"/>
    <cellStyle name="표준 23 5 6 5" xfId="14184"/>
    <cellStyle name="표준 23 5 7" xfId="14185"/>
    <cellStyle name="표준 23 5 7 2" xfId="14186"/>
    <cellStyle name="표준 23 5 7 2 2" xfId="14187"/>
    <cellStyle name="표준 23 5 7 2 2 2" xfId="14188"/>
    <cellStyle name="표준 23 5 7 2 3" xfId="14189"/>
    <cellStyle name="표준 23 5 7 3" xfId="14190"/>
    <cellStyle name="표준 23 5 7 3 2" xfId="14191"/>
    <cellStyle name="표준 23 5 7 4" xfId="14192"/>
    <cellStyle name="표준 23 5 8" xfId="14193"/>
    <cellStyle name="표준 23 5 8 2" xfId="14194"/>
    <cellStyle name="표준 23 5 8 2 2" xfId="14195"/>
    <cellStyle name="표준 23 5 8 3" xfId="14196"/>
    <cellStyle name="표준 23 5 9" xfId="14197"/>
    <cellStyle name="표준 23 5 9 2" xfId="14198"/>
    <cellStyle name="표준 23 6" xfId="14199"/>
    <cellStyle name="표준 23 6 10" xfId="14200"/>
    <cellStyle name="표준 23 6 11" xfId="14201"/>
    <cellStyle name="표준 23 6 2" xfId="14202"/>
    <cellStyle name="표준 23 6 2 10" xfId="14203"/>
    <cellStyle name="표준 23 6 2 2" xfId="14204"/>
    <cellStyle name="표준 23 6 2 2 2" xfId="14205"/>
    <cellStyle name="표준 23 6 2 2 2 2" xfId="14206"/>
    <cellStyle name="표준 23 6 2 2 2 2 2" xfId="14207"/>
    <cellStyle name="표준 23 6 2 2 2 2 2 2" xfId="14208"/>
    <cellStyle name="표준 23 6 2 2 2 2 2 2 2" xfId="14209"/>
    <cellStyle name="표준 23 6 2 2 2 2 2 2 2 2" xfId="14210"/>
    <cellStyle name="표준 23 6 2 2 2 2 2 2 2 2 2" xfId="14211"/>
    <cellStyle name="표준 23 6 2 2 2 2 2 2 2 3" xfId="14212"/>
    <cellStyle name="표준 23 6 2 2 2 2 2 2 3" xfId="14213"/>
    <cellStyle name="표준 23 6 2 2 2 2 2 2 3 2" xfId="14214"/>
    <cellStyle name="표준 23 6 2 2 2 2 2 2 4" xfId="14215"/>
    <cellStyle name="표준 23 6 2 2 2 2 2 3" xfId="14216"/>
    <cellStyle name="표준 23 6 2 2 2 2 2 3 2" xfId="14217"/>
    <cellStyle name="표준 23 6 2 2 2 2 2 3 2 2" xfId="14218"/>
    <cellStyle name="표준 23 6 2 2 2 2 2 3 3" xfId="14219"/>
    <cellStyle name="표준 23 6 2 2 2 2 2 4" xfId="14220"/>
    <cellStyle name="표준 23 6 2 2 2 2 2 4 2" xfId="14221"/>
    <cellStyle name="표준 23 6 2 2 2 2 2 5" xfId="14222"/>
    <cellStyle name="표준 23 6 2 2 2 2 3" xfId="14223"/>
    <cellStyle name="표준 23 6 2 2 2 2 3 2" xfId="14224"/>
    <cellStyle name="표준 23 6 2 2 2 2 3 2 2" xfId="14225"/>
    <cellStyle name="표준 23 6 2 2 2 2 3 2 2 2" xfId="14226"/>
    <cellStyle name="표준 23 6 2 2 2 2 3 2 3" xfId="14227"/>
    <cellStyle name="표준 23 6 2 2 2 2 3 3" xfId="14228"/>
    <cellStyle name="표준 23 6 2 2 2 2 3 3 2" xfId="14229"/>
    <cellStyle name="표준 23 6 2 2 2 2 3 4" xfId="14230"/>
    <cellStyle name="표준 23 6 2 2 2 2 4" xfId="14231"/>
    <cellStyle name="표준 23 6 2 2 2 2 4 2" xfId="14232"/>
    <cellStyle name="표준 23 6 2 2 2 2 4 2 2" xfId="14233"/>
    <cellStyle name="표준 23 6 2 2 2 2 4 3" xfId="14234"/>
    <cellStyle name="표준 23 6 2 2 2 2 5" xfId="14235"/>
    <cellStyle name="표준 23 6 2 2 2 2 5 2" xfId="14236"/>
    <cellStyle name="표준 23 6 2 2 2 2 6" xfId="14237"/>
    <cellStyle name="표준 23 6 2 2 2 3" xfId="14238"/>
    <cellStyle name="표준 23 6 2 2 2 3 2" xfId="14239"/>
    <cellStyle name="표준 23 6 2 2 2 3 2 2" xfId="14240"/>
    <cellStyle name="표준 23 6 2 2 2 3 2 2 2" xfId="14241"/>
    <cellStyle name="표준 23 6 2 2 2 3 2 2 2 2" xfId="14242"/>
    <cellStyle name="표준 23 6 2 2 2 3 2 2 3" xfId="14243"/>
    <cellStyle name="표준 23 6 2 2 2 3 2 3" xfId="14244"/>
    <cellStyle name="표준 23 6 2 2 2 3 2 3 2" xfId="14245"/>
    <cellStyle name="표준 23 6 2 2 2 3 2 4" xfId="14246"/>
    <cellStyle name="표준 23 6 2 2 2 3 3" xfId="14247"/>
    <cellStyle name="표준 23 6 2 2 2 3 3 2" xfId="14248"/>
    <cellStyle name="표준 23 6 2 2 2 3 3 2 2" xfId="14249"/>
    <cellStyle name="표준 23 6 2 2 2 3 3 3" xfId="14250"/>
    <cellStyle name="표준 23 6 2 2 2 3 4" xfId="14251"/>
    <cellStyle name="표준 23 6 2 2 2 3 4 2" xfId="14252"/>
    <cellStyle name="표준 23 6 2 2 2 3 5" xfId="14253"/>
    <cellStyle name="표준 23 6 2 2 2 4" xfId="14254"/>
    <cellStyle name="표준 23 6 2 2 2 4 2" xfId="14255"/>
    <cellStyle name="표준 23 6 2 2 2 4 2 2" xfId="14256"/>
    <cellStyle name="표준 23 6 2 2 2 4 2 2 2" xfId="14257"/>
    <cellStyle name="표준 23 6 2 2 2 4 2 3" xfId="14258"/>
    <cellStyle name="표준 23 6 2 2 2 4 3" xfId="14259"/>
    <cellStyle name="표준 23 6 2 2 2 4 3 2" xfId="14260"/>
    <cellStyle name="표준 23 6 2 2 2 4 4" xfId="14261"/>
    <cellStyle name="표준 23 6 2 2 2 5" xfId="14262"/>
    <cellStyle name="표준 23 6 2 2 2 5 2" xfId="14263"/>
    <cellStyle name="표준 23 6 2 2 2 5 2 2" xfId="14264"/>
    <cellStyle name="표준 23 6 2 2 2 5 3" xfId="14265"/>
    <cellStyle name="표준 23 6 2 2 2 6" xfId="14266"/>
    <cellStyle name="표준 23 6 2 2 2 6 2" xfId="14267"/>
    <cellStyle name="표준 23 6 2 2 2 7" xfId="14268"/>
    <cellStyle name="표준 23 6 2 2 2 8" xfId="14269"/>
    <cellStyle name="표준 23 6 2 2 3" xfId="14270"/>
    <cellStyle name="표준 23 6 2 2 3 2" xfId="14271"/>
    <cellStyle name="표준 23 6 2 2 3 2 2" xfId="14272"/>
    <cellStyle name="표준 23 6 2 2 3 2 2 2" xfId="14273"/>
    <cellStyle name="표준 23 6 2 2 3 2 2 2 2" xfId="14274"/>
    <cellStyle name="표준 23 6 2 2 3 2 2 2 2 2" xfId="14275"/>
    <cellStyle name="표준 23 6 2 2 3 2 2 2 3" xfId="14276"/>
    <cellStyle name="표준 23 6 2 2 3 2 2 3" xfId="14277"/>
    <cellStyle name="표준 23 6 2 2 3 2 2 3 2" xfId="14278"/>
    <cellStyle name="표준 23 6 2 2 3 2 2 4" xfId="14279"/>
    <cellStyle name="표준 23 6 2 2 3 2 3" xfId="14280"/>
    <cellStyle name="표준 23 6 2 2 3 2 3 2" xfId="14281"/>
    <cellStyle name="표준 23 6 2 2 3 2 3 2 2" xfId="14282"/>
    <cellStyle name="표준 23 6 2 2 3 2 3 3" xfId="14283"/>
    <cellStyle name="표준 23 6 2 2 3 2 4" xfId="14284"/>
    <cellStyle name="표준 23 6 2 2 3 2 4 2" xfId="14285"/>
    <cellStyle name="표준 23 6 2 2 3 2 5" xfId="14286"/>
    <cellStyle name="표준 23 6 2 2 3 3" xfId="14287"/>
    <cellStyle name="표준 23 6 2 2 3 3 2" xfId="14288"/>
    <cellStyle name="표준 23 6 2 2 3 3 2 2" xfId="14289"/>
    <cellStyle name="표준 23 6 2 2 3 3 2 2 2" xfId="14290"/>
    <cellStyle name="표준 23 6 2 2 3 3 2 3" xfId="14291"/>
    <cellStyle name="표준 23 6 2 2 3 3 3" xfId="14292"/>
    <cellStyle name="표준 23 6 2 2 3 3 3 2" xfId="14293"/>
    <cellStyle name="표준 23 6 2 2 3 3 4" xfId="14294"/>
    <cellStyle name="표준 23 6 2 2 3 4" xfId="14295"/>
    <cellStyle name="표준 23 6 2 2 3 4 2" xfId="14296"/>
    <cellStyle name="표준 23 6 2 2 3 4 2 2" xfId="14297"/>
    <cellStyle name="표준 23 6 2 2 3 4 3" xfId="14298"/>
    <cellStyle name="표준 23 6 2 2 3 5" xfId="14299"/>
    <cellStyle name="표준 23 6 2 2 3 5 2" xfId="14300"/>
    <cellStyle name="표준 23 6 2 2 3 6" xfId="14301"/>
    <cellStyle name="표준 23 6 2 2 4" xfId="14302"/>
    <cellStyle name="표준 23 6 2 2 4 2" xfId="14303"/>
    <cellStyle name="표준 23 6 2 2 4 2 2" xfId="14304"/>
    <cellStyle name="표준 23 6 2 2 4 2 2 2" xfId="14305"/>
    <cellStyle name="표준 23 6 2 2 4 2 2 2 2" xfId="14306"/>
    <cellStyle name="표준 23 6 2 2 4 2 2 3" xfId="14307"/>
    <cellStyle name="표준 23 6 2 2 4 2 3" xfId="14308"/>
    <cellStyle name="표준 23 6 2 2 4 2 3 2" xfId="14309"/>
    <cellStyle name="표준 23 6 2 2 4 2 4" xfId="14310"/>
    <cellStyle name="표준 23 6 2 2 4 3" xfId="14311"/>
    <cellStyle name="표준 23 6 2 2 4 3 2" xfId="14312"/>
    <cellStyle name="표준 23 6 2 2 4 3 2 2" xfId="14313"/>
    <cellStyle name="표준 23 6 2 2 4 3 3" xfId="14314"/>
    <cellStyle name="표준 23 6 2 2 4 4" xfId="14315"/>
    <cellStyle name="표준 23 6 2 2 4 4 2" xfId="14316"/>
    <cellStyle name="표준 23 6 2 2 4 5" xfId="14317"/>
    <cellStyle name="표준 23 6 2 2 5" xfId="14318"/>
    <cellStyle name="표준 23 6 2 2 5 2" xfId="14319"/>
    <cellStyle name="표준 23 6 2 2 5 2 2" xfId="14320"/>
    <cellStyle name="표준 23 6 2 2 5 2 2 2" xfId="14321"/>
    <cellStyle name="표준 23 6 2 2 5 2 3" xfId="14322"/>
    <cellStyle name="표준 23 6 2 2 5 3" xfId="14323"/>
    <cellStyle name="표준 23 6 2 2 5 3 2" xfId="14324"/>
    <cellStyle name="표준 23 6 2 2 5 4" xfId="14325"/>
    <cellStyle name="표준 23 6 2 2 6" xfId="14326"/>
    <cellStyle name="표준 23 6 2 2 6 2" xfId="14327"/>
    <cellStyle name="표준 23 6 2 2 6 2 2" xfId="14328"/>
    <cellStyle name="표준 23 6 2 2 6 3" xfId="14329"/>
    <cellStyle name="표준 23 6 2 2 7" xfId="14330"/>
    <cellStyle name="표준 23 6 2 2 7 2" xfId="14331"/>
    <cellStyle name="표준 23 6 2 2 8" xfId="14332"/>
    <cellStyle name="표준 23 6 2 2 9" xfId="14333"/>
    <cellStyle name="표준 23 6 2 3" xfId="14334"/>
    <cellStyle name="표준 23 6 2 3 2" xfId="14335"/>
    <cellStyle name="표준 23 6 2 3 2 2" xfId="14336"/>
    <cellStyle name="표준 23 6 2 3 2 2 2" xfId="14337"/>
    <cellStyle name="표준 23 6 2 3 2 2 2 2" xfId="14338"/>
    <cellStyle name="표준 23 6 2 3 2 2 2 2 2" xfId="14339"/>
    <cellStyle name="표준 23 6 2 3 2 2 2 2 2 2" xfId="14340"/>
    <cellStyle name="표준 23 6 2 3 2 2 2 2 3" xfId="14341"/>
    <cellStyle name="표준 23 6 2 3 2 2 2 3" xfId="14342"/>
    <cellStyle name="표준 23 6 2 3 2 2 2 3 2" xfId="14343"/>
    <cellStyle name="표준 23 6 2 3 2 2 2 4" xfId="14344"/>
    <cellStyle name="표준 23 6 2 3 2 2 3" xfId="14345"/>
    <cellStyle name="표준 23 6 2 3 2 2 3 2" xfId="14346"/>
    <cellStyle name="표준 23 6 2 3 2 2 3 2 2" xfId="14347"/>
    <cellStyle name="표준 23 6 2 3 2 2 3 3" xfId="14348"/>
    <cellStyle name="표준 23 6 2 3 2 2 4" xfId="14349"/>
    <cellStyle name="표준 23 6 2 3 2 2 4 2" xfId="14350"/>
    <cellStyle name="표준 23 6 2 3 2 2 5" xfId="14351"/>
    <cellStyle name="표준 23 6 2 3 2 3" xfId="14352"/>
    <cellStyle name="표준 23 6 2 3 2 3 2" xfId="14353"/>
    <cellStyle name="표준 23 6 2 3 2 3 2 2" xfId="14354"/>
    <cellStyle name="표준 23 6 2 3 2 3 2 2 2" xfId="14355"/>
    <cellStyle name="표준 23 6 2 3 2 3 2 3" xfId="14356"/>
    <cellStyle name="표준 23 6 2 3 2 3 3" xfId="14357"/>
    <cellStyle name="표준 23 6 2 3 2 3 3 2" xfId="14358"/>
    <cellStyle name="표준 23 6 2 3 2 3 4" xfId="14359"/>
    <cellStyle name="표준 23 6 2 3 2 4" xfId="14360"/>
    <cellStyle name="표준 23 6 2 3 2 4 2" xfId="14361"/>
    <cellStyle name="표준 23 6 2 3 2 4 2 2" xfId="14362"/>
    <cellStyle name="표준 23 6 2 3 2 4 3" xfId="14363"/>
    <cellStyle name="표준 23 6 2 3 2 5" xfId="14364"/>
    <cellStyle name="표준 23 6 2 3 2 5 2" xfId="14365"/>
    <cellStyle name="표준 23 6 2 3 2 6" xfId="14366"/>
    <cellStyle name="표준 23 6 2 3 3" xfId="14367"/>
    <cellStyle name="표준 23 6 2 3 3 2" xfId="14368"/>
    <cellStyle name="표준 23 6 2 3 3 2 2" xfId="14369"/>
    <cellStyle name="표준 23 6 2 3 3 2 2 2" xfId="14370"/>
    <cellStyle name="표준 23 6 2 3 3 2 2 2 2" xfId="14371"/>
    <cellStyle name="표준 23 6 2 3 3 2 2 3" xfId="14372"/>
    <cellStyle name="표준 23 6 2 3 3 2 3" xfId="14373"/>
    <cellStyle name="표준 23 6 2 3 3 2 3 2" xfId="14374"/>
    <cellStyle name="표준 23 6 2 3 3 2 4" xfId="14375"/>
    <cellStyle name="표준 23 6 2 3 3 3" xfId="14376"/>
    <cellStyle name="표준 23 6 2 3 3 3 2" xfId="14377"/>
    <cellStyle name="표준 23 6 2 3 3 3 2 2" xfId="14378"/>
    <cellStyle name="표준 23 6 2 3 3 3 3" xfId="14379"/>
    <cellStyle name="표준 23 6 2 3 3 4" xfId="14380"/>
    <cellStyle name="표준 23 6 2 3 3 4 2" xfId="14381"/>
    <cellStyle name="표준 23 6 2 3 3 5" xfId="14382"/>
    <cellStyle name="표준 23 6 2 3 4" xfId="14383"/>
    <cellStyle name="표준 23 6 2 3 4 2" xfId="14384"/>
    <cellStyle name="표준 23 6 2 3 4 2 2" xfId="14385"/>
    <cellStyle name="표준 23 6 2 3 4 2 2 2" xfId="14386"/>
    <cellStyle name="표준 23 6 2 3 4 2 3" xfId="14387"/>
    <cellStyle name="표준 23 6 2 3 4 3" xfId="14388"/>
    <cellStyle name="표준 23 6 2 3 4 3 2" xfId="14389"/>
    <cellStyle name="표준 23 6 2 3 4 4" xfId="14390"/>
    <cellStyle name="표준 23 6 2 3 5" xfId="14391"/>
    <cellStyle name="표준 23 6 2 3 5 2" xfId="14392"/>
    <cellStyle name="표준 23 6 2 3 5 2 2" xfId="14393"/>
    <cellStyle name="표준 23 6 2 3 5 3" xfId="14394"/>
    <cellStyle name="표준 23 6 2 3 6" xfId="14395"/>
    <cellStyle name="표준 23 6 2 3 6 2" xfId="14396"/>
    <cellStyle name="표준 23 6 2 3 7" xfId="14397"/>
    <cellStyle name="표준 23 6 2 3 8" xfId="14398"/>
    <cellStyle name="표준 23 6 2 4" xfId="14399"/>
    <cellStyle name="표준 23 6 2 4 2" xfId="14400"/>
    <cellStyle name="표준 23 6 2 4 2 2" xfId="14401"/>
    <cellStyle name="표준 23 6 2 4 2 2 2" xfId="14402"/>
    <cellStyle name="표준 23 6 2 4 2 2 2 2" xfId="14403"/>
    <cellStyle name="표준 23 6 2 4 2 2 2 2 2" xfId="14404"/>
    <cellStyle name="표준 23 6 2 4 2 2 2 3" xfId="14405"/>
    <cellStyle name="표준 23 6 2 4 2 2 3" xfId="14406"/>
    <cellStyle name="표준 23 6 2 4 2 2 3 2" xfId="14407"/>
    <cellStyle name="표준 23 6 2 4 2 2 4" xfId="14408"/>
    <cellStyle name="표준 23 6 2 4 2 3" xfId="14409"/>
    <cellStyle name="표준 23 6 2 4 2 3 2" xfId="14410"/>
    <cellStyle name="표준 23 6 2 4 2 3 2 2" xfId="14411"/>
    <cellStyle name="표준 23 6 2 4 2 3 3" xfId="14412"/>
    <cellStyle name="표준 23 6 2 4 2 4" xfId="14413"/>
    <cellStyle name="표준 23 6 2 4 2 4 2" xfId="14414"/>
    <cellStyle name="표준 23 6 2 4 2 5" xfId="14415"/>
    <cellStyle name="표준 23 6 2 4 3" xfId="14416"/>
    <cellStyle name="표준 23 6 2 4 3 2" xfId="14417"/>
    <cellStyle name="표준 23 6 2 4 3 2 2" xfId="14418"/>
    <cellStyle name="표준 23 6 2 4 3 2 2 2" xfId="14419"/>
    <cellStyle name="표준 23 6 2 4 3 2 3" xfId="14420"/>
    <cellStyle name="표준 23 6 2 4 3 3" xfId="14421"/>
    <cellStyle name="표준 23 6 2 4 3 3 2" xfId="14422"/>
    <cellStyle name="표준 23 6 2 4 3 4" xfId="14423"/>
    <cellStyle name="표준 23 6 2 4 4" xfId="14424"/>
    <cellStyle name="표준 23 6 2 4 4 2" xfId="14425"/>
    <cellStyle name="표준 23 6 2 4 4 2 2" xfId="14426"/>
    <cellStyle name="표준 23 6 2 4 4 3" xfId="14427"/>
    <cellStyle name="표준 23 6 2 4 5" xfId="14428"/>
    <cellStyle name="표준 23 6 2 4 5 2" xfId="14429"/>
    <cellStyle name="표준 23 6 2 4 6" xfId="14430"/>
    <cellStyle name="표준 23 6 2 5" xfId="14431"/>
    <cellStyle name="표준 23 6 2 5 2" xfId="14432"/>
    <cellStyle name="표준 23 6 2 5 2 2" xfId="14433"/>
    <cellStyle name="표준 23 6 2 5 2 2 2" xfId="14434"/>
    <cellStyle name="표준 23 6 2 5 2 2 2 2" xfId="14435"/>
    <cellStyle name="표준 23 6 2 5 2 2 3" xfId="14436"/>
    <cellStyle name="표준 23 6 2 5 2 3" xfId="14437"/>
    <cellStyle name="표준 23 6 2 5 2 3 2" xfId="14438"/>
    <cellStyle name="표준 23 6 2 5 2 4" xfId="14439"/>
    <cellStyle name="표준 23 6 2 5 3" xfId="14440"/>
    <cellStyle name="표준 23 6 2 5 3 2" xfId="14441"/>
    <cellStyle name="표준 23 6 2 5 3 2 2" xfId="14442"/>
    <cellStyle name="표준 23 6 2 5 3 3" xfId="14443"/>
    <cellStyle name="표준 23 6 2 5 4" xfId="14444"/>
    <cellStyle name="표준 23 6 2 5 4 2" xfId="14445"/>
    <cellStyle name="표준 23 6 2 5 5" xfId="14446"/>
    <cellStyle name="표준 23 6 2 6" xfId="14447"/>
    <cellStyle name="표준 23 6 2 6 2" xfId="14448"/>
    <cellStyle name="표준 23 6 2 6 2 2" xfId="14449"/>
    <cellStyle name="표준 23 6 2 6 2 2 2" xfId="14450"/>
    <cellStyle name="표준 23 6 2 6 2 3" xfId="14451"/>
    <cellStyle name="표준 23 6 2 6 3" xfId="14452"/>
    <cellStyle name="표준 23 6 2 6 3 2" xfId="14453"/>
    <cellStyle name="표준 23 6 2 6 4" xfId="14454"/>
    <cellStyle name="표준 23 6 2 7" xfId="14455"/>
    <cellStyle name="표준 23 6 2 7 2" xfId="14456"/>
    <cellStyle name="표준 23 6 2 7 2 2" xfId="14457"/>
    <cellStyle name="표준 23 6 2 7 3" xfId="14458"/>
    <cellStyle name="표준 23 6 2 8" xfId="14459"/>
    <cellStyle name="표준 23 6 2 8 2" xfId="14460"/>
    <cellStyle name="표준 23 6 2 9" xfId="14461"/>
    <cellStyle name="표준 23 6 3" xfId="14462"/>
    <cellStyle name="표준 23 6 3 2" xfId="14463"/>
    <cellStyle name="표준 23 6 3 2 2" xfId="14464"/>
    <cellStyle name="표준 23 6 3 2 2 2" xfId="14465"/>
    <cellStyle name="표준 23 6 3 2 2 2 2" xfId="14466"/>
    <cellStyle name="표준 23 6 3 2 2 2 2 2" xfId="14467"/>
    <cellStyle name="표준 23 6 3 2 2 2 2 2 2" xfId="14468"/>
    <cellStyle name="표준 23 6 3 2 2 2 2 2 2 2" xfId="14469"/>
    <cellStyle name="표준 23 6 3 2 2 2 2 2 3" xfId="14470"/>
    <cellStyle name="표준 23 6 3 2 2 2 2 3" xfId="14471"/>
    <cellStyle name="표준 23 6 3 2 2 2 2 3 2" xfId="14472"/>
    <cellStyle name="표준 23 6 3 2 2 2 2 4" xfId="14473"/>
    <cellStyle name="표준 23 6 3 2 2 2 3" xfId="14474"/>
    <cellStyle name="표준 23 6 3 2 2 2 3 2" xfId="14475"/>
    <cellStyle name="표준 23 6 3 2 2 2 3 2 2" xfId="14476"/>
    <cellStyle name="표준 23 6 3 2 2 2 3 3" xfId="14477"/>
    <cellStyle name="표준 23 6 3 2 2 2 4" xfId="14478"/>
    <cellStyle name="표준 23 6 3 2 2 2 4 2" xfId="14479"/>
    <cellStyle name="표준 23 6 3 2 2 2 5" xfId="14480"/>
    <cellStyle name="표준 23 6 3 2 2 3" xfId="14481"/>
    <cellStyle name="표준 23 6 3 2 2 3 2" xfId="14482"/>
    <cellStyle name="표준 23 6 3 2 2 3 2 2" xfId="14483"/>
    <cellStyle name="표준 23 6 3 2 2 3 2 2 2" xfId="14484"/>
    <cellStyle name="표준 23 6 3 2 2 3 2 3" xfId="14485"/>
    <cellStyle name="표준 23 6 3 2 2 3 3" xfId="14486"/>
    <cellStyle name="표준 23 6 3 2 2 3 3 2" xfId="14487"/>
    <cellStyle name="표준 23 6 3 2 2 3 4" xfId="14488"/>
    <cellStyle name="표준 23 6 3 2 2 4" xfId="14489"/>
    <cellStyle name="표준 23 6 3 2 2 4 2" xfId="14490"/>
    <cellStyle name="표준 23 6 3 2 2 4 2 2" xfId="14491"/>
    <cellStyle name="표준 23 6 3 2 2 4 3" xfId="14492"/>
    <cellStyle name="표준 23 6 3 2 2 5" xfId="14493"/>
    <cellStyle name="표준 23 6 3 2 2 5 2" xfId="14494"/>
    <cellStyle name="표준 23 6 3 2 2 6" xfId="14495"/>
    <cellStyle name="표준 23 6 3 2 3" xfId="14496"/>
    <cellStyle name="표준 23 6 3 2 3 2" xfId="14497"/>
    <cellStyle name="표준 23 6 3 2 3 2 2" xfId="14498"/>
    <cellStyle name="표준 23 6 3 2 3 2 2 2" xfId="14499"/>
    <cellStyle name="표준 23 6 3 2 3 2 2 2 2" xfId="14500"/>
    <cellStyle name="표준 23 6 3 2 3 2 2 3" xfId="14501"/>
    <cellStyle name="표준 23 6 3 2 3 2 3" xfId="14502"/>
    <cellStyle name="표준 23 6 3 2 3 2 3 2" xfId="14503"/>
    <cellStyle name="표준 23 6 3 2 3 2 4" xfId="14504"/>
    <cellStyle name="표준 23 6 3 2 3 3" xfId="14505"/>
    <cellStyle name="표준 23 6 3 2 3 3 2" xfId="14506"/>
    <cellStyle name="표준 23 6 3 2 3 3 2 2" xfId="14507"/>
    <cellStyle name="표준 23 6 3 2 3 3 3" xfId="14508"/>
    <cellStyle name="표준 23 6 3 2 3 4" xfId="14509"/>
    <cellStyle name="표준 23 6 3 2 3 4 2" xfId="14510"/>
    <cellStyle name="표준 23 6 3 2 3 5" xfId="14511"/>
    <cellStyle name="표준 23 6 3 2 4" xfId="14512"/>
    <cellStyle name="표준 23 6 3 2 4 2" xfId="14513"/>
    <cellStyle name="표준 23 6 3 2 4 2 2" xfId="14514"/>
    <cellStyle name="표준 23 6 3 2 4 2 2 2" xfId="14515"/>
    <cellStyle name="표준 23 6 3 2 4 2 3" xfId="14516"/>
    <cellStyle name="표준 23 6 3 2 4 3" xfId="14517"/>
    <cellStyle name="표준 23 6 3 2 4 3 2" xfId="14518"/>
    <cellStyle name="표준 23 6 3 2 4 4" xfId="14519"/>
    <cellStyle name="표준 23 6 3 2 5" xfId="14520"/>
    <cellStyle name="표준 23 6 3 2 5 2" xfId="14521"/>
    <cellStyle name="표준 23 6 3 2 5 2 2" xfId="14522"/>
    <cellStyle name="표준 23 6 3 2 5 3" xfId="14523"/>
    <cellStyle name="표준 23 6 3 2 6" xfId="14524"/>
    <cellStyle name="표준 23 6 3 2 6 2" xfId="14525"/>
    <cellStyle name="표준 23 6 3 2 7" xfId="14526"/>
    <cellStyle name="표준 23 6 3 2 8" xfId="14527"/>
    <cellStyle name="표준 23 6 3 3" xfId="14528"/>
    <cellStyle name="표준 23 6 3 3 2" xfId="14529"/>
    <cellStyle name="표준 23 6 3 3 2 2" xfId="14530"/>
    <cellStyle name="표준 23 6 3 3 2 2 2" xfId="14531"/>
    <cellStyle name="표준 23 6 3 3 2 2 2 2" xfId="14532"/>
    <cellStyle name="표준 23 6 3 3 2 2 2 2 2" xfId="14533"/>
    <cellStyle name="표준 23 6 3 3 2 2 2 3" xfId="14534"/>
    <cellStyle name="표준 23 6 3 3 2 2 3" xfId="14535"/>
    <cellStyle name="표준 23 6 3 3 2 2 3 2" xfId="14536"/>
    <cellStyle name="표준 23 6 3 3 2 2 4" xfId="14537"/>
    <cellStyle name="표준 23 6 3 3 2 3" xfId="14538"/>
    <cellStyle name="표준 23 6 3 3 2 3 2" xfId="14539"/>
    <cellStyle name="표준 23 6 3 3 2 3 2 2" xfId="14540"/>
    <cellStyle name="표준 23 6 3 3 2 3 3" xfId="14541"/>
    <cellStyle name="표준 23 6 3 3 2 4" xfId="14542"/>
    <cellStyle name="표준 23 6 3 3 2 4 2" xfId="14543"/>
    <cellStyle name="표준 23 6 3 3 2 5" xfId="14544"/>
    <cellStyle name="표준 23 6 3 3 3" xfId="14545"/>
    <cellStyle name="표준 23 6 3 3 3 2" xfId="14546"/>
    <cellStyle name="표준 23 6 3 3 3 2 2" xfId="14547"/>
    <cellStyle name="표준 23 6 3 3 3 2 2 2" xfId="14548"/>
    <cellStyle name="표준 23 6 3 3 3 2 3" xfId="14549"/>
    <cellStyle name="표준 23 6 3 3 3 3" xfId="14550"/>
    <cellStyle name="표준 23 6 3 3 3 3 2" xfId="14551"/>
    <cellStyle name="표준 23 6 3 3 3 4" xfId="14552"/>
    <cellStyle name="표준 23 6 3 3 4" xfId="14553"/>
    <cellStyle name="표준 23 6 3 3 4 2" xfId="14554"/>
    <cellStyle name="표준 23 6 3 3 4 2 2" xfId="14555"/>
    <cellStyle name="표준 23 6 3 3 4 3" xfId="14556"/>
    <cellStyle name="표준 23 6 3 3 5" xfId="14557"/>
    <cellStyle name="표준 23 6 3 3 5 2" xfId="14558"/>
    <cellStyle name="표준 23 6 3 3 6" xfId="14559"/>
    <cellStyle name="표준 23 6 3 4" xfId="14560"/>
    <cellStyle name="표준 23 6 3 4 2" xfId="14561"/>
    <cellStyle name="표준 23 6 3 4 2 2" xfId="14562"/>
    <cellStyle name="표준 23 6 3 4 2 2 2" xfId="14563"/>
    <cellStyle name="표준 23 6 3 4 2 2 2 2" xfId="14564"/>
    <cellStyle name="표준 23 6 3 4 2 2 3" xfId="14565"/>
    <cellStyle name="표준 23 6 3 4 2 3" xfId="14566"/>
    <cellStyle name="표준 23 6 3 4 2 3 2" xfId="14567"/>
    <cellStyle name="표준 23 6 3 4 2 4" xfId="14568"/>
    <cellStyle name="표준 23 6 3 4 3" xfId="14569"/>
    <cellStyle name="표준 23 6 3 4 3 2" xfId="14570"/>
    <cellStyle name="표준 23 6 3 4 3 2 2" xfId="14571"/>
    <cellStyle name="표준 23 6 3 4 3 3" xfId="14572"/>
    <cellStyle name="표준 23 6 3 4 4" xfId="14573"/>
    <cellStyle name="표준 23 6 3 4 4 2" xfId="14574"/>
    <cellStyle name="표준 23 6 3 4 5" xfId="14575"/>
    <cellStyle name="표준 23 6 3 5" xfId="14576"/>
    <cellStyle name="표준 23 6 3 5 2" xfId="14577"/>
    <cellStyle name="표준 23 6 3 5 2 2" xfId="14578"/>
    <cellStyle name="표준 23 6 3 5 2 2 2" xfId="14579"/>
    <cellStyle name="표준 23 6 3 5 2 3" xfId="14580"/>
    <cellStyle name="표준 23 6 3 5 3" xfId="14581"/>
    <cellStyle name="표준 23 6 3 5 3 2" xfId="14582"/>
    <cellStyle name="표준 23 6 3 5 4" xfId="14583"/>
    <cellStyle name="표준 23 6 3 6" xfId="14584"/>
    <cellStyle name="표준 23 6 3 6 2" xfId="14585"/>
    <cellStyle name="표준 23 6 3 6 2 2" xfId="14586"/>
    <cellStyle name="표준 23 6 3 6 3" xfId="14587"/>
    <cellStyle name="표준 23 6 3 7" xfId="14588"/>
    <cellStyle name="표준 23 6 3 7 2" xfId="14589"/>
    <cellStyle name="표준 23 6 3 8" xfId="14590"/>
    <cellStyle name="표준 23 6 3 9" xfId="14591"/>
    <cellStyle name="표준 23 6 4" xfId="14592"/>
    <cellStyle name="표준 23 6 4 2" xfId="14593"/>
    <cellStyle name="표준 23 6 4 2 2" xfId="14594"/>
    <cellStyle name="표준 23 6 4 2 2 2" xfId="14595"/>
    <cellStyle name="표준 23 6 4 2 2 2 2" xfId="14596"/>
    <cellStyle name="표준 23 6 4 2 2 2 2 2" xfId="14597"/>
    <cellStyle name="표준 23 6 4 2 2 2 2 2 2" xfId="14598"/>
    <cellStyle name="표준 23 6 4 2 2 2 2 3" xfId="14599"/>
    <cellStyle name="표준 23 6 4 2 2 2 3" xfId="14600"/>
    <cellStyle name="표준 23 6 4 2 2 2 3 2" xfId="14601"/>
    <cellStyle name="표준 23 6 4 2 2 2 4" xfId="14602"/>
    <cellStyle name="표준 23 6 4 2 2 3" xfId="14603"/>
    <cellStyle name="표준 23 6 4 2 2 3 2" xfId="14604"/>
    <cellStyle name="표준 23 6 4 2 2 3 2 2" xfId="14605"/>
    <cellStyle name="표준 23 6 4 2 2 3 3" xfId="14606"/>
    <cellStyle name="표준 23 6 4 2 2 4" xfId="14607"/>
    <cellStyle name="표준 23 6 4 2 2 4 2" xfId="14608"/>
    <cellStyle name="표준 23 6 4 2 2 5" xfId="14609"/>
    <cellStyle name="표준 23 6 4 2 3" xfId="14610"/>
    <cellStyle name="표준 23 6 4 2 3 2" xfId="14611"/>
    <cellStyle name="표준 23 6 4 2 3 2 2" xfId="14612"/>
    <cellStyle name="표준 23 6 4 2 3 2 2 2" xfId="14613"/>
    <cellStyle name="표준 23 6 4 2 3 2 3" xfId="14614"/>
    <cellStyle name="표준 23 6 4 2 3 3" xfId="14615"/>
    <cellStyle name="표준 23 6 4 2 3 3 2" xfId="14616"/>
    <cellStyle name="표준 23 6 4 2 3 4" xfId="14617"/>
    <cellStyle name="표준 23 6 4 2 4" xfId="14618"/>
    <cellStyle name="표준 23 6 4 2 4 2" xfId="14619"/>
    <cellStyle name="표준 23 6 4 2 4 2 2" xfId="14620"/>
    <cellStyle name="표준 23 6 4 2 4 3" xfId="14621"/>
    <cellStyle name="표준 23 6 4 2 5" xfId="14622"/>
    <cellStyle name="표준 23 6 4 2 5 2" xfId="14623"/>
    <cellStyle name="표준 23 6 4 2 6" xfId="14624"/>
    <cellStyle name="표준 23 6 4 3" xfId="14625"/>
    <cellStyle name="표준 23 6 4 3 2" xfId="14626"/>
    <cellStyle name="표준 23 6 4 3 2 2" xfId="14627"/>
    <cellStyle name="표준 23 6 4 3 2 2 2" xfId="14628"/>
    <cellStyle name="표준 23 6 4 3 2 2 2 2" xfId="14629"/>
    <cellStyle name="표준 23 6 4 3 2 2 3" xfId="14630"/>
    <cellStyle name="표준 23 6 4 3 2 3" xfId="14631"/>
    <cellStyle name="표준 23 6 4 3 2 3 2" xfId="14632"/>
    <cellStyle name="표준 23 6 4 3 2 4" xfId="14633"/>
    <cellStyle name="표준 23 6 4 3 3" xfId="14634"/>
    <cellStyle name="표준 23 6 4 3 3 2" xfId="14635"/>
    <cellStyle name="표준 23 6 4 3 3 2 2" xfId="14636"/>
    <cellStyle name="표준 23 6 4 3 3 3" xfId="14637"/>
    <cellStyle name="표준 23 6 4 3 4" xfId="14638"/>
    <cellStyle name="표준 23 6 4 3 4 2" xfId="14639"/>
    <cellStyle name="표준 23 6 4 3 5" xfId="14640"/>
    <cellStyle name="표준 23 6 4 4" xfId="14641"/>
    <cellStyle name="표준 23 6 4 4 2" xfId="14642"/>
    <cellStyle name="표준 23 6 4 4 2 2" xfId="14643"/>
    <cellStyle name="표준 23 6 4 4 2 2 2" xfId="14644"/>
    <cellStyle name="표준 23 6 4 4 2 3" xfId="14645"/>
    <cellStyle name="표준 23 6 4 4 3" xfId="14646"/>
    <cellStyle name="표준 23 6 4 4 3 2" xfId="14647"/>
    <cellStyle name="표준 23 6 4 4 4" xfId="14648"/>
    <cellStyle name="표준 23 6 4 5" xfId="14649"/>
    <cellStyle name="표준 23 6 4 5 2" xfId="14650"/>
    <cellStyle name="표준 23 6 4 5 2 2" xfId="14651"/>
    <cellStyle name="표준 23 6 4 5 3" xfId="14652"/>
    <cellStyle name="표준 23 6 4 6" xfId="14653"/>
    <cellStyle name="표준 23 6 4 6 2" xfId="14654"/>
    <cellStyle name="표준 23 6 4 7" xfId="14655"/>
    <cellStyle name="표준 23 6 4 8" xfId="14656"/>
    <cellStyle name="표준 23 6 5" xfId="14657"/>
    <cellStyle name="표준 23 6 5 2" xfId="14658"/>
    <cellStyle name="표준 23 6 5 2 2" xfId="14659"/>
    <cellStyle name="표준 23 6 5 2 2 2" xfId="14660"/>
    <cellStyle name="표준 23 6 5 2 2 2 2" xfId="14661"/>
    <cellStyle name="표준 23 6 5 2 2 2 2 2" xfId="14662"/>
    <cellStyle name="표준 23 6 5 2 2 2 3" xfId="14663"/>
    <cellStyle name="표준 23 6 5 2 2 3" xfId="14664"/>
    <cellStyle name="표준 23 6 5 2 2 3 2" xfId="14665"/>
    <cellStyle name="표준 23 6 5 2 2 4" xfId="14666"/>
    <cellStyle name="표준 23 6 5 2 3" xfId="14667"/>
    <cellStyle name="표준 23 6 5 2 3 2" xfId="14668"/>
    <cellStyle name="표준 23 6 5 2 3 2 2" xfId="14669"/>
    <cellStyle name="표준 23 6 5 2 3 3" xfId="14670"/>
    <cellStyle name="표준 23 6 5 2 4" xfId="14671"/>
    <cellStyle name="표준 23 6 5 2 4 2" xfId="14672"/>
    <cellStyle name="표준 23 6 5 2 5" xfId="14673"/>
    <cellStyle name="표준 23 6 5 3" xfId="14674"/>
    <cellStyle name="표준 23 6 5 3 2" xfId="14675"/>
    <cellStyle name="표준 23 6 5 3 2 2" xfId="14676"/>
    <cellStyle name="표준 23 6 5 3 2 2 2" xfId="14677"/>
    <cellStyle name="표준 23 6 5 3 2 3" xfId="14678"/>
    <cellStyle name="표준 23 6 5 3 3" xfId="14679"/>
    <cellStyle name="표준 23 6 5 3 3 2" xfId="14680"/>
    <cellStyle name="표준 23 6 5 3 4" xfId="14681"/>
    <cellStyle name="표준 23 6 5 4" xfId="14682"/>
    <cellStyle name="표준 23 6 5 4 2" xfId="14683"/>
    <cellStyle name="표준 23 6 5 4 2 2" xfId="14684"/>
    <cellStyle name="표준 23 6 5 4 3" xfId="14685"/>
    <cellStyle name="표준 23 6 5 5" xfId="14686"/>
    <cellStyle name="표준 23 6 5 5 2" xfId="14687"/>
    <cellStyle name="표준 23 6 5 6" xfId="14688"/>
    <cellStyle name="표준 23 6 6" xfId="14689"/>
    <cellStyle name="표준 23 6 6 2" xfId="14690"/>
    <cellStyle name="표준 23 6 6 2 2" xfId="14691"/>
    <cellStyle name="표준 23 6 6 2 2 2" xfId="14692"/>
    <cellStyle name="표준 23 6 6 2 2 2 2" xfId="14693"/>
    <cellStyle name="표준 23 6 6 2 2 3" xfId="14694"/>
    <cellStyle name="표준 23 6 6 2 3" xfId="14695"/>
    <cellStyle name="표준 23 6 6 2 3 2" xfId="14696"/>
    <cellStyle name="표준 23 6 6 2 4" xfId="14697"/>
    <cellStyle name="표준 23 6 6 3" xfId="14698"/>
    <cellStyle name="표준 23 6 6 3 2" xfId="14699"/>
    <cellStyle name="표준 23 6 6 3 2 2" xfId="14700"/>
    <cellStyle name="표준 23 6 6 3 3" xfId="14701"/>
    <cellStyle name="표준 23 6 6 4" xfId="14702"/>
    <cellStyle name="표준 23 6 6 4 2" xfId="14703"/>
    <cellStyle name="표준 23 6 6 5" xfId="14704"/>
    <cellStyle name="표준 23 6 7" xfId="14705"/>
    <cellStyle name="표준 23 6 7 2" xfId="14706"/>
    <cellStyle name="표준 23 6 7 2 2" xfId="14707"/>
    <cellStyle name="표준 23 6 7 2 2 2" xfId="14708"/>
    <cellStyle name="표준 23 6 7 2 3" xfId="14709"/>
    <cellStyle name="표준 23 6 7 3" xfId="14710"/>
    <cellStyle name="표준 23 6 7 3 2" xfId="14711"/>
    <cellStyle name="표준 23 6 7 4" xfId="14712"/>
    <cellStyle name="표준 23 6 8" xfId="14713"/>
    <cellStyle name="표준 23 6 8 2" xfId="14714"/>
    <cellStyle name="표준 23 6 8 2 2" xfId="14715"/>
    <cellStyle name="표준 23 6 8 3" xfId="14716"/>
    <cellStyle name="표준 23 6 9" xfId="14717"/>
    <cellStyle name="표준 23 6 9 2" xfId="14718"/>
    <cellStyle name="표준 23 7" xfId="14719"/>
    <cellStyle name="표준 23 7 10" xfId="14720"/>
    <cellStyle name="표준 23 7 11" xfId="14721"/>
    <cellStyle name="표준 23 7 2" xfId="14722"/>
    <cellStyle name="표준 23 7 2 10" xfId="14723"/>
    <cellStyle name="표준 23 7 2 2" xfId="14724"/>
    <cellStyle name="표준 23 7 2 2 2" xfId="14725"/>
    <cellStyle name="표준 23 7 2 2 2 2" xfId="14726"/>
    <cellStyle name="표준 23 7 2 2 2 2 2" xfId="14727"/>
    <cellStyle name="표준 23 7 2 2 2 2 2 2" xfId="14728"/>
    <cellStyle name="표준 23 7 2 2 2 2 2 2 2" xfId="14729"/>
    <cellStyle name="표준 23 7 2 2 2 2 2 2 2 2" xfId="14730"/>
    <cellStyle name="표준 23 7 2 2 2 2 2 2 2 2 2" xfId="14731"/>
    <cellStyle name="표준 23 7 2 2 2 2 2 2 2 3" xfId="14732"/>
    <cellStyle name="표준 23 7 2 2 2 2 2 2 3" xfId="14733"/>
    <cellStyle name="표준 23 7 2 2 2 2 2 2 3 2" xfId="14734"/>
    <cellStyle name="표준 23 7 2 2 2 2 2 2 4" xfId="14735"/>
    <cellStyle name="표준 23 7 2 2 2 2 2 3" xfId="14736"/>
    <cellStyle name="표준 23 7 2 2 2 2 2 3 2" xfId="14737"/>
    <cellStyle name="표준 23 7 2 2 2 2 2 3 2 2" xfId="14738"/>
    <cellStyle name="표준 23 7 2 2 2 2 2 3 3" xfId="14739"/>
    <cellStyle name="표준 23 7 2 2 2 2 2 4" xfId="14740"/>
    <cellStyle name="표준 23 7 2 2 2 2 2 4 2" xfId="14741"/>
    <cellStyle name="표준 23 7 2 2 2 2 2 5" xfId="14742"/>
    <cellStyle name="표준 23 7 2 2 2 2 3" xfId="14743"/>
    <cellStyle name="표준 23 7 2 2 2 2 3 2" xfId="14744"/>
    <cellStyle name="표준 23 7 2 2 2 2 3 2 2" xfId="14745"/>
    <cellStyle name="표준 23 7 2 2 2 2 3 2 2 2" xfId="14746"/>
    <cellStyle name="표준 23 7 2 2 2 2 3 2 3" xfId="14747"/>
    <cellStyle name="표준 23 7 2 2 2 2 3 3" xfId="14748"/>
    <cellStyle name="표준 23 7 2 2 2 2 3 3 2" xfId="14749"/>
    <cellStyle name="표준 23 7 2 2 2 2 3 4" xfId="14750"/>
    <cellStyle name="표준 23 7 2 2 2 2 4" xfId="14751"/>
    <cellStyle name="표준 23 7 2 2 2 2 4 2" xfId="14752"/>
    <cellStyle name="표준 23 7 2 2 2 2 4 2 2" xfId="14753"/>
    <cellStyle name="표준 23 7 2 2 2 2 4 3" xfId="14754"/>
    <cellStyle name="표준 23 7 2 2 2 2 5" xfId="14755"/>
    <cellStyle name="표준 23 7 2 2 2 2 5 2" xfId="14756"/>
    <cellStyle name="표준 23 7 2 2 2 2 6" xfId="14757"/>
    <cellStyle name="표준 23 7 2 2 2 3" xfId="14758"/>
    <cellStyle name="표준 23 7 2 2 2 3 2" xfId="14759"/>
    <cellStyle name="표준 23 7 2 2 2 3 2 2" xfId="14760"/>
    <cellStyle name="표준 23 7 2 2 2 3 2 2 2" xfId="14761"/>
    <cellStyle name="표준 23 7 2 2 2 3 2 2 2 2" xfId="14762"/>
    <cellStyle name="표준 23 7 2 2 2 3 2 2 3" xfId="14763"/>
    <cellStyle name="표준 23 7 2 2 2 3 2 3" xfId="14764"/>
    <cellStyle name="표준 23 7 2 2 2 3 2 3 2" xfId="14765"/>
    <cellStyle name="표준 23 7 2 2 2 3 2 4" xfId="14766"/>
    <cellStyle name="표준 23 7 2 2 2 3 3" xfId="14767"/>
    <cellStyle name="표준 23 7 2 2 2 3 3 2" xfId="14768"/>
    <cellStyle name="표준 23 7 2 2 2 3 3 2 2" xfId="14769"/>
    <cellStyle name="표준 23 7 2 2 2 3 3 3" xfId="14770"/>
    <cellStyle name="표준 23 7 2 2 2 3 4" xfId="14771"/>
    <cellStyle name="표준 23 7 2 2 2 3 4 2" xfId="14772"/>
    <cellStyle name="표준 23 7 2 2 2 3 5" xfId="14773"/>
    <cellStyle name="표준 23 7 2 2 2 4" xfId="14774"/>
    <cellStyle name="표준 23 7 2 2 2 4 2" xfId="14775"/>
    <cellStyle name="표준 23 7 2 2 2 4 2 2" xfId="14776"/>
    <cellStyle name="표준 23 7 2 2 2 4 2 2 2" xfId="14777"/>
    <cellStyle name="표준 23 7 2 2 2 4 2 3" xfId="14778"/>
    <cellStyle name="표준 23 7 2 2 2 4 3" xfId="14779"/>
    <cellStyle name="표준 23 7 2 2 2 4 3 2" xfId="14780"/>
    <cellStyle name="표준 23 7 2 2 2 4 4" xfId="14781"/>
    <cellStyle name="표준 23 7 2 2 2 5" xfId="14782"/>
    <cellStyle name="표준 23 7 2 2 2 5 2" xfId="14783"/>
    <cellStyle name="표준 23 7 2 2 2 5 2 2" xfId="14784"/>
    <cellStyle name="표준 23 7 2 2 2 5 3" xfId="14785"/>
    <cellStyle name="표준 23 7 2 2 2 6" xfId="14786"/>
    <cellStyle name="표준 23 7 2 2 2 6 2" xfId="14787"/>
    <cellStyle name="표준 23 7 2 2 2 7" xfId="14788"/>
    <cellStyle name="표준 23 7 2 2 2 8" xfId="14789"/>
    <cellStyle name="표준 23 7 2 2 3" xfId="14790"/>
    <cellStyle name="표준 23 7 2 2 3 2" xfId="14791"/>
    <cellStyle name="표준 23 7 2 2 3 2 2" xfId="14792"/>
    <cellStyle name="표준 23 7 2 2 3 2 2 2" xfId="14793"/>
    <cellStyle name="표준 23 7 2 2 3 2 2 2 2" xfId="14794"/>
    <cellStyle name="표준 23 7 2 2 3 2 2 2 2 2" xfId="14795"/>
    <cellStyle name="표준 23 7 2 2 3 2 2 2 3" xfId="14796"/>
    <cellStyle name="표준 23 7 2 2 3 2 2 3" xfId="14797"/>
    <cellStyle name="표준 23 7 2 2 3 2 2 3 2" xfId="14798"/>
    <cellStyle name="표준 23 7 2 2 3 2 2 4" xfId="14799"/>
    <cellStyle name="표준 23 7 2 2 3 2 3" xfId="14800"/>
    <cellStyle name="표준 23 7 2 2 3 2 3 2" xfId="14801"/>
    <cellStyle name="표준 23 7 2 2 3 2 3 2 2" xfId="14802"/>
    <cellStyle name="표준 23 7 2 2 3 2 3 3" xfId="14803"/>
    <cellStyle name="표준 23 7 2 2 3 2 4" xfId="14804"/>
    <cellStyle name="표준 23 7 2 2 3 2 4 2" xfId="14805"/>
    <cellStyle name="표준 23 7 2 2 3 2 5" xfId="14806"/>
    <cellStyle name="표준 23 7 2 2 3 3" xfId="14807"/>
    <cellStyle name="표준 23 7 2 2 3 3 2" xfId="14808"/>
    <cellStyle name="표준 23 7 2 2 3 3 2 2" xfId="14809"/>
    <cellStyle name="표준 23 7 2 2 3 3 2 2 2" xfId="14810"/>
    <cellStyle name="표준 23 7 2 2 3 3 2 3" xfId="14811"/>
    <cellStyle name="표준 23 7 2 2 3 3 3" xfId="14812"/>
    <cellStyle name="표준 23 7 2 2 3 3 3 2" xfId="14813"/>
    <cellStyle name="표준 23 7 2 2 3 3 4" xfId="14814"/>
    <cellStyle name="표준 23 7 2 2 3 4" xfId="14815"/>
    <cellStyle name="표준 23 7 2 2 3 4 2" xfId="14816"/>
    <cellStyle name="표준 23 7 2 2 3 4 2 2" xfId="14817"/>
    <cellStyle name="표준 23 7 2 2 3 4 3" xfId="14818"/>
    <cellStyle name="표준 23 7 2 2 3 5" xfId="14819"/>
    <cellStyle name="표준 23 7 2 2 3 5 2" xfId="14820"/>
    <cellStyle name="표준 23 7 2 2 3 6" xfId="14821"/>
    <cellStyle name="표준 23 7 2 2 4" xfId="14822"/>
    <cellStyle name="표준 23 7 2 2 4 2" xfId="14823"/>
    <cellStyle name="표준 23 7 2 2 4 2 2" xfId="14824"/>
    <cellStyle name="표준 23 7 2 2 4 2 2 2" xfId="14825"/>
    <cellStyle name="표준 23 7 2 2 4 2 2 2 2" xfId="14826"/>
    <cellStyle name="표준 23 7 2 2 4 2 2 3" xfId="14827"/>
    <cellStyle name="표준 23 7 2 2 4 2 3" xfId="14828"/>
    <cellStyle name="표준 23 7 2 2 4 2 3 2" xfId="14829"/>
    <cellStyle name="표준 23 7 2 2 4 2 4" xfId="14830"/>
    <cellStyle name="표준 23 7 2 2 4 3" xfId="14831"/>
    <cellStyle name="표준 23 7 2 2 4 3 2" xfId="14832"/>
    <cellStyle name="표준 23 7 2 2 4 3 2 2" xfId="14833"/>
    <cellStyle name="표준 23 7 2 2 4 3 3" xfId="14834"/>
    <cellStyle name="표준 23 7 2 2 4 4" xfId="14835"/>
    <cellStyle name="표준 23 7 2 2 4 4 2" xfId="14836"/>
    <cellStyle name="표준 23 7 2 2 4 5" xfId="14837"/>
    <cellStyle name="표준 23 7 2 2 5" xfId="14838"/>
    <cellStyle name="표준 23 7 2 2 5 2" xfId="14839"/>
    <cellStyle name="표준 23 7 2 2 5 2 2" xfId="14840"/>
    <cellStyle name="표준 23 7 2 2 5 2 2 2" xfId="14841"/>
    <cellStyle name="표준 23 7 2 2 5 2 3" xfId="14842"/>
    <cellStyle name="표준 23 7 2 2 5 3" xfId="14843"/>
    <cellStyle name="표준 23 7 2 2 5 3 2" xfId="14844"/>
    <cellStyle name="표준 23 7 2 2 5 4" xfId="14845"/>
    <cellStyle name="표준 23 7 2 2 6" xfId="14846"/>
    <cellStyle name="표준 23 7 2 2 6 2" xfId="14847"/>
    <cellStyle name="표준 23 7 2 2 6 2 2" xfId="14848"/>
    <cellStyle name="표준 23 7 2 2 6 3" xfId="14849"/>
    <cellStyle name="표준 23 7 2 2 7" xfId="14850"/>
    <cellStyle name="표준 23 7 2 2 7 2" xfId="14851"/>
    <cellStyle name="표준 23 7 2 2 8" xfId="14852"/>
    <cellStyle name="표준 23 7 2 2 9" xfId="14853"/>
    <cellStyle name="표준 23 7 2 3" xfId="14854"/>
    <cellStyle name="표준 23 7 2 3 2" xfId="14855"/>
    <cellStyle name="표준 23 7 2 3 2 2" xfId="14856"/>
    <cellStyle name="표준 23 7 2 3 2 2 2" xfId="14857"/>
    <cellStyle name="표준 23 7 2 3 2 2 2 2" xfId="14858"/>
    <cellStyle name="표준 23 7 2 3 2 2 2 2 2" xfId="14859"/>
    <cellStyle name="표준 23 7 2 3 2 2 2 2 2 2" xfId="14860"/>
    <cellStyle name="표준 23 7 2 3 2 2 2 2 3" xfId="14861"/>
    <cellStyle name="표준 23 7 2 3 2 2 2 3" xfId="14862"/>
    <cellStyle name="표준 23 7 2 3 2 2 2 3 2" xfId="14863"/>
    <cellStyle name="표준 23 7 2 3 2 2 2 4" xfId="14864"/>
    <cellStyle name="표준 23 7 2 3 2 2 3" xfId="14865"/>
    <cellStyle name="표준 23 7 2 3 2 2 3 2" xfId="14866"/>
    <cellStyle name="표준 23 7 2 3 2 2 3 2 2" xfId="14867"/>
    <cellStyle name="표준 23 7 2 3 2 2 3 3" xfId="14868"/>
    <cellStyle name="표준 23 7 2 3 2 2 4" xfId="14869"/>
    <cellStyle name="표준 23 7 2 3 2 2 4 2" xfId="14870"/>
    <cellStyle name="표준 23 7 2 3 2 2 5" xfId="14871"/>
    <cellStyle name="표준 23 7 2 3 2 3" xfId="14872"/>
    <cellStyle name="표준 23 7 2 3 2 3 2" xfId="14873"/>
    <cellStyle name="표준 23 7 2 3 2 3 2 2" xfId="14874"/>
    <cellStyle name="표준 23 7 2 3 2 3 2 2 2" xfId="14875"/>
    <cellStyle name="표준 23 7 2 3 2 3 2 3" xfId="14876"/>
    <cellStyle name="표준 23 7 2 3 2 3 3" xfId="14877"/>
    <cellStyle name="표준 23 7 2 3 2 3 3 2" xfId="14878"/>
    <cellStyle name="표준 23 7 2 3 2 3 4" xfId="14879"/>
    <cellStyle name="표준 23 7 2 3 2 4" xfId="14880"/>
    <cellStyle name="표준 23 7 2 3 2 4 2" xfId="14881"/>
    <cellStyle name="표준 23 7 2 3 2 4 2 2" xfId="14882"/>
    <cellStyle name="표준 23 7 2 3 2 4 3" xfId="14883"/>
    <cellStyle name="표준 23 7 2 3 2 5" xfId="14884"/>
    <cellStyle name="표준 23 7 2 3 2 5 2" xfId="14885"/>
    <cellStyle name="표준 23 7 2 3 2 6" xfId="14886"/>
    <cellStyle name="표준 23 7 2 3 3" xfId="14887"/>
    <cellStyle name="표준 23 7 2 3 3 2" xfId="14888"/>
    <cellStyle name="표준 23 7 2 3 3 2 2" xfId="14889"/>
    <cellStyle name="표준 23 7 2 3 3 2 2 2" xfId="14890"/>
    <cellStyle name="표준 23 7 2 3 3 2 2 2 2" xfId="14891"/>
    <cellStyle name="표준 23 7 2 3 3 2 2 3" xfId="14892"/>
    <cellStyle name="표준 23 7 2 3 3 2 3" xfId="14893"/>
    <cellStyle name="표준 23 7 2 3 3 2 3 2" xfId="14894"/>
    <cellStyle name="표준 23 7 2 3 3 2 4" xfId="14895"/>
    <cellStyle name="표준 23 7 2 3 3 3" xfId="14896"/>
    <cellStyle name="표준 23 7 2 3 3 3 2" xfId="14897"/>
    <cellStyle name="표준 23 7 2 3 3 3 2 2" xfId="14898"/>
    <cellStyle name="표준 23 7 2 3 3 3 3" xfId="14899"/>
    <cellStyle name="표준 23 7 2 3 3 4" xfId="14900"/>
    <cellStyle name="표준 23 7 2 3 3 4 2" xfId="14901"/>
    <cellStyle name="표준 23 7 2 3 3 5" xfId="14902"/>
    <cellStyle name="표준 23 7 2 3 4" xfId="14903"/>
    <cellStyle name="표준 23 7 2 3 4 2" xfId="14904"/>
    <cellStyle name="표준 23 7 2 3 4 2 2" xfId="14905"/>
    <cellStyle name="표준 23 7 2 3 4 2 2 2" xfId="14906"/>
    <cellStyle name="표준 23 7 2 3 4 2 3" xfId="14907"/>
    <cellStyle name="표준 23 7 2 3 4 3" xfId="14908"/>
    <cellStyle name="표준 23 7 2 3 4 3 2" xfId="14909"/>
    <cellStyle name="표준 23 7 2 3 4 4" xfId="14910"/>
    <cellStyle name="표준 23 7 2 3 5" xfId="14911"/>
    <cellStyle name="표준 23 7 2 3 5 2" xfId="14912"/>
    <cellStyle name="표준 23 7 2 3 5 2 2" xfId="14913"/>
    <cellStyle name="표준 23 7 2 3 5 3" xfId="14914"/>
    <cellStyle name="표준 23 7 2 3 6" xfId="14915"/>
    <cellStyle name="표준 23 7 2 3 6 2" xfId="14916"/>
    <cellStyle name="표준 23 7 2 3 7" xfId="14917"/>
    <cellStyle name="표준 23 7 2 3 8" xfId="14918"/>
    <cellStyle name="표준 23 7 2 4" xfId="14919"/>
    <cellStyle name="표준 23 7 2 4 2" xfId="14920"/>
    <cellStyle name="표준 23 7 2 4 2 2" xfId="14921"/>
    <cellStyle name="표준 23 7 2 4 2 2 2" xfId="14922"/>
    <cellStyle name="표준 23 7 2 4 2 2 2 2" xfId="14923"/>
    <cellStyle name="표준 23 7 2 4 2 2 2 2 2" xfId="14924"/>
    <cellStyle name="표준 23 7 2 4 2 2 2 3" xfId="14925"/>
    <cellStyle name="표준 23 7 2 4 2 2 3" xfId="14926"/>
    <cellStyle name="표준 23 7 2 4 2 2 3 2" xfId="14927"/>
    <cellStyle name="표준 23 7 2 4 2 2 4" xfId="14928"/>
    <cellStyle name="표준 23 7 2 4 2 3" xfId="14929"/>
    <cellStyle name="표준 23 7 2 4 2 3 2" xfId="14930"/>
    <cellStyle name="표준 23 7 2 4 2 3 2 2" xfId="14931"/>
    <cellStyle name="표준 23 7 2 4 2 3 3" xfId="14932"/>
    <cellStyle name="표준 23 7 2 4 2 4" xfId="14933"/>
    <cellStyle name="표준 23 7 2 4 2 4 2" xfId="14934"/>
    <cellStyle name="표준 23 7 2 4 2 5" xfId="14935"/>
    <cellStyle name="표준 23 7 2 4 3" xfId="14936"/>
    <cellStyle name="표준 23 7 2 4 3 2" xfId="14937"/>
    <cellStyle name="표준 23 7 2 4 3 2 2" xfId="14938"/>
    <cellStyle name="표준 23 7 2 4 3 2 2 2" xfId="14939"/>
    <cellStyle name="표준 23 7 2 4 3 2 3" xfId="14940"/>
    <cellStyle name="표준 23 7 2 4 3 3" xfId="14941"/>
    <cellStyle name="표준 23 7 2 4 3 3 2" xfId="14942"/>
    <cellStyle name="표준 23 7 2 4 3 4" xfId="14943"/>
    <cellStyle name="표준 23 7 2 4 4" xfId="14944"/>
    <cellStyle name="표준 23 7 2 4 4 2" xfId="14945"/>
    <cellStyle name="표준 23 7 2 4 4 2 2" xfId="14946"/>
    <cellStyle name="표준 23 7 2 4 4 3" xfId="14947"/>
    <cellStyle name="표준 23 7 2 4 5" xfId="14948"/>
    <cellStyle name="표준 23 7 2 4 5 2" xfId="14949"/>
    <cellStyle name="표준 23 7 2 4 6" xfId="14950"/>
    <cellStyle name="표준 23 7 2 5" xfId="14951"/>
    <cellStyle name="표준 23 7 2 5 2" xfId="14952"/>
    <cellStyle name="표준 23 7 2 5 2 2" xfId="14953"/>
    <cellStyle name="표준 23 7 2 5 2 2 2" xfId="14954"/>
    <cellStyle name="표준 23 7 2 5 2 2 2 2" xfId="14955"/>
    <cellStyle name="표준 23 7 2 5 2 2 3" xfId="14956"/>
    <cellStyle name="표준 23 7 2 5 2 3" xfId="14957"/>
    <cellStyle name="표준 23 7 2 5 2 3 2" xfId="14958"/>
    <cellStyle name="표준 23 7 2 5 2 4" xfId="14959"/>
    <cellStyle name="표준 23 7 2 5 3" xfId="14960"/>
    <cellStyle name="표준 23 7 2 5 3 2" xfId="14961"/>
    <cellStyle name="표준 23 7 2 5 3 2 2" xfId="14962"/>
    <cellStyle name="표준 23 7 2 5 3 3" xfId="14963"/>
    <cellStyle name="표준 23 7 2 5 4" xfId="14964"/>
    <cellStyle name="표준 23 7 2 5 4 2" xfId="14965"/>
    <cellStyle name="표준 23 7 2 5 5" xfId="14966"/>
    <cellStyle name="표준 23 7 2 6" xfId="14967"/>
    <cellStyle name="표준 23 7 2 6 2" xfId="14968"/>
    <cellStyle name="표준 23 7 2 6 2 2" xfId="14969"/>
    <cellStyle name="표준 23 7 2 6 2 2 2" xfId="14970"/>
    <cellStyle name="표준 23 7 2 6 2 3" xfId="14971"/>
    <cellStyle name="표준 23 7 2 6 3" xfId="14972"/>
    <cellStyle name="표준 23 7 2 6 3 2" xfId="14973"/>
    <cellStyle name="표준 23 7 2 6 4" xfId="14974"/>
    <cellStyle name="표준 23 7 2 7" xfId="14975"/>
    <cellStyle name="표준 23 7 2 7 2" xfId="14976"/>
    <cellStyle name="표준 23 7 2 7 2 2" xfId="14977"/>
    <cellStyle name="표준 23 7 2 7 3" xfId="14978"/>
    <cellStyle name="표준 23 7 2 8" xfId="14979"/>
    <cellStyle name="표준 23 7 2 8 2" xfId="14980"/>
    <cellStyle name="표준 23 7 2 9" xfId="14981"/>
    <cellStyle name="표준 23 7 3" xfId="14982"/>
    <cellStyle name="표준 23 7 3 2" xfId="14983"/>
    <cellStyle name="표준 23 7 3 2 2" xfId="14984"/>
    <cellStyle name="표준 23 7 3 2 2 2" xfId="14985"/>
    <cellStyle name="표준 23 7 3 2 2 2 2" xfId="14986"/>
    <cellStyle name="표준 23 7 3 2 2 2 2 2" xfId="14987"/>
    <cellStyle name="표준 23 7 3 2 2 2 2 2 2" xfId="14988"/>
    <cellStyle name="표준 23 7 3 2 2 2 2 2 2 2" xfId="14989"/>
    <cellStyle name="표준 23 7 3 2 2 2 2 2 3" xfId="14990"/>
    <cellStyle name="표준 23 7 3 2 2 2 2 3" xfId="14991"/>
    <cellStyle name="표준 23 7 3 2 2 2 2 3 2" xfId="14992"/>
    <cellStyle name="표준 23 7 3 2 2 2 2 4" xfId="14993"/>
    <cellStyle name="표준 23 7 3 2 2 2 3" xfId="14994"/>
    <cellStyle name="표준 23 7 3 2 2 2 3 2" xfId="14995"/>
    <cellStyle name="표준 23 7 3 2 2 2 3 2 2" xfId="14996"/>
    <cellStyle name="표준 23 7 3 2 2 2 3 3" xfId="14997"/>
    <cellStyle name="표준 23 7 3 2 2 2 4" xfId="14998"/>
    <cellStyle name="표준 23 7 3 2 2 2 4 2" xfId="14999"/>
    <cellStyle name="표준 23 7 3 2 2 2 5" xfId="15000"/>
    <cellStyle name="표준 23 7 3 2 2 3" xfId="15001"/>
    <cellStyle name="표준 23 7 3 2 2 3 2" xfId="15002"/>
    <cellStyle name="표준 23 7 3 2 2 3 2 2" xfId="15003"/>
    <cellStyle name="표준 23 7 3 2 2 3 2 2 2" xfId="15004"/>
    <cellStyle name="표준 23 7 3 2 2 3 2 3" xfId="15005"/>
    <cellStyle name="표준 23 7 3 2 2 3 3" xfId="15006"/>
    <cellStyle name="표준 23 7 3 2 2 3 3 2" xfId="15007"/>
    <cellStyle name="표준 23 7 3 2 2 3 4" xfId="15008"/>
    <cellStyle name="표준 23 7 3 2 2 4" xfId="15009"/>
    <cellStyle name="표준 23 7 3 2 2 4 2" xfId="15010"/>
    <cellStyle name="표준 23 7 3 2 2 4 2 2" xfId="15011"/>
    <cellStyle name="표준 23 7 3 2 2 4 3" xfId="15012"/>
    <cellStyle name="표준 23 7 3 2 2 5" xfId="15013"/>
    <cellStyle name="표준 23 7 3 2 2 5 2" xfId="15014"/>
    <cellStyle name="표준 23 7 3 2 2 6" xfId="15015"/>
    <cellStyle name="표준 23 7 3 2 3" xfId="15016"/>
    <cellStyle name="표준 23 7 3 2 3 2" xfId="15017"/>
    <cellStyle name="표준 23 7 3 2 3 2 2" xfId="15018"/>
    <cellStyle name="표준 23 7 3 2 3 2 2 2" xfId="15019"/>
    <cellStyle name="표준 23 7 3 2 3 2 2 2 2" xfId="15020"/>
    <cellStyle name="표준 23 7 3 2 3 2 2 3" xfId="15021"/>
    <cellStyle name="표준 23 7 3 2 3 2 3" xfId="15022"/>
    <cellStyle name="표준 23 7 3 2 3 2 3 2" xfId="15023"/>
    <cellStyle name="표준 23 7 3 2 3 2 4" xfId="15024"/>
    <cellStyle name="표준 23 7 3 2 3 3" xfId="15025"/>
    <cellStyle name="표준 23 7 3 2 3 3 2" xfId="15026"/>
    <cellStyle name="표준 23 7 3 2 3 3 2 2" xfId="15027"/>
    <cellStyle name="표준 23 7 3 2 3 3 3" xfId="15028"/>
    <cellStyle name="표준 23 7 3 2 3 4" xfId="15029"/>
    <cellStyle name="표준 23 7 3 2 3 4 2" xfId="15030"/>
    <cellStyle name="표준 23 7 3 2 3 5" xfId="15031"/>
    <cellStyle name="표준 23 7 3 2 4" xfId="15032"/>
    <cellStyle name="표준 23 7 3 2 4 2" xfId="15033"/>
    <cellStyle name="표준 23 7 3 2 4 2 2" xfId="15034"/>
    <cellStyle name="표준 23 7 3 2 4 2 2 2" xfId="15035"/>
    <cellStyle name="표준 23 7 3 2 4 2 3" xfId="15036"/>
    <cellStyle name="표준 23 7 3 2 4 3" xfId="15037"/>
    <cellStyle name="표준 23 7 3 2 4 3 2" xfId="15038"/>
    <cellStyle name="표준 23 7 3 2 4 4" xfId="15039"/>
    <cellStyle name="표준 23 7 3 2 5" xfId="15040"/>
    <cellStyle name="표준 23 7 3 2 5 2" xfId="15041"/>
    <cellStyle name="표준 23 7 3 2 5 2 2" xfId="15042"/>
    <cellStyle name="표준 23 7 3 2 5 3" xfId="15043"/>
    <cellStyle name="표준 23 7 3 2 6" xfId="15044"/>
    <cellStyle name="표준 23 7 3 2 6 2" xfId="15045"/>
    <cellStyle name="표준 23 7 3 2 7" xfId="15046"/>
    <cellStyle name="표준 23 7 3 2 8" xfId="15047"/>
    <cellStyle name="표준 23 7 3 3" xfId="15048"/>
    <cellStyle name="표준 23 7 3 3 2" xfId="15049"/>
    <cellStyle name="표준 23 7 3 3 2 2" xfId="15050"/>
    <cellStyle name="표준 23 7 3 3 2 2 2" xfId="15051"/>
    <cellStyle name="표준 23 7 3 3 2 2 2 2" xfId="15052"/>
    <cellStyle name="표준 23 7 3 3 2 2 2 2 2" xfId="15053"/>
    <cellStyle name="표준 23 7 3 3 2 2 2 3" xfId="15054"/>
    <cellStyle name="표준 23 7 3 3 2 2 3" xfId="15055"/>
    <cellStyle name="표준 23 7 3 3 2 2 3 2" xfId="15056"/>
    <cellStyle name="표준 23 7 3 3 2 2 4" xfId="15057"/>
    <cellStyle name="표준 23 7 3 3 2 3" xfId="15058"/>
    <cellStyle name="표준 23 7 3 3 2 3 2" xfId="15059"/>
    <cellStyle name="표준 23 7 3 3 2 3 2 2" xfId="15060"/>
    <cellStyle name="표준 23 7 3 3 2 3 3" xfId="15061"/>
    <cellStyle name="표준 23 7 3 3 2 4" xfId="15062"/>
    <cellStyle name="표준 23 7 3 3 2 4 2" xfId="15063"/>
    <cellStyle name="표준 23 7 3 3 2 5" xfId="15064"/>
    <cellStyle name="표준 23 7 3 3 3" xfId="15065"/>
    <cellStyle name="표준 23 7 3 3 3 2" xfId="15066"/>
    <cellStyle name="표준 23 7 3 3 3 2 2" xfId="15067"/>
    <cellStyle name="표준 23 7 3 3 3 2 2 2" xfId="15068"/>
    <cellStyle name="표준 23 7 3 3 3 2 3" xfId="15069"/>
    <cellStyle name="표준 23 7 3 3 3 3" xfId="15070"/>
    <cellStyle name="표준 23 7 3 3 3 3 2" xfId="15071"/>
    <cellStyle name="표준 23 7 3 3 3 4" xfId="15072"/>
    <cellStyle name="표준 23 7 3 3 4" xfId="15073"/>
    <cellStyle name="표준 23 7 3 3 4 2" xfId="15074"/>
    <cellStyle name="표준 23 7 3 3 4 2 2" xfId="15075"/>
    <cellStyle name="표준 23 7 3 3 4 3" xfId="15076"/>
    <cellStyle name="표준 23 7 3 3 5" xfId="15077"/>
    <cellStyle name="표준 23 7 3 3 5 2" xfId="15078"/>
    <cellStyle name="표준 23 7 3 3 6" xfId="15079"/>
    <cellStyle name="표준 23 7 3 4" xfId="15080"/>
    <cellStyle name="표준 23 7 3 4 2" xfId="15081"/>
    <cellStyle name="표준 23 7 3 4 2 2" xfId="15082"/>
    <cellStyle name="표준 23 7 3 4 2 2 2" xfId="15083"/>
    <cellStyle name="표준 23 7 3 4 2 2 2 2" xfId="15084"/>
    <cellStyle name="표준 23 7 3 4 2 2 3" xfId="15085"/>
    <cellStyle name="표준 23 7 3 4 2 3" xfId="15086"/>
    <cellStyle name="표준 23 7 3 4 2 3 2" xfId="15087"/>
    <cellStyle name="표준 23 7 3 4 2 4" xfId="15088"/>
    <cellStyle name="표준 23 7 3 4 3" xfId="15089"/>
    <cellStyle name="표준 23 7 3 4 3 2" xfId="15090"/>
    <cellStyle name="표준 23 7 3 4 3 2 2" xfId="15091"/>
    <cellStyle name="표준 23 7 3 4 3 3" xfId="15092"/>
    <cellStyle name="표준 23 7 3 4 4" xfId="15093"/>
    <cellStyle name="표준 23 7 3 4 4 2" xfId="15094"/>
    <cellStyle name="표준 23 7 3 4 5" xfId="15095"/>
    <cellStyle name="표준 23 7 3 5" xfId="15096"/>
    <cellStyle name="표준 23 7 3 5 2" xfId="15097"/>
    <cellStyle name="표준 23 7 3 5 2 2" xfId="15098"/>
    <cellStyle name="표준 23 7 3 5 2 2 2" xfId="15099"/>
    <cellStyle name="표준 23 7 3 5 2 3" xfId="15100"/>
    <cellStyle name="표준 23 7 3 5 3" xfId="15101"/>
    <cellStyle name="표준 23 7 3 5 3 2" xfId="15102"/>
    <cellStyle name="표준 23 7 3 5 4" xfId="15103"/>
    <cellStyle name="표준 23 7 3 6" xfId="15104"/>
    <cellStyle name="표준 23 7 3 6 2" xfId="15105"/>
    <cellStyle name="표준 23 7 3 6 2 2" xfId="15106"/>
    <cellStyle name="표준 23 7 3 6 3" xfId="15107"/>
    <cellStyle name="표준 23 7 3 7" xfId="15108"/>
    <cellStyle name="표준 23 7 3 7 2" xfId="15109"/>
    <cellStyle name="표준 23 7 3 8" xfId="15110"/>
    <cellStyle name="표준 23 7 3 9" xfId="15111"/>
    <cellStyle name="표준 23 7 4" xfId="15112"/>
    <cellStyle name="표준 23 7 4 2" xfId="15113"/>
    <cellStyle name="표준 23 7 4 2 2" xfId="15114"/>
    <cellStyle name="표준 23 7 4 2 2 2" xfId="15115"/>
    <cellStyle name="표준 23 7 4 2 2 2 2" xfId="15116"/>
    <cellStyle name="표준 23 7 4 2 2 2 2 2" xfId="15117"/>
    <cellStyle name="표준 23 7 4 2 2 2 2 2 2" xfId="15118"/>
    <cellStyle name="표준 23 7 4 2 2 2 2 3" xfId="15119"/>
    <cellStyle name="표준 23 7 4 2 2 2 3" xfId="15120"/>
    <cellStyle name="표준 23 7 4 2 2 2 3 2" xfId="15121"/>
    <cellStyle name="표준 23 7 4 2 2 2 4" xfId="15122"/>
    <cellStyle name="표준 23 7 4 2 2 3" xfId="15123"/>
    <cellStyle name="표준 23 7 4 2 2 3 2" xfId="15124"/>
    <cellStyle name="표준 23 7 4 2 2 3 2 2" xfId="15125"/>
    <cellStyle name="표준 23 7 4 2 2 3 3" xfId="15126"/>
    <cellStyle name="표준 23 7 4 2 2 4" xfId="15127"/>
    <cellStyle name="표준 23 7 4 2 2 4 2" xfId="15128"/>
    <cellStyle name="표준 23 7 4 2 2 5" xfId="15129"/>
    <cellStyle name="표준 23 7 4 2 3" xfId="15130"/>
    <cellStyle name="표준 23 7 4 2 3 2" xfId="15131"/>
    <cellStyle name="표준 23 7 4 2 3 2 2" xfId="15132"/>
    <cellStyle name="표준 23 7 4 2 3 2 2 2" xfId="15133"/>
    <cellStyle name="표준 23 7 4 2 3 2 3" xfId="15134"/>
    <cellStyle name="표준 23 7 4 2 3 3" xfId="15135"/>
    <cellStyle name="표준 23 7 4 2 3 3 2" xfId="15136"/>
    <cellStyle name="표준 23 7 4 2 3 4" xfId="15137"/>
    <cellStyle name="표준 23 7 4 2 4" xfId="15138"/>
    <cellStyle name="표준 23 7 4 2 4 2" xfId="15139"/>
    <cellStyle name="표준 23 7 4 2 4 2 2" xfId="15140"/>
    <cellStyle name="표준 23 7 4 2 4 3" xfId="15141"/>
    <cellStyle name="표준 23 7 4 2 5" xfId="15142"/>
    <cellStyle name="표준 23 7 4 2 5 2" xfId="15143"/>
    <cellStyle name="표준 23 7 4 2 6" xfId="15144"/>
    <cellStyle name="표준 23 7 4 3" xfId="15145"/>
    <cellStyle name="표준 23 7 4 3 2" xfId="15146"/>
    <cellStyle name="표준 23 7 4 3 2 2" xfId="15147"/>
    <cellStyle name="표준 23 7 4 3 2 2 2" xfId="15148"/>
    <cellStyle name="표준 23 7 4 3 2 2 2 2" xfId="15149"/>
    <cellStyle name="표준 23 7 4 3 2 2 3" xfId="15150"/>
    <cellStyle name="표준 23 7 4 3 2 3" xfId="15151"/>
    <cellStyle name="표준 23 7 4 3 2 3 2" xfId="15152"/>
    <cellStyle name="표준 23 7 4 3 2 4" xfId="15153"/>
    <cellStyle name="표준 23 7 4 3 3" xfId="15154"/>
    <cellStyle name="표준 23 7 4 3 3 2" xfId="15155"/>
    <cellStyle name="표준 23 7 4 3 3 2 2" xfId="15156"/>
    <cellStyle name="표준 23 7 4 3 3 3" xfId="15157"/>
    <cellStyle name="표준 23 7 4 3 4" xfId="15158"/>
    <cellStyle name="표준 23 7 4 3 4 2" xfId="15159"/>
    <cellStyle name="표준 23 7 4 3 5" xfId="15160"/>
    <cellStyle name="표준 23 7 4 4" xfId="15161"/>
    <cellStyle name="표준 23 7 4 4 2" xfId="15162"/>
    <cellStyle name="표준 23 7 4 4 2 2" xfId="15163"/>
    <cellStyle name="표준 23 7 4 4 2 2 2" xfId="15164"/>
    <cellStyle name="표준 23 7 4 4 2 3" xfId="15165"/>
    <cellStyle name="표준 23 7 4 4 3" xfId="15166"/>
    <cellStyle name="표준 23 7 4 4 3 2" xfId="15167"/>
    <cellStyle name="표준 23 7 4 4 4" xfId="15168"/>
    <cellStyle name="표준 23 7 4 5" xfId="15169"/>
    <cellStyle name="표준 23 7 4 5 2" xfId="15170"/>
    <cellStyle name="표준 23 7 4 5 2 2" xfId="15171"/>
    <cellStyle name="표준 23 7 4 5 3" xfId="15172"/>
    <cellStyle name="표준 23 7 4 6" xfId="15173"/>
    <cellStyle name="표준 23 7 4 6 2" xfId="15174"/>
    <cellStyle name="표준 23 7 4 7" xfId="15175"/>
    <cellStyle name="표준 23 7 4 8" xfId="15176"/>
    <cellStyle name="표준 23 7 5" xfId="15177"/>
    <cellStyle name="표준 23 7 5 2" xfId="15178"/>
    <cellStyle name="표준 23 7 5 2 2" xfId="15179"/>
    <cellStyle name="표준 23 7 5 2 2 2" xfId="15180"/>
    <cellStyle name="표준 23 7 5 2 2 2 2" xfId="15181"/>
    <cellStyle name="표준 23 7 5 2 2 2 2 2" xfId="15182"/>
    <cellStyle name="표준 23 7 5 2 2 2 3" xfId="15183"/>
    <cellStyle name="표준 23 7 5 2 2 3" xfId="15184"/>
    <cellStyle name="표준 23 7 5 2 2 3 2" xfId="15185"/>
    <cellStyle name="표준 23 7 5 2 2 4" xfId="15186"/>
    <cellStyle name="표준 23 7 5 2 3" xfId="15187"/>
    <cellStyle name="표준 23 7 5 2 3 2" xfId="15188"/>
    <cellStyle name="표준 23 7 5 2 3 2 2" xfId="15189"/>
    <cellStyle name="표준 23 7 5 2 3 3" xfId="15190"/>
    <cellStyle name="표준 23 7 5 2 4" xfId="15191"/>
    <cellStyle name="표준 23 7 5 2 4 2" xfId="15192"/>
    <cellStyle name="표준 23 7 5 2 5" xfId="15193"/>
    <cellStyle name="표준 23 7 5 3" xfId="15194"/>
    <cellStyle name="표준 23 7 5 3 2" xfId="15195"/>
    <cellStyle name="표준 23 7 5 3 2 2" xfId="15196"/>
    <cellStyle name="표준 23 7 5 3 2 2 2" xfId="15197"/>
    <cellStyle name="표준 23 7 5 3 2 3" xfId="15198"/>
    <cellStyle name="표준 23 7 5 3 3" xfId="15199"/>
    <cellStyle name="표준 23 7 5 3 3 2" xfId="15200"/>
    <cellStyle name="표준 23 7 5 3 4" xfId="15201"/>
    <cellStyle name="표준 23 7 5 4" xfId="15202"/>
    <cellStyle name="표준 23 7 5 4 2" xfId="15203"/>
    <cellStyle name="표준 23 7 5 4 2 2" xfId="15204"/>
    <cellStyle name="표준 23 7 5 4 3" xfId="15205"/>
    <cellStyle name="표준 23 7 5 5" xfId="15206"/>
    <cellStyle name="표준 23 7 5 5 2" xfId="15207"/>
    <cellStyle name="표준 23 7 5 6" xfId="15208"/>
    <cellStyle name="표준 23 7 6" xfId="15209"/>
    <cellStyle name="표준 23 7 6 2" xfId="15210"/>
    <cellStyle name="표준 23 7 6 2 2" xfId="15211"/>
    <cellStyle name="표준 23 7 6 2 2 2" xfId="15212"/>
    <cellStyle name="표준 23 7 6 2 2 2 2" xfId="15213"/>
    <cellStyle name="표준 23 7 6 2 2 3" xfId="15214"/>
    <cellStyle name="표준 23 7 6 2 3" xfId="15215"/>
    <cellStyle name="표준 23 7 6 2 3 2" xfId="15216"/>
    <cellStyle name="표준 23 7 6 2 4" xfId="15217"/>
    <cellStyle name="표준 23 7 6 3" xfId="15218"/>
    <cellStyle name="표준 23 7 6 3 2" xfId="15219"/>
    <cellStyle name="표준 23 7 6 3 2 2" xfId="15220"/>
    <cellStyle name="표준 23 7 6 3 3" xfId="15221"/>
    <cellStyle name="표준 23 7 6 4" xfId="15222"/>
    <cellStyle name="표준 23 7 6 4 2" xfId="15223"/>
    <cellStyle name="표준 23 7 6 5" xfId="15224"/>
    <cellStyle name="표준 23 7 7" xfId="15225"/>
    <cellStyle name="표준 23 7 7 2" xfId="15226"/>
    <cellStyle name="표준 23 7 7 2 2" xfId="15227"/>
    <cellStyle name="표준 23 7 7 2 2 2" xfId="15228"/>
    <cellStyle name="표준 23 7 7 2 3" xfId="15229"/>
    <cellStyle name="표준 23 7 7 3" xfId="15230"/>
    <cellStyle name="표준 23 7 7 3 2" xfId="15231"/>
    <cellStyle name="표준 23 7 7 4" xfId="15232"/>
    <cellStyle name="표준 23 7 8" xfId="15233"/>
    <cellStyle name="표준 23 7 8 2" xfId="15234"/>
    <cellStyle name="표준 23 7 8 2 2" xfId="15235"/>
    <cellStyle name="표준 23 7 8 3" xfId="15236"/>
    <cellStyle name="표준 23 7 9" xfId="15237"/>
    <cellStyle name="표준 23 7 9 2" xfId="15238"/>
    <cellStyle name="표준 23 8" xfId="15239"/>
    <cellStyle name="표준 23 8 10" xfId="15240"/>
    <cellStyle name="표준 23 8 2" xfId="15241"/>
    <cellStyle name="표준 23 8 2 2" xfId="15242"/>
    <cellStyle name="표준 23 8 2 2 2" xfId="15243"/>
    <cellStyle name="표준 23 8 2 2 2 2" xfId="15244"/>
    <cellStyle name="표준 23 8 2 2 2 2 2" xfId="15245"/>
    <cellStyle name="표준 23 8 2 2 2 2 2 2" xfId="15246"/>
    <cellStyle name="표준 23 8 2 2 2 2 2 2 2" xfId="15247"/>
    <cellStyle name="표준 23 8 2 2 2 2 2 2 2 2" xfId="15248"/>
    <cellStyle name="표준 23 8 2 2 2 2 2 2 3" xfId="15249"/>
    <cellStyle name="표준 23 8 2 2 2 2 2 3" xfId="15250"/>
    <cellStyle name="표준 23 8 2 2 2 2 2 3 2" xfId="15251"/>
    <cellStyle name="표준 23 8 2 2 2 2 2 4" xfId="15252"/>
    <cellStyle name="표준 23 8 2 2 2 2 3" xfId="15253"/>
    <cellStyle name="표준 23 8 2 2 2 2 3 2" xfId="15254"/>
    <cellStyle name="표준 23 8 2 2 2 2 3 2 2" xfId="15255"/>
    <cellStyle name="표준 23 8 2 2 2 2 3 3" xfId="15256"/>
    <cellStyle name="표준 23 8 2 2 2 2 4" xfId="15257"/>
    <cellStyle name="표준 23 8 2 2 2 2 4 2" xfId="15258"/>
    <cellStyle name="표준 23 8 2 2 2 2 5" xfId="15259"/>
    <cellStyle name="표준 23 8 2 2 2 3" xfId="15260"/>
    <cellStyle name="표준 23 8 2 2 2 3 2" xfId="15261"/>
    <cellStyle name="표준 23 8 2 2 2 3 2 2" xfId="15262"/>
    <cellStyle name="표준 23 8 2 2 2 3 2 2 2" xfId="15263"/>
    <cellStyle name="표준 23 8 2 2 2 3 2 3" xfId="15264"/>
    <cellStyle name="표준 23 8 2 2 2 3 3" xfId="15265"/>
    <cellStyle name="표준 23 8 2 2 2 3 3 2" xfId="15266"/>
    <cellStyle name="표준 23 8 2 2 2 3 4" xfId="15267"/>
    <cellStyle name="표준 23 8 2 2 2 4" xfId="15268"/>
    <cellStyle name="표준 23 8 2 2 2 4 2" xfId="15269"/>
    <cellStyle name="표준 23 8 2 2 2 4 2 2" xfId="15270"/>
    <cellStyle name="표준 23 8 2 2 2 4 3" xfId="15271"/>
    <cellStyle name="표준 23 8 2 2 2 5" xfId="15272"/>
    <cellStyle name="표준 23 8 2 2 2 5 2" xfId="15273"/>
    <cellStyle name="표준 23 8 2 2 2 6" xfId="15274"/>
    <cellStyle name="표준 23 8 2 2 3" xfId="15275"/>
    <cellStyle name="표준 23 8 2 2 3 2" xfId="15276"/>
    <cellStyle name="표준 23 8 2 2 3 2 2" xfId="15277"/>
    <cellStyle name="표준 23 8 2 2 3 2 2 2" xfId="15278"/>
    <cellStyle name="표준 23 8 2 2 3 2 2 2 2" xfId="15279"/>
    <cellStyle name="표준 23 8 2 2 3 2 2 3" xfId="15280"/>
    <cellStyle name="표준 23 8 2 2 3 2 3" xfId="15281"/>
    <cellStyle name="표준 23 8 2 2 3 2 3 2" xfId="15282"/>
    <cellStyle name="표준 23 8 2 2 3 2 4" xfId="15283"/>
    <cellStyle name="표준 23 8 2 2 3 3" xfId="15284"/>
    <cellStyle name="표준 23 8 2 2 3 3 2" xfId="15285"/>
    <cellStyle name="표준 23 8 2 2 3 3 2 2" xfId="15286"/>
    <cellStyle name="표준 23 8 2 2 3 3 3" xfId="15287"/>
    <cellStyle name="표준 23 8 2 2 3 4" xfId="15288"/>
    <cellStyle name="표준 23 8 2 2 3 4 2" xfId="15289"/>
    <cellStyle name="표준 23 8 2 2 3 5" xfId="15290"/>
    <cellStyle name="표준 23 8 2 2 4" xfId="15291"/>
    <cellStyle name="표준 23 8 2 2 4 2" xfId="15292"/>
    <cellStyle name="표준 23 8 2 2 4 2 2" xfId="15293"/>
    <cellStyle name="표준 23 8 2 2 4 2 2 2" xfId="15294"/>
    <cellStyle name="표준 23 8 2 2 4 2 3" xfId="15295"/>
    <cellStyle name="표준 23 8 2 2 4 3" xfId="15296"/>
    <cellStyle name="표준 23 8 2 2 4 3 2" xfId="15297"/>
    <cellStyle name="표준 23 8 2 2 4 4" xfId="15298"/>
    <cellStyle name="표준 23 8 2 2 5" xfId="15299"/>
    <cellStyle name="표준 23 8 2 2 5 2" xfId="15300"/>
    <cellStyle name="표준 23 8 2 2 5 2 2" xfId="15301"/>
    <cellStyle name="표준 23 8 2 2 5 3" xfId="15302"/>
    <cellStyle name="표준 23 8 2 2 6" xfId="15303"/>
    <cellStyle name="표준 23 8 2 2 6 2" xfId="15304"/>
    <cellStyle name="표준 23 8 2 2 7" xfId="15305"/>
    <cellStyle name="표준 23 8 2 2 8" xfId="15306"/>
    <cellStyle name="표준 23 8 2 3" xfId="15307"/>
    <cellStyle name="표준 23 8 2 3 2" xfId="15308"/>
    <cellStyle name="표준 23 8 2 3 2 2" xfId="15309"/>
    <cellStyle name="표준 23 8 2 3 2 2 2" xfId="15310"/>
    <cellStyle name="표준 23 8 2 3 2 2 2 2" xfId="15311"/>
    <cellStyle name="표준 23 8 2 3 2 2 2 2 2" xfId="15312"/>
    <cellStyle name="표준 23 8 2 3 2 2 2 3" xfId="15313"/>
    <cellStyle name="표준 23 8 2 3 2 2 3" xfId="15314"/>
    <cellStyle name="표준 23 8 2 3 2 2 3 2" xfId="15315"/>
    <cellStyle name="표준 23 8 2 3 2 2 4" xfId="15316"/>
    <cellStyle name="표준 23 8 2 3 2 3" xfId="15317"/>
    <cellStyle name="표준 23 8 2 3 2 3 2" xfId="15318"/>
    <cellStyle name="표준 23 8 2 3 2 3 2 2" xfId="15319"/>
    <cellStyle name="표준 23 8 2 3 2 3 3" xfId="15320"/>
    <cellStyle name="표준 23 8 2 3 2 4" xfId="15321"/>
    <cellStyle name="표준 23 8 2 3 2 4 2" xfId="15322"/>
    <cellStyle name="표준 23 8 2 3 2 5" xfId="15323"/>
    <cellStyle name="표준 23 8 2 3 3" xfId="15324"/>
    <cellStyle name="표준 23 8 2 3 3 2" xfId="15325"/>
    <cellStyle name="표준 23 8 2 3 3 2 2" xfId="15326"/>
    <cellStyle name="표준 23 8 2 3 3 2 2 2" xfId="15327"/>
    <cellStyle name="표준 23 8 2 3 3 2 3" xfId="15328"/>
    <cellStyle name="표준 23 8 2 3 3 3" xfId="15329"/>
    <cellStyle name="표준 23 8 2 3 3 3 2" xfId="15330"/>
    <cellStyle name="표준 23 8 2 3 3 4" xfId="15331"/>
    <cellStyle name="표준 23 8 2 3 4" xfId="15332"/>
    <cellStyle name="표준 23 8 2 3 4 2" xfId="15333"/>
    <cellStyle name="표준 23 8 2 3 4 2 2" xfId="15334"/>
    <cellStyle name="표준 23 8 2 3 4 3" xfId="15335"/>
    <cellStyle name="표준 23 8 2 3 5" xfId="15336"/>
    <cellStyle name="표준 23 8 2 3 5 2" xfId="15337"/>
    <cellStyle name="표준 23 8 2 3 6" xfId="15338"/>
    <cellStyle name="표준 23 8 2 4" xfId="15339"/>
    <cellStyle name="표준 23 8 2 4 2" xfId="15340"/>
    <cellStyle name="표준 23 8 2 4 2 2" xfId="15341"/>
    <cellStyle name="표준 23 8 2 4 2 2 2" xfId="15342"/>
    <cellStyle name="표준 23 8 2 4 2 2 2 2" xfId="15343"/>
    <cellStyle name="표준 23 8 2 4 2 2 3" xfId="15344"/>
    <cellStyle name="표준 23 8 2 4 2 3" xfId="15345"/>
    <cellStyle name="표준 23 8 2 4 2 3 2" xfId="15346"/>
    <cellStyle name="표준 23 8 2 4 2 4" xfId="15347"/>
    <cellStyle name="표준 23 8 2 4 3" xfId="15348"/>
    <cellStyle name="표준 23 8 2 4 3 2" xfId="15349"/>
    <cellStyle name="표준 23 8 2 4 3 2 2" xfId="15350"/>
    <cellStyle name="표준 23 8 2 4 3 3" xfId="15351"/>
    <cellStyle name="표준 23 8 2 4 4" xfId="15352"/>
    <cellStyle name="표준 23 8 2 4 4 2" xfId="15353"/>
    <cellStyle name="표준 23 8 2 4 5" xfId="15354"/>
    <cellStyle name="표준 23 8 2 5" xfId="15355"/>
    <cellStyle name="표준 23 8 2 5 2" xfId="15356"/>
    <cellStyle name="표준 23 8 2 5 2 2" xfId="15357"/>
    <cellStyle name="표준 23 8 2 5 2 2 2" xfId="15358"/>
    <cellStyle name="표준 23 8 2 5 2 3" xfId="15359"/>
    <cellStyle name="표준 23 8 2 5 3" xfId="15360"/>
    <cellStyle name="표준 23 8 2 5 3 2" xfId="15361"/>
    <cellStyle name="표준 23 8 2 5 4" xfId="15362"/>
    <cellStyle name="표준 23 8 2 6" xfId="15363"/>
    <cellStyle name="표준 23 8 2 6 2" xfId="15364"/>
    <cellStyle name="표준 23 8 2 6 2 2" xfId="15365"/>
    <cellStyle name="표준 23 8 2 6 3" xfId="15366"/>
    <cellStyle name="표준 23 8 2 7" xfId="15367"/>
    <cellStyle name="표준 23 8 2 7 2" xfId="15368"/>
    <cellStyle name="표준 23 8 2 8" xfId="15369"/>
    <cellStyle name="표준 23 8 2 9" xfId="15370"/>
    <cellStyle name="표준 23 8 3" xfId="15371"/>
    <cellStyle name="표준 23 8 3 2" xfId="15372"/>
    <cellStyle name="표준 23 8 3 2 2" xfId="15373"/>
    <cellStyle name="표준 23 8 3 2 2 2" xfId="15374"/>
    <cellStyle name="표준 23 8 3 2 2 2 2" xfId="15375"/>
    <cellStyle name="표준 23 8 3 2 2 2 2 2" xfId="15376"/>
    <cellStyle name="표준 23 8 3 2 2 2 2 2 2" xfId="15377"/>
    <cellStyle name="표준 23 8 3 2 2 2 2 3" xfId="15378"/>
    <cellStyle name="표준 23 8 3 2 2 2 3" xfId="15379"/>
    <cellStyle name="표준 23 8 3 2 2 2 3 2" xfId="15380"/>
    <cellStyle name="표준 23 8 3 2 2 2 4" xfId="15381"/>
    <cellStyle name="표준 23 8 3 2 2 3" xfId="15382"/>
    <cellStyle name="표준 23 8 3 2 2 3 2" xfId="15383"/>
    <cellStyle name="표준 23 8 3 2 2 3 2 2" xfId="15384"/>
    <cellStyle name="표준 23 8 3 2 2 3 3" xfId="15385"/>
    <cellStyle name="표준 23 8 3 2 2 4" xfId="15386"/>
    <cellStyle name="표준 23 8 3 2 2 4 2" xfId="15387"/>
    <cellStyle name="표준 23 8 3 2 2 5" xfId="15388"/>
    <cellStyle name="표준 23 8 3 2 3" xfId="15389"/>
    <cellStyle name="표준 23 8 3 2 3 2" xfId="15390"/>
    <cellStyle name="표준 23 8 3 2 3 2 2" xfId="15391"/>
    <cellStyle name="표준 23 8 3 2 3 2 2 2" xfId="15392"/>
    <cellStyle name="표준 23 8 3 2 3 2 3" xfId="15393"/>
    <cellStyle name="표준 23 8 3 2 3 3" xfId="15394"/>
    <cellStyle name="표준 23 8 3 2 3 3 2" xfId="15395"/>
    <cellStyle name="표준 23 8 3 2 3 4" xfId="15396"/>
    <cellStyle name="표준 23 8 3 2 4" xfId="15397"/>
    <cellStyle name="표준 23 8 3 2 4 2" xfId="15398"/>
    <cellStyle name="표준 23 8 3 2 4 2 2" xfId="15399"/>
    <cellStyle name="표준 23 8 3 2 4 3" xfId="15400"/>
    <cellStyle name="표준 23 8 3 2 5" xfId="15401"/>
    <cellStyle name="표준 23 8 3 2 5 2" xfId="15402"/>
    <cellStyle name="표준 23 8 3 2 6" xfId="15403"/>
    <cellStyle name="표준 23 8 3 3" xfId="15404"/>
    <cellStyle name="표준 23 8 3 3 2" xfId="15405"/>
    <cellStyle name="표준 23 8 3 3 2 2" xfId="15406"/>
    <cellStyle name="표준 23 8 3 3 2 2 2" xfId="15407"/>
    <cellStyle name="표준 23 8 3 3 2 2 2 2" xfId="15408"/>
    <cellStyle name="표준 23 8 3 3 2 2 3" xfId="15409"/>
    <cellStyle name="표준 23 8 3 3 2 3" xfId="15410"/>
    <cellStyle name="표준 23 8 3 3 2 3 2" xfId="15411"/>
    <cellStyle name="표준 23 8 3 3 2 4" xfId="15412"/>
    <cellStyle name="표준 23 8 3 3 3" xfId="15413"/>
    <cellStyle name="표준 23 8 3 3 3 2" xfId="15414"/>
    <cellStyle name="표준 23 8 3 3 3 2 2" xfId="15415"/>
    <cellStyle name="표준 23 8 3 3 3 3" xfId="15416"/>
    <cellStyle name="표준 23 8 3 3 4" xfId="15417"/>
    <cellStyle name="표준 23 8 3 3 4 2" xfId="15418"/>
    <cellStyle name="표준 23 8 3 3 5" xfId="15419"/>
    <cellStyle name="표준 23 8 3 4" xfId="15420"/>
    <cellStyle name="표준 23 8 3 4 2" xfId="15421"/>
    <cellStyle name="표준 23 8 3 4 2 2" xfId="15422"/>
    <cellStyle name="표준 23 8 3 4 2 2 2" xfId="15423"/>
    <cellStyle name="표준 23 8 3 4 2 3" xfId="15424"/>
    <cellStyle name="표준 23 8 3 4 3" xfId="15425"/>
    <cellStyle name="표준 23 8 3 4 3 2" xfId="15426"/>
    <cellStyle name="표준 23 8 3 4 4" xfId="15427"/>
    <cellStyle name="표준 23 8 3 5" xfId="15428"/>
    <cellStyle name="표준 23 8 3 5 2" xfId="15429"/>
    <cellStyle name="표준 23 8 3 5 2 2" xfId="15430"/>
    <cellStyle name="표준 23 8 3 5 3" xfId="15431"/>
    <cellStyle name="표준 23 8 3 6" xfId="15432"/>
    <cellStyle name="표준 23 8 3 6 2" xfId="15433"/>
    <cellStyle name="표준 23 8 3 7" xfId="15434"/>
    <cellStyle name="표준 23 8 3 8" xfId="15435"/>
    <cellStyle name="표준 23 8 4" xfId="15436"/>
    <cellStyle name="표준 23 8 4 2" xfId="15437"/>
    <cellStyle name="표준 23 8 4 2 2" xfId="15438"/>
    <cellStyle name="표준 23 8 4 2 2 2" xfId="15439"/>
    <cellStyle name="표준 23 8 4 2 2 2 2" xfId="15440"/>
    <cellStyle name="표준 23 8 4 2 2 2 2 2" xfId="15441"/>
    <cellStyle name="표준 23 8 4 2 2 2 3" xfId="15442"/>
    <cellStyle name="표준 23 8 4 2 2 3" xfId="15443"/>
    <cellStyle name="표준 23 8 4 2 2 3 2" xfId="15444"/>
    <cellStyle name="표준 23 8 4 2 2 4" xfId="15445"/>
    <cellStyle name="표준 23 8 4 2 3" xfId="15446"/>
    <cellStyle name="표준 23 8 4 2 3 2" xfId="15447"/>
    <cellStyle name="표준 23 8 4 2 3 2 2" xfId="15448"/>
    <cellStyle name="표준 23 8 4 2 3 3" xfId="15449"/>
    <cellStyle name="표준 23 8 4 2 4" xfId="15450"/>
    <cellStyle name="표준 23 8 4 2 4 2" xfId="15451"/>
    <cellStyle name="표준 23 8 4 2 5" xfId="15452"/>
    <cellStyle name="표준 23 8 4 3" xfId="15453"/>
    <cellStyle name="표준 23 8 4 3 2" xfId="15454"/>
    <cellStyle name="표준 23 8 4 3 2 2" xfId="15455"/>
    <cellStyle name="표준 23 8 4 3 2 2 2" xfId="15456"/>
    <cellStyle name="표준 23 8 4 3 2 3" xfId="15457"/>
    <cellStyle name="표준 23 8 4 3 3" xfId="15458"/>
    <cellStyle name="표준 23 8 4 3 3 2" xfId="15459"/>
    <cellStyle name="표준 23 8 4 3 4" xfId="15460"/>
    <cellStyle name="표준 23 8 4 4" xfId="15461"/>
    <cellStyle name="표준 23 8 4 4 2" xfId="15462"/>
    <cellStyle name="표준 23 8 4 4 2 2" xfId="15463"/>
    <cellStyle name="표준 23 8 4 4 3" xfId="15464"/>
    <cellStyle name="표준 23 8 4 5" xfId="15465"/>
    <cellStyle name="표준 23 8 4 5 2" xfId="15466"/>
    <cellStyle name="표준 23 8 4 6" xfId="15467"/>
    <cellStyle name="표준 23 8 5" xfId="15468"/>
    <cellStyle name="표준 23 8 5 2" xfId="15469"/>
    <cellStyle name="표준 23 8 5 2 2" xfId="15470"/>
    <cellStyle name="표준 23 8 5 2 2 2" xfId="15471"/>
    <cellStyle name="표준 23 8 5 2 2 2 2" xfId="15472"/>
    <cellStyle name="표준 23 8 5 2 2 3" xfId="15473"/>
    <cellStyle name="표준 23 8 5 2 3" xfId="15474"/>
    <cellStyle name="표준 23 8 5 2 3 2" xfId="15475"/>
    <cellStyle name="표준 23 8 5 2 4" xfId="15476"/>
    <cellStyle name="표준 23 8 5 3" xfId="15477"/>
    <cellStyle name="표준 23 8 5 3 2" xfId="15478"/>
    <cellStyle name="표준 23 8 5 3 2 2" xfId="15479"/>
    <cellStyle name="표준 23 8 5 3 3" xfId="15480"/>
    <cellStyle name="표준 23 8 5 4" xfId="15481"/>
    <cellStyle name="표준 23 8 5 4 2" xfId="15482"/>
    <cellStyle name="표준 23 8 5 5" xfId="15483"/>
    <cellStyle name="표준 23 8 6" xfId="15484"/>
    <cellStyle name="표준 23 8 6 2" xfId="15485"/>
    <cellStyle name="표준 23 8 6 2 2" xfId="15486"/>
    <cellStyle name="표준 23 8 6 2 2 2" xfId="15487"/>
    <cellStyle name="표준 23 8 6 2 3" xfId="15488"/>
    <cellStyle name="표준 23 8 6 3" xfId="15489"/>
    <cellStyle name="표준 23 8 6 3 2" xfId="15490"/>
    <cellStyle name="표준 23 8 6 4" xfId="15491"/>
    <cellStyle name="표준 23 8 7" xfId="15492"/>
    <cellStyle name="표준 23 8 7 2" xfId="15493"/>
    <cellStyle name="표준 23 8 7 2 2" xfId="15494"/>
    <cellStyle name="표준 23 8 7 3" xfId="15495"/>
    <cellStyle name="표준 23 8 8" xfId="15496"/>
    <cellStyle name="표준 23 8 8 2" xfId="15497"/>
    <cellStyle name="표준 23 8 9" xfId="15498"/>
    <cellStyle name="표준 23 9" xfId="15499"/>
    <cellStyle name="표준 23 9 2" xfId="15500"/>
    <cellStyle name="표준 23 9 2 2" xfId="15501"/>
    <cellStyle name="표준 23 9 2 2 2" xfId="15502"/>
    <cellStyle name="표준 23 9 2 2 2 2" xfId="15503"/>
    <cellStyle name="표준 23 9 2 2 2 2 2" xfId="15504"/>
    <cellStyle name="표준 23 9 2 2 2 2 2 2" xfId="15505"/>
    <cellStyle name="표준 23 9 2 2 2 2 2 2 2" xfId="15506"/>
    <cellStyle name="표준 23 9 2 2 2 2 2 3" xfId="15507"/>
    <cellStyle name="표준 23 9 2 2 2 2 3" xfId="15508"/>
    <cellStyle name="표준 23 9 2 2 2 2 3 2" xfId="15509"/>
    <cellStyle name="표준 23 9 2 2 2 2 4" xfId="15510"/>
    <cellStyle name="표준 23 9 2 2 2 3" xfId="15511"/>
    <cellStyle name="표준 23 9 2 2 2 3 2" xfId="15512"/>
    <cellStyle name="표준 23 9 2 2 2 3 2 2" xfId="15513"/>
    <cellStyle name="표준 23 9 2 2 2 3 3" xfId="15514"/>
    <cellStyle name="표준 23 9 2 2 2 4" xfId="15515"/>
    <cellStyle name="표준 23 9 2 2 2 4 2" xfId="15516"/>
    <cellStyle name="표준 23 9 2 2 2 5" xfId="15517"/>
    <cellStyle name="표준 23 9 2 2 3" xfId="15518"/>
    <cellStyle name="표준 23 9 2 2 3 2" xfId="15519"/>
    <cellStyle name="표준 23 9 2 2 3 2 2" xfId="15520"/>
    <cellStyle name="표준 23 9 2 2 3 2 2 2" xfId="15521"/>
    <cellStyle name="표준 23 9 2 2 3 2 3" xfId="15522"/>
    <cellStyle name="표준 23 9 2 2 3 3" xfId="15523"/>
    <cellStyle name="표준 23 9 2 2 3 3 2" xfId="15524"/>
    <cellStyle name="표준 23 9 2 2 3 4" xfId="15525"/>
    <cellStyle name="표준 23 9 2 2 4" xfId="15526"/>
    <cellStyle name="표준 23 9 2 2 4 2" xfId="15527"/>
    <cellStyle name="표준 23 9 2 2 4 2 2" xfId="15528"/>
    <cellStyle name="표준 23 9 2 2 4 3" xfId="15529"/>
    <cellStyle name="표준 23 9 2 2 5" xfId="15530"/>
    <cellStyle name="표준 23 9 2 2 5 2" xfId="15531"/>
    <cellStyle name="표준 23 9 2 2 6" xfId="15532"/>
    <cellStyle name="표준 23 9 2 3" xfId="15533"/>
    <cellStyle name="표준 23 9 2 3 2" xfId="15534"/>
    <cellStyle name="표준 23 9 2 3 2 2" xfId="15535"/>
    <cellStyle name="표준 23 9 2 3 2 2 2" xfId="15536"/>
    <cellStyle name="표준 23 9 2 3 2 2 2 2" xfId="15537"/>
    <cellStyle name="표준 23 9 2 3 2 2 3" xfId="15538"/>
    <cellStyle name="표준 23 9 2 3 2 3" xfId="15539"/>
    <cellStyle name="표준 23 9 2 3 2 3 2" xfId="15540"/>
    <cellStyle name="표준 23 9 2 3 2 4" xfId="15541"/>
    <cellStyle name="표준 23 9 2 3 3" xfId="15542"/>
    <cellStyle name="표준 23 9 2 3 3 2" xfId="15543"/>
    <cellStyle name="표준 23 9 2 3 3 2 2" xfId="15544"/>
    <cellStyle name="표준 23 9 2 3 3 3" xfId="15545"/>
    <cellStyle name="표준 23 9 2 3 4" xfId="15546"/>
    <cellStyle name="표준 23 9 2 3 4 2" xfId="15547"/>
    <cellStyle name="표준 23 9 2 3 5" xfId="15548"/>
    <cellStyle name="표준 23 9 2 4" xfId="15549"/>
    <cellStyle name="표준 23 9 2 4 2" xfId="15550"/>
    <cellStyle name="표준 23 9 2 4 2 2" xfId="15551"/>
    <cellStyle name="표준 23 9 2 4 2 2 2" xfId="15552"/>
    <cellStyle name="표준 23 9 2 4 2 3" xfId="15553"/>
    <cellStyle name="표준 23 9 2 4 3" xfId="15554"/>
    <cellStyle name="표준 23 9 2 4 3 2" xfId="15555"/>
    <cellStyle name="표준 23 9 2 4 4" xfId="15556"/>
    <cellStyle name="표준 23 9 2 5" xfId="15557"/>
    <cellStyle name="표준 23 9 2 5 2" xfId="15558"/>
    <cellStyle name="표준 23 9 2 5 2 2" xfId="15559"/>
    <cellStyle name="표준 23 9 2 5 3" xfId="15560"/>
    <cellStyle name="표준 23 9 2 6" xfId="15561"/>
    <cellStyle name="표준 23 9 2 6 2" xfId="15562"/>
    <cellStyle name="표준 23 9 2 7" xfId="15563"/>
    <cellStyle name="표준 23 9 2 8" xfId="15564"/>
    <cellStyle name="표준 23 9 3" xfId="15565"/>
    <cellStyle name="표준 23 9 3 2" xfId="15566"/>
    <cellStyle name="표준 23 9 3 2 2" xfId="15567"/>
    <cellStyle name="표준 23 9 3 2 2 2" xfId="15568"/>
    <cellStyle name="표준 23 9 3 2 2 2 2" xfId="15569"/>
    <cellStyle name="표준 23 9 3 2 2 2 2 2" xfId="15570"/>
    <cellStyle name="표준 23 9 3 2 2 2 3" xfId="15571"/>
    <cellStyle name="표준 23 9 3 2 2 3" xfId="15572"/>
    <cellStyle name="표준 23 9 3 2 2 3 2" xfId="15573"/>
    <cellStyle name="표준 23 9 3 2 2 4" xfId="15574"/>
    <cellStyle name="표준 23 9 3 2 3" xfId="15575"/>
    <cellStyle name="표준 23 9 3 2 3 2" xfId="15576"/>
    <cellStyle name="표준 23 9 3 2 3 2 2" xfId="15577"/>
    <cellStyle name="표준 23 9 3 2 3 3" xfId="15578"/>
    <cellStyle name="표준 23 9 3 2 4" xfId="15579"/>
    <cellStyle name="표준 23 9 3 2 4 2" xfId="15580"/>
    <cellStyle name="표준 23 9 3 2 5" xfId="15581"/>
    <cellStyle name="표준 23 9 3 3" xfId="15582"/>
    <cellStyle name="표준 23 9 3 3 2" xfId="15583"/>
    <cellStyle name="표준 23 9 3 3 2 2" xfId="15584"/>
    <cellStyle name="표준 23 9 3 3 2 2 2" xfId="15585"/>
    <cellStyle name="표준 23 9 3 3 2 3" xfId="15586"/>
    <cellStyle name="표준 23 9 3 3 3" xfId="15587"/>
    <cellStyle name="표준 23 9 3 3 3 2" xfId="15588"/>
    <cellStyle name="표준 23 9 3 3 4" xfId="15589"/>
    <cellStyle name="표준 23 9 3 4" xfId="15590"/>
    <cellStyle name="표준 23 9 3 4 2" xfId="15591"/>
    <cellStyle name="표준 23 9 3 4 2 2" xfId="15592"/>
    <cellStyle name="표준 23 9 3 4 3" xfId="15593"/>
    <cellStyle name="표준 23 9 3 5" xfId="15594"/>
    <cellStyle name="표준 23 9 3 5 2" xfId="15595"/>
    <cellStyle name="표준 23 9 3 6" xfId="15596"/>
    <cellStyle name="표준 23 9 4" xfId="15597"/>
    <cellStyle name="표준 23 9 4 2" xfId="15598"/>
    <cellStyle name="표준 23 9 4 2 2" xfId="15599"/>
    <cellStyle name="표준 23 9 4 2 2 2" xfId="15600"/>
    <cellStyle name="표준 23 9 4 2 2 2 2" xfId="15601"/>
    <cellStyle name="표준 23 9 4 2 2 3" xfId="15602"/>
    <cellStyle name="표준 23 9 4 2 3" xfId="15603"/>
    <cellStyle name="표준 23 9 4 2 3 2" xfId="15604"/>
    <cellStyle name="표준 23 9 4 2 4" xfId="15605"/>
    <cellStyle name="표준 23 9 4 3" xfId="15606"/>
    <cellStyle name="표준 23 9 4 3 2" xfId="15607"/>
    <cellStyle name="표준 23 9 4 3 2 2" xfId="15608"/>
    <cellStyle name="표준 23 9 4 3 3" xfId="15609"/>
    <cellStyle name="표준 23 9 4 4" xfId="15610"/>
    <cellStyle name="표준 23 9 4 4 2" xfId="15611"/>
    <cellStyle name="표준 23 9 4 5" xfId="15612"/>
    <cellStyle name="표준 23 9 5" xfId="15613"/>
    <cellStyle name="표준 23 9 5 2" xfId="15614"/>
    <cellStyle name="표준 23 9 5 2 2" xfId="15615"/>
    <cellStyle name="표준 23 9 5 2 2 2" xfId="15616"/>
    <cellStyle name="표준 23 9 5 2 3" xfId="15617"/>
    <cellStyle name="표준 23 9 5 3" xfId="15618"/>
    <cellStyle name="표준 23 9 5 3 2" xfId="15619"/>
    <cellStyle name="표준 23 9 5 4" xfId="15620"/>
    <cellStyle name="표준 23 9 6" xfId="15621"/>
    <cellStyle name="표준 23 9 6 2" xfId="15622"/>
    <cellStyle name="표준 23 9 6 2 2" xfId="15623"/>
    <cellStyle name="표준 23 9 6 3" xfId="15624"/>
    <cellStyle name="표준 23 9 7" xfId="15625"/>
    <cellStyle name="표준 23 9 7 2" xfId="15626"/>
    <cellStyle name="표준 23 9 8" xfId="15627"/>
    <cellStyle name="표준 23 9 9" xfId="15628"/>
    <cellStyle name="표준 24" xfId="26"/>
    <cellStyle name="표준 24 2" xfId="48"/>
    <cellStyle name="표준 24 3" xfId="15629"/>
    <cellStyle name="표준 24 3 10" xfId="15630"/>
    <cellStyle name="표준 24 3 10 2" xfId="15631"/>
    <cellStyle name="표준 24 3 10 2 2" xfId="15632"/>
    <cellStyle name="표준 24 3 10 2 2 2" xfId="15633"/>
    <cellStyle name="표준 24 3 10 2 2 2 2" xfId="15634"/>
    <cellStyle name="표준 24 3 10 2 2 3" xfId="15635"/>
    <cellStyle name="표준 24 3 10 2 3" xfId="15636"/>
    <cellStyle name="표준 24 3 10 2 3 2" xfId="15637"/>
    <cellStyle name="표준 24 3 10 2 4" xfId="15638"/>
    <cellStyle name="표준 24 3 10 3" xfId="15639"/>
    <cellStyle name="표준 24 3 10 3 2" xfId="15640"/>
    <cellStyle name="표준 24 3 10 3 2 2" xfId="15641"/>
    <cellStyle name="표준 24 3 10 3 3" xfId="15642"/>
    <cellStyle name="표준 24 3 10 4" xfId="15643"/>
    <cellStyle name="표준 24 3 10 4 2" xfId="15644"/>
    <cellStyle name="표준 24 3 10 5" xfId="15645"/>
    <cellStyle name="표준 24 3 11" xfId="15646"/>
    <cellStyle name="표준 24 3 11 2" xfId="15647"/>
    <cellStyle name="표준 24 3 11 2 2" xfId="15648"/>
    <cellStyle name="표준 24 3 11 2 2 2" xfId="15649"/>
    <cellStyle name="표준 24 3 11 2 3" xfId="15650"/>
    <cellStyle name="표준 24 3 11 3" xfId="15651"/>
    <cellStyle name="표준 24 3 11 3 2" xfId="15652"/>
    <cellStyle name="표준 24 3 11 4" xfId="15653"/>
    <cellStyle name="표준 24 3 12" xfId="15654"/>
    <cellStyle name="표준 24 3 12 2" xfId="15655"/>
    <cellStyle name="표준 24 3 12 2 2" xfId="15656"/>
    <cellStyle name="표준 24 3 12 3" xfId="15657"/>
    <cellStyle name="표준 24 3 13" xfId="15658"/>
    <cellStyle name="표준 24 3 13 2" xfId="15659"/>
    <cellStyle name="표준 24 3 14" xfId="15660"/>
    <cellStyle name="표준 24 3 15" xfId="15661"/>
    <cellStyle name="표준 24 3 2" xfId="15662"/>
    <cellStyle name="표준 24 3 2 10" xfId="15663"/>
    <cellStyle name="표준 24 3 2 10 2" xfId="15664"/>
    <cellStyle name="표준 24 3 2 11" xfId="15665"/>
    <cellStyle name="표준 24 3 2 12" xfId="15666"/>
    <cellStyle name="표준 24 3 2 2" xfId="15667"/>
    <cellStyle name="표준 24 3 2 2 10" xfId="15668"/>
    <cellStyle name="표준 24 3 2 2 11" xfId="15669"/>
    <cellStyle name="표준 24 3 2 2 2" xfId="15670"/>
    <cellStyle name="표준 24 3 2 2 2 10" xfId="15671"/>
    <cellStyle name="표준 24 3 2 2 2 2" xfId="15672"/>
    <cellStyle name="표준 24 3 2 2 2 2 2" xfId="15673"/>
    <cellStyle name="표준 24 3 2 2 2 2 2 2" xfId="15674"/>
    <cellStyle name="표준 24 3 2 2 2 2 2 2 2" xfId="15675"/>
    <cellStyle name="표준 24 3 2 2 2 2 2 2 2 2" xfId="15676"/>
    <cellStyle name="표준 24 3 2 2 2 2 2 2 2 2 2" xfId="15677"/>
    <cellStyle name="표준 24 3 2 2 2 2 2 2 2 2 2 2" xfId="15678"/>
    <cellStyle name="표준 24 3 2 2 2 2 2 2 2 2 2 2 2" xfId="15679"/>
    <cellStyle name="표준 24 3 2 2 2 2 2 2 2 2 2 3" xfId="15680"/>
    <cellStyle name="표준 24 3 2 2 2 2 2 2 2 2 3" xfId="15681"/>
    <cellStyle name="표준 24 3 2 2 2 2 2 2 2 2 3 2" xfId="15682"/>
    <cellStyle name="표준 24 3 2 2 2 2 2 2 2 2 4" xfId="15683"/>
    <cellStyle name="표준 24 3 2 2 2 2 2 2 2 3" xfId="15684"/>
    <cellStyle name="표준 24 3 2 2 2 2 2 2 2 3 2" xfId="15685"/>
    <cellStyle name="표준 24 3 2 2 2 2 2 2 2 3 2 2" xfId="15686"/>
    <cellStyle name="표준 24 3 2 2 2 2 2 2 2 3 3" xfId="15687"/>
    <cellStyle name="표준 24 3 2 2 2 2 2 2 2 4" xfId="15688"/>
    <cellStyle name="표준 24 3 2 2 2 2 2 2 2 4 2" xfId="15689"/>
    <cellStyle name="표준 24 3 2 2 2 2 2 2 2 5" xfId="15690"/>
    <cellStyle name="표준 24 3 2 2 2 2 2 2 3" xfId="15691"/>
    <cellStyle name="표준 24 3 2 2 2 2 2 2 3 2" xfId="15692"/>
    <cellStyle name="표준 24 3 2 2 2 2 2 2 3 2 2" xfId="15693"/>
    <cellStyle name="표준 24 3 2 2 2 2 2 2 3 2 2 2" xfId="15694"/>
    <cellStyle name="표준 24 3 2 2 2 2 2 2 3 2 3" xfId="15695"/>
    <cellStyle name="표준 24 3 2 2 2 2 2 2 3 3" xfId="15696"/>
    <cellStyle name="표준 24 3 2 2 2 2 2 2 3 3 2" xfId="15697"/>
    <cellStyle name="표준 24 3 2 2 2 2 2 2 3 4" xfId="15698"/>
    <cellStyle name="표준 24 3 2 2 2 2 2 2 4" xfId="15699"/>
    <cellStyle name="표준 24 3 2 2 2 2 2 2 4 2" xfId="15700"/>
    <cellStyle name="표준 24 3 2 2 2 2 2 2 4 2 2" xfId="15701"/>
    <cellStyle name="표준 24 3 2 2 2 2 2 2 4 3" xfId="15702"/>
    <cellStyle name="표준 24 3 2 2 2 2 2 2 5" xfId="15703"/>
    <cellStyle name="표준 24 3 2 2 2 2 2 2 5 2" xfId="15704"/>
    <cellStyle name="표준 24 3 2 2 2 2 2 2 6" xfId="15705"/>
    <cellStyle name="표준 24 3 2 2 2 2 2 3" xfId="15706"/>
    <cellStyle name="표준 24 3 2 2 2 2 2 3 2" xfId="15707"/>
    <cellStyle name="표준 24 3 2 2 2 2 2 3 2 2" xfId="15708"/>
    <cellStyle name="표준 24 3 2 2 2 2 2 3 2 2 2" xfId="15709"/>
    <cellStyle name="표준 24 3 2 2 2 2 2 3 2 2 2 2" xfId="15710"/>
    <cellStyle name="표준 24 3 2 2 2 2 2 3 2 2 3" xfId="15711"/>
    <cellStyle name="표준 24 3 2 2 2 2 2 3 2 3" xfId="15712"/>
    <cellStyle name="표준 24 3 2 2 2 2 2 3 2 3 2" xfId="15713"/>
    <cellStyle name="표준 24 3 2 2 2 2 2 3 2 4" xfId="15714"/>
    <cellStyle name="표준 24 3 2 2 2 2 2 3 3" xfId="15715"/>
    <cellStyle name="표준 24 3 2 2 2 2 2 3 3 2" xfId="15716"/>
    <cellStyle name="표준 24 3 2 2 2 2 2 3 3 2 2" xfId="15717"/>
    <cellStyle name="표준 24 3 2 2 2 2 2 3 3 3" xfId="15718"/>
    <cellStyle name="표준 24 3 2 2 2 2 2 3 4" xfId="15719"/>
    <cellStyle name="표준 24 3 2 2 2 2 2 3 4 2" xfId="15720"/>
    <cellStyle name="표준 24 3 2 2 2 2 2 3 5" xfId="15721"/>
    <cellStyle name="표준 24 3 2 2 2 2 2 4" xfId="15722"/>
    <cellStyle name="표준 24 3 2 2 2 2 2 4 2" xfId="15723"/>
    <cellStyle name="표준 24 3 2 2 2 2 2 4 2 2" xfId="15724"/>
    <cellStyle name="표준 24 3 2 2 2 2 2 4 2 2 2" xfId="15725"/>
    <cellStyle name="표준 24 3 2 2 2 2 2 4 2 3" xfId="15726"/>
    <cellStyle name="표준 24 3 2 2 2 2 2 4 3" xfId="15727"/>
    <cellStyle name="표준 24 3 2 2 2 2 2 4 3 2" xfId="15728"/>
    <cellStyle name="표준 24 3 2 2 2 2 2 4 4" xfId="15729"/>
    <cellStyle name="표준 24 3 2 2 2 2 2 5" xfId="15730"/>
    <cellStyle name="표준 24 3 2 2 2 2 2 5 2" xfId="15731"/>
    <cellStyle name="표준 24 3 2 2 2 2 2 5 2 2" xfId="15732"/>
    <cellStyle name="표준 24 3 2 2 2 2 2 5 3" xfId="15733"/>
    <cellStyle name="표준 24 3 2 2 2 2 2 6" xfId="15734"/>
    <cellStyle name="표준 24 3 2 2 2 2 2 6 2" xfId="15735"/>
    <cellStyle name="표준 24 3 2 2 2 2 2 7" xfId="15736"/>
    <cellStyle name="표준 24 3 2 2 2 2 2 8" xfId="15737"/>
    <cellStyle name="표준 24 3 2 2 2 2 3" xfId="15738"/>
    <cellStyle name="표준 24 3 2 2 2 2 3 2" xfId="15739"/>
    <cellStyle name="표준 24 3 2 2 2 2 3 2 2" xfId="15740"/>
    <cellStyle name="표준 24 3 2 2 2 2 3 2 2 2" xfId="15741"/>
    <cellStyle name="표준 24 3 2 2 2 2 3 2 2 2 2" xfId="15742"/>
    <cellStyle name="표준 24 3 2 2 2 2 3 2 2 2 2 2" xfId="15743"/>
    <cellStyle name="표준 24 3 2 2 2 2 3 2 2 2 3" xfId="15744"/>
    <cellStyle name="표준 24 3 2 2 2 2 3 2 2 3" xfId="15745"/>
    <cellStyle name="표준 24 3 2 2 2 2 3 2 2 3 2" xfId="15746"/>
    <cellStyle name="표준 24 3 2 2 2 2 3 2 2 4" xfId="15747"/>
    <cellStyle name="표준 24 3 2 2 2 2 3 2 3" xfId="15748"/>
    <cellStyle name="표준 24 3 2 2 2 2 3 2 3 2" xfId="15749"/>
    <cellStyle name="표준 24 3 2 2 2 2 3 2 3 2 2" xfId="15750"/>
    <cellStyle name="표준 24 3 2 2 2 2 3 2 3 3" xfId="15751"/>
    <cellStyle name="표준 24 3 2 2 2 2 3 2 4" xfId="15752"/>
    <cellStyle name="표준 24 3 2 2 2 2 3 2 4 2" xfId="15753"/>
    <cellStyle name="표준 24 3 2 2 2 2 3 2 5" xfId="15754"/>
    <cellStyle name="표준 24 3 2 2 2 2 3 3" xfId="15755"/>
    <cellStyle name="표준 24 3 2 2 2 2 3 3 2" xfId="15756"/>
    <cellStyle name="표준 24 3 2 2 2 2 3 3 2 2" xfId="15757"/>
    <cellStyle name="표준 24 3 2 2 2 2 3 3 2 2 2" xfId="15758"/>
    <cellStyle name="표준 24 3 2 2 2 2 3 3 2 3" xfId="15759"/>
    <cellStyle name="표준 24 3 2 2 2 2 3 3 3" xfId="15760"/>
    <cellStyle name="표준 24 3 2 2 2 2 3 3 3 2" xfId="15761"/>
    <cellStyle name="표준 24 3 2 2 2 2 3 3 4" xfId="15762"/>
    <cellStyle name="표준 24 3 2 2 2 2 3 4" xfId="15763"/>
    <cellStyle name="표준 24 3 2 2 2 2 3 4 2" xfId="15764"/>
    <cellStyle name="표준 24 3 2 2 2 2 3 4 2 2" xfId="15765"/>
    <cellStyle name="표준 24 3 2 2 2 2 3 4 3" xfId="15766"/>
    <cellStyle name="표준 24 3 2 2 2 2 3 5" xfId="15767"/>
    <cellStyle name="표준 24 3 2 2 2 2 3 5 2" xfId="15768"/>
    <cellStyle name="표준 24 3 2 2 2 2 3 6" xfId="15769"/>
    <cellStyle name="표준 24 3 2 2 2 2 4" xfId="15770"/>
    <cellStyle name="표준 24 3 2 2 2 2 4 2" xfId="15771"/>
    <cellStyle name="표준 24 3 2 2 2 2 4 2 2" xfId="15772"/>
    <cellStyle name="표준 24 3 2 2 2 2 4 2 2 2" xfId="15773"/>
    <cellStyle name="표준 24 3 2 2 2 2 4 2 2 2 2" xfId="15774"/>
    <cellStyle name="표준 24 3 2 2 2 2 4 2 2 3" xfId="15775"/>
    <cellStyle name="표준 24 3 2 2 2 2 4 2 3" xfId="15776"/>
    <cellStyle name="표준 24 3 2 2 2 2 4 2 3 2" xfId="15777"/>
    <cellStyle name="표준 24 3 2 2 2 2 4 2 4" xfId="15778"/>
    <cellStyle name="표준 24 3 2 2 2 2 4 3" xfId="15779"/>
    <cellStyle name="표준 24 3 2 2 2 2 4 3 2" xfId="15780"/>
    <cellStyle name="표준 24 3 2 2 2 2 4 3 2 2" xfId="15781"/>
    <cellStyle name="표준 24 3 2 2 2 2 4 3 3" xfId="15782"/>
    <cellStyle name="표준 24 3 2 2 2 2 4 4" xfId="15783"/>
    <cellStyle name="표준 24 3 2 2 2 2 4 4 2" xfId="15784"/>
    <cellStyle name="표준 24 3 2 2 2 2 4 5" xfId="15785"/>
    <cellStyle name="표준 24 3 2 2 2 2 5" xfId="15786"/>
    <cellStyle name="표준 24 3 2 2 2 2 5 2" xfId="15787"/>
    <cellStyle name="표준 24 3 2 2 2 2 5 2 2" xfId="15788"/>
    <cellStyle name="표준 24 3 2 2 2 2 5 2 2 2" xfId="15789"/>
    <cellStyle name="표준 24 3 2 2 2 2 5 2 3" xfId="15790"/>
    <cellStyle name="표준 24 3 2 2 2 2 5 3" xfId="15791"/>
    <cellStyle name="표준 24 3 2 2 2 2 5 3 2" xfId="15792"/>
    <cellStyle name="표준 24 3 2 2 2 2 5 4" xfId="15793"/>
    <cellStyle name="표준 24 3 2 2 2 2 6" xfId="15794"/>
    <cellStyle name="표준 24 3 2 2 2 2 6 2" xfId="15795"/>
    <cellStyle name="표준 24 3 2 2 2 2 6 2 2" xfId="15796"/>
    <cellStyle name="표준 24 3 2 2 2 2 6 3" xfId="15797"/>
    <cellStyle name="표준 24 3 2 2 2 2 7" xfId="15798"/>
    <cellStyle name="표준 24 3 2 2 2 2 7 2" xfId="15799"/>
    <cellStyle name="표준 24 3 2 2 2 2 8" xfId="15800"/>
    <cellStyle name="표준 24 3 2 2 2 2 9" xfId="15801"/>
    <cellStyle name="표준 24 3 2 2 2 3" xfId="15802"/>
    <cellStyle name="표준 24 3 2 2 2 3 2" xfId="15803"/>
    <cellStyle name="표준 24 3 2 2 2 3 2 2" xfId="15804"/>
    <cellStyle name="표준 24 3 2 2 2 3 2 2 2" xfId="15805"/>
    <cellStyle name="표준 24 3 2 2 2 3 2 2 2 2" xfId="15806"/>
    <cellStyle name="표준 24 3 2 2 2 3 2 2 2 2 2" xfId="15807"/>
    <cellStyle name="표준 24 3 2 2 2 3 2 2 2 2 2 2" xfId="15808"/>
    <cellStyle name="표준 24 3 2 2 2 3 2 2 2 2 3" xfId="15809"/>
    <cellStyle name="표준 24 3 2 2 2 3 2 2 2 3" xfId="15810"/>
    <cellStyle name="표준 24 3 2 2 2 3 2 2 2 3 2" xfId="15811"/>
    <cellStyle name="표준 24 3 2 2 2 3 2 2 2 4" xfId="15812"/>
    <cellStyle name="표준 24 3 2 2 2 3 2 2 3" xfId="15813"/>
    <cellStyle name="표준 24 3 2 2 2 3 2 2 3 2" xfId="15814"/>
    <cellStyle name="표준 24 3 2 2 2 3 2 2 3 2 2" xfId="15815"/>
    <cellStyle name="표준 24 3 2 2 2 3 2 2 3 3" xfId="15816"/>
    <cellStyle name="표준 24 3 2 2 2 3 2 2 4" xfId="15817"/>
    <cellStyle name="표준 24 3 2 2 2 3 2 2 4 2" xfId="15818"/>
    <cellStyle name="표준 24 3 2 2 2 3 2 2 5" xfId="15819"/>
    <cellStyle name="표준 24 3 2 2 2 3 2 3" xfId="15820"/>
    <cellStyle name="표준 24 3 2 2 2 3 2 3 2" xfId="15821"/>
    <cellStyle name="표준 24 3 2 2 2 3 2 3 2 2" xfId="15822"/>
    <cellStyle name="표준 24 3 2 2 2 3 2 3 2 2 2" xfId="15823"/>
    <cellStyle name="표준 24 3 2 2 2 3 2 3 2 3" xfId="15824"/>
    <cellStyle name="표준 24 3 2 2 2 3 2 3 3" xfId="15825"/>
    <cellStyle name="표준 24 3 2 2 2 3 2 3 3 2" xfId="15826"/>
    <cellStyle name="표준 24 3 2 2 2 3 2 3 4" xfId="15827"/>
    <cellStyle name="표준 24 3 2 2 2 3 2 4" xfId="15828"/>
    <cellStyle name="표준 24 3 2 2 2 3 2 4 2" xfId="15829"/>
    <cellStyle name="표준 24 3 2 2 2 3 2 4 2 2" xfId="15830"/>
    <cellStyle name="표준 24 3 2 2 2 3 2 4 3" xfId="15831"/>
    <cellStyle name="표준 24 3 2 2 2 3 2 5" xfId="15832"/>
    <cellStyle name="표준 24 3 2 2 2 3 2 5 2" xfId="15833"/>
    <cellStyle name="표준 24 3 2 2 2 3 2 6" xfId="15834"/>
    <cellStyle name="표준 24 3 2 2 2 3 3" xfId="15835"/>
    <cellStyle name="표준 24 3 2 2 2 3 3 2" xfId="15836"/>
    <cellStyle name="표준 24 3 2 2 2 3 3 2 2" xfId="15837"/>
    <cellStyle name="표준 24 3 2 2 2 3 3 2 2 2" xfId="15838"/>
    <cellStyle name="표준 24 3 2 2 2 3 3 2 2 2 2" xfId="15839"/>
    <cellStyle name="표준 24 3 2 2 2 3 3 2 2 3" xfId="15840"/>
    <cellStyle name="표준 24 3 2 2 2 3 3 2 3" xfId="15841"/>
    <cellStyle name="표준 24 3 2 2 2 3 3 2 3 2" xfId="15842"/>
    <cellStyle name="표준 24 3 2 2 2 3 3 2 4" xfId="15843"/>
    <cellStyle name="표준 24 3 2 2 2 3 3 3" xfId="15844"/>
    <cellStyle name="표준 24 3 2 2 2 3 3 3 2" xfId="15845"/>
    <cellStyle name="표준 24 3 2 2 2 3 3 3 2 2" xfId="15846"/>
    <cellStyle name="표준 24 3 2 2 2 3 3 3 3" xfId="15847"/>
    <cellStyle name="표준 24 3 2 2 2 3 3 4" xfId="15848"/>
    <cellStyle name="표준 24 3 2 2 2 3 3 4 2" xfId="15849"/>
    <cellStyle name="표준 24 3 2 2 2 3 3 5" xfId="15850"/>
    <cellStyle name="표준 24 3 2 2 2 3 4" xfId="15851"/>
    <cellStyle name="표준 24 3 2 2 2 3 4 2" xfId="15852"/>
    <cellStyle name="표준 24 3 2 2 2 3 4 2 2" xfId="15853"/>
    <cellStyle name="표준 24 3 2 2 2 3 4 2 2 2" xfId="15854"/>
    <cellStyle name="표준 24 3 2 2 2 3 4 2 3" xfId="15855"/>
    <cellStyle name="표준 24 3 2 2 2 3 4 3" xfId="15856"/>
    <cellStyle name="표준 24 3 2 2 2 3 4 3 2" xfId="15857"/>
    <cellStyle name="표준 24 3 2 2 2 3 4 4" xfId="15858"/>
    <cellStyle name="표준 24 3 2 2 2 3 5" xfId="15859"/>
    <cellStyle name="표준 24 3 2 2 2 3 5 2" xfId="15860"/>
    <cellStyle name="표준 24 3 2 2 2 3 5 2 2" xfId="15861"/>
    <cellStyle name="표준 24 3 2 2 2 3 5 3" xfId="15862"/>
    <cellStyle name="표준 24 3 2 2 2 3 6" xfId="15863"/>
    <cellStyle name="표준 24 3 2 2 2 3 6 2" xfId="15864"/>
    <cellStyle name="표준 24 3 2 2 2 3 7" xfId="15865"/>
    <cellStyle name="표준 24 3 2 2 2 3 8" xfId="15866"/>
    <cellStyle name="표준 24 3 2 2 2 4" xfId="15867"/>
    <cellStyle name="표준 24 3 2 2 2 4 2" xfId="15868"/>
    <cellStyle name="표준 24 3 2 2 2 4 2 2" xfId="15869"/>
    <cellStyle name="표준 24 3 2 2 2 4 2 2 2" xfId="15870"/>
    <cellStyle name="표준 24 3 2 2 2 4 2 2 2 2" xfId="15871"/>
    <cellStyle name="표준 24 3 2 2 2 4 2 2 2 2 2" xfId="15872"/>
    <cellStyle name="표준 24 3 2 2 2 4 2 2 2 3" xfId="15873"/>
    <cellStyle name="표준 24 3 2 2 2 4 2 2 3" xfId="15874"/>
    <cellStyle name="표준 24 3 2 2 2 4 2 2 3 2" xfId="15875"/>
    <cellStyle name="표준 24 3 2 2 2 4 2 2 4" xfId="15876"/>
    <cellStyle name="표준 24 3 2 2 2 4 2 3" xfId="15877"/>
    <cellStyle name="표준 24 3 2 2 2 4 2 3 2" xfId="15878"/>
    <cellStyle name="표준 24 3 2 2 2 4 2 3 2 2" xfId="15879"/>
    <cellStyle name="표준 24 3 2 2 2 4 2 3 3" xfId="15880"/>
    <cellStyle name="표준 24 3 2 2 2 4 2 4" xfId="15881"/>
    <cellStyle name="표준 24 3 2 2 2 4 2 4 2" xfId="15882"/>
    <cellStyle name="표준 24 3 2 2 2 4 2 5" xfId="15883"/>
    <cellStyle name="표준 24 3 2 2 2 4 3" xfId="15884"/>
    <cellStyle name="표준 24 3 2 2 2 4 3 2" xfId="15885"/>
    <cellStyle name="표준 24 3 2 2 2 4 3 2 2" xfId="15886"/>
    <cellStyle name="표준 24 3 2 2 2 4 3 2 2 2" xfId="15887"/>
    <cellStyle name="표준 24 3 2 2 2 4 3 2 3" xfId="15888"/>
    <cellStyle name="표준 24 3 2 2 2 4 3 3" xfId="15889"/>
    <cellStyle name="표준 24 3 2 2 2 4 3 3 2" xfId="15890"/>
    <cellStyle name="표준 24 3 2 2 2 4 3 4" xfId="15891"/>
    <cellStyle name="표준 24 3 2 2 2 4 4" xfId="15892"/>
    <cellStyle name="표준 24 3 2 2 2 4 4 2" xfId="15893"/>
    <cellStyle name="표준 24 3 2 2 2 4 4 2 2" xfId="15894"/>
    <cellStyle name="표준 24 3 2 2 2 4 4 3" xfId="15895"/>
    <cellStyle name="표준 24 3 2 2 2 4 5" xfId="15896"/>
    <cellStyle name="표준 24 3 2 2 2 4 5 2" xfId="15897"/>
    <cellStyle name="표준 24 3 2 2 2 4 6" xfId="15898"/>
    <cellStyle name="표준 24 3 2 2 2 5" xfId="15899"/>
    <cellStyle name="표준 24 3 2 2 2 5 2" xfId="15900"/>
    <cellStyle name="표준 24 3 2 2 2 5 2 2" xfId="15901"/>
    <cellStyle name="표준 24 3 2 2 2 5 2 2 2" xfId="15902"/>
    <cellStyle name="표준 24 3 2 2 2 5 2 2 2 2" xfId="15903"/>
    <cellStyle name="표준 24 3 2 2 2 5 2 2 3" xfId="15904"/>
    <cellStyle name="표준 24 3 2 2 2 5 2 3" xfId="15905"/>
    <cellStyle name="표준 24 3 2 2 2 5 2 3 2" xfId="15906"/>
    <cellStyle name="표준 24 3 2 2 2 5 2 4" xfId="15907"/>
    <cellStyle name="표준 24 3 2 2 2 5 3" xfId="15908"/>
    <cellStyle name="표준 24 3 2 2 2 5 3 2" xfId="15909"/>
    <cellStyle name="표준 24 3 2 2 2 5 3 2 2" xfId="15910"/>
    <cellStyle name="표준 24 3 2 2 2 5 3 3" xfId="15911"/>
    <cellStyle name="표준 24 3 2 2 2 5 4" xfId="15912"/>
    <cellStyle name="표준 24 3 2 2 2 5 4 2" xfId="15913"/>
    <cellStyle name="표준 24 3 2 2 2 5 5" xfId="15914"/>
    <cellStyle name="표준 24 3 2 2 2 6" xfId="15915"/>
    <cellStyle name="표준 24 3 2 2 2 6 2" xfId="15916"/>
    <cellStyle name="표준 24 3 2 2 2 6 2 2" xfId="15917"/>
    <cellStyle name="표준 24 3 2 2 2 6 2 2 2" xfId="15918"/>
    <cellStyle name="표준 24 3 2 2 2 6 2 3" xfId="15919"/>
    <cellStyle name="표준 24 3 2 2 2 6 3" xfId="15920"/>
    <cellStyle name="표준 24 3 2 2 2 6 3 2" xfId="15921"/>
    <cellStyle name="표준 24 3 2 2 2 6 4" xfId="15922"/>
    <cellStyle name="표준 24 3 2 2 2 7" xfId="15923"/>
    <cellStyle name="표준 24 3 2 2 2 7 2" xfId="15924"/>
    <cellStyle name="표준 24 3 2 2 2 7 2 2" xfId="15925"/>
    <cellStyle name="표준 24 3 2 2 2 7 3" xfId="15926"/>
    <cellStyle name="표준 24 3 2 2 2 8" xfId="15927"/>
    <cellStyle name="표준 24 3 2 2 2 8 2" xfId="15928"/>
    <cellStyle name="표준 24 3 2 2 2 9" xfId="15929"/>
    <cellStyle name="표준 24 3 2 2 3" xfId="15930"/>
    <cellStyle name="표준 24 3 2 2 3 2" xfId="15931"/>
    <cellStyle name="표준 24 3 2 2 3 2 2" xfId="15932"/>
    <cellStyle name="표준 24 3 2 2 3 2 2 2" xfId="15933"/>
    <cellStyle name="표준 24 3 2 2 3 2 2 2 2" xfId="15934"/>
    <cellStyle name="표준 24 3 2 2 3 2 2 2 2 2" xfId="15935"/>
    <cellStyle name="표준 24 3 2 2 3 2 2 2 2 2 2" xfId="15936"/>
    <cellStyle name="표준 24 3 2 2 3 2 2 2 2 2 2 2" xfId="15937"/>
    <cellStyle name="표준 24 3 2 2 3 2 2 2 2 2 3" xfId="15938"/>
    <cellStyle name="표준 24 3 2 2 3 2 2 2 2 3" xfId="15939"/>
    <cellStyle name="표준 24 3 2 2 3 2 2 2 2 3 2" xfId="15940"/>
    <cellStyle name="표준 24 3 2 2 3 2 2 2 2 4" xfId="15941"/>
    <cellStyle name="표준 24 3 2 2 3 2 2 2 3" xfId="15942"/>
    <cellStyle name="표준 24 3 2 2 3 2 2 2 3 2" xfId="15943"/>
    <cellStyle name="표준 24 3 2 2 3 2 2 2 3 2 2" xfId="15944"/>
    <cellStyle name="표준 24 3 2 2 3 2 2 2 3 3" xfId="15945"/>
    <cellStyle name="표준 24 3 2 2 3 2 2 2 4" xfId="15946"/>
    <cellStyle name="표준 24 3 2 2 3 2 2 2 4 2" xfId="15947"/>
    <cellStyle name="표준 24 3 2 2 3 2 2 2 5" xfId="15948"/>
    <cellStyle name="표준 24 3 2 2 3 2 2 3" xfId="15949"/>
    <cellStyle name="표준 24 3 2 2 3 2 2 3 2" xfId="15950"/>
    <cellStyle name="표준 24 3 2 2 3 2 2 3 2 2" xfId="15951"/>
    <cellStyle name="표준 24 3 2 2 3 2 2 3 2 2 2" xfId="15952"/>
    <cellStyle name="표준 24 3 2 2 3 2 2 3 2 3" xfId="15953"/>
    <cellStyle name="표준 24 3 2 2 3 2 2 3 3" xfId="15954"/>
    <cellStyle name="표준 24 3 2 2 3 2 2 3 3 2" xfId="15955"/>
    <cellStyle name="표준 24 3 2 2 3 2 2 3 4" xfId="15956"/>
    <cellStyle name="표준 24 3 2 2 3 2 2 4" xfId="15957"/>
    <cellStyle name="표준 24 3 2 2 3 2 2 4 2" xfId="15958"/>
    <cellStyle name="표준 24 3 2 2 3 2 2 4 2 2" xfId="15959"/>
    <cellStyle name="표준 24 3 2 2 3 2 2 4 3" xfId="15960"/>
    <cellStyle name="표준 24 3 2 2 3 2 2 5" xfId="15961"/>
    <cellStyle name="표준 24 3 2 2 3 2 2 5 2" xfId="15962"/>
    <cellStyle name="표준 24 3 2 2 3 2 2 6" xfId="15963"/>
    <cellStyle name="표준 24 3 2 2 3 2 3" xfId="15964"/>
    <cellStyle name="표준 24 3 2 2 3 2 3 2" xfId="15965"/>
    <cellStyle name="표준 24 3 2 2 3 2 3 2 2" xfId="15966"/>
    <cellStyle name="표준 24 3 2 2 3 2 3 2 2 2" xfId="15967"/>
    <cellStyle name="표준 24 3 2 2 3 2 3 2 2 2 2" xfId="15968"/>
    <cellStyle name="표준 24 3 2 2 3 2 3 2 2 3" xfId="15969"/>
    <cellStyle name="표준 24 3 2 2 3 2 3 2 3" xfId="15970"/>
    <cellStyle name="표준 24 3 2 2 3 2 3 2 3 2" xfId="15971"/>
    <cellStyle name="표준 24 3 2 2 3 2 3 2 4" xfId="15972"/>
    <cellStyle name="표준 24 3 2 2 3 2 3 3" xfId="15973"/>
    <cellStyle name="표준 24 3 2 2 3 2 3 3 2" xfId="15974"/>
    <cellStyle name="표준 24 3 2 2 3 2 3 3 2 2" xfId="15975"/>
    <cellStyle name="표준 24 3 2 2 3 2 3 3 3" xfId="15976"/>
    <cellStyle name="표준 24 3 2 2 3 2 3 4" xfId="15977"/>
    <cellStyle name="표준 24 3 2 2 3 2 3 4 2" xfId="15978"/>
    <cellStyle name="표준 24 3 2 2 3 2 3 5" xfId="15979"/>
    <cellStyle name="표준 24 3 2 2 3 2 4" xfId="15980"/>
    <cellStyle name="표준 24 3 2 2 3 2 4 2" xfId="15981"/>
    <cellStyle name="표준 24 3 2 2 3 2 4 2 2" xfId="15982"/>
    <cellStyle name="표준 24 3 2 2 3 2 4 2 2 2" xfId="15983"/>
    <cellStyle name="표준 24 3 2 2 3 2 4 2 3" xfId="15984"/>
    <cellStyle name="표준 24 3 2 2 3 2 4 3" xfId="15985"/>
    <cellStyle name="표준 24 3 2 2 3 2 4 3 2" xfId="15986"/>
    <cellStyle name="표준 24 3 2 2 3 2 4 4" xfId="15987"/>
    <cellStyle name="표준 24 3 2 2 3 2 5" xfId="15988"/>
    <cellStyle name="표준 24 3 2 2 3 2 5 2" xfId="15989"/>
    <cellStyle name="표준 24 3 2 2 3 2 5 2 2" xfId="15990"/>
    <cellStyle name="표준 24 3 2 2 3 2 5 3" xfId="15991"/>
    <cellStyle name="표준 24 3 2 2 3 2 6" xfId="15992"/>
    <cellStyle name="표준 24 3 2 2 3 2 6 2" xfId="15993"/>
    <cellStyle name="표준 24 3 2 2 3 2 7" xfId="15994"/>
    <cellStyle name="표준 24 3 2 2 3 2 8" xfId="15995"/>
    <cellStyle name="표준 24 3 2 2 3 3" xfId="15996"/>
    <cellStyle name="표준 24 3 2 2 3 3 2" xfId="15997"/>
    <cellStyle name="표준 24 3 2 2 3 3 2 2" xfId="15998"/>
    <cellStyle name="표준 24 3 2 2 3 3 2 2 2" xfId="15999"/>
    <cellStyle name="표준 24 3 2 2 3 3 2 2 2 2" xfId="16000"/>
    <cellStyle name="표준 24 3 2 2 3 3 2 2 2 2 2" xfId="16001"/>
    <cellStyle name="표준 24 3 2 2 3 3 2 2 2 3" xfId="16002"/>
    <cellStyle name="표준 24 3 2 2 3 3 2 2 3" xfId="16003"/>
    <cellStyle name="표준 24 3 2 2 3 3 2 2 3 2" xfId="16004"/>
    <cellStyle name="표준 24 3 2 2 3 3 2 2 4" xfId="16005"/>
    <cellStyle name="표준 24 3 2 2 3 3 2 3" xfId="16006"/>
    <cellStyle name="표준 24 3 2 2 3 3 2 3 2" xfId="16007"/>
    <cellStyle name="표준 24 3 2 2 3 3 2 3 2 2" xfId="16008"/>
    <cellStyle name="표준 24 3 2 2 3 3 2 3 3" xfId="16009"/>
    <cellStyle name="표준 24 3 2 2 3 3 2 4" xfId="16010"/>
    <cellStyle name="표준 24 3 2 2 3 3 2 4 2" xfId="16011"/>
    <cellStyle name="표준 24 3 2 2 3 3 2 5" xfId="16012"/>
    <cellStyle name="표준 24 3 2 2 3 3 3" xfId="16013"/>
    <cellStyle name="표준 24 3 2 2 3 3 3 2" xfId="16014"/>
    <cellStyle name="표준 24 3 2 2 3 3 3 2 2" xfId="16015"/>
    <cellStyle name="표준 24 3 2 2 3 3 3 2 2 2" xfId="16016"/>
    <cellStyle name="표준 24 3 2 2 3 3 3 2 3" xfId="16017"/>
    <cellStyle name="표준 24 3 2 2 3 3 3 3" xfId="16018"/>
    <cellStyle name="표준 24 3 2 2 3 3 3 3 2" xfId="16019"/>
    <cellStyle name="표준 24 3 2 2 3 3 3 4" xfId="16020"/>
    <cellStyle name="표준 24 3 2 2 3 3 4" xfId="16021"/>
    <cellStyle name="표준 24 3 2 2 3 3 4 2" xfId="16022"/>
    <cellStyle name="표준 24 3 2 2 3 3 4 2 2" xfId="16023"/>
    <cellStyle name="표준 24 3 2 2 3 3 4 3" xfId="16024"/>
    <cellStyle name="표준 24 3 2 2 3 3 5" xfId="16025"/>
    <cellStyle name="표준 24 3 2 2 3 3 5 2" xfId="16026"/>
    <cellStyle name="표준 24 3 2 2 3 3 6" xfId="16027"/>
    <cellStyle name="표준 24 3 2 2 3 4" xfId="16028"/>
    <cellStyle name="표준 24 3 2 2 3 4 2" xfId="16029"/>
    <cellStyle name="표준 24 3 2 2 3 4 2 2" xfId="16030"/>
    <cellStyle name="표준 24 3 2 2 3 4 2 2 2" xfId="16031"/>
    <cellStyle name="표준 24 3 2 2 3 4 2 2 2 2" xfId="16032"/>
    <cellStyle name="표준 24 3 2 2 3 4 2 2 3" xfId="16033"/>
    <cellStyle name="표준 24 3 2 2 3 4 2 3" xfId="16034"/>
    <cellStyle name="표준 24 3 2 2 3 4 2 3 2" xfId="16035"/>
    <cellStyle name="표준 24 3 2 2 3 4 2 4" xfId="16036"/>
    <cellStyle name="표준 24 3 2 2 3 4 3" xfId="16037"/>
    <cellStyle name="표준 24 3 2 2 3 4 3 2" xfId="16038"/>
    <cellStyle name="표준 24 3 2 2 3 4 3 2 2" xfId="16039"/>
    <cellStyle name="표준 24 3 2 2 3 4 3 3" xfId="16040"/>
    <cellStyle name="표준 24 3 2 2 3 4 4" xfId="16041"/>
    <cellStyle name="표준 24 3 2 2 3 4 4 2" xfId="16042"/>
    <cellStyle name="표준 24 3 2 2 3 4 5" xfId="16043"/>
    <cellStyle name="표준 24 3 2 2 3 5" xfId="16044"/>
    <cellStyle name="표준 24 3 2 2 3 5 2" xfId="16045"/>
    <cellStyle name="표준 24 3 2 2 3 5 2 2" xfId="16046"/>
    <cellStyle name="표준 24 3 2 2 3 5 2 2 2" xfId="16047"/>
    <cellStyle name="표준 24 3 2 2 3 5 2 3" xfId="16048"/>
    <cellStyle name="표준 24 3 2 2 3 5 3" xfId="16049"/>
    <cellStyle name="표준 24 3 2 2 3 5 3 2" xfId="16050"/>
    <cellStyle name="표준 24 3 2 2 3 5 4" xfId="16051"/>
    <cellStyle name="표준 24 3 2 2 3 6" xfId="16052"/>
    <cellStyle name="표준 24 3 2 2 3 6 2" xfId="16053"/>
    <cellStyle name="표준 24 3 2 2 3 6 2 2" xfId="16054"/>
    <cellStyle name="표준 24 3 2 2 3 6 3" xfId="16055"/>
    <cellStyle name="표준 24 3 2 2 3 7" xfId="16056"/>
    <cellStyle name="표준 24 3 2 2 3 7 2" xfId="16057"/>
    <cellStyle name="표준 24 3 2 2 3 8" xfId="16058"/>
    <cellStyle name="표준 24 3 2 2 3 9" xfId="16059"/>
    <cellStyle name="표준 24 3 2 2 4" xfId="16060"/>
    <cellStyle name="표준 24 3 2 2 4 2" xfId="16061"/>
    <cellStyle name="표준 24 3 2 2 4 2 2" xfId="16062"/>
    <cellStyle name="표준 24 3 2 2 4 2 2 2" xfId="16063"/>
    <cellStyle name="표준 24 3 2 2 4 2 2 2 2" xfId="16064"/>
    <cellStyle name="표준 24 3 2 2 4 2 2 2 2 2" xfId="16065"/>
    <cellStyle name="표준 24 3 2 2 4 2 2 2 2 2 2" xfId="16066"/>
    <cellStyle name="표준 24 3 2 2 4 2 2 2 2 3" xfId="16067"/>
    <cellStyle name="표준 24 3 2 2 4 2 2 2 3" xfId="16068"/>
    <cellStyle name="표준 24 3 2 2 4 2 2 2 3 2" xfId="16069"/>
    <cellStyle name="표준 24 3 2 2 4 2 2 2 4" xfId="16070"/>
    <cellStyle name="표준 24 3 2 2 4 2 2 3" xfId="16071"/>
    <cellStyle name="표준 24 3 2 2 4 2 2 3 2" xfId="16072"/>
    <cellStyle name="표준 24 3 2 2 4 2 2 3 2 2" xfId="16073"/>
    <cellStyle name="표준 24 3 2 2 4 2 2 3 3" xfId="16074"/>
    <cellStyle name="표준 24 3 2 2 4 2 2 4" xfId="16075"/>
    <cellStyle name="표준 24 3 2 2 4 2 2 4 2" xfId="16076"/>
    <cellStyle name="표준 24 3 2 2 4 2 2 5" xfId="16077"/>
    <cellStyle name="표준 24 3 2 2 4 2 3" xfId="16078"/>
    <cellStyle name="표준 24 3 2 2 4 2 3 2" xfId="16079"/>
    <cellStyle name="표준 24 3 2 2 4 2 3 2 2" xfId="16080"/>
    <cellStyle name="표준 24 3 2 2 4 2 3 2 2 2" xfId="16081"/>
    <cellStyle name="표준 24 3 2 2 4 2 3 2 3" xfId="16082"/>
    <cellStyle name="표준 24 3 2 2 4 2 3 3" xfId="16083"/>
    <cellStyle name="표준 24 3 2 2 4 2 3 3 2" xfId="16084"/>
    <cellStyle name="표준 24 3 2 2 4 2 3 4" xfId="16085"/>
    <cellStyle name="표준 24 3 2 2 4 2 4" xfId="16086"/>
    <cellStyle name="표준 24 3 2 2 4 2 4 2" xfId="16087"/>
    <cellStyle name="표준 24 3 2 2 4 2 4 2 2" xfId="16088"/>
    <cellStyle name="표준 24 3 2 2 4 2 4 3" xfId="16089"/>
    <cellStyle name="표준 24 3 2 2 4 2 5" xfId="16090"/>
    <cellStyle name="표준 24 3 2 2 4 2 5 2" xfId="16091"/>
    <cellStyle name="표준 24 3 2 2 4 2 6" xfId="16092"/>
    <cellStyle name="표준 24 3 2 2 4 3" xfId="16093"/>
    <cellStyle name="표준 24 3 2 2 4 3 2" xfId="16094"/>
    <cellStyle name="표준 24 3 2 2 4 3 2 2" xfId="16095"/>
    <cellStyle name="표준 24 3 2 2 4 3 2 2 2" xfId="16096"/>
    <cellStyle name="표준 24 3 2 2 4 3 2 2 2 2" xfId="16097"/>
    <cellStyle name="표준 24 3 2 2 4 3 2 2 3" xfId="16098"/>
    <cellStyle name="표준 24 3 2 2 4 3 2 3" xfId="16099"/>
    <cellStyle name="표준 24 3 2 2 4 3 2 3 2" xfId="16100"/>
    <cellStyle name="표준 24 3 2 2 4 3 2 4" xfId="16101"/>
    <cellStyle name="표준 24 3 2 2 4 3 3" xfId="16102"/>
    <cellStyle name="표준 24 3 2 2 4 3 3 2" xfId="16103"/>
    <cellStyle name="표준 24 3 2 2 4 3 3 2 2" xfId="16104"/>
    <cellStyle name="표준 24 3 2 2 4 3 3 3" xfId="16105"/>
    <cellStyle name="표준 24 3 2 2 4 3 4" xfId="16106"/>
    <cellStyle name="표준 24 3 2 2 4 3 4 2" xfId="16107"/>
    <cellStyle name="표준 24 3 2 2 4 3 5" xfId="16108"/>
    <cellStyle name="표준 24 3 2 2 4 4" xfId="16109"/>
    <cellStyle name="표준 24 3 2 2 4 4 2" xfId="16110"/>
    <cellStyle name="표준 24 3 2 2 4 4 2 2" xfId="16111"/>
    <cellStyle name="표준 24 3 2 2 4 4 2 2 2" xfId="16112"/>
    <cellStyle name="표준 24 3 2 2 4 4 2 3" xfId="16113"/>
    <cellStyle name="표준 24 3 2 2 4 4 3" xfId="16114"/>
    <cellStyle name="표준 24 3 2 2 4 4 3 2" xfId="16115"/>
    <cellStyle name="표준 24 3 2 2 4 4 4" xfId="16116"/>
    <cellStyle name="표준 24 3 2 2 4 5" xfId="16117"/>
    <cellStyle name="표준 24 3 2 2 4 5 2" xfId="16118"/>
    <cellStyle name="표준 24 3 2 2 4 5 2 2" xfId="16119"/>
    <cellStyle name="표준 24 3 2 2 4 5 3" xfId="16120"/>
    <cellStyle name="표준 24 3 2 2 4 6" xfId="16121"/>
    <cellStyle name="표준 24 3 2 2 4 6 2" xfId="16122"/>
    <cellStyle name="표준 24 3 2 2 4 7" xfId="16123"/>
    <cellStyle name="표준 24 3 2 2 4 8" xfId="16124"/>
    <cellStyle name="표준 24 3 2 2 5" xfId="16125"/>
    <cellStyle name="표준 24 3 2 2 5 2" xfId="16126"/>
    <cellStyle name="표준 24 3 2 2 5 2 2" xfId="16127"/>
    <cellStyle name="표준 24 3 2 2 5 2 2 2" xfId="16128"/>
    <cellStyle name="표준 24 3 2 2 5 2 2 2 2" xfId="16129"/>
    <cellStyle name="표준 24 3 2 2 5 2 2 2 2 2" xfId="16130"/>
    <cellStyle name="표준 24 3 2 2 5 2 2 2 3" xfId="16131"/>
    <cellStyle name="표준 24 3 2 2 5 2 2 3" xfId="16132"/>
    <cellStyle name="표준 24 3 2 2 5 2 2 3 2" xfId="16133"/>
    <cellStyle name="표준 24 3 2 2 5 2 2 4" xfId="16134"/>
    <cellStyle name="표준 24 3 2 2 5 2 3" xfId="16135"/>
    <cellStyle name="표준 24 3 2 2 5 2 3 2" xfId="16136"/>
    <cellStyle name="표준 24 3 2 2 5 2 3 2 2" xfId="16137"/>
    <cellStyle name="표준 24 3 2 2 5 2 3 3" xfId="16138"/>
    <cellStyle name="표준 24 3 2 2 5 2 4" xfId="16139"/>
    <cellStyle name="표준 24 3 2 2 5 2 4 2" xfId="16140"/>
    <cellStyle name="표준 24 3 2 2 5 2 5" xfId="16141"/>
    <cellStyle name="표준 24 3 2 2 5 3" xfId="16142"/>
    <cellStyle name="표준 24 3 2 2 5 3 2" xfId="16143"/>
    <cellStyle name="표준 24 3 2 2 5 3 2 2" xfId="16144"/>
    <cellStyle name="표준 24 3 2 2 5 3 2 2 2" xfId="16145"/>
    <cellStyle name="표준 24 3 2 2 5 3 2 3" xfId="16146"/>
    <cellStyle name="표준 24 3 2 2 5 3 3" xfId="16147"/>
    <cellStyle name="표준 24 3 2 2 5 3 3 2" xfId="16148"/>
    <cellStyle name="표준 24 3 2 2 5 3 4" xfId="16149"/>
    <cellStyle name="표준 24 3 2 2 5 4" xfId="16150"/>
    <cellStyle name="표준 24 3 2 2 5 4 2" xfId="16151"/>
    <cellStyle name="표준 24 3 2 2 5 4 2 2" xfId="16152"/>
    <cellStyle name="표준 24 3 2 2 5 4 3" xfId="16153"/>
    <cellStyle name="표준 24 3 2 2 5 5" xfId="16154"/>
    <cellStyle name="표준 24 3 2 2 5 5 2" xfId="16155"/>
    <cellStyle name="표준 24 3 2 2 5 6" xfId="16156"/>
    <cellStyle name="표준 24 3 2 2 6" xfId="16157"/>
    <cellStyle name="표준 24 3 2 2 6 2" xfId="16158"/>
    <cellStyle name="표준 24 3 2 2 6 2 2" xfId="16159"/>
    <cellStyle name="표준 24 3 2 2 6 2 2 2" xfId="16160"/>
    <cellStyle name="표준 24 3 2 2 6 2 2 2 2" xfId="16161"/>
    <cellStyle name="표준 24 3 2 2 6 2 2 3" xfId="16162"/>
    <cellStyle name="표준 24 3 2 2 6 2 3" xfId="16163"/>
    <cellStyle name="표준 24 3 2 2 6 2 3 2" xfId="16164"/>
    <cellStyle name="표준 24 3 2 2 6 2 4" xfId="16165"/>
    <cellStyle name="표준 24 3 2 2 6 3" xfId="16166"/>
    <cellStyle name="표준 24 3 2 2 6 3 2" xfId="16167"/>
    <cellStyle name="표준 24 3 2 2 6 3 2 2" xfId="16168"/>
    <cellStyle name="표준 24 3 2 2 6 3 3" xfId="16169"/>
    <cellStyle name="표준 24 3 2 2 6 4" xfId="16170"/>
    <cellStyle name="표준 24 3 2 2 6 4 2" xfId="16171"/>
    <cellStyle name="표준 24 3 2 2 6 5" xfId="16172"/>
    <cellStyle name="표준 24 3 2 2 7" xfId="16173"/>
    <cellStyle name="표준 24 3 2 2 7 2" xfId="16174"/>
    <cellStyle name="표준 24 3 2 2 7 2 2" xfId="16175"/>
    <cellStyle name="표준 24 3 2 2 7 2 2 2" xfId="16176"/>
    <cellStyle name="표준 24 3 2 2 7 2 3" xfId="16177"/>
    <cellStyle name="표준 24 3 2 2 7 3" xfId="16178"/>
    <cellStyle name="표준 24 3 2 2 7 3 2" xfId="16179"/>
    <cellStyle name="표준 24 3 2 2 7 4" xfId="16180"/>
    <cellStyle name="표준 24 3 2 2 8" xfId="16181"/>
    <cellStyle name="표준 24 3 2 2 8 2" xfId="16182"/>
    <cellStyle name="표준 24 3 2 2 8 2 2" xfId="16183"/>
    <cellStyle name="표준 24 3 2 2 8 3" xfId="16184"/>
    <cellStyle name="표준 24 3 2 2 9" xfId="16185"/>
    <cellStyle name="표준 24 3 2 2 9 2" xfId="16186"/>
    <cellStyle name="표준 24 3 2 3" xfId="16187"/>
    <cellStyle name="표준 24 3 2 3 10" xfId="16188"/>
    <cellStyle name="표준 24 3 2 3 2" xfId="16189"/>
    <cellStyle name="표준 24 3 2 3 2 2" xfId="16190"/>
    <cellStyle name="표준 24 3 2 3 2 2 2" xfId="16191"/>
    <cellStyle name="표준 24 3 2 3 2 2 2 2" xfId="16192"/>
    <cellStyle name="표준 24 3 2 3 2 2 2 2 2" xfId="16193"/>
    <cellStyle name="표준 24 3 2 3 2 2 2 2 2 2" xfId="16194"/>
    <cellStyle name="표준 24 3 2 3 2 2 2 2 2 2 2" xfId="16195"/>
    <cellStyle name="표준 24 3 2 3 2 2 2 2 2 2 2 2" xfId="16196"/>
    <cellStyle name="표준 24 3 2 3 2 2 2 2 2 2 3" xfId="16197"/>
    <cellStyle name="표준 24 3 2 3 2 2 2 2 2 3" xfId="16198"/>
    <cellStyle name="표준 24 3 2 3 2 2 2 2 2 3 2" xfId="16199"/>
    <cellStyle name="표준 24 3 2 3 2 2 2 2 2 4" xfId="16200"/>
    <cellStyle name="표준 24 3 2 3 2 2 2 2 3" xfId="16201"/>
    <cellStyle name="표준 24 3 2 3 2 2 2 2 3 2" xfId="16202"/>
    <cellStyle name="표준 24 3 2 3 2 2 2 2 3 2 2" xfId="16203"/>
    <cellStyle name="표준 24 3 2 3 2 2 2 2 3 3" xfId="16204"/>
    <cellStyle name="표준 24 3 2 3 2 2 2 2 4" xfId="16205"/>
    <cellStyle name="표준 24 3 2 3 2 2 2 2 4 2" xfId="16206"/>
    <cellStyle name="표준 24 3 2 3 2 2 2 2 5" xfId="16207"/>
    <cellStyle name="표준 24 3 2 3 2 2 2 3" xfId="16208"/>
    <cellStyle name="표준 24 3 2 3 2 2 2 3 2" xfId="16209"/>
    <cellStyle name="표준 24 3 2 3 2 2 2 3 2 2" xfId="16210"/>
    <cellStyle name="표준 24 3 2 3 2 2 2 3 2 2 2" xfId="16211"/>
    <cellStyle name="표준 24 3 2 3 2 2 2 3 2 3" xfId="16212"/>
    <cellStyle name="표준 24 3 2 3 2 2 2 3 3" xfId="16213"/>
    <cellStyle name="표준 24 3 2 3 2 2 2 3 3 2" xfId="16214"/>
    <cellStyle name="표준 24 3 2 3 2 2 2 3 4" xfId="16215"/>
    <cellStyle name="표준 24 3 2 3 2 2 2 4" xfId="16216"/>
    <cellStyle name="표준 24 3 2 3 2 2 2 4 2" xfId="16217"/>
    <cellStyle name="표준 24 3 2 3 2 2 2 4 2 2" xfId="16218"/>
    <cellStyle name="표준 24 3 2 3 2 2 2 4 3" xfId="16219"/>
    <cellStyle name="표준 24 3 2 3 2 2 2 5" xfId="16220"/>
    <cellStyle name="표준 24 3 2 3 2 2 2 5 2" xfId="16221"/>
    <cellStyle name="표준 24 3 2 3 2 2 2 6" xfId="16222"/>
    <cellStyle name="표준 24 3 2 3 2 2 3" xfId="16223"/>
    <cellStyle name="표준 24 3 2 3 2 2 3 2" xfId="16224"/>
    <cellStyle name="표준 24 3 2 3 2 2 3 2 2" xfId="16225"/>
    <cellStyle name="표준 24 3 2 3 2 2 3 2 2 2" xfId="16226"/>
    <cellStyle name="표준 24 3 2 3 2 2 3 2 2 2 2" xfId="16227"/>
    <cellStyle name="표준 24 3 2 3 2 2 3 2 2 3" xfId="16228"/>
    <cellStyle name="표준 24 3 2 3 2 2 3 2 3" xfId="16229"/>
    <cellStyle name="표준 24 3 2 3 2 2 3 2 3 2" xfId="16230"/>
    <cellStyle name="표준 24 3 2 3 2 2 3 2 4" xfId="16231"/>
    <cellStyle name="표준 24 3 2 3 2 2 3 3" xfId="16232"/>
    <cellStyle name="표준 24 3 2 3 2 2 3 3 2" xfId="16233"/>
    <cellStyle name="표준 24 3 2 3 2 2 3 3 2 2" xfId="16234"/>
    <cellStyle name="표준 24 3 2 3 2 2 3 3 3" xfId="16235"/>
    <cellStyle name="표준 24 3 2 3 2 2 3 4" xfId="16236"/>
    <cellStyle name="표준 24 3 2 3 2 2 3 4 2" xfId="16237"/>
    <cellStyle name="표준 24 3 2 3 2 2 3 5" xfId="16238"/>
    <cellStyle name="표준 24 3 2 3 2 2 4" xfId="16239"/>
    <cellStyle name="표준 24 3 2 3 2 2 4 2" xfId="16240"/>
    <cellStyle name="표준 24 3 2 3 2 2 4 2 2" xfId="16241"/>
    <cellStyle name="표준 24 3 2 3 2 2 4 2 2 2" xfId="16242"/>
    <cellStyle name="표준 24 3 2 3 2 2 4 2 3" xfId="16243"/>
    <cellStyle name="표준 24 3 2 3 2 2 4 3" xfId="16244"/>
    <cellStyle name="표준 24 3 2 3 2 2 4 3 2" xfId="16245"/>
    <cellStyle name="표준 24 3 2 3 2 2 4 4" xfId="16246"/>
    <cellStyle name="표준 24 3 2 3 2 2 5" xfId="16247"/>
    <cellStyle name="표준 24 3 2 3 2 2 5 2" xfId="16248"/>
    <cellStyle name="표준 24 3 2 3 2 2 5 2 2" xfId="16249"/>
    <cellStyle name="표준 24 3 2 3 2 2 5 3" xfId="16250"/>
    <cellStyle name="표준 24 3 2 3 2 2 6" xfId="16251"/>
    <cellStyle name="표준 24 3 2 3 2 2 6 2" xfId="16252"/>
    <cellStyle name="표준 24 3 2 3 2 2 7" xfId="16253"/>
    <cellStyle name="표준 24 3 2 3 2 2 8" xfId="16254"/>
    <cellStyle name="표준 24 3 2 3 2 3" xfId="16255"/>
    <cellStyle name="표준 24 3 2 3 2 3 2" xfId="16256"/>
    <cellStyle name="표준 24 3 2 3 2 3 2 2" xfId="16257"/>
    <cellStyle name="표준 24 3 2 3 2 3 2 2 2" xfId="16258"/>
    <cellStyle name="표준 24 3 2 3 2 3 2 2 2 2" xfId="16259"/>
    <cellStyle name="표준 24 3 2 3 2 3 2 2 2 2 2" xfId="16260"/>
    <cellStyle name="표준 24 3 2 3 2 3 2 2 2 3" xfId="16261"/>
    <cellStyle name="표준 24 3 2 3 2 3 2 2 3" xfId="16262"/>
    <cellStyle name="표준 24 3 2 3 2 3 2 2 3 2" xfId="16263"/>
    <cellStyle name="표준 24 3 2 3 2 3 2 2 4" xfId="16264"/>
    <cellStyle name="표준 24 3 2 3 2 3 2 3" xfId="16265"/>
    <cellStyle name="표준 24 3 2 3 2 3 2 3 2" xfId="16266"/>
    <cellStyle name="표준 24 3 2 3 2 3 2 3 2 2" xfId="16267"/>
    <cellStyle name="표준 24 3 2 3 2 3 2 3 3" xfId="16268"/>
    <cellStyle name="표준 24 3 2 3 2 3 2 4" xfId="16269"/>
    <cellStyle name="표준 24 3 2 3 2 3 2 4 2" xfId="16270"/>
    <cellStyle name="표준 24 3 2 3 2 3 2 5" xfId="16271"/>
    <cellStyle name="표준 24 3 2 3 2 3 3" xfId="16272"/>
    <cellStyle name="표준 24 3 2 3 2 3 3 2" xfId="16273"/>
    <cellStyle name="표준 24 3 2 3 2 3 3 2 2" xfId="16274"/>
    <cellStyle name="표준 24 3 2 3 2 3 3 2 2 2" xfId="16275"/>
    <cellStyle name="표준 24 3 2 3 2 3 3 2 3" xfId="16276"/>
    <cellStyle name="표준 24 3 2 3 2 3 3 3" xfId="16277"/>
    <cellStyle name="표준 24 3 2 3 2 3 3 3 2" xfId="16278"/>
    <cellStyle name="표준 24 3 2 3 2 3 3 4" xfId="16279"/>
    <cellStyle name="표준 24 3 2 3 2 3 4" xfId="16280"/>
    <cellStyle name="표준 24 3 2 3 2 3 4 2" xfId="16281"/>
    <cellStyle name="표준 24 3 2 3 2 3 4 2 2" xfId="16282"/>
    <cellStyle name="표준 24 3 2 3 2 3 4 3" xfId="16283"/>
    <cellStyle name="표준 24 3 2 3 2 3 5" xfId="16284"/>
    <cellStyle name="표준 24 3 2 3 2 3 5 2" xfId="16285"/>
    <cellStyle name="표준 24 3 2 3 2 3 6" xfId="16286"/>
    <cellStyle name="표준 24 3 2 3 2 4" xfId="16287"/>
    <cellStyle name="표준 24 3 2 3 2 4 2" xfId="16288"/>
    <cellStyle name="표준 24 3 2 3 2 4 2 2" xfId="16289"/>
    <cellStyle name="표준 24 3 2 3 2 4 2 2 2" xfId="16290"/>
    <cellStyle name="표준 24 3 2 3 2 4 2 2 2 2" xfId="16291"/>
    <cellStyle name="표준 24 3 2 3 2 4 2 2 3" xfId="16292"/>
    <cellStyle name="표준 24 3 2 3 2 4 2 3" xfId="16293"/>
    <cellStyle name="표준 24 3 2 3 2 4 2 3 2" xfId="16294"/>
    <cellStyle name="표준 24 3 2 3 2 4 2 4" xfId="16295"/>
    <cellStyle name="표준 24 3 2 3 2 4 3" xfId="16296"/>
    <cellStyle name="표준 24 3 2 3 2 4 3 2" xfId="16297"/>
    <cellStyle name="표준 24 3 2 3 2 4 3 2 2" xfId="16298"/>
    <cellStyle name="표준 24 3 2 3 2 4 3 3" xfId="16299"/>
    <cellStyle name="표준 24 3 2 3 2 4 4" xfId="16300"/>
    <cellStyle name="표준 24 3 2 3 2 4 4 2" xfId="16301"/>
    <cellStyle name="표준 24 3 2 3 2 4 5" xfId="16302"/>
    <cellStyle name="표준 24 3 2 3 2 5" xfId="16303"/>
    <cellStyle name="표준 24 3 2 3 2 5 2" xfId="16304"/>
    <cellStyle name="표준 24 3 2 3 2 5 2 2" xfId="16305"/>
    <cellStyle name="표준 24 3 2 3 2 5 2 2 2" xfId="16306"/>
    <cellStyle name="표준 24 3 2 3 2 5 2 3" xfId="16307"/>
    <cellStyle name="표준 24 3 2 3 2 5 3" xfId="16308"/>
    <cellStyle name="표준 24 3 2 3 2 5 3 2" xfId="16309"/>
    <cellStyle name="표준 24 3 2 3 2 5 4" xfId="16310"/>
    <cellStyle name="표준 24 3 2 3 2 6" xfId="16311"/>
    <cellStyle name="표준 24 3 2 3 2 6 2" xfId="16312"/>
    <cellStyle name="표준 24 3 2 3 2 6 2 2" xfId="16313"/>
    <cellStyle name="표준 24 3 2 3 2 6 3" xfId="16314"/>
    <cellStyle name="표준 24 3 2 3 2 7" xfId="16315"/>
    <cellStyle name="표준 24 3 2 3 2 7 2" xfId="16316"/>
    <cellStyle name="표준 24 3 2 3 2 8" xfId="16317"/>
    <cellStyle name="표준 24 3 2 3 2 9" xfId="16318"/>
    <cellStyle name="표준 24 3 2 3 3" xfId="16319"/>
    <cellStyle name="표준 24 3 2 3 3 2" xfId="16320"/>
    <cellStyle name="표준 24 3 2 3 3 2 2" xfId="16321"/>
    <cellStyle name="표준 24 3 2 3 3 2 2 2" xfId="16322"/>
    <cellStyle name="표준 24 3 2 3 3 2 2 2 2" xfId="16323"/>
    <cellStyle name="표준 24 3 2 3 3 2 2 2 2 2" xfId="16324"/>
    <cellStyle name="표준 24 3 2 3 3 2 2 2 2 2 2" xfId="16325"/>
    <cellStyle name="표준 24 3 2 3 3 2 2 2 2 3" xfId="16326"/>
    <cellStyle name="표준 24 3 2 3 3 2 2 2 3" xfId="16327"/>
    <cellStyle name="표준 24 3 2 3 3 2 2 2 3 2" xfId="16328"/>
    <cellStyle name="표준 24 3 2 3 3 2 2 2 4" xfId="16329"/>
    <cellStyle name="표준 24 3 2 3 3 2 2 3" xfId="16330"/>
    <cellStyle name="표준 24 3 2 3 3 2 2 3 2" xfId="16331"/>
    <cellStyle name="표준 24 3 2 3 3 2 2 3 2 2" xfId="16332"/>
    <cellStyle name="표준 24 3 2 3 3 2 2 3 3" xfId="16333"/>
    <cellStyle name="표준 24 3 2 3 3 2 2 4" xfId="16334"/>
    <cellStyle name="표준 24 3 2 3 3 2 2 4 2" xfId="16335"/>
    <cellStyle name="표준 24 3 2 3 3 2 2 5" xfId="16336"/>
    <cellStyle name="표준 24 3 2 3 3 2 3" xfId="16337"/>
    <cellStyle name="표준 24 3 2 3 3 2 3 2" xfId="16338"/>
    <cellStyle name="표준 24 3 2 3 3 2 3 2 2" xfId="16339"/>
    <cellStyle name="표준 24 3 2 3 3 2 3 2 2 2" xfId="16340"/>
    <cellStyle name="표준 24 3 2 3 3 2 3 2 3" xfId="16341"/>
    <cellStyle name="표준 24 3 2 3 3 2 3 3" xfId="16342"/>
    <cellStyle name="표준 24 3 2 3 3 2 3 3 2" xfId="16343"/>
    <cellStyle name="표준 24 3 2 3 3 2 3 4" xfId="16344"/>
    <cellStyle name="표준 24 3 2 3 3 2 4" xfId="16345"/>
    <cellStyle name="표준 24 3 2 3 3 2 4 2" xfId="16346"/>
    <cellStyle name="표준 24 3 2 3 3 2 4 2 2" xfId="16347"/>
    <cellStyle name="표준 24 3 2 3 3 2 4 3" xfId="16348"/>
    <cellStyle name="표준 24 3 2 3 3 2 5" xfId="16349"/>
    <cellStyle name="표준 24 3 2 3 3 2 5 2" xfId="16350"/>
    <cellStyle name="표준 24 3 2 3 3 2 6" xfId="16351"/>
    <cellStyle name="표준 24 3 2 3 3 3" xfId="16352"/>
    <cellStyle name="표준 24 3 2 3 3 3 2" xfId="16353"/>
    <cellStyle name="표준 24 3 2 3 3 3 2 2" xfId="16354"/>
    <cellStyle name="표준 24 3 2 3 3 3 2 2 2" xfId="16355"/>
    <cellStyle name="표준 24 3 2 3 3 3 2 2 2 2" xfId="16356"/>
    <cellStyle name="표준 24 3 2 3 3 3 2 2 3" xfId="16357"/>
    <cellStyle name="표준 24 3 2 3 3 3 2 3" xfId="16358"/>
    <cellStyle name="표준 24 3 2 3 3 3 2 3 2" xfId="16359"/>
    <cellStyle name="표준 24 3 2 3 3 3 2 4" xfId="16360"/>
    <cellStyle name="표준 24 3 2 3 3 3 3" xfId="16361"/>
    <cellStyle name="표준 24 3 2 3 3 3 3 2" xfId="16362"/>
    <cellStyle name="표준 24 3 2 3 3 3 3 2 2" xfId="16363"/>
    <cellStyle name="표준 24 3 2 3 3 3 3 3" xfId="16364"/>
    <cellStyle name="표준 24 3 2 3 3 3 4" xfId="16365"/>
    <cellStyle name="표준 24 3 2 3 3 3 4 2" xfId="16366"/>
    <cellStyle name="표준 24 3 2 3 3 3 5" xfId="16367"/>
    <cellStyle name="표준 24 3 2 3 3 4" xfId="16368"/>
    <cellStyle name="표준 24 3 2 3 3 4 2" xfId="16369"/>
    <cellStyle name="표준 24 3 2 3 3 4 2 2" xfId="16370"/>
    <cellStyle name="표준 24 3 2 3 3 4 2 2 2" xfId="16371"/>
    <cellStyle name="표준 24 3 2 3 3 4 2 3" xfId="16372"/>
    <cellStyle name="표준 24 3 2 3 3 4 3" xfId="16373"/>
    <cellStyle name="표준 24 3 2 3 3 4 3 2" xfId="16374"/>
    <cellStyle name="표준 24 3 2 3 3 4 4" xfId="16375"/>
    <cellStyle name="표준 24 3 2 3 3 5" xfId="16376"/>
    <cellStyle name="표준 24 3 2 3 3 5 2" xfId="16377"/>
    <cellStyle name="표준 24 3 2 3 3 5 2 2" xfId="16378"/>
    <cellStyle name="표준 24 3 2 3 3 5 3" xfId="16379"/>
    <cellStyle name="표준 24 3 2 3 3 6" xfId="16380"/>
    <cellStyle name="표준 24 3 2 3 3 6 2" xfId="16381"/>
    <cellStyle name="표준 24 3 2 3 3 7" xfId="16382"/>
    <cellStyle name="표준 24 3 2 3 3 8" xfId="16383"/>
    <cellStyle name="표준 24 3 2 3 4" xfId="16384"/>
    <cellStyle name="표준 24 3 2 3 4 2" xfId="16385"/>
    <cellStyle name="표준 24 3 2 3 4 2 2" xfId="16386"/>
    <cellStyle name="표준 24 3 2 3 4 2 2 2" xfId="16387"/>
    <cellStyle name="표준 24 3 2 3 4 2 2 2 2" xfId="16388"/>
    <cellStyle name="표준 24 3 2 3 4 2 2 2 2 2" xfId="16389"/>
    <cellStyle name="표준 24 3 2 3 4 2 2 2 3" xfId="16390"/>
    <cellStyle name="표준 24 3 2 3 4 2 2 3" xfId="16391"/>
    <cellStyle name="표준 24 3 2 3 4 2 2 3 2" xfId="16392"/>
    <cellStyle name="표준 24 3 2 3 4 2 2 4" xfId="16393"/>
    <cellStyle name="표준 24 3 2 3 4 2 3" xfId="16394"/>
    <cellStyle name="표준 24 3 2 3 4 2 3 2" xfId="16395"/>
    <cellStyle name="표준 24 3 2 3 4 2 3 2 2" xfId="16396"/>
    <cellStyle name="표준 24 3 2 3 4 2 3 3" xfId="16397"/>
    <cellStyle name="표준 24 3 2 3 4 2 4" xfId="16398"/>
    <cellStyle name="표준 24 3 2 3 4 2 4 2" xfId="16399"/>
    <cellStyle name="표준 24 3 2 3 4 2 5" xfId="16400"/>
    <cellStyle name="표준 24 3 2 3 4 3" xfId="16401"/>
    <cellStyle name="표준 24 3 2 3 4 3 2" xfId="16402"/>
    <cellStyle name="표준 24 3 2 3 4 3 2 2" xfId="16403"/>
    <cellStyle name="표준 24 3 2 3 4 3 2 2 2" xfId="16404"/>
    <cellStyle name="표준 24 3 2 3 4 3 2 3" xfId="16405"/>
    <cellStyle name="표준 24 3 2 3 4 3 3" xfId="16406"/>
    <cellStyle name="표준 24 3 2 3 4 3 3 2" xfId="16407"/>
    <cellStyle name="표준 24 3 2 3 4 3 4" xfId="16408"/>
    <cellStyle name="표준 24 3 2 3 4 4" xfId="16409"/>
    <cellStyle name="표준 24 3 2 3 4 4 2" xfId="16410"/>
    <cellStyle name="표준 24 3 2 3 4 4 2 2" xfId="16411"/>
    <cellStyle name="표준 24 3 2 3 4 4 3" xfId="16412"/>
    <cellStyle name="표준 24 3 2 3 4 5" xfId="16413"/>
    <cellStyle name="표준 24 3 2 3 4 5 2" xfId="16414"/>
    <cellStyle name="표준 24 3 2 3 4 6" xfId="16415"/>
    <cellStyle name="표준 24 3 2 3 5" xfId="16416"/>
    <cellStyle name="표준 24 3 2 3 5 2" xfId="16417"/>
    <cellStyle name="표준 24 3 2 3 5 2 2" xfId="16418"/>
    <cellStyle name="표준 24 3 2 3 5 2 2 2" xfId="16419"/>
    <cellStyle name="표준 24 3 2 3 5 2 2 2 2" xfId="16420"/>
    <cellStyle name="표준 24 3 2 3 5 2 2 3" xfId="16421"/>
    <cellStyle name="표준 24 3 2 3 5 2 3" xfId="16422"/>
    <cellStyle name="표준 24 3 2 3 5 2 3 2" xfId="16423"/>
    <cellStyle name="표준 24 3 2 3 5 2 4" xfId="16424"/>
    <cellStyle name="표준 24 3 2 3 5 3" xfId="16425"/>
    <cellStyle name="표준 24 3 2 3 5 3 2" xfId="16426"/>
    <cellStyle name="표준 24 3 2 3 5 3 2 2" xfId="16427"/>
    <cellStyle name="표준 24 3 2 3 5 3 3" xfId="16428"/>
    <cellStyle name="표준 24 3 2 3 5 4" xfId="16429"/>
    <cellStyle name="표준 24 3 2 3 5 4 2" xfId="16430"/>
    <cellStyle name="표준 24 3 2 3 5 5" xfId="16431"/>
    <cellStyle name="표준 24 3 2 3 6" xfId="16432"/>
    <cellStyle name="표준 24 3 2 3 6 2" xfId="16433"/>
    <cellStyle name="표준 24 3 2 3 6 2 2" xfId="16434"/>
    <cellStyle name="표준 24 3 2 3 6 2 2 2" xfId="16435"/>
    <cellStyle name="표준 24 3 2 3 6 2 3" xfId="16436"/>
    <cellStyle name="표준 24 3 2 3 6 3" xfId="16437"/>
    <cellStyle name="표준 24 3 2 3 6 3 2" xfId="16438"/>
    <cellStyle name="표준 24 3 2 3 6 4" xfId="16439"/>
    <cellStyle name="표준 24 3 2 3 7" xfId="16440"/>
    <cellStyle name="표준 24 3 2 3 7 2" xfId="16441"/>
    <cellStyle name="표준 24 3 2 3 7 2 2" xfId="16442"/>
    <cellStyle name="표준 24 3 2 3 7 3" xfId="16443"/>
    <cellStyle name="표준 24 3 2 3 8" xfId="16444"/>
    <cellStyle name="표준 24 3 2 3 8 2" xfId="16445"/>
    <cellStyle name="표준 24 3 2 3 9" xfId="16446"/>
    <cellStyle name="표준 24 3 2 4" xfId="16447"/>
    <cellStyle name="표준 24 3 2 4 2" xfId="16448"/>
    <cellStyle name="표준 24 3 2 4 2 2" xfId="16449"/>
    <cellStyle name="표준 24 3 2 4 2 2 2" xfId="16450"/>
    <cellStyle name="표준 24 3 2 4 2 2 2 2" xfId="16451"/>
    <cellStyle name="표준 24 3 2 4 2 2 2 2 2" xfId="16452"/>
    <cellStyle name="표준 24 3 2 4 2 2 2 2 2 2" xfId="16453"/>
    <cellStyle name="표준 24 3 2 4 2 2 2 2 2 2 2" xfId="16454"/>
    <cellStyle name="표준 24 3 2 4 2 2 2 2 2 3" xfId="16455"/>
    <cellStyle name="표준 24 3 2 4 2 2 2 2 3" xfId="16456"/>
    <cellStyle name="표준 24 3 2 4 2 2 2 2 3 2" xfId="16457"/>
    <cellStyle name="표준 24 3 2 4 2 2 2 2 4" xfId="16458"/>
    <cellStyle name="표준 24 3 2 4 2 2 2 3" xfId="16459"/>
    <cellStyle name="표준 24 3 2 4 2 2 2 3 2" xfId="16460"/>
    <cellStyle name="표준 24 3 2 4 2 2 2 3 2 2" xfId="16461"/>
    <cellStyle name="표준 24 3 2 4 2 2 2 3 3" xfId="16462"/>
    <cellStyle name="표준 24 3 2 4 2 2 2 4" xfId="16463"/>
    <cellStyle name="표준 24 3 2 4 2 2 2 4 2" xfId="16464"/>
    <cellStyle name="표준 24 3 2 4 2 2 2 5" xfId="16465"/>
    <cellStyle name="표준 24 3 2 4 2 2 3" xfId="16466"/>
    <cellStyle name="표준 24 3 2 4 2 2 3 2" xfId="16467"/>
    <cellStyle name="표준 24 3 2 4 2 2 3 2 2" xfId="16468"/>
    <cellStyle name="표준 24 3 2 4 2 2 3 2 2 2" xfId="16469"/>
    <cellStyle name="표준 24 3 2 4 2 2 3 2 3" xfId="16470"/>
    <cellStyle name="표준 24 3 2 4 2 2 3 3" xfId="16471"/>
    <cellStyle name="표준 24 3 2 4 2 2 3 3 2" xfId="16472"/>
    <cellStyle name="표준 24 3 2 4 2 2 3 4" xfId="16473"/>
    <cellStyle name="표준 24 3 2 4 2 2 4" xfId="16474"/>
    <cellStyle name="표준 24 3 2 4 2 2 4 2" xfId="16475"/>
    <cellStyle name="표준 24 3 2 4 2 2 4 2 2" xfId="16476"/>
    <cellStyle name="표준 24 3 2 4 2 2 4 3" xfId="16477"/>
    <cellStyle name="표준 24 3 2 4 2 2 5" xfId="16478"/>
    <cellStyle name="표준 24 3 2 4 2 2 5 2" xfId="16479"/>
    <cellStyle name="표준 24 3 2 4 2 2 6" xfId="16480"/>
    <cellStyle name="표준 24 3 2 4 2 3" xfId="16481"/>
    <cellStyle name="표준 24 3 2 4 2 3 2" xfId="16482"/>
    <cellStyle name="표준 24 3 2 4 2 3 2 2" xfId="16483"/>
    <cellStyle name="표준 24 3 2 4 2 3 2 2 2" xfId="16484"/>
    <cellStyle name="표준 24 3 2 4 2 3 2 2 2 2" xfId="16485"/>
    <cellStyle name="표준 24 3 2 4 2 3 2 2 3" xfId="16486"/>
    <cellStyle name="표준 24 3 2 4 2 3 2 3" xfId="16487"/>
    <cellStyle name="표준 24 3 2 4 2 3 2 3 2" xfId="16488"/>
    <cellStyle name="표준 24 3 2 4 2 3 2 4" xfId="16489"/>
    <cellStyle name="표준 24 3 2 4 2 3 3" xfId="16490"/>
    <cellStyle name="표준 24 3 2 4 2 3 3 2" xfId="16491"/>
    <cellStyle name="표준 24 3 2 4 2 3 3 2 2" xfId="16492"/>
    <cellStyle name="표준 24 3 2 4 2 3 3 3" xfId="16493"/>
    <cellStyle name="표준 24 3 2 4 2 3 4" xfId="16494"/>
    <cellStyle name="표준 24 3 2 4 2 3 4 2" xfId="16495"/>
    <cellStyle name="표준 24 3 2 4 2 3 5" xfId="16496"/>
    <cellStyle name="표준 24 3 2 4 2 4" xfId="16497"/>
    <cellStyle name="표준 24 3 2 4 2 4 2" xfId="16498"/>
    <cellStyle name="표준 24 3 2 4 2 4 2 2" xfId="16499"/>
    <cellStyle name="표준 24 3 2 4 2 4 2 2 2" xfId="16500"/>
    <cellStyle name="표준 24 3 2 4 2 4 2 3" xfId="16501"/>
    <cellStyle name="표준 24 3 2 4 2 4 3" xfId="16502"/>
    <cellStyle name="표준 24 3 2 4 2 4 3 2" xfId="16503"/>
    <cellStyle name="표준 24 3 2 4 2 4 4" xfId="16504"/>
    <cellStyle name="표준 24 3 2 4 2 5" xfId="16505"/>
    <cellStyle name="표준 24 3 2 4 2 5 2" xfId="16506"/>
    <cellStyle name="표준 24 3 2 4 2 5 2 2" xfId="16507"/>
    <cellStyle name="표준 24 3 2 4 2 5 3" xfId="16508"/>
    <cellStyle name="표준 24 3 2 4 2 6" xfId="16509"/>
    <cellStyle name="표준 24 3 2 4 2 6 2" xfId="16510"/>
    <cellStyle name="표준 24 3 2 4 2 7" xfId="16511"/>
    <cellStyle name="표준 24 3 2 4 2 8" xfId="16512"/>
    <cellStyle name="표준 24 3 2 4 3" xfId="16513"/>
    <cellStyle name="표준 24 3 2 4 3 2" xfId="16514"/>
    <cellStyle name="표준 24 3 2 4 3 2 2" xfId="16515"/>
    <cellStyle name="표준 24 3 2 4 3 2 2 2" xfId="16516"/>
    <cellStyle name="표준 24 3 2 4 3 2 2 2 2" xfId="16517"/>
    <cellStyle name="표준 24 3 2 4 3 2 2 2 2 2" xfId="16518"/>
    <cellStyle name="표준 24 3 2 4 3 2 2 2 3" xfId="16519"/>
    <cellStyle name="표준 24 3 2 4 3 2 2 3" xfId="16520"/>
    <cellStyle name="표준 24 3 2 4 3 2 2 3 2" xfId="16521"/>
    <cellStyle name="표준 24 3 2 4 3 2 2 4" xfId="16522"/>
    <cellStyle name="표준 24 3 2 4 3 2 3" xfId="16523"/>
    <cellStyle name="표준 24 3 2 4 3 2 3 2" xfId="16524"/>
    <cellStyle name="표준 24 3 2 4 3 2 3 2 2" xfId="16525"/>
    <cellStyle name="표준 24 3 2 4 3 2 3 3" xfId="16526"/>
    <cellStyle name="표준 24 3 2 4 3 2 4" xfId="16527"/>
    <cellStyle name="표준 24 3 2 4 3 2 4 2" xfId="16528"/>
    <cellStyle name="표준 24 3 2 4 3 2 5" xfId="16529"/>
    <cellStyle name="표준 24 3 2 4 3 3" xfId="16530"/>
    <cellStyle name="표준 24 3 2 4 3 3 2" xfId="16531"/>
    <cellStyle name="표준 24 3 2 4 3 3 2 2" xfId="16532"/>
    <cellStyle name="표준 24 3 2 4 3 3 2 2 2" xfId="16533"/>
    <cellStyle name="표준 24 3 2 4 3 3 2 3" xfId="16534"/>
    <cellStyle name="표준 24 3 2 4 3 3 3" xfId="16535"/>
    <cellStyle name="표준 24 3 2 4 3 3 3 2" xfId="16536"/>
    <cellStyle name="표준 24 3 2 4 3 3 4" xfId="16537"/>
    <cellStyle name="표준 24 3 2 4 3 4" xfId="16538"/>
    <cellStyle name="표준 24 3 2 4 3 4 2" xfId="16539"/>
    <cellStyle name="표준 24 3 2 4 3 4 2 2" xfId="16540"/>
    <cellStyle name="표준 24 3 2 4 3 4 3" xfId="16541"/>
    <cellStyle name="표준 24 3 2 4 3 5" xfId="16542"/>
    <cellStyle name="표준 24 3 2 4 3 5 2" xfId="16543"/>
    <cellStyle name="표준 24 3 2 4 3 6" xfId="16544"/>
    <cellStyle name="표준 24 3 2 4 4" xfId="16545"/>
    <cellStyle name="표준 24 3 2 4 4 2" xfId="16546"/>
    <cellStyle name="표준 24 3 2 4 4 2 2" xfId="16547"/>
    <cellStyle name="표준 24 3 2 4 4 2 2 2" xfId="16548"/>
    <cellStyle name="표준 24 3 2 4 4 2 2 2 2" xfId="16549"/>
    <cellStyle name="표준 24 3 2 4 4 2 2 3" xfId="16550"/>
    <cellStyle name="표준 24 3 2 4 4 2 3" xfId="16551"/>
    <cellStyle name="표준 24 3 2 4 4 2 3 2" xfId="16552"/>
    <cellStyle name="표준 24 3 2 4 4 2 4" xfId="16553"/>
    <cellStyle name="표준 24 3 2 4 4 3" xfId="16554"/>
    <cellStyle name="표준 24 3 2 4 4 3 2" xfId="16555"/>
    <cellStyle name="표준 24 3 2 4 4 3 2 2" xfId="16556"/>
    <cellStyle name="표준 24 3 2 4 4 3 3" xfId="16557"/>
    <cellStyle name="표준 24 3 2 4 4 4" xfId="16558"/>
    <cellStyle name="표준 24 3 2 4 4 4 2" xfId="16559"/>
    <cellStyle name="표준 24 3 2 4 4 5" xfId="16560"/>
    <cellStyle name="표준 24 3 2 4 5" xfId="16561"/>
    <cellStyle name="표준 24 3 2 4 5 2" xfId="16562"/>
    <cellStyle name="표준 24 3 2 4 5 2 2" xfId="16563"/>
    <cellStyle name="표준 24 3 2 4 5 2 2 2" xfId="16564"/>
    <cellStyle name="표준 24 3 2 4 5 2 3" xfId="16565"/>
    <cellStyle name="표준 24 3 2 4 5 3" xfId="16566"/>
    <cellStyle name="표준 24 3 2 4 5 3 2" xfId="16567"/>
    <cellStyle name="표준 24 3 2 4 5 4" xfId="16568"/>
    <cellStyle name="표준 24 3 2 4 6" xfId="16569"/>
    <cellStyle name="표준 24 3 2 4 6 2" xfId="16570"/>
    <cellStyle name="표준 24 3 2 4 6 2 2" xfId="16571"/>
    <cellStyle name="표준 24 3 2 4 6 3" xfId="16572"/>
    <cellStyle name="표준 24 3 2 4 7" xfId="16573"/>
    <cellStyle name="표준 24 3 2 4 7 2" xfId="16574"/>
    <cellStyle name="표준 24 3 2 4 8" xfId="16575"/>
    <cellStyle name="표준 24 3 2 4 9" xfId="16576"/>
    <cellStyle name="표준 24 3 2 5" xfId="16577"/>
    <cellStyle name="표준 24 3 2 5 2" xfId="16578"/>
    <cellStyle name="표준 24 3 2 5 2 2" xfId="16579"/>
    <cellStyle name="표준 24 3 2 5 2 2 2" xfId="16580"/>
    <cellStyle name="표준 24 3 2 5 2 2 2 2" xfId="16581"/>
    <cellStyle name="표준 24 3 2 5 2 2 2 2 2" xfId="16582"/>
    <cellStyle name="표준 24 3 2 5 2 2 2 2 2 2" xfId="16583"/>
    <cellStyle name="표준 24 3 2 5 2 2 2 2 3" xfId="16584"/>
    <cellStyle name="표준 24 3 2 5 2 2 2 3" xfId="16585"/>
    <cellStyle name="표준 24 3 2 5 2 2 2 3 2" xfId="16586"/>
    <cellStyle name="표준 24 3 2 5 2 2 2 4" xfId="16587"/>
    <cellStyle name="표준 24 3 2 5 2 2 3" xfId="16588"/>
    <cellStyle name="표준 24 3 2 5 2 2 3 2" xfId="16589"/>
    <cellStyle name="표준 24 3 2 5 2 2 3 2 2" xfId="16590"/>
    <cellStyle name="표준 24 3 2 5 2 2 3 3" xfId="16591"/>
    <cellStyle name="표준 24 3 2 5 2 2 4" xfId="16592"/>
    <cellStyle name="표준 24 3 2 5 2 2 4 2" xfId="16593"/>
    <cellStyle name="표준 24 3 2 5 2 2 5" xfId="16594"/>
    <cellStyle name="표준 24 3 2 5 2 3" xfId="16595"/>
    <cellStyle name="표준 24 3 2 5 2 3 2" xfId="16596"/>
    <cellStyle name="표준 24 3 2 5 2 3 2 2" xfId="16597"/>
    <cellStyle name="표준 24 3 2 5 2 3 2 2 2" xfId="16598"/>
    <cellStyle name="표준 24 3 2 5 2 3 2 3" xfId="16599"/>
    <cellStyle name="표준 24 3 2 5 2 3 3" xfId="16600"/>
    <cellStyle name="표준 24 3 2 5 2 3 3 2" xfId="16601"/>
    <cellStyle name="표준 24 3 2 5 2 3 4" xfId="16602"/>
    <cellStyle name="표준 24 3 2 5 2 4" xfId="16603"/>
    <cellStyle name="표준 24 3 2 5 2 4 2" xfId="16604"/>
    <cellStyle name="표준 24 3 2 5 2 4 2 2" xfId="16605"/>
    <cellStyle name="표준 24 3 2 5 2 4 3" xfId="16606"/>
    <cellStyle name="표준 24 3 2 5 2 5" xfId="16607"/>
    <cellStyle name="표준 24 3 2 5 2 5 2" xfId="16608"/>
    <cellStyle name="표준 24 3 2 5 2 6" xfId="16609"/>
    <cellStyle name="표준 24 3 2 5 3" xfId="16610"/>
    <cellStyle name="표준 24 3 2 5 3 2" xfId="16611"/>
    <cellStyle name="표준 24 3 2 5 3 2 2" xfId="16612"/>
    <cellStyle name="표준 24 3 2 5 3 2 2 2" xfId="16613"/>
    <cellStyle name="표준 24 3 2 5 3 2 2 2 2" xfId="16614"/>
    <cellStyle name="표준 24 3 2 5 3 2 2 3" xfId="16615"/>
    <cellStyle name="표준 24 3 2 5 3 2 3" xfId="16616"/>
    <cellStyle name="표준 24 3 2 5 3 2 3 2" xfId="16617"/>
    <cellStyle name="표준 24 3 2 5 3 2 4" xfId="16618"/>
    <cellStyle name="표준 24 3 2 5 3 3" xfId="16619"/>
    <cellStyle name="표준 24 3 2 5 3 3 2" xfId="16620"/>
    <cellStyle name="표준 24 3 2 5 3 3 2 2" xfId="16621"/>
    <cellStyle name="표준 24 3 2 5 3 3 3" xfId="16622"/>
    <cellStyle name="표준 24 3 2 5 3 4" xfId="16623"/>
    <cellStyle name="표준 24 3 2 5 3 4 2" xfId="16624"/>
    <cellStyle name="표준 24 3 2 5 3 5" xfId="16625"/>
    <cellStyle name="표준 24 3 2 5 4" xfId="16626"/>
    <cellStyle name="표준 24 3 2 5 4 2" xfId="16627"/>
    <cellStyle name="표준 24 3 2 5 4 2 2" xfId="16628"/>
    <cellStyle name="표준 24 3 2 5 4 2 2 2" xfId="16629"/>
    <cellStyle name="표준 24 3 2 5 4 2 3" xfId="16630"/>
    <cellStyle name="표준 24 3 2 5 4 3" xfId="16631"/>
    <cellStyle name="표준 24 3 2 5 4 3 2" xfId="16632"/>
    <cellStyle name="표준 24 3 2 5 4 4" xfId="16633"/>
    <cellStyle name="표준 24 3 2 5 5" xfId="16634"/>
    <cellStyle name="표준 24 3 2 5 5 2" xfId="16635"/>
    <cellStyle name="표준 24 3 2 5 5 2 2" xfId="16636"/>
    <cellStyle name="표준 24 3 2 5 5 3" xfId="16637"/>
    <cellStyle name="표준 24 3 2 5 6" xfId="16638"/>
    <cellStyle name="표준 24 3 2 5 6 2" xfId="16639"/>
    <cellStyle name="표준 24 3 2 5 7" xfId="16640"/>
    <cellStyle name="표준 24 3 2 5 8" xfId="16641"/>
    <cellStyle name="표준 24 3 2 6" xfId="16642"/>
    <cellStyle name="표준 24 3 2 6 2" xfId="16643"/>
    <cellStyle name="표준 24 3 2 6 2 2" xfId="16644"/>
    <cellStyle name="표준 24 3 2 6 2 2 2" xfId="16645"/>
    <cellStyle name="표준 24 3 2 6 2 2 2 2" xfId="16646"/>
    <cellStyle name="표준 24 3 2 6 2 2 2 2 2" xfId="16647"/>
    <cellStyle name="표준 24 3 2 6 2 2 2 3" xfId="16648"/>
    <cellStyle name="표준 24 3 2 6 2 2 3" xfId="16649"/>
    <cellStyle name="표준 24 3 2 6 2 2 3 2" xfId="16650"/>
    <cellStyle name="표준 24 3 2 6 2 2 4" xfId="16651"/>
    <cellStyle name="표준 24 3 2 6 2 3" xfId="16652"/>
    <cellStyle name="표준 24 3 2 6 2 3 2" xfId="16653"/>
    <cellStyle name="표준 24 3 2 6 2 3 2 2" xfId="16654"/>
    <cellStyle name="표준 24 3 2 6 2 3 3" xfId="16655"/>
    <cellStyle name="표준 24 3 2 6 2 4" xfId="16656"/>
    <cellStyle name="표준 24 3 2 6 2 4 2" xfId="16657"/>
    <cellStyle name="표준 24 3 2 6 2 5" xfId="16658"/>
    <cellStyle name="표준 24 3 2 6 3" xfId="16659"/>
    <cellStyle name="표준 24 3 2 6 3 2" xfId="16660"/>
    <cellStyle name="표준 24 3 2 6 3 2 2" xfId="16661"/>
    <cellStyle name="표준 24 3 2 6 3 2 2 2" xfId="16662"/>
    <cellStyle name="표준 24 3 2 6 3 2 3" xfId="16663"/>
    <cellStyle name="표준 24 3 2 6 3 3" xfId="16664"/>
    <cellStyle name="표준 24 3 2 6 3 3 2" xfId="16665"/>
    <cellStyle name="표준 24 3 2 6 3 4" xfId="16666"/>
    <cellStyle name="표준 24 3 2 6 4" xfId="16667"/>
    <cellStyle name="표준 24 3 2 6 4 2" xfId="16668"/>
    <cellStyle name="표준 24 3 2 6 4 2 2" xfId="16669"/>
    <cellStyle name="표준 24 3 2 6 4 3" xfId="16670"/>
    <cellStyle name="표준 24 3 2 6 5" xfId="16671"/>
    <cellStyle name="표준 24 3 2 6 5 2" xfId="16672"/>
    <cellStyle name="표준 24 3 2 6 6" xfId="16673"/>
    <cellStyle name="표준 24 3 2 7" xfId="16674"/>
    <cellStyle name="표준 24 3 2 7 2" xfId="16675"/>
    <cellStyle name="표준 24 3 2 7 2 2" xfId="16676"/>
    <cellStyle name="표준 24 3 2 7 2 2 2" xfId="16677"/>
    <cellStyle name="표준 24 3 2 7 2 2 2 2" xfId="16678"/>
    <cellStyle name="표준 24 3 2 7 2 2 3" xfId="16679"/>
    <cellStyle name="표준 24 3 2 7 2 3" xfId="16680"/>
    <cellStyle name="표준 24 3 2 7 2 3 2" xfId="16681"/>
    <cellStyle name="표준 24 3 2 7 2 4" xfId="16682"/>
    <cellStyle name="표준 24 3 2 7 3" xfId="16683"/>
    <cellStyle name="표준 24 3 2 7 3 2" xfId="16684"/>
    <cellStyle name="표준 24 3 2 7 3 2 2" xfId="16685"/>
    <cellStyle name="표준 24 3 2 7 3 3" xfId="16686"/>
    <cellStyle name="표준 24 3 2 7 4" xfId="16687"/>
    <cellStyle name="표준 24 3 2 7 4 2" xfId="16688"/>
    <cellStyle name="표준 24 3 2 7 5" xfId="16689"/>
    <cellStyle name="표준 24 3 2 8" xfId="16690"/>
    <cellStyle name="표준 24 3 2 8 2" xfId="16691"/>
    <cellStyle name="표준 24 3 2 8 2 2" xfId="16692"/>
    <cellStyle name="표준 24 3 2 8 2 2 2" xfId="16693"/>
    <cellStyle name="표준 24 3 2 8 2 3" xfId="16694"/>
    <cellStyle name="표준 24 3 2 8 3" xfId="16695"/>
    <cellStyle name="표준 24 3 2 8 3 2" xfId="16696"/>
    <cellStyle name="표준 24 3 2 8 4" xfId="16697"/>
    <cellStyle name="표준 24 3 2 9" xfId="16698"/>
    <cellStyle name="표준 24 3 2 9 2" xfId="16699"/>
    <cellStyle name="표준 24 3 2 9 2 2" xfId="16700"/>
    <cellStyle name="표준 24 3 2 9 3" xfId="16701"/>
    <cellStyle name="표준 24 3 3" xfId="16702"/>
    <cellStyle name="표준 24 3 3 10" xfId="16703"/>
    <cellStyle name="표준 24 3 3 11" xfId="16704"/>
    <cellStyle name="표준 24 3 3 2" xfId="16705"/>
    <cellStyle name="표준 24 3 3 2 10" xfId="16706"/>
    <cellStyle name="표준 24 3 3 2 2" xfId="16707"/>
    <cellStyle name="표준 24 3 3 2 2 2" xfId="16708"/>
    <cellStyle name="표준 24 3 3 2 2 2 2" xfId="16709"/>
    <cellStyle name="표준 24 3 3 2 2 2 2 2" xfId="16710"/>
    <cellStyle name="표준 24 3 3 2 2 2 2 2 2" xfId="16711"/>
    <cellStyle name="표준 24 3 3 2 2 2 2 2 2 2" xfId="16712"/>
    <cellStyle name="표준 24 3 3 2 2 2 2 2 2 2 2" xfId="16713"/>
    <cellStyle name="표준 24 3 3 2 2 2 2 2 2 2 2 2" xfId="16714"/>
    <cellStyle name="표준 24 3 3 2 2 2 2 2 2 2 3" xfId="16715"/>
    <cellStyle name="표준 24 3 3 2 2 2 2 2 2 3" xfId="16716"/>
    <cellStyle name="표준 24 3 3 2 2 2 2 2 2 3 2" xfId="16717"/>
    <cellStyle name="표준 24 3 3 2 2 2 2 2 2 4" xfId="16718"/>
    <cellStyle name="표준 24 3 3 2 2 2 2 2 3" xfId="16719"/>
    <cellStyle name="표준 24 3 3 2 2 2 2 2 3 2" xfId="16720"/>
    <cellStyle name="표준 24 3 3 2 2 2 2 2 3 2 2" xfId="16721"/>
    <cellStyle name="표준 24 3 3 2 2 2 2 2 3 3" xfId="16722"/>
    <cellStyle name="표준 24 3 3 2 2 2 2 2 4" xfId="16723"/>
    <cellStyle name="표준 24 3 3 2 2 2 2 2 4 2" xfId="16724"/>
    <cellStyle name="표준 24 3 3 2 2 2 2 2 5" xfId="16725"/>
    <cellStyle name="표준 24 3 3 2 2 2 2 3" xfId="16726"/>
    <cellStyle name="표준 24 3 3 2 2 2 2 3 2" xfId="16727"/>
    <cellStyle name="표준 24 3 3 2 2 2 2 3 2 2" xfId="16728"/>
    <cellStyle name="표준 24 3 3 2 2 2 2 3 2 2 2" xfId="16729"/>
    <cellStyle name="표준 24 3 3 2 2 2 2 3 2 3" xfId="16730"/>
    <cellStyle name="표준 24 3 3 2 2 2 2 3 3" xfId="16731"/>
    <cellStyle name="표준 24 3 3 2 2 2 2 3 3 2" xfId="16732"/>
    <cellStyle name="표준 24 3 3 2 2 2 2 3 4" xfId="16733"/>
    <cellStyle name="표준 24 3 3 2 2 2 2 4" xfId="16734"/>
    <cellStyle name="표준 24 3 3 2 2 2 2 4 2" xfId="16735"/>
    <cellStyle name="표준 24 3 3 2 2 2 2 4 2 2" xfId="16736"/>
    <cellStyle name="표준 24 3 3 2 2 2 2 4 3" xfId="16737"/>
    <cellStyle name="표준 24 3 3 2 2 2 2 5" xfId="16738"/>
    <cellStyle name="표준 24 3 3 2 2 2 2 5 2" xfId="16739"/>
    <cellStyle name="표준 24 3 3 2 2 2 2 6" xfId="16740"/>
    <cellStyle name="표준 24 3 3 2 2 2 3" xfId="16741"/>
    <cellStyle name="표준 24 3 3 2 2 2 3 2" xfId="16742"/>
    <cellStyle name="표준 24 3 3 2 2 2 3 2 2" xfId="16743"/>
    <cellStyle name="표준 24 3 3 2 2 2 3 2 2 2" xfId="16744"/>
    <cellStyle name="표준 24 3 3 2 2 2 3 2 2 2 2" xfId="16745"/>
    <cellStyle name="표준 24 3 3 2 2 2 3 2 2 3" xfId="16746"/>
    <cellStyle name="표준 24 3 3 2 2 2 3 2 3" xfId="16747"/>
    <cellStyle name="표준 24 3 3 2 2 2 3 2 3 2" xfId="16748"/>
    <cellStyle name="표준 24 3 3 2 2 2 3 2 4" xfId="16749"/>
    <cellStyle name="표준 24 3 3 2 2 2 3 3" xfId="16750"/>
    <cellStyle name="표준 24 3 3 2 2 2 3 3 2" xfId="16751"/>
    <cellStyle name="표준 24 3 3 2 2 2 3 3 2 2" xfId="16752"/>
    <cellStyle name="표준 24 3 3 2 2 2 3 3 3" xfId="16753"/>
    <cellStyle name="표준 24 3 3 2 2 2 3 4" xfId="16754"/>
    <cellStyle name="표준 24 3 3 2 2 2 3 4 2" xfId="16755"/>
    <cellStyle name="표준 24 3 3 2 2 2 3 5" xfId="16756"/>
    <cellStyle name="표준 24 3 3 2 2 2 4" xfId="16757"/>
    <cellStyle name="표준 24 3 3 2 2 2 4 2" xfId="16758"/>
    <cellStyle name="표준 24 3 3 2 2 2 4 2 2" xfId="16759"/>
    <cellStyle name="표준 24 3 3 2 2 2 4 2 2 2" xfId="16760"/>
    <cellStyle name="표준 24 3 3 2 2 2 4 2 3" xfId="16761"/>
    <cellStyle name="표준 24 3 3 2 2 2 4 3" xfId="16762"/>
    <cellStyle name="표준 24 3 3 2 2 2 4 3 2" xfId="16763"/>
    <cellStyle name="표준 24 3 3 2 2 2 4 4" xfId="16764"/>
    <cellStyle name="표준 24 3 3 2 2 2 5" xfId="16765"/>
    <cellStyle name="표준 24 3 3 2 2 2 5 2" xfId="16766"/>
    <cellStyle name="표준 24 3 3 2 2 2 5 2 2" xfId="16767"/>
    <cellStyle name="표준 24 3 3 2 2 2 5 3" xfId="16768"/>
    <cellStyle name="표준 24 3 3 2 2 2 6" xfId="16769"/>
    <cellStyle name="표준 24 3 3 2 2 2 6 2" xfId="16770"/>
    <cellStyle name="표준 24 3 3 2 2 2 7" xfId="16771"/>
    <cellStyle name="표준 24 3 3 2 2 2 8" xfId="16772"/>
    <cellStyle name="표준 24 3 3 2 2 3" xfId="16773"/>
    <cellStyle name="표준 24 3 3 2 2 3 2" xfId="16774"/>
    <cellStyle name="표준 24 3 3 2 2 3 2 2" xfId="16775"/>
    <cellStyle name="표준 24 3 3 2 2 3 2 2 2" xfId="16776"/>
    <cellStyle name="표준 24 3 3 2 2 3 2 2 2 2" xfId="16777"/>
    <cellStyle name="표준 24 3 3 2 2 3 2 2 2 2 2" xfId="16778"/>
    <cellStyle name="표준 24 3 3 2 2 3 2 2 2 3" xfId="16779"/>
    <cellStyle name="표준 24 3 3 2 2 3 2 2 3" xfId="16780"/>
    <cellStyle name="표준 24 3 3 2 2 3 2 2 3 2" xfId="16781"/>
    <cellStyle name="표준 24 3 3 2 2 3 2 2 4" xfId="16782"/>
    <cellStyle name="표준 24 3 3 2 2 3 2 3" xfId="16783"/>
    <cellStyle name="표준 24 3 3 2 2 3 2 3 2" xfId="16784"/>
    <cellStyle name="표준 24 3 3 2 2 3 2 3 2 2" xfId="16785"/>
    <cellStyle name="표준 24 3 3 2 2 3 2 3 3" xfId="16786"/>
    <cellStyle name="표준 24 3 3 2 2 3 2 4" xfId="16787"/>
    <cellStyle name="표준 24 3 3 2 2 3 2 4 2" xfId="16788"/>
    <cellStyle name="표준 24 3 3 2 2 3 2 5" xfId="16789"/>
    <cellStyle name="표준 24 3 3 2 2 3 3" xfId="16790"/>
    <cellStyle name="표준 24 3 3 2 2 3 3 2" xfId="16791"/>
    <cellStyle name="표준 24 3 3 2 2 3 3 2 2" xfId="16792"/>
    <cellStyle name="표준 24 3 3 2 2 3 3 2 2 2" xfId="16793"/>
    <cellStyle name="표준 24 3 3 2 2 3 3 2 3" xfId="16794"/>
    <cellStyle name="표준 24 3 3 2 2 3 3 3" xfId="16795"/>
    <cellStyle name="표준 24 3 3 2 2 3 3 3 2" xfId="16796"/>
    <cellStyle name="표준 24 3 3 2 2 3 3 4" xfId="16797"/>
    <cellStyle name="표준 24 3 3 2 2 3 4" xfId="16798"/>
    <cellStyle name="표준 24 3 3 2 2 3 4 2" xfId="16799"/>
    <cellStyle name="표준 24 3 3 2 2 3 4 2 2" xfId="16800"/>
    <cellStyle name="표준 24 3 3 2 2 3 4 3" xfId="16801"/>
    <cellStyle name="표준 24 3 3 2 2 3 5" xfId="16802"/>
    <cellStyle name="표준 24 3 3 2 2 3 5 2" xfId="16803"/>
    <cellStyle name="표준 24 3 3 2 2 3 6" xfId="16804"/>
    <cellStyle name="표준 24 3 3 2 2 4" xfId="16805"/>
    <cellStyle name="표준 24 3 3 2 2 4 2" xfId="16806"/>
    <cellStyle name="표준 24 3 3 2 2 4 2 2" xfId="16807"/>
    <cellStyle name="표준 24 3 3 2 2 4 2 2 2" xfId="16808"/>
    <cellStyle name="표준 24 3 3 2 2 4 2 2 2 2" xfId="16809"/>
    <cellStyle name="표준 24 3 3 2 2 4 2 2 3" xfId="16810"/>
    <cellStyle name="표준 24 3 3 2 2 4 2 3" xfId="16811"/>
    <cellStyle name="표준 24 3 3 2 2 4 2 3 2" xfId="16812"/>
    <cellStyle name="표준 24 3 3 2 2 4 2 4" xfId="16813"/>
    <cellStyle name="표준 24 3 3 2 2 4 3" xfId="16814"/>
    <cellStyle name="표준 24 3 3 2 2 4 3 2" xfId="16815"/>
    <cellStyle name="표준 24 3 3 2 2 4 3 2 2" xfId="16816"/>
    <cellStyle name="표준 24 3 3 2 2 4 3 3" xfId="16817"/>
    <cellStyle name="표준 24 3 3 2 2 4 4" xfId="16818"/>
    <cellStyle name="표준 24 3 3 2 2 4 4 2" xfId="16819"/>
    <cellStyle name="표준 24 3 3 2 2 4 5" xfId="16820"/>
    <cellStyle name="표준 24 3 3 2 2 5" xfId="16821"/>
    <cellStyle name="표준 24 3 3 2 2 5 2" xfId="16822"/>
    <cellStyle name="표준 24 3 3 2 2 5 2 2" xfId="16823"/>
    <cellStyle name="표준 24 3 3 2 2 5 2 2 2" xfId="16824"/>
    <cellStyle name="표준 24 3 3 2 2 5 2 3" xfId="16825"/>
    <cellStyle name="표준 24 3 3 2 2 5 3" xfId="16826"/>
    <cellStyle name="표준 24 3 3 2 2 5 3 2" xfId="16827"/>
    <cellStyle name="표준 24 3 3 2 2 5 4" xfId="16828"/>
    <cellStyle name="표준 24 3 3 2 2 6" xfId="16829"/>
    <cellStyle name="표준 24 3 3 2 2 6 2" xfId="16830"/>
    <cellStyle name="표준 24 3 3 2 2 6 2 2" xfId="16831"/>
    <cellStyle name="표준 24 3 3 2 2 6 3" xfId="16832"/>
    <cellStyle name="표준 24 3 3 2 2 7" xfId="16833"/>
    <cellStyle name="표준 24 3 3 2 2 7 2" xfId="16834"/>
    <cellStyle name="표준 24 3 3 2 2 8" xfId="16835"/>
    <cellStyle name="표준 24 3 3 2 2 9" xfId="16836"/>
    <cellStyle name="표준 24 3 3 2 3" xfId="16837"/>
    <cellStyle name="표준 24 3 3 2 3 2" xfId="16838"/>
    <cellStyle name="표준 24 3 3 2 3 2 2" xfId="16839"/>
    <cellStyle name="표준 24 3 3 2 3 2 2 2" xfId="16840"/>
    <cellStyle name="표준 24 3 3 2 3 2 2 2 2" xfId="16841"/>
    <cellStyle name="표준 24 3 3 2 3 2 2 2 2 2" xfId="16842"/>
    <cellStyle name="표준 24 3 3 2 3 2 2 2 2 2 2" xfId="16843"/>
    <cellStyle name="표준 24 3 3 2 3 2 2 2 2 3" xfId="16844"/>
    <cellStyle name="표준 24 3 3 2 3 2 2 2 3" xfId="16845"/>
    <cellStyle name="표준 24 3 3 2 3 2 2 2 3 2" xfId="16846"/>
    <cellStyle name="표준 24 3 3 2 3 2 2 2 4" xfId="16847"/>
    <cellStyle name="표준 24 3 3 2 3 2 2 3" xfId="16848"/>
    <cellStyle name="표준 24 3 3 2 3 2 2 3 2" xfId="16849"/>
    <cellStyle name="표준 24 3 3 2 3 2 2 3 2 2" xfId="16850"/>
    <cellStyle name="표준 24 3 3 2 3 2 2 3 3" xfId="16851"/>
    <cellStyle name="표준 24 3 3 2 3 2 2 4" xfId="16852"/>
    <cellStyle name="표준 24 3 3 2 3 2 2 4 2" xfId="16853"/>
    <cellStyle name="표준 24 3 3 2 3 2 2 5" xfId="16854"/>
    <cellStyle name="표준 24 3 3 2 3 2 3" xfId="16855"/>
    <cellStyle name="표준 24 3 3 2 3 2 3 2" xfId="16856"/>
    <cellStyle name="표준 24 3 3 2 3 2 3 2 2" xfId="16857"/>
    <cellStyle name="표준 24 3 3 2 3 2 3 2 2 2" xfId="16858"/>
    <cellStyle name="표준 24 3 3 2 3 2 3 2 3" xfId="16859"/>
    <cellStyle name="표준 24 3 3 2 3 2 3 3" xfId="16860"/>
    <cellStyle name="표준 24 3 3 2 3 2 3 3 2" xfId="16861"/>
    <cellStyle name="표준 24 3 3 2 3 2 3 4" xfId="16862"/>
    <cellStyle name="표준 24 3 3 2 3 2 4" xfId="16863"/>
    <cellStyle name="표준 24 3 3 2 3 2 4 2" xfId="16864"/>
    <cellStyle name="표준 24 3 3 2 3 2 4 2 2" xfId="16865"/>
    <cellStyle name="표준 24 3 3 2 3 2 4 3" xfId="16866"/>
    <cellStyle name="표준 24 3 3 2 3 2 5" xfId="16867"/>
    <cellStyle name="표준 24 3 3 2 3 2 5 2" xfId="16868"/>
    <cellStyle name="표준 24 3 3 2 3 2 6" xfId="16869"/>
    <cellStyle name="표준 24 3 3 2 3 3" xfId="16870"/>
    <cellStyle name="표준 24 3 3 2 3 3 2" xfId="16871"/>
    <cellStyle name="표준 24 3 3 2 3 3 2 2" xfId="16872"/>
    <cellStyle name="표준 24 3 3 2 3 3 2 2 2" xfId="16873"/>
    <cellStyle name="표준 24 3 3 2 3 3 2 2 2 2" xfId="16874"/>
    <cellStyle name="표준 24 3 3 2 3 3 2 2 3" xfId="16875"/>
    <cellStyle name="표준 24 3 3 2 3 3 2 3" xfId="16876"/>
    <cellStyle name="표준 24 3 3 2 3 3 2 3 2" xfId="16877"/>
    <cellStyle name="표준 24 3 3 2 3 3 2 4" xfId="16878"/>
    <cellStyle name="표준 24 3 3 2 3 3 3" xfId="16879"/>
    <cellStyle name="표준 24 3 3 2 3 3 3 2" xfId="16880"/>
    <cellStyle name="표준 24 3 3 2 3 3 3 2 2" xfId="16881"/>
    <cellStyle name="표준 24 3 3 2 3 3 3 3" xfId="16882"/>
    <cellStyle name="표준 24 3 3 2 3 3 4" xfId="16883"/>
    <cellStyle name="표준 24 3 3 2 3 3 4 2" xfId="16884"/>
    <cellStyle name="표준 24 3 3 2 3 3 5" xfId="16885"/>
    <cellStyle name="표준 24 3 3 2 3 4" xfId="16886"/>
    <cellStyle name="표준 24 3 3 2 3 4 2" xfId="16887"/>
    <cellStyle name="표준 24 3 3 2 3 4 2 2" xfId="16888"/>
    <cellStyle name="표준 24 3 3 2 3 4 2 2 2" xfId="16889"/>
    <cellStyle name="표준 24 3 3 2 3 4 2 3" xfId="16890"/>
    <cellStyle name="표준 24 3 3 2 3 4 3" xfId="16891"/>
    <cellStyle name="표준 24 3 3 2 3 4 3 2" xfId="16892"/>
    <cellStyle name="표준 24 3 3 2 3 4 4" xfId="16893"/>
    <cellStyle name="표준 24 3 3 2 3 5" xfId="16894"/>
    <cellStyle name="표준 24 3 3 2 3 5 2" xfId="16895"/>
    <cellStyle name="표준 24 3 3 2 3 5 2 2" xfId="16896"/>
    <cellStyle name="표준 24 3 3 2 3 5 3" xfId="16897"/>
    <cellStyle name="표준 24 3 3 2 3 6" xfId="16898"/>
    <cellStyle name="표준 24 3 3 2 3 6 2" xfId="16899"/>
    <cellStyle name="표준 24 3 3 2 3 7" xfId="16900"/>
    <cellStyle name="표준 24 3 3 2 3 8" xfId="16901"/>
    <cellStyle name="표준 24 3 3 2 4" xfId="16902"/>
    <cellStyle name="표준 24 3 3 2 4 2" xfId="16903"/>
    <cellStyle name="표준 24 3 3 2 4 2 2" xfId="16904"/>
    <cellStyle name="표준 24 3 3 2 4 2 2 2" xfId="16905"/>
    <cellStyle name="표준 24 3 3 2 4 2 2 2 2" xfId="16906"/>
    <cellStyle name="표준 24 3 3 2 4 2 2 2 2 2" xfId="16907"/>
    <cellStyle name="표준 24 3 3 2 4 2 2 2 3" xfId="16908"/>
    <cellStyle name="표준 24 3 3 2 4 2 2 3" xfId="16909"/>
    <cellStyle name="표준 24 3 3 2 4 2 2 3 2" xfId="16910"/>
    <cellStyle name="표준 24 3 3 2 4 2 2 4" xfId="16911"/>
    <cellStyle name="표준 24 3 3 2 4 2 3" xfId="16912"/>
    <cellStyle name="표준 24 3 3 2 4 2 3 2" xfId="16913"/>
    <cellStyle name="표준 24 3 3 2 4 2 3 2 2" xfId="16914"/>
    <cellStyle name="표준 24 3 3 2 4 2 3 3" xfId="16915"/>
    <cellStyle name="표준 24 3 3 2 4 2 4" xfId="16916"/>
    <cellStyle name="표준 24 3 3 2 4 2 4 2" xfId="16917"/>
    <cellStyle name="표준 24 3 3 2 4 2 5" xfId="16918"/>
    <cellStyle name="표준 24 3 3 2 4 3" xfId="16919"/>
    <cellStyle name="표준 24 3 3 2 4 3 2" xfId="16920"/>
    <cellStyle name="표준 24 3 3 2 4 3 2 2" xfId="16921"/>
    <cellStyle name="표준 24 3 3 2 4 3 2 2 2" xfId="16922"/>
    <cellStyle name="표준 24 3 3 2 4 3 2 3" xfId="16923"/>
    <cellStyle name="표준 24 3 3 2 4 3 3" xfId="16924"/>
    <cellStyle name="표준 24 3 3 2 4 3 3 2" xfId="16925"/>
    <cellStyle name="표준 24 3 3 2 4 3 4" xfId="16926"/>
    <cellStyle name="표준 24 3 3 2 4 4" xfId="16927"/>
    <cellStyle name="표준 24 3 3 2 4 4 2" xfId="16928"/>
    <cellStyle name="표준 24 3 3 2 4 4 2 2" xfId="16929"/>
    <cellStyle name="표준 24 3 3 2 4 4 3" xfId="16930"/>
    <cellStyle name="표준 24 3 3 2 4 5" xfId="16931"/>
    <cellStyle name="표준 24 3 3 2 4 5 2" xfId="16932"/>
    <cellStyle name="표준 24 3 3 2 4 6" xfId="16933"/>
    <cellStyle name="표준 24 3 3 2 5" xfId="16934"/>
    <cellStyle name="표준 24 3 3 2 5 2" xfId="16935"/>
    <cellStyle name="표준 24 3 3 2 5 2 2" xfId="16936"/>
    <cellStyle name="표준 24 3 3 2 5 2 2 2" xfId="16937"/>
    <cellStyle name="표준 24 3 3 2 5 2 2 2 2" xfId="16938"/>
    <cellStyle name="표준 24 3 3 2 5 2 2 3" xfId="16939"/>
    <cellStyle name="표준 24 3 3 2 5 2 3" xfId="16940"/>
    <cellStyle name="표준 24 3 3 2 5 2 3 2" xfId="16941"/>
    <cellStyle name="표준 24 3 3 2 5 2 4" xfId="16942"/>
    <cellStyle name="표준 24 3 3 2 5 3" xfId="16943"/>
    <cellStyle name="표준 24 3 3 2 5 3 2" xfId="16944"/>
    <cellStyle name="표준 24 3 3 2 5 3 2 2" xfId="16945"/>
    <cellStyle name="표준 24 3 3 2 5 3 3" xfId="16946"/>
    <cellStyle name="표준 24 3 3 2 5 4" xfId="16947"/>
    <cellStyle name="표준 24 3 3 2 5 4 2" xfId="16948"/>
    <cellStyle name="표준 24 3 3 2 5 5" xfId="16949"/>
    <cellStyle name="표준 24 3 3 2 6" xfId="16950"/>
    <cellStyle name="표준 24 3 3 2 6 2" xfId="16951"/>
    <cellStyle name="표준 24 3 3 2 6 2 2" xfId="16952"/>
    <cellStyle name="표준 24 3 3 2 6 2 2 2" xfId="16953"/>
    <cellStyle name="표준 24 3 3 2 6 2 3" xfId="16954"/>
    <cellStyle name="표준 24 3 3 2 6 3" xfId="16955"/>
    <cellStyle name="표준 24 3 3 2 6 3 2" xfId="16956"/>
    <cellStyle name="표준 24 3 3 2 6 4" xfId="16957"/>
    <cellStyle name="표준 24 3 3 2 7" xfId="16958"/>
    <cellStyle name="표준 24 3 3 2 7 2" xfId="16959"/>
    <cellStyle name="표준 24 3 3 2 7 2 2" xfId="16960"/>
    <cellStyle name="표준 24 3 3 2 7 3" xfId="16961"/>
    <cellStyle name="표준 24 3 3 2 8" xfId="16962"/>
    <cellStyle name="표준 24 3 3 2 8 2" xfId="16963"/>
    <cellStyle name="표준 24 3 3 2 9" xfId="16964"/>
    <cellStyle name="표준 24 3 3 3" xfId="16965"/>
    <cellStyle name="표준 24 3 3 3 2" xfId="16966"/>
    <cellStyle name="표준 24 3 3 3 2 2" xfId="16967"/>
    <cellStyle name="표준 24 3 3 3 2 2 2" xfId="16968"/>
    <cellStyle name="표준 24 3 3 3 2 2 2 2" xfId="16969"/>
    <cellStyle name="표준 24 3 3 3 2 2 2 2 2" xfId="16970"/>
    <cellStyle name="표준 24 3 3 3 2 2 2 2 2 2" xfId="16971"/>
    <cellStyle name="표준 24 3 3 3 2 2 2 2 2 2 2" xfId="16972"/>
    <cellStyle name="표준 24 3 3 3 2 2 2 2 2 3" xfId="16973"/>
    <cellStyle name="표준 24 3 3 3 2 2 2 2 3" xfId="16974"/>
    <cellStyle name="표준 24 3 3 3 2 2 2 2 3 2" xfId="16975"/>
    <cellStyle name="표준 24 3 3 3 2 2 2 2 4" xfId="16976"/>
    <cellStyle name="표준 24 3 3 3 2 2 2 3" xfId="16977"/>
    <cellStyle name="표준 24 3 3 3 2 2 2 3 2" xfId="16978"/>
    <cellStyle name="표준 24 3 3 3 2 2 2 3 2 2" xfId="16979"/>
    <cellStyle name="표준 24 3 3 3 2 2 2 3 3" xfId="16980"/>
    <cellStyle name="표준 24 3 3 3 2 2 2 4" xfId="16981"/>
    <cellStyle name="표준 24 3 3 3 2 2 2 4 2" xfId="16982"/>
    <cellStyle name="표준 24 3 3 3 2 2 2 5" xfId="16983"/>
    <cellStyle name="표준 24 3 3 3 2 2 3" xfId="16984"/>
    <cellStyle name="표준 24 3 3 3 2 2 3 2" xfId="16985"/>
    <cellStyle name="표준 24 3 3 3 2 2 3 2 2" xfId="16986"/>
    <cellStyle name="표준 24 3 3 3 2 2 3 2 2 2" xfId="16987"/>
    <cellStyle name="표준 24 3 3 3 2 2 3 2 3" xfId="16988"/>
    <cellStyle name="표준 24 3 3 3 2 2 3 3" xfId="16989"/>
    <cellStyle name="표준 24 3 3 3 2 2 3 3 2" xfId="16990"/>
    <cellStyle name="표준 24 3 3 3 2 2 3 4" xfId="16991"/>
    <cellStyle name="표준 24 3 3 3 2 2 4" xfId="16992"/>
    <cellStyle name="표준 24 3 3 3 2 2 4 2" xfId="16993"/>
    <cellStyle name="표준 24 3 3 3 2 2 4 2 2" xfId="16994"/>
    <cellStyle name="표준 24 3 3 3 2 2 4 3" xfId="16995"/>
    <cellStyle name="표준 24 3 3 3 2 2 5" xfId="16996"/>
    <cellStyle name="표준 24 3 3 3 2 2 5 2" xfId="16997"/>
    <cellStyle name="표준 24 3 3 3 2 2 6" xfId="16998"/>
    <cellStyle name="표준 24 3 3 3 2 3" xfId="16999"/>
    <cellStyle name="표준 24 3 3 3 2 3 2" xfId="17000"/>
    <cellStyle name="표준 24 3 3 3 2 3 2 2" xfId="17001"/>
    <cellStyle name="표준 24 3 3 3 2 3 2 2 2" xfId="17002"/>
    <cellStyle name="표준 24 3 3 3 2 3 2 2 2 2" xfId="17003"/>
    <cellStyle name="표준 24 3 3 3 2 3 2 2 3" xfId="17004"/>
    <cellStyle name="표준 24 3 3 3 2 3 2 3" xfId="17005"/>
    <cellStyle name="표준 24 3 3 3 2 3 2 3 2" xfId="17006"/>
    <cellStyle name="표준 24 3 3 3 2 3 2 4" xfId="17007"/>
    <cellStyle name="표준 24 3 3 3 2 3 3" xfId="17008"/>
    <cellStyle name="표준 24 3 3 3 2 3 3 2" xfId="17009"/>
    <cellStyle name="표준 24 3 3 3 2 3 3 2 2" xfId="17010"/>
    <cellStyle name="표준 24 3 3 3 2 3 3 3" xfId="17011"/>
    <cellStyle name="표준 24 3 3 3 2 3 4" xfId="17012"/>
    <cellStyle name="표준 24 3 3 3 2 3 4 2" xfId="17013"/>
    <cellStyle name="표준 24 3 3 3 2 3 5" xfId="17014"/>
    <cellStyle name="표준 24 3 3 3 2 4" xfId="17015"/>
    <cellStyle name="표준 24 3 3 3 2 4 2" xfId="17016"/>
    <cellStyle name="표준 24 3 3 3 2 4 2 2" xfId="17017"/>
    <cellStyle name="표준 24 3 3 3 2 4 2 2 2" xfId="17018"/>
    <cellStyle name="표준 24 3 3 3 2 4 2 3" xfId="17019"/>
    <cellStyle name="표준 24 3 3 3 2 4 3" xfId="17020"/>
    <cellStyle name="표준 24 3 3 3 2 4 3 2" xfId="17021"/>
    <cellStyle name="표준 24 3 3 3 2 4 4" xfId="17022"/>
    <cellStyle name="표준 24 3 3 3 2 5" xfId="17023"/>
    <cellStyle name="표준 24 3 3 3 2 5 2" xfId="17024"/>
    <cellStyle name="표준 24 3 3 3 2 5 2 2" xfId="17025"/>
    <cellStyle name="표준 24 3 3 3 2 5 3" xfId="17026"/>
    <cellStyle name="표준 24 3 3 3 2 6" xfId="17027"/>
    <cellStyle name="표준 24 3 3 3 2 6 2" xfId="17028"/>
    <cellStyle name="표준 24 3 3 3 2 7" xfId="17029"/>
    <cellStyle name="표준 24 3 3 3 2 8" xfId="17030"/>
    <cellStyle name="표준 24 3 3 3 3" xfId="17031"/>
    <cellStyle name="표준 24 3 3 3 3 2" xfId="17032"/>
    <cellStyle name="표준 24 3 3 3 3 2 2" xfId="17033"/>
    <cellStyle name="표준 24 3 3 3 3 2 2 2" xfId="17034"/>
    <cellStyle name="표준 24 3 3 3 3 2 2 2 2" xfId="17035"/>
    <cellStyle name="표준 24 3 3 3 3 2 2 2 2 2" xfId="17036"/>
    <cellStyle name="표준 24 3 3 3 3 2 2 2 3" xfId="17037"/>
    <cellStyle name="표준 24 3 3 3 3 2 2 3" xfId="17038"/>
    <cellStyle name="표준 24 3 3 3 3 2 2 3 2" xfId="17039"/>
    <cellStyle name="표준 24 3 3 3 3 2 2 4" xfId="17040"/>
    <cellStyle name="표준 24 3 3 3 3 2 3" xfId="17041"/>
    <cellStyle name="표준 24 3 3 3 3 2 3 2" xfId="17042"/>
    <cellStyle name="표준 24 3 3 3 3 2 3 2 2" xfId="17043"/>
    <cellStyle name="표준 24 3 3 3 3 2 3 3" xfId="17044"/>
    <cellStyle name="표준 24 3 3 3 3 2 4" xfId="17045"/>
    <cellStyle name="표준 24 3 3 3 3 2 4 2" xfId="17046"/>
    <cellStyle name="표준 24 3 3 3 3 2 5" xfId="17047"/>
    <cellStyle name="표준 24 3 3 3 3 3" xfId="17048"/>
    <cellStyle name="표준 24 3 3 3 3 3 2" xfId="17049"/>
    <cellStyle name="표준 24 3 3 3 3 3 2 2" xfId="17050"/>
    <cellStyle name="표준 24 3 3 3 3 3 2 2 2" xfId="17051"/>
    <cellStyle name="표준 24 3 3 3 3 3 2 3" xfId="17052"/>
    <cellStyle name="표준 24 3 3 3 3 3 3" xfId="17053"/>
    <cellStyle name="표준 24 3 3 3 3 3 3 2" xfId="17054"/>
    <cellStyle name="표준 24 3 3 3 3 3 4" xfId="17055"/>
    <cellStyle name="표준 24 3 3 3 3 4" xfId="17056"/>
    <cellStyle name="표준 24 3 3 3 3 4 2" xfId="17057"/>
    <cellStyle name="표준 24 3 3 3 3 4 2 2" xfId="17058"/>
    <cellStyle name="표준 24 3 3 3 3 4 3" xfId="17059"/>
    <cellStyle name="표준 24 3 3 3 3 5" xfId="17060"/>
    <cellStyle name="표준 24 3 3 3 3 5 2" xfId="17061"/>
    <cellStyle name="표준 24 3 3 3 3 6" xfId="17062"/>
    <cellStyle name="표준 24 3 3 3 4" xfId="17063"/>
    <cellStyle name="표준 24 3 3 3 4 2" xfId="17064"/>
    <cellStyle name="표준 24 3 3 3 4 2 2" xfId="17065"/>
    <cellStyle name="표준 24 3 3 3 4 2 2 2" xfId="17066"/>
    <cellStyle name="표준 24 3 3 3 4 2 2 2 2" xfId="17067"/>
    <cellStyle name="표준 24 3 3 3 4 2 2 3" xfId="17068"/>
    <cellStyle name="표준 24 3 3 3 4 2 3" xfId="17069"/>
    <cellStyle name="표준 24 3 3 3 4 2 3 2" xfId="17070"/>
    <cellStyle name="표준 24 3 3 3 4 2 4" xfId="17071"/>
    <cellStyle name="표준 24 3 3 3 4 3" xfId="17072"/>
    <cellStyle name="표준 24 3 3 3 4 3 2" xfId="17073"/>
    <cellStyle name="표준 24 3 3 3 4 3 2 2" xfId="17074"/>
    <cellStyle name="표준 24 3 3 3 4 3 3" xfId="17075"/>
    <cellStyle name="표준 24 3 3 3 4 4" xfId="17076"/>
    <cellStyle name="표준 24 3 3 3 4 4 2" xfId="17077"/>
    <cellStyle name="표준 24 3 3 3 4 5" xfId="17078"/>
    <cellStyle name="표준 24 3 3 3 5" xfId="17079"/>
    <cellStyle name="표준 24 3 3 3 5 2" xfId="17080"/>
    <cellStyle name="표준 24 3 3 3 5 2 2" xfId="17081"/>
    <cellStyle name="표준 24 3 3 3 5 2 2 2" xfId="17082"/>
    <cellStyle name="표준 24 3 3 3 5 2 3" xfId="17083"/>
    <cellStyle name="표준 24 3 3 3 5 3" xfId="17084"/>
    <cellStyle name="표준 24 3 3 3 5 3 2" xfId="17085"/>
    <cellStyle name="표준 24 3 3 3 5 4" xfId="17086"/>
    <cellStyle name="표준 24 3 3 3 6" xfId="17087"/>
    <cellStyle name="표준 24 3 3 3 6 2" xfId="17088"/>
    <cellStyle name="표준 24 3 3 3 6 2 2" xfId="17089"/>
    <cellStyle name="표준 24 3 3 3 6 3" xfId="17090"/>
    <cellStyle name="표준 24 3 3 3 7" xfId="17091"/>
    <cellStyle name="표준 24 3 3 3 7 2" xfId="17092"/>
    <cellStyle name="표준 24 3 3 3 8" xfId="17093"/>
    <cellStyle name="표준 24 3 3 3 9" xfId="17094"/>
    <cellStyle name="표준 24 3 3 4" xfId="17095"/>
    <cellStyle name="표준 24 3 3 4 2" xfId="17096"/>
    <cellStyle name="표준 24 3 3 4 2 2" xfId="17097"/>
    <cellStyle name="표준 24 3 3 4 2 2 2" xfId="17098"/>
    <cellStyle name="표준 24 3 3 4 2 2 2 2" xfId="17099"/>
    <cellStyle name="표준 24 3 3 4 2 2 2 2 2" xfId="17100"/>
    <cellStyle name="표준 24 3 3 4 2 2 2 2 2 2" xfId="17101"/>
    <cellStyle name="표준 24 3 3 4 2 2 2 2 3" xfId="17102"/>
    <cellStyle name="표준 24 3 3 4 2 2 2 3" xfId="17103"/>
    <cellStyle name="표준 24 3 3 4 2 2 2 3 2" xfId="17104"/>
    <cellStyle name="표준 24 3 3 4 2 2 2 4" xfId="17105"/>
    <cellStyle name="표준 24 3 3 4 2 2 3" xfId="17106"/>
    <cellStyle name="표준 24 3 3 4 2 2 3 2" xfId="17107"/>
    <cellStyle name="표준 24 3 3 4 2 2 3 2 2" xfId="17108"/>
    <cellStyle name="표준 24 3 3 4 2 2 3 3" xfId="17109"/>
    <cellStyle name="표준 24 3 3 4 2 2 4" xfId="17110"/>
    <cellStyle name="표준 24 3 3 4 2 2 4 2" xfId="17111"/>
    <cellStyle name="표준 24 3 3 4 2 2 5" xfId="17112"/>
    <cellStyle name="표준 24 3 3 4 2 3" xfId="17113"/>
    <cellStyle name="표준 24 3 3 4 2 3 2" xfId="17114"/>
    <cellStyle name="표준 24 3 3 4 2 3 2 2" xfId="17115"/>
    <cellStyle name="표준 24 3 3 4 2 3 2 2 2" xfId="17116"/>
    <cellStyle name="표준 24 3 3 4 2 3 2 3" xfId="17117"/>
    <cellStyle name="표준 24 3 3 4 2 3 3" xfId="17118"/>
    <cellStyle name="표준 24 3 3 4 2 3 3 2" xfId="17119"/>
    <cellStyle name="표준 24 3 3 4 2 3 4" xfId="17120"/>
    <cellStyle name="표준 24 3 3 4 2 4" xfId="17121"/>
    <cellStyle name="표준 24 3 3 4 2 4 2" xfId="17122"/>
    <cellStyle name="표준 24 3 3 4 2 4 2 2" xfId="17123"/>
    <cellStyle name="표준 24 3 3 4 2 4 3" xfId="17124"/>
    <cellStyle name="표준 24 3 3 4 2 5" xfId="17125"/>
    <cellStyle name="표준 24 3 3 4 2 5 2" xfId="17126"/>
    <cellStyle name="표준 24 3 3 4 2 6" xfId="17127"/>
    <cellStyle name="표준 24 3 3 4 3" xfId="17128"/>
    <cellStyle name="표준 24 3 3 4 3 2" xfId="17129"/>
    <cellStyle name="표준 24 3 3 4 3 2 2" xfId="17130"/>
    <cellStyle name="표준 24 3 3 4 3 2 2 2" xfId="17131"/>
    <cellStyle name="표준 24 3 3 4 3 2 2 2 2" xfId="17132"/>
    <cellStyle name="표준 24 3 3 4 3 2 2 3" xfId="17133"/>
    <cellStyle name="표준 24 3 3 4 3 2 3" xfId="17134"/>
    <cellStyle name="표준 24 3 3 4 3 2 3 2" xfId="17135"/>
    <cellStyle name="표준 24 3 3 4 3 2 4" xfId="17136"/>
    <cellStyle name="표준 24 3 3 4 3 3" xfId="17137"/>
    <cellStyle name="표준 24 3 3 4 3 3 2" xfId="17138"/>
    <cellStyle name="표준 24 3 3 4 3 3 2 2" xfId="17139"/>
    <cellStyle name="표준 24 3 3 4 3 3 3" xfId="17140"/>
    <cellStyle name="표준 24 3 3 4 3 4" xfId="17141"/>
    <cellStyle name="표준 24 3 3 4 3 4 2" xfId="17142"/>
    <cellStyle name="표준 24 3 3 4 3 5" xfId="17143"/>
    <cellStyle name="표준 24 3 3 4 4" xfId="17144"/>
    <cellStyle name="표준 24 3 3 4 4 2" xfId="17145"/>
    <cellStyle name="표준 24 3 3 4 4 2 2" xfId="17146"/>
    <cellStyle name="표준 24 3 3 4 4 2 2 2" xfId="17147"/>
    <cellStyle name="표준 24 3 3 4 4 2 3" xfId="17148"/>
    <cellStyle name="표준 24 3 3 4 4 3" xfId="17149"/>
    <cellStyle name="표준 24 3 3 4 4 3 2" xfId="17150"/>
    <cellStyle name="표준 24 3 3 4 4 4" xfId="17151"/>
    <cellStyle name="표준 24 3 3 4 5" xfId="17152"/>
    <cellStyle name="표준 24 3 3 4 5 2" xfId="17153"/>
    <cellStyle name="표준 24 3 3 4 5 2 2" xfId="17154"/>
    <cellStyle name="표준 24 3 3 4 5 3" xfId="17155"/>
    <cellStyle name="표준 24 3 3 4 6" xfId="17156"/>
    <cellStyle name="표준 24 3 3 4 6 2" xfId="17157"/>
    <cellStyle name="표준 24 3 3 4 7" xfId="17158"/>
    <cellStyle name="표준 24 3 3 4 8" xfId="17159"/>
    <cellStyle name="표준 24 3 3 5" xfId="17160"/>
    <cellStyle name="표준 24 3 3 5 2" xfId="17161"/>
    <cellStyle name="표준 24 3 3 5 2 2" xfId="17162"/>
    <cellStyle name="표준 24 3 3 5 2 2 2" xfId="17163"/>
    <cellStyle name="표준 24 3 3 5 2 2 2 2" xfId="17164"/>
    <cellStyle name="표준 24 3 3 5 2 2 2 2 2" xfId="17165"/>
    <cellStyle name="표준 24 3 3 5 2 2 2 3" xfId="17166"/>
    <cellStyle name="표준 24 3 3 5 2 2 3" xfId="17167"/>
    <cellStyle name="표준 24 3 3 5 2 2 3 2" xfId="17168"/>
    <cellStyle name="표준 24 3 3 5 2 2 4" xfId="17169"/>
    <cellStyle name="표준 24 3 3 5 2 3" xfId="17170"/>
    <cellStyle name="표준 24 3 3 5 2 3 2" xfId="17171"/>
    <cellStyle name="표준 24 3 3 5 2 3 2 2" xfId="17172"/>
    <cellStyle name="표준 24 3 3 5 2 3 3" xfId="17173"/>
    <cellStyle name="표준 24 3 3 5 2 4" xfId="17174"/>
    <cellStyle name="표준 24 3 3 5 2 4 2" xfId="17175"/>
    <cellStyle name="표준 24 3 3 5 2 5" xfId="17176"/>
    <cellStyle name="표준 24 3 3 5 3" xfId="17177"/>
    <cellStyle name="표준 24 3 3 5 3 2" xfId="17178"/>
    <cellStyle name="표준 24 3 3 5 3 2 2" xfId="17179"/>
    <cellStyle name="표준 24 3 3 5 3 2 2 2" xfId="17180"/>
    <cellStyle name="표준 24 3 3 5 3 2 3" xfId="17181"/>
    <cellStyle name="표준 24 3 3 5 3 3" xfId="17182"/>
    <cellStyle name="표준 24 3 3 5 3 3 2" xfId="17183"/>
    <cellStyle name="표준 24 3 3 5 3 4" xfId="17184"/>
    <cellStyle name="표준 24 3 3 5 4" xfId="17185"/>
    <cellStyle name="표준 24 3 3 5 4 2" xfId="17186"/>
    <cellStyle name="표준 24 3 3 5 4 2 2" xfId="17187"/>
    <cellStyle name="표준 24 3 3 5 4 3" xfId="17188"/>
    <cellStyle name="표준 24 3 3 5 5" xfId="17189"/>
    <cellStyle name="표준 24 3 3 5 5 2" xfId="17190"/>
    <cellStyle name="표준 24 3 3 5 6" xfId="17191"/>
    <cellStyle name="표준 24 3 3 6" xfId="17192"/>
    <cellStyle name="표준 24 3 3 6 2" xfId="17193"/>
    <cellStyle name="표준 24 3 3 6 2 2" xfId="17194"/>
    <cellStyle name="표준 24 3 3 6 2 2 2" xfId="17195"/>
    <cellStyle name="표준 24 3 3 6 2 2 2 2" xfId="17196"/>
    <cellStyle name="표준 24 3 3 6 2 2 3" xfId="17197"/>
    <cellStyle name="표준 24 3 3 6 2 3" xfId="17198"/>
    <cellStyle name="표준 24 3 3 6 2 3 2" xfId="17199"/>
    <cellStyle name="표준 24 3 3 6 2 4" xfId="17200"/>
    <cellStyle name="표준 24 3 3 6 3" xfId="17201"/>
    <cellStyle name="표준 24 3 3 6 3 2" xfId="17202"/>
    <cellStyle name="표준 24 3 3 6 3 2 2" xfId="17203"/>
    <cellStyle name="표준 24 3 3 6 3 3" xfId="17204"/>
    <cellStyle name="표준 24 3 3 6 4" xfId="17205"/>
    <cellStyle name="표준 24 3 3 6 4 2" xfId="17206"/>
    <cellStyle name="표준 24 3 3 6 5" xfId="17207"/>
    <cellStyle name="표준 24 3 3 7" xfId="17208"/>
    <cellStyle name="표준 24 3 3 7 2" xfId="17209"/>
    <cellStyle name="표준 24 3 3 7 2 2" xfId="17210"/>
    <cellStyle name="표준 24 3 3 7 2 2 2" xfId="17211"/>
    <cellStyle name="표준 24 3 3 7 2 3" xfId="17212"/>
    <cellStyle name="표준 24 3 3 7 3" xfId="17213"/>
    <cellStyle name="표준 24 3 3 7 3 2" xfId="17214"/>
    <cellStyle name="표준 24 3 3 7 4" xfId="17215"/>
    <cellStyle name="표준 24 3 3 8" xfId="17216"/>
    <cellStyle name="표준 24 3 3 8 2" xfId="17217"/>
    <cellStyle name="표준 24 3 3 8 2 2" xfId="17218"/>
    <cellStyle name="표준 24 3 3 8 3" xfId="17219"/>
    <cellStyle name="표준 24 3 3 9" xfId="17220"/>
    <cellStyle name="표준 24 3 3 9 2" xfId="17221"/>
    <cellStyle name="표준 24 3 4" xfId="17222"/>
    <cellStyle name="표준 24 3 4 10" xfId="17223"/>
    <cellStyle name="표준 24 3 4 11" xfId="17224"/>
    <cellStyle name="표준 24 3 4 2" xfId="17225"/>
    <cellStyle name="표준 24 3 4 2 10" xfId="17226"/>
    <cellStyle name="표준 24 3 4 2 2" xfId="17227"/>
    <cellStyle name="표준 24 3 4 2 2 2" xfId="17228"/>
    <cellStyle name="표준 24 3 4 2 2 2 2" xfId="17229"/>
    <cellStyle name="표준 24 3 4 2 2 2 2 2" xfId="17230"/>
    <cellStyle name="표준 24 3 4 2 2 2 2 2 2" xfId="17231"/>
    <cellStyle name="표준 24 3 4 2 2 2 2 2 2 2" xfId="17232"/>
    <cellStyle name="표준 24 3 4 2 2 2 2 2 2 2 2" xfId="17233"/>
    <cellStyle name="표준 24 3 4 2 2 2 2 2 2 2 2 2" xfId="17234"/>
    <cellStyle name="표준 24 3 4 2 2 2 2 2 2 2 3" xfId="17235"/>
    <cellStyle name="표준 24 3 4 2 2 2 2 2 2 3" xfId="17236"/>
    <cellStyle name="표준 24 3 4 2 2 2 2 2 2 3 2" xfId="17237"/>
    <cellStyle name="표준 24 3 4 2 2 2 2 2 2 4" xfId="17238"/>
    <cellStyle name="표준 24 3 4 2 2 2 2 2 3" xfId="17239"/>
    <cellStyle name="표준 24 3 4 2 2 2 2 2 3 2" xfId="17240"/>
    <cellStyle name="표준 24 3 4 2 2 2 2 2 3 2 2" xfId="17241"/>
    <cellStyle name="표준 24 3 4 2 2 2 2 2 3 3" xfId="17242"/>
    <cellStyle name="표준 24 3 4 2 2 2 2 2 4" xfId="17243"/>
    <cellStyle name="표준 24 3 4 2 2 2 2 2 4 2" xfId="17244"/>
    <cellStyle name="표준 24 3 4 2 2 2 2 2 5" xfId="17245"/>
    <cellStyle name="표준 24 3 4 2 2 2 2 3" xfId="17246"/>
    <cellStyle name="표준 24 3 4 2 2 2 2 3 2" xfId="17247"/>
    <cellStyle name="표준 24 3 4 2 2 2 2 3 2 2" xfId="17248"/>
    <cellStyle name="표준 24 3 4 2 2 2 2 3 2 2 2" xfId="17249"/>
    <cellStyle name="표준 24 3 4 2 2 2 2 3 2 3" xfId="17250"/>
    <cellStyle name="표준 24 3 4 2 2 2 2 3 3" xfId="17251"/>
    <cellStyle name="표준 24 3 4 2 2 2 2 3 3 2" xfId="17252"/>
    <cellStyle name="표준 24 3 4 2 2 2 2 3 4" xfId="17253"/>
    <cellStyle name="표준 24 3 4 2 2 2 2 4" xfId="17254"/>
    <cellStyle name="표준 24 3 4 2 2 2 2 4 2" xfId="17255"/>
    <cellStyle name="표준 24 3 4 2 2 2 2 4 2 2" xfId="17256"/>
    <cellStyle name="표준 24 3 4 2 2 2 2 4 3" xfId="17257"/>
    <cellStyle name="표준 24 3 4 2 2 2 2 5" xfId="17258"/>
    <cellStyle name="표준 24 3 4 2 2 2 2 5 2" xfId="17259"/>
    <cellStyle name="표준 24 3 4 2 2 2 2 6" xfId="17260"/>
    <cellStyle name="표준 24 3 4 2 2 2 3" xfId="17261"/>
    <cellStyle name="표준 24 3 4 2 2 2 3 2" xfId="17262"/>
    <cellStyle name="표준 24 3 4 2 2 2 3 2 2" xfId="17263"/>
    <cellStyle name="표준 24 3 4 2 2 2 3 2 2 2" xfId="17264"/>
    <cellStyle name="표준 24 3 4 2 2 2 3 2 2 2 2" xfId="17265"/>
    <cellStyle name="표준 24 3 4 2 2 2 3 2 2 3" xfId="17266"/>
    <cellStyle name="표준 24 3 4 2 2 2 3 2 3" xfId="17267"/>
    <cellStyle name="표준 24 3 4 2 2 2 3 2 3 2" xfId="17268"/>
    <cellStyle name="표준 24 3 4 2 2 2 3 2 4" xfId="17269"/>
    <cellStyle name="표준 24 3 4 2 2 2 3 3" xfId="17270"/>
    <cellStyle name="표준 24 3 4 2 2 2 3 3 2" xfId="17271"/>
    <cellStyle name="표준 24 3 4 2 2 2 3 3 2 2" xfId="17272"/>
    <cellStyle name="표준 24 3 4 2 2 2 3 3 3" xfId="17273"/>
    <cellStyle name="표준 24 3 4 2 2 2 3 4" xfId="17274"/>
    <cellStyle name="표준 24 3 4 2 2 2 3 4 2" xfId="17275"/>
    <cellStyle name="표준 24 3 4 2 2 2 3 5" xfId="17276"/>
    <cellStyle name="표준 24 3 4 2 2 2 4" xfId="17277"/>
    <cellStyle name="표준 24 3 4 2 2 2 4 2" xfId="17278"/>
    <cellStyle name="표준 24 3 4 2 2 2 4 2 2" xfId="17279"/>
    <cellStyle name="표준 24 3 4 2 2 2 4 2 2 2" xfId="17280"/>
    <cellStyle name="표준 24 3 4 2 2 2 4 2 3" xfId="17281"/>
    <cellStyle name="표준 24 3 4 2 2 2 4 3" xfId="17282"/>
    <cellStyle name="표준 24 3 4 2 2 2 4 3 2" xfId="17283"/>
    <cellStyle name="표준 24 3 4 2 2 2 4 4" xfId="17284"/>
    <cellStyle name="표준 24 3 4 2 2 2 5" xfId="17285"/>
    <cellStyle name="표준 24 3 4 2 2 2 5 2" xfId="17286"/>
    <cellStyle name="표준 24 3 4 2 2 2 5 2 2" xfId="17287"/>
    <cellStyle name="표준 24 3 4 2 2 2 5 3" xfId="17288"/>
    <cellStyle name="표준 24 3 4 2 2 2 6" xfId="17289"/>
    <cellStyle name="표준 24 3 4 2 2 2 6 2" xfId="17290"/>
    <cellStyle name="표준 24 3 4 2 2 2 7" xfId="17291"/>
    <cellStyle name="표준 24 3 4 2 2 2 8" xfId="17292"/>
    <cellStyle name="표준 24 3 4 2 2 3" xfId="17293"/>
    <cellStyle name="표준 24 3 4 2 2 3 2" xfId="17294"/>
    <cellStyle name="표준 24 3 4 2 2 3 2 2" xfId="17295"/>
    <cellStyle name="표준 24 3 4 2 2 3 2 2 2" xfId="17296"/>
    <cellStyle name="표준 24 3 4 2 2 3 2 2 2 2" xfId="17297"/>
    <cellStyle name="표준 24 3 4 2 2 3 2 2 2 2 2" xfId="17298"/>
    <cellStyle name="표준 24 3 4 2 2 3 2 2 2 3" xfId="17299"/>
    <cellStyle name="표준 24 3 4 2 2 3 2 2 3" xfId="17300"/>
    <cellStyle name="표준 24 3 4 2 2 3 2 2 3 2" xfId="17301"/>
    <cellStyle name="표준 24 3 4 2 2 3 2 2 4" xfId="17302"/>
    <cellStyle name="표준 24 3 4 2 2 3 2 3" xfId="17303"/>
    <cellStyle name="표준 24 3 4 2 2 3 2 3 2" xfId="17304"/>
    <cellStyle name="표준 24 3 4 2 2 3 2 3 2 2" xfId="17305"/>
    <cellStyle name="표준 24 3 4 2 2 3 2 3 3" xfId="17306"/>
    <cellStyle name="표준 24 3 4 2 2 3 2 4" xfId="17307"/>
    <cellStyle name="표준 24 3 4 2 2 3 2 4 2" xfId="17308"/>
    <cellStyle name="표준 24 3 4 2 2 3 2 5" xfId="17309"/>
    <cellStyle name="표준 24 3 4 2 2 3 3" xfId="17310"/>
    <cellStyle name="표준 24 3 4 2 2 3 3 2" xfId="17311"/>
    <cellStyle name="표준 24 3 4 2 2 3 3 2 2" xfId="17312"/>
    <cellStyle name="표준 24 3 4 2 2 3 3 2 2 2" xfId="17313"/>
    <cellStyle name="표준 24 3 4 2 2 3 3 2 3" xfId="17314"/>
    <cellStyle name="표준 24 3 4 2 2 3 3 3" xfId="17315"/>
    <cellStyle name="표준 24 3 4 2 2 3 3 3 2" xfId="17316"/>
    <cellStyle name="표준 24 3 4 2 2 3 3 4" xfId="17317"/>
    <cellStyle name="표준 24 3 4 2 2 3 4" xfId="17318"/>
    <cellStyle name="표준 24 3 4 2 2 3 4 2" xfId="17319"/>
    <cellStyle name="표준 24 3 4 2 2 3 4 2 2" xfId="17320"/>
    <cellStyle name="표준 24 3 4 2 2 3 4 3" xfId="17321"/>
    <cellStyle name="표준 24 3 4 2 2 3 5" xfId="17322"/>
    <cellStyle name="표준 24 3 4 2 2 3 5 2" xfId="17323"/>
    <cellStyle name="표준 24 3 4 2 2 3 6" xfId="17324"/>
    <cellStyle name="표준 24 3 4 2 2 4" xfId="17325"/>
    <cellStyle name="표준 24 3 4 2 2 4 2" xfId="17326"/>
    <cellStyle name="표준 24 3 4 2 2 4 2 2" xfId="17327"/>
    <cellStyle name="표준 24 3 4 2 2 4 2 2 2" xfId="17328"/>
    <cellStyle name="표준 24 3 4 2 2 4 2 2 2 2" xfId="17329"/>
    <cellStyle name="표준 24 3 4 2 2 4 2 2 3" xfId="17330"/>
    <cellStyle name="표준 24 3 4 2 2 4 2 3" xfId="17331"/>
    <cellStyle name="표준 24 3 4 2 2 4 2 3 2" xfId="17332"/>
    <cellStyle name="표준 24 3 4 2 2 4 2 4" xfId="17333"/>
    <cellStyle name="표준 24 3 4 2 2 4 3" xfId="17334"/>
    <cellStyle name="표준 24 3 4 2 2 4 3 2" xfId="17335"/>
    <cellStyle name="표준 24 3 4 2 2 4 3 2 2" xfId="17336"/>
    <cellStyle name="표준 24 3 4 2 2 4 3 3" xfId="17337"/>
    <cellStyle name="표준 24 3 4 2 2 4 4" xfId="17338"/>
    <cellStyle name="표준 24 3 4 2 2 4 4 2" xfId="17339"/>
    <cellStyle name="표준 24 3 4 2 2 4 5" xfId="17340"/>
    <cellStyle name="표준 24 3 4 2 2 5" xfId="17341"/>
    <cellStyle name="표준 24 3 4 2 2 5 2" xfId="17342"/>
    <cellStyle name="표준 24 3 4 2 2 5 2 2" xfId="17343"/>
    <cellStyle name="표준 24 3 4 2 2 5 2 2 2" xfId="17344"/>
    <cellStyle name="표준 24 3 4 2 2 5 2 3" xfId="17345"/>
    <cellStyle name="표준 24 3 4 2 2 5 3" xfId="17346"/>
    <cellStyle name="표준 24 3 4 2 2 5 3 2" xfId="17347"/>
    <cellStyle name="표준 24 3 4 2 2 5 4" xfId="17348"/>
    <cellStyle name="표준 24 3 4 2 2 6" xfId="17349"/>
    <cellStyle name="표준 24 3 4 2 2 6 2" xfId="17350"/>
    <cellStyle name="표준 24 3 4 2 2 6 2 2" xfId="17351"/>
    <cellStyle name="표준 24 3 4 2 2 6 3" xfId="17352"/>
    <cellStyle name="표준 24 3 4 2 2 7" xfId="17353"/>
    <cellStyle name="표준 24 3 4 2 2 7 2" xfId="17354"/>
    <cellStyle name="표준 24 3 4 2 2 8" xfId="17355"/>
    <cellStyle name="표준 24 3 4 2 2 9" xfId="17356"/>
    <cellStyle name="표준 24 3 4 2 3" xfId="17357"/>
    <cellStyle name="표준 24 3 4 2 3 2" xfId="17358"/>
    <cellStyle name="표준 24 3 4 2 3 2 2" xfId="17359"/>
    <cellStyle name="표준 24 3 4 2 3 2 2 2" xfId="17360"/>
    <cellStyle name="표준 24 3 4 2 3 2 2 2 2" xfId="17361"/>
    <cellStyle name="표준 24 3 4 2 3 2 2 2 2 2" xfId="17362"/>
    <cellStyle name="표준 24 3 4 2 3 2 2 2 2 2 2" xfId="17363"/>
    <cellStyle name="표준 24 3 4 2 3 2 2 2 2 3" xfId="17364"/>
    <cellStyle name="표준 24 3 4 2 3 2 2 2 3" xfId="17365"/>
    <cellStyle name="표준 24 3 4 2 3 2 2 2 3 2" xfId="17366"/>
    <cellStyle name="표준 24 3 4 2 3 2 2 2 4" xfId="17367"/>
    <cellStyle name="표준 24 3 4 2 3 2 2 3" xfId="17368"/>
    <cellStyle name="표준 24 3 4 2 3 2 2 3 2" xfId="17369"/>
    <cellStyle name="표준 24 3 4 2 3 2 2 3 2 2" xfId="17370"/>
    <cellStyle name="표준 24 3 4 2 3 2 2 3 3" xfId="17371"/>
    <cellStyle name="표준 24 3 4 2 3 2 2 4" xfId="17372"/>
    <cellStyle name="표준 24 3 4 2 3 2 2 4 2" xfId="17373"/>
    <cellStyle name="표준 24 3 4 2 3 2 2 5" xfId="17374"/>
    <cellStyle name="표준 24 3 4 2 3 2 3" xfId="17375"/>
    <cellStyle name="표준 24 3 4 2 3 2 3 2" xfId="17376"/>
    <cellStyle name="표준 24 3 4 2 3 2 3 2 2" xfId="17377"/>
    <cellStyle name="표준 24 3 4 2 3 2 3 2 2 2" xfId="17378"/>
    <cellStyle name="표준 24 3 4 2 3 2 3 2 3" xfId="17379"/>
    <cellStyle name="표준 24 3 4 2 3 2 3 3" xfId="17380"/>
    <cellStyle name="표준 24 3 4 2 3 2 3 3 2" xfId="17381"/>
    <cellStyle name="표준 24 3 4 2 3 2 3 4" xfId="17382"/>
    <cellStyle name="표준 24 3 4 2 3 2 4" xfId="17383"/>
    <cellStyle name="표준 24 3 4 2 3 2 4 2" xfId="17384"/>
    <cellStyle name="표준 24 3 4 2 3 2 4 2 2" xfId="17385"/>
    <cellStyle name="표준 24 3 4 2 3 2 4 3" xfId="17386"/>
    <cellStyle name="표준 24 3 4 2 3 2 5" xfId="17387"/>
    <cellStyle name="표준 24 3 4 2 3 2 5 2" xfId="17388"/>
    <cellStyle name="표준 24 3 4 2 3 2 6" xfId="17389"/>
    <cellStyle name="표준 24 3 4 2 3 3" xfId="17390"/>
    <cellStyle name="표준 24 3 4 2 3 3 2" xfId="17391"/>
    <cellStyle name="표준 24 3 4 2 3 3 2 2" xfId="17392"/>
    <cellStyle name="표준 24 3 4 2 3 3 2 2 2" xfId="17393"/>
    <cellStyle name="표준 24 3 4 2 3 3 2 2 2 2" xfId="17394"/>
    <cellStyle name="표준 24 3 4 2 3 3 2 2 3" xfId="17395"/>
    <cellStyle name="표준 24 3 4 2 3 3 2 3" xfId="17396"/>
    <cellStyle name="표준 24 3 4 2 3 3 2 3 2" xfId="17397"/>
    <cellStyle name="표준 24 3 4 2 3 3 2 4" xfId="17398"/>
    <cellStyle name="표준 24 3 4 2 3 3 3" xfId="17399"/>
    <cellStyle name="표준 24 3 4 2 3 3 3 2" xfId="17400"/>
    <cellStyle name="표준 24 3 4 2 3 3 3 2 2" xfId="17401"/>
    <cellStyle name="표준 24 3 4 2 3 3 3 3" xfId="17402"/>
    <cellStyle name="표준 24 3 4 2 3 3 4" xfId="17403"/>
    <cellStyle name="표준 24 3 4 2 3 3 4 2" xfId="17404"/>
    <cellStyle name="표준 24 3 4 2 3 3 5" xfId="17405"/>
    <cellStyle name="표준 24 3 4 2 3 4" xfId="17406"/>
    <cellStyle name="표준 24 3 4 2 3 4 2" xfId="17407"/>
    <cellStyle name="표준 24 3 4 2 3 4 2 2" xfId="17408"/>
    <cellStyle name="표준 24 3 4 2 3 4 2 2 2" xfId="17409"/>
    <cellStyle name="표준 24 3 4 2 3 4 2 3" xfId="17410"/>
    <cellStyle name="표준 24 3 4 2 3 4 3" xfId="17411"/>
    <cellStyle name="표준 24 3 4 2 3 4 3 2" xfId="17412"/>
    <cellStyle name="표준 24 3 4 2 3 4 4" xfId="17413"/>
    <cellStyle name="표준 24 3 4 2 3 5" xfId="17414"/>
    <cellStyle name="표준 24 3 4 2 3 5 2" xfId="17415"/>
    <cellStyle name="표준 24 3 4 2 3 5 2 2" xfId="17416"/>
    <cellStyle name="표준 24 3 4 2 3 5 3" xfId="17417"/>
    <cellStyle name="표준 24 3 4 2 3 6" xfId="17418"/>
    <cellStyle name="표준 24 3 4 2 3 6 2" xfId="17419"/>
    <cellStyle name="표준 24 3 4 2 3 7" xfId="17420"/>
    <cellStyle name="표준 24 3 4 2 3 8" xfId="17421"/>
    <cellStyle name="표준 24 3 4 2 4" xfId="17422"/>
    <cellStyle name="표준 24 3 4 2 4 2" xfId="17423"/>
    <cellStyle name="표준 24 3 4 2 4 2 2" xfId="17424"/>
    <cellStyle name="표준 24 3 4 2 4 2 2 2" xfId="17425"/>
    <cellStyle name="표준 24 3 4 2 4 2 2 2 2" xfId="17426"/>
    <cellStyle name="표준 24 3 4 2 4 2 2 2 2 2" xfId="17427"/>
    <cellStyle name="표준 24 3 4 2 4 2 2 2 3" xfId="17428"/>
    <cellStyle name="표준 24 3 4 2 4 2 2 3" xfId="17429"/>
    <cellStyle name="표준 24 3 4 2 4 2 2 3 2" xfId="17430"/>
    <cellStyle name="표준 24 3 4 2 4 2 2 4" xfId="17431"/>
    <cellStyle name="표준 24 3 4 2 4 2 3" xfId="17432"/>
    <cellStyle name="표준 24 3 4 2 4 2 3 2" xfId="17433"/>
    <cellStyle name="표준 24 3 4 2 4 2 3 2 2" xfId="17434"/>
    <cellStyle name="표준 24 3 4 2 4 2 3 3" xfId="17435"/>
    <cellStyle name="표준 24 3 4 2 4 2 4" xfId="17436"/>
    <cellStyle name="표준 24 3 4 2 4 2 4 2" xfId="17437"/>
    <cellStyle name="표준 24 3 4 2 4 2 5" xfId="17438"/>
    <cellStyle name="표준 24 3 4 2 4 3" xfId="17439"/>
    <cellStyle name="표준 24 3 4 2 4 3 2" xfId="17440"/>
    <cellStyle name="표준 24 3 4 2 4 3 2 2" xfId="17441"/>
    <cellStyle name="표준 24 3 4 2 4 3 2 2 2" xfId="17442"/>
    <cellStyle name="표준 24 3 4 2 4 3 2 3" xfId="17443"/>
    <cellStyle name="표준 24 3 4 2 4 3 3" xfId="17444"/>
    <cellStyle name="표준 24 3 4 2 4 3 3 2" xfId="17445"/>
    <cellStyle name="표준 24 3 4 2 4 3 4" xfId="17446"/>
    <cellStyle name="표준 24 3 4 2 4 4" xfId="17447"/>
    <cellStyle name="표준 24 3 4 2 4 4 2" xfId="17448"/>
    <cellStyle name="표준 24 3 4 2 4 4 2 2" xfId="17449"/>
    <cellStyle name="표준 24 3 4 2 4 4 3" xfId="17450"/>
    <cellStyle name="표준 24 3 4 2 4 5" xfId="17451"/>
    <cellStyle name="표준 24 3 4 2 4 5 2" xfId="17452"/>
    <cellStyle name="표준 24 3 4 2 4 6" xfId="17453"/>
    <cellStyle name="표준 24 3 4 2 5" xfId="17454"/>
    <cellStyle name="표준 24 3 4 2 5 2" xfId="17455"/>
    <cellStyle name="표준 24 3 4 2 5 2 2" xfId="17456"/>
    <cellStyle name="표준 24 3 4 2 5 2 2 2" xfId="17457"/>
    <cellStyle name="표준 24 3 4 2 5 2 2 2 2" xfId="17458"/>
    <cellStyle name="표준 24 3 4 2 5 2 2 3" xfId="17459"/>
    <cellStyle name="표준 24 3 4 2 5 2 3" xfId="17460"/>
    <cellStyle name="표준 24 3 4 2 5 2 3 2" xfId="17461"/>
    <cellStyle name="표준 24 3 4 2 5 2 4" xfId="17462"/>
    <cellStyle name="표준 24 3 4 2 5 3" xfId="17463"/>
    <cellStyle name="표준 24 3 4 2 5 3 2" xfId="17464"/>
    <cellStyle name="표준 24 3 4 2 5 3 2 2" xfId="17465"/>
    <cellStyle name="표준 24 3 4 2 5 3 3" xfId="17466"/>
    <cellStyle name="표준 24 3 4 2 5 4" xfId="17467"/>
    <cellStyle name="표준 24 3 4 2 5 4 2" xfId="17468"/>
    <cellStyle name="표준 24 3 4 2 5 5" xfId="17469"/>
    <cellStyle name="표준 24 3 4 2 6" xfId="17470"/>
    <cellStyle name="표준 24 3 4 2 6 2" xfId="17471"/>
    <cellStyle name="표준 24 3 4 2 6 2 2" xfId="17472"/>
    <cellStyle name="표준 24 3 4 2 6 2 2 2" xfId="17473"/>
    <cellStyle name="표준 24 3 4 2 6 2 3" xfId="17474"/>
    <cellStyle name="표준 24 3 4 2 6 3" xfId="17475"/>
    <cellStyle name="표준 24 3 4 2 6 3 2" xfId="17476"/>
    <cellStyle name="표준 24 3 4 2 6 4" xfId="17477"/>
    <cellStyle name="표준 24 3 4 2 7" xfId="17478"/>
    <cellStyle name="표준 24 3 4 2 7 2" xfId="17479"/>
    <cellStyle name="표준 24 3 4 2 7 2 2" xfId="17480"/>
    <cellStyle name="표준 24 3 4 2 7 3" xfId="17481"/>
    <cellStyle name="표준 24 3 4 2 8" xfId="17482"/>
    <cellStyle name="표준 24 3 4 2 8 2" xfId="17483"/>
    <cellStyle name="표준 24 3 4 2 9" xfId="17484"/>
    <cellStyle name="표준 24 3 4 3" xfId="17485"/>
    <cellStyle name="표준 24 3 4 3 2" xfId="17486"/>
    <cellStyle name="표준 24 3 4 3 2 2" xfId="17487"/>
    <cellStyle name="표준 24 3 4 3 2 2 2" xfId="17488"/>
    <cellStyle name="표준 24 3 4 3 2 2 2 2" xfId="17489"/>
    <cellStyle name="표준 24 3 4 3 2 2 2 2 2" xfId="17490"/>
    <cellStyle name="표준 24 3 4 3 2 2 2 2 2 2" xfId="17491"/>
    <cellStyle name="표준 24 3 4 3 2 2 2 2 2 2 2" xfId="17492"/>
    <cellStyle name="표준 24 3 4 3 2 2 2 2 2 3" xfId="17493"/>
    <cellStyle name="표준 24 3 4 3 2 2 2 2 3" xfId="17494"/>
    <cellStyle name="표준 24 3 4 3 2 2 2 2 3 2" xfId="17495"/>
    <cellStyle name="표준 24 3 4 3 2 2 2 2 4" xfId="17496"/>
    <cellStyle name="표준 24 3 4 3 2 2 2 3" xfId="17497"/>
    <cellStyle name="표준 24 3 4 3 2 2 2 3 2" xfId="17498"/>
    <cellStyle name="표준 24 3 4 3 2 2 2 3 2 2" xfId="17499"/>
    <cellStyle name="표준 24 3 4 3 2 2 2 3 3" xfId="17500"/>
    <cellStyle name="표준 24 3 4 3 2 2 2 4" xfId="17501"/>
    <cellStyle name="표준 24 3 4 3 2 2 2 4 2" xfId="17502"/>
    <cellStyle name="표준 24 3 4 3 2 2 2 5" xfId="17503"/>
    <cellStyle name="표준 24 3 4 3 2 2 3" xfId="17504"/>
    <cellStyle name="표준 24 3 4 3 2 2 3 2" xfId="17505"/>
    <cellStyle name="표준 24 3 4 3 2 2 3 2 2" xfId="17506"/>
    <cellStyle name="표준 24 3 4 3 2 2 3 2 2 2" xfId="17507"/>
    <cellStyle name="표준 24 3 4 3 2 2 3 2 3" xfId="17508"/>
    <cellStyle name="표준 24 3 4 3 2 2 3 3" xfId="17509"/>
    <cellStyle name="표준 24 3 4 3 2 2 3 3 2" xfId="17510"/>
    <cellStyle name="표준 24 3 4 3 2 2 3 4" xfId="17511"/>
    <cellStyle name="표준 24 3 4 3 2 2 4" xfId="17512"/>
    <cellStyle name="표준 24 3 4 3 2 2 4 2" xfId="17513"/>
    <cellStyle name="표준 24 3 4 3 2 2 4 2 2" xfId="17514"/>
    <cellStyle name="표준 24 3 4 3 2 2 4 3" xfId="17515"/>
    <cellStyle name="표준 24 3 4 3 2 2 5" xfId="17516"/>
    <cellStyle name="표준 24 3 4 3 2 2 5 2" xfId="17517"/>
    <cellStyle name="표준 24 3 4 3 2 2 6" xfId="17518"/>
    <cellStyle name="표준 24 3 4 3 2 3" xfId="17519"/>
    <cellStyle name="표준 24 3 4 3 2 3 2" xfId="17520"/>
    <cellStyle name="표준 24 3 4 3 2 3 2 2" xfId="17521"/>
    <cellStyle name="표준 24 3 4 3 2 3 2 2 2" xfId="17522"/>
    <cellStyle name="표준 24 3 4 3 2 3 2 2 2 2" xfId="17523"/>
    <cellStyle name="표준 24 3 4 3 2 3 2 2 3" xfId="17524"/>
    <cellStyle name="표준 24 3 4 3 2 3 2 3" xfId="17525"/>
    <cellStyle name="표준 24 3 4 3 2 3 2 3 2" xfId="17526"/>
    <cellStyle name="표준 24 3 4 3 2 3 2 4" xfId="17527"/>
    <cellStyle name="표준 24 3 4 3 2 3 3" xfId="17528"/>
    <cellStyle name="표준 24 3 4 3 2 3 3 2" xfId="17529"/>
    <cellStyle name="표준 24 3 4 3 2 3 3 2 2" xfId="17530"/>
    <cellStyle name="표준 24 3 4 3 2 3 3 3" xfId="17531"/>
    <cellStyle name="표준 24 3 4 3 2 3 4" xfId="17532"/>
    <cellStyle name="표준 24 3 4 3 2 3 4 2" xfId="17533"/>
    <cellStyle name="표준 24 3 4 3 2 3 5" xfId="17534"/>
    <cellStyle name="표준 24 3 4 3 2 4" xfId="17535"/>
    <cellStyle name="표준 24 3 4 3 2 4 2" xfId="17536"/>
    <cellStyle name="표준 24 3 4 3 2 4 2 2" xfId="17537"/>
    <cellStyle name="표준 24 3 4 3 2 4 2 2 2" xfId="17538"/>
    <cellStyle name="표준 24 3 4 3 2 4 2 3" xfId="17539"/>
    <cellStyle name="표준 24 3 4 3 2 4 3" xfId="17540"/>
    <cellStyle name="표준 24 3 4 3 2 4 3 2" xfId="17541"/>
    <cellStyle name="표준 24 3 4 3 2 4 4" xfId="17542"/>
    <cellStyle name="표준 24 3 4 3 2 5" xfId="17543"/>
    <cellStyle name="표준 24 3 4 3 2 5 2" xfId="17544"/>
    <cellStyle name="표준 24 3 4 3 2 5 2 2" xfId="17545"/>
    <cellStyle name="표준 24 3 4 3 2 5 3" xfId="17546"/>
    <cellStyle name="표준 24 3 4 3 2 6" xfId="17547"/>
    <cellStyle name="표준 24 3 4 3 2 6 2" xfId="17548"/>
    <cellStyle name="표준 24 3 4 3 2 7" xfId="17549"/>
    <cellStyle name="표준 24 3 4 3 2 8" xfId="17550"/>
    <cellStyle name="표준 24 3 4 3 3" xfId="17551"/>
    <cellStyle name="표준 24 3 4 3 3 2" xfId="17552"/>
    <cellStyle name="표준 24 3 4 3 3 2 2" xfId="17553"/>
    <cellStyle name="표준 24 3 4 3 3 2 2 2" xfId="17554"/>
    <cellStyle name="표준 24 3 4 3 3 2 2 2 2" xfId="17555"/>
    <cellStyle name="표준 24 3 4 3 3 2 2 2 2 2" xfId="17556"/>
    <cellStyle name="표준 24 3 4 3 3 2 2 2 3" xfId="17557"/>
    <cellStyle name="표준 24 3 4 3 3 2 2 3" xfId="17558"/>
    <cellStyle name="표준 24 3 4 3 3 2 2 3 2" xfId="17559"/>
    <cellStyle name="표준 24 3 4 3 3 2 2 4" xfId="17560"/>
    <cellStyle name="표준 24 3 4 3 3 2 3" xfId="17561"/>
    <cellStyle name="표준 24 3 4 3 3 2 3 2" xfId="17562"/>
    <cellStyle name="표준 24 3 4 3 3 2 3 2 2" xfId="17563"/>
    <cellStyle name="표준 24 3 4 3 3 2 3 3" xfId="17564"/>
    <cellStyle name="표준 24 3 4 3 3 2 4" xfId="17565"/>
    <cellStyle name="표준 24 3 4 3 3 2 4 2" xfId="17566"/>
    <cellStyle name="표준 24 3 4 3 3 2 5" xfId="17567"/>
    <cellStyle name="표준 24 3 4 3 3 3" xfId="17568"/>
    <cellStyle name="표준 24 3 4 3 3 3 2" xfId="17569"/>
    <cellStyle name="표준 24 3 4 3 3 3 2 2" xfId="17570"/>
    <cellStyle name="표준 24 3 4 3 3 3 2 2 2" xfId="17571"/>
    <cellStyle name="표준 24 3 4 3 3 3 2 3" xfId="17572"/>
    <cellStyle name="표준 24 3 4 3 3 3 3" xfId="17573"/>
    <cellStyle name="표준 24 3 4 3 3 3 3 2" xfId="17574"/>
    <cellStyle name="표준 24 3 4 3 3 3 4" xfId="17575"/>
    <cellStyle name="표준 24 3 4 3 3 4" xfId="17576"/>
    <cellStyle name="표준 24 3 4 3 3 4 2" xfId="17577"/>
    <cellStyle name="표준 24 3 4 3 3 4 2 2" xfId="17578"/>
    <cellStyle name="표준 24 3 4 3 3 4 3" xfId="17579"/>
    <cellStyle name="표준 24 3 4 3 3 5" xfId="17580"/>
    <cellStyle name="표준 24 3 4 3 3 5 2" xfId="17581"/>
    <cellStyle name="표준 24 3 4 3 3 6" xfId="17582"/>
    <cellStyle name="표준 24 3 4 3 4" xfId="17583"/>
    <cellStyle name="표준 24 3 4 3 4 2" xfId="17584"/>
    <cellStyle name="표준 24 3 4 3 4 2 2" xfId="17585"/>
    <cellStyle name="표준 24 3 4 3 4 2 2 2" xfId="17586"/>
    <cellStyle name="표준 24 3 4 3 4 2 2 2 2" xfId="17587"/>
    <cellStyle name="표준 24 3 4 3 4 2 2 3" xfId="17588"/>
    <cellStyle name="표준 24 3 4 3 4 2 3" xfId="17589"/>
    <cellStyle name="표준 24 3 4 3 4 2 3 2" xfId="17590"/>
    <cellStyle name="표준 24 3 4 3 4 2 4" xfId="17591"/>
    <cellStyle name="표준 24 3 4 3 4 3" xfId="17592"/>
    <cellStyle name="표준 24 3 4 3 4 3 2" xfId="17593"/>
    <cellStyle name="표준 24 3 4 3 4 3 2 2" xfId="17594"/>
    <cellStyle name="표준 24 3 4 3 4 3 3" xfId="17595"/>
    <cellStyle name="표준 24 3 4 3 4 4" xfId="17596"/>
    <cellStyle name="표준 24 3 4 3 4 4 2" xfId="17597"/>
    <cellStyle name="표준 24 3 4 3 4 5" xfId="17598"/>
    <cellStyle name="표준 24 3 4 3 5" xfId="17599"/>
    <cellStyle name="표준 24 3 4 3 5 2" xfId="17600"/>
    <cellStyle name="표준 24 3 4 3 5 2 2" xfId="17601"/>
    <cellStyle name="표준 24 3 4 3 5 2 2 2" xfId="17602"/>
    <cellStyle name="표준 24 3 4 3 5 2 3" xfId="17603"/>
    <cellStyle name="표준 24 3 4 3 5 3" xfId="17604"/>
    <cellStyle name="표준 24 3 4 3 5 3 2" xfId="17605"/>
    <cellStyle name="표준 24 3 4 3 5 4" xfId="17606"/>
    <cellStyle name="표준 24 3 4 3 6" xfId="17607"/>
    <cellStyle name="표준 24 3 4 3 6 2" xfId="17608"/>
    <cellStyle name="표준 24 3 4 3 6 2 2" xfId="17609"/>
    <cellStyle name="표준 24 3 4 3 6 3" xfId="17610"/>
    <cellStyle name="표준 24 3 4 3 7" xfId="17611"/>
    <cellStyle name="표준 24 3 4 3 7 2" xfId="17612"/>
    <cellStyle name="표준 24 3 4 3 8" xfId="17613"/>
    <cellStyle name="표준 24 3 4 3 9" xfId="17614"/>
    <cellStyle name="표준 24 3 4 4" xfId="17615"/>
    <cellStyle name="표준 24 3 4 4 2" xfId="17616"/>
    <cellStyle name="표준 24 3 4 4 2 2" xfId="17617"/>
    <cellStyle name="표준 24 3 4 4 2 2 2" xfId="17618"/>
    <cellStyle name="표준 24 3 4 4 2 2 2 2" xfId="17619"/>
    <cellStyle name="표준 24 3 4 4 2 2 2 2 2" xfId="17620"/>
    <cellStyle name="표준 24 3 4 4 2 2 2 2 2 2" xfId="17621"/>
    <cellStyle name="표준 24 3 4 4 2 2 2 2 3" xfId="17622"/>
    <cellStyle name="표준 24 3 4 4 2 2 2 3" xfId="17623"/>
    <cellStyle name="표준 24 3 4 4 2 2 2 3 2" xfId="17624"/>
    <cellStyle name="표준 24 3 4 4 2 2 2 4" xfId="17625"/>
    <cellStyle name="표준 24 3 4 4 2 2 3" xfId="17626"/>
    <cellStyle name="표준 24 3 4 4 2 2 3 2" xfId="17627"/>
    <cellStyle name="표준 24 3 4 4 2 2 3 2 2" xfId="17628"/>
    <cellStyle name="표준 24 3 4 4 2 2 3 3" xfId="17629"/>
    <cellStyle name="표준 24 3 4 4 2 2 4" xfId="17630"/>
    <cellStyle name="표준 24 3 4 4 2 2 4 2" xfId="17631"/>
    <cellStyle name="표준 24 3 4 4 2 2 5" xfId="17632"/>
    <cellStyle name="표준 24 3 4 4 2 3" xfId="17633"/>
    <cellStyle name="표준 24 3 4 4 2 3 2" xfId="17634"/>
    <cellStyle name="표준 24 3 4 4 2 3 2 2" xfId="17635"/>
    <cellStyle name="표준 24 3 4 4 2 3 2 2 2" xfId="17636"/>
    <cellStyle name="표준 24 3 4 4 2 3 2 3" xfId="17637"/>
    <cellStyle name="표준 24 3 4 4 2 3 3" xfId="17638"/>
    <cellStyle name="표준 24 3 4 4 2 3 3 2" xfId="17639"/>
    <cellStyle name="표준 24 3 4 4 2 3 4" xfId="17640"/>
    <cellStyle name="표준 24 3 4 4 2 4" xfId="17641"/>
    <cellStyle name="표준 24 3 4 4 2 4 2" xfId="17642"/>
    <cellStyle name="표준 24 3 4 4 2 4 2 2" xfId="17643"/>
    <cellStyle name="표준 24 3 4 4 2 4 3" xfId="17644"/>
    <cellStyle name="표준 24 3 4 4 2 5" xfId="17645"/>
    <cellStyle name="표준 24 3 4 4 2 5 2" xfId="17646"/>
    <cellStyle name="표준 24 3 4 4 2 6" xfId="17647"/>
    <cellStyle name="표준 24 3 4 4 3" xfId="17648"/>
    <cellStyle name="표준 24 3 4 4 3 2" xfId="17649"/>
    <cellStyle name="표준 24 3 4 4 3 2 2" xfId="17650"/>
    <cellStyle name="표준 24 3 4 4 3 2 2 2" xfId="17651"/>
    <cellStyle name="표준 24 3 4 4 3 2 2 2 2" xfId="17652"/>
    <cellStyle name="표준 24 3 4 4 3 2 2 3" xfId="17653"/>
    <cellStyle name="표준 24 3 4 4 3 2 3" xfId="17654"/>
    <cellStyle name="표준 24 3 4 4 3 2 3 2" xfId="17655"/>
    <cellStyle name="표준 24 3 4 4 3 2 4" xfId="17656"/>
    <cellStyle name="표준 24 3 4 4 3 3" xfId="17657"/>
    <cellStyle name="표준 24 3 4 4 3 3 2" xfId="17658"/>
    <cellStyle name="표준 24 3 4 4 3 3 2 2" xfId="17659"/>
    <cellStyle name="표준 24 3 4 4 3 3 3" xfId="17660"/>
    <cellStyle name="표준 24 3 4 4 3 4" xfId="17661"/>
    <cellStyle name="표준 24 3 4 4 3 4 2" xfId="17662"/>
    <cellStyle name="표준 24 3 4 4 3 5" xfId="17663"/>
    <cellStyle name="표준 24 3 4 4 4" xfId="17664"/>
    <cellStyle name="표준 24 3 4 4 4 2" xfId="17665"/>
    <cellStyle name="표준 24 3 4 4 4 2 2" xfId="17666"/>
    <cellStyle name="표준 24 3 4 4 4 2 2 2" xfId="17667"/>
    <cellStyle name="표준 24 3 4 4 4 2 3" xfId="17668"/>
    <cellStyle name="표준 24 3 4 4 4 3" xfId="17669"/>
    <cellStyle name="표준 24 3 4 4 4 3 2" xfId="17670"/>
    <cellStyle name="표준 24 3 4 4 4 4" xfId="17671"/>
    <cellStyle name="표준 24 3 4 4 5" xfId="17672"/>
    <cellStyle name="표준 24 3 4 4 5 2" xfId="17673"/>
    <cellStyle name="표준 24 3 4 4 5 2 2" xfId="17674"/>
    <cellStyle name="표준 24 3 4 4 5 3" xfId="17675"/>
    <cellStyle name="표준 24 3 4 4 6" xfId="17676"/>
    <cellStyle name="표준 24 3 4 4 6 2" xfId="17677"/>
    <cellStyle name="표준 24 3 4 4 7" xfId="17678"/>
    <cellStyle name="표준 24 3 4 4 8" xfId="17679"/>
    <cellStyle name="표준 24 3 4 5" xfId="17680"/>
    <cellStyle name="표준 24 3 4 5 2" xfId="17681"/>
    <cellStyle name="표준 24 3 4 5 2 2" xfId="17682"/>
    <cellStyle name="표준 24 3 4 5 2 2 2" xfId="17683"/>
    <cellStyle name="표준 24 3 4 5 2 2 2 2" xfId="17684"/>
    <cellStyle name="표준 24 3 4 5 2 2 2 2 2" xfId="17685"/>
    <cellStyle name="표준 24 3 4 5 2 2 2 3" xfId="17686"/>
    <cellStyle name="표준 24 3 4 5 2 2 3" xfId="17687"/>
    <cellStyle name="표준 24 3 4 5 2 2 3 2" xfId="17688"/>
    <cellStyle name="표준 24 3 4 5 2 2 4" xfId="17689"/>
    <cellStyle name="표준 24 3 4 5 2 3" xfId="17690"/>
    <cellStyle name="표준 24 3 4 5 2 3 2" xfId="17691"/>
    <cellStyle name="표준 24 3 4 5 2 3 2 2" xfId="17692"/>
    <cellStyle name="표준 24 3 4 5 2 3 3" xfId="17693"/>
    <cellStyle name="표준 24 3 4 5 2 4" xfId="17694"/>
    <cellStyle name="표준 24 3 4 5 2 4 2" xfId="17695"/>
    <cellStyle name="표준 24 3 4 5 2 5" xfId="17696"/>
    <cellStyle name="표준 24 3 4 5 3" xfId="17697"/>
    <cellStyle name="표준 24 3 4 5 3 2" xfId="17698"/>
    <cellStyle name="표준 24 3 4 5 3 2 2" xfId="17699"/>
    <cellStyle name="표준 24 3 4 5 3 2 2 2" xfId="17700"/>
    <cellStyle name="표준 24 3 4 5 3 2 3" xfId="17701"/>
    <cellStyle name="표준 24 3 4 5 3 3" xfId="17702"/>
    <cellStyle name="표준 24 3 4 5 3 3 2" xfId="17703"/>
    <cellStyle name="표준 24 3 4 5 3 4" xfId="17704"/>
    <cellStyle name="표준 24 3 4 5 4" xfId="17705"/>
    <cellStyle name="표준 24 3 4 5 4 2" xfId="17706"/>
    <cellStyle name="표준 24 3 4 5 4 2 2" xfId="17707"/>
    <cellStyle name="표준 24 3 4 5 4 3" xfId="17708"/>
    <cellStyle name="표준 24 3 4 5 5" xfId="17709"/>
    <cellStyle name="표준 24 3 4 5 5 2" xfId="17710"/>
    <cellStyle name="표준 24 3 4 5 6" xfId="17711"/>
    <cellStyle name="표준 24 3 4 6" xfId="17712"/>
    <cellStyle name="표준 24 3 4 6 2" xfId="17713"/>
    <cellStyle name="표준 24 3 4 6 2 2" xfId="17714"/>
    <cellStyle name="표준 24 3 4 6 2 2 2" xfId="17715"/>
    <cellStyle name="표준 24 3 4 6 2 2 2 2" xfId="17716"/>
    <cellStyle name="표준 24 3 4 6 2 2 3" xfId="17717"/>
    <cellStyle name="표준 24 3 4 6 2 3" xfId="17718"/>
    <cellStyle name="표준 24 3 4 6 2 3 2" xfId="17719"/>
    <cellStyle name="표준 24 3 4 6 2 4" xfId="17720"/>
    <cellStyle name="표준 24 3 4 6 3" xfId="17721"/>
    <cellStyle name="표준 24 3 4 6 3 2" xfId="17722"/>
    <cellStyle name="표준 24 3 4 6 3 2 2" xfId="17723"/>
    <cellStyle name="표준 24 3 4 6 3 3" xfId="17724"/>
    <cellStyle name="표준 24 3 4 6 4" xfId="17725"/>
    <cellStyle name="표준 24 3 4 6 4 2" xfId="17726"/>
    <cellStyle name="표준 24 3 4 6 5" xfId="17727"/>
    <cellStyle name="표준 24 3 4 7" xfId="17728"/>
    <cellStyle name="표준 24 3 4 7 2" xfId="17729"/>
    <cellStyle name="표준 24 3 4 7 2 2" xfId="17730"/>
    <cellStyle name="표준 24 3 4 7 2 2 2" xfId="17731"/>
    <cellStyle name="표준 24 3 4 7 2 3" xfId="17732"/>
    <cellStyle name="표준 24 3 4 7 3" xfId="17733"/>
    <cellStyle name="표준 24 3 4 7 3 2" xfId="17734"/>
    <cellStyle name="표준 24 3 4 7 4" xfId="17735"/>
    <cellStyle name="표준 24 3 4 8" xfId="17736"/>
    <cellStyle name="표준 24 3 4 8 2" xfId="17737"/>
    <cellStyle name="표준 24 3 4 8 2 2" xfId="17738"/>
    <cellStyle name="표준 24 3 4 8 3" xfId="17739"/>
    <cellStyle name="표준 24 3 4 9" xfId="17740"/>
    <cellStyle name="표준 24 3 4 9 2" xfId="17741"/>
    <cellStyle name="표준 24 3 5" xfId="17742"/>
    <cellStyle name="표준 24 3 5 10" xfId="17743"/>
    <cellStyle name="표준 24 3 5 11" xfId="17744"/>
    <cellStyle name="표준 24 3 5 2" xfId="17745"/>
    <cellStyle name="표준 24 3 5 2 10" xfId="17746"/>
    <cellStyle name="표준 24 3 5 2 2" xfId="17747"/>
    <cellStyle name="표준 24 3 5 2 2 2" xfId="17748"/>
    <cellStyle name="표준 24 3 5 2 2 2 2" xfId="17749"/>
    <cellStyle name="표준 24 3 5 2 2 2 2 2" xfId="17750"/>
    <cellStyle name="표준 24 3 5 2 2 2 2 2 2" xfId="17751"/>
    <cellStyle name="표준 24 3 5 2 2 2 2 2 2 2" xfId="17752"/>
    <cellStyle name="표준 24 3 5 2 2 2 2 2 2 2 2" xfId="17753"/>
    <cellStyle name="표준 24 3 5 2 2 2 2 2 2 2 2 2" xfId="17754"/>
    <cellStyle name="표준 24 3 5 2 2 2 2 2 2 2 3" xfId="17755"/>
    <cellStyle name="표준 24 3 5 2 2 2 2 2 2 3" xfId="17756"/>
    <cellStyle name="표준 24 3 5 2 2 2 2 2 2 3 2" xfId="17757"/>
    <cellStyle name="표준 24 3 5 2 2 2 2 2 2 4" xfId="17758"/>
    <cellStyle name="표준 24 3 5 2 2 2 2 2 3" xfId="17759"/>
    <cellStyle name="표준 24 3 5 2 2 2 2 2 3 2" xfId="17760"/>
    <cellStyle name="표준 24 3 5 2 2 2 2 2 3 2 2" xfId="17761"/>
    <cellStyle name="표준 24 3 5 2 2 2 2 2 3 3" xfId="17762"/>
    <cellStyle name="표준 24 3 5 2 2 2 2 2 4" xfId="17763"/>
    <cellStyle name="표준 24 3 5 2 2 2 2 2 4 2" xfId="17764"/>
    <cellStyle name="표준 24 3 5 2 2 2 2 2 5" xfId="17765"/>
    <cellStyle name="표준 24 3 5 2 2 2 2 3" xfId="17766"/>
    <cellStyle name="표준 24 3 5 2 2 2 2 3 2" xfId="17767"/>
    <cellStyle name="표준 24 3 5 2 2 2 2 3 2 2" xfId="17768"/>
    <cellStyle name="표준 24 3 5 2 2 2 2 3 2 2 2" xfId="17769"/>
    <cellStyle name="표준 24 3 5 2 2 2 2 3 2 3" xfId="17770"/>
    <cellStyle name="표준 24 3 5 2 2 2 2 3 3" xfId="17771"/>
    <cellStyle name="표준 24 3 5 2 2 2 2 3 3 2" xfId="17772"/>
    <cellStyle name="표준 24 3 5 2 2 2 2 3 4" xfId="17773"/>
    <cellStyle name="표준 24 3 5 2 2 2 2 4" xfId="17774"/>
    <cellStyle name="표준 24 3 5 2 2 2 2 4 2" xfId="17775"/>
    <cellStyle name="표준 24 3 5 2 2 2 2 4 2 2" xfId="17776"/>
    <cellStyle name="표준 24 3 5 2 2 2 2 4 3" xfId="17777"/>
    <cellStyle name="표준 24 3 5 2 2 2 2 5" xfId="17778"/>
    <cellStyle name="표준 24 3 5 2 2 2 2 5 2" xfId="17779"/>
    <cellStyle name="표준 24 3 5 2 2 2 2 6" xfId="17780"/>
    <cellStyle name="표준 24 3 5 2 2 2 3" xfId="17781"/>
    <cellStyle name="표준 24 3 5 2 2 2 3 2" xfId="17782"/>
    <cellStyle name="표준 24 3 5 2 2 2 3 2 2" xfId="17783"/>
    <cellStyle name="표준 24 3 5 2 2 2 3 2 2 2" xfId="17784"/>
    <cellStyle name="표준 24 3 5 2 2 2 3 2 2 2 2" xfId="17785"/>
    <cellStyle name="표준 24 3 5 2 2 2 3 2 2 3" xfId="17786"/>
    <cellStyle name="표준 24 3 5 2 2 2 3 2 3" xfId="17787"/>
    <cellStyle name="표준 24 3 5 2 2 2 3 2 3 2" xfId="17788"/>
    <cellStyle name="표준 24 3 5 2 2 2 3 2 4" xfId="17789"/>
    <cellStyle name="표준 24 3 5 2 2 2 3 3" xfId="17790"/>
    <cellStyle name="표준 24 3 5 2 2 2 3 3 2" xfId="17791"/>
    <cellStyle name="표준 24 3 5 2 2 2 3 3 2 2" xfId="17792"/>
    <cellStyle name="표준 24 3 5 2 2 2 3 3 3" xfId="17793"/>
    <cellStyle name="표준 24 3 5 2 2 2 3 4" xfId="17794"/>
    <cellStyle name="표준 24 3 5 2 2 2 3 4 2" xfId="17795"/>
    <cellStyle name="표준 24 3 5 2 2 2 3 5" xfId="17796"/>
    <cellStyle name="표준 24 3 5 2 2 2 4" xfId="17797"/>
    <cellStyle name="표준 24 3 5 2 2 2 4 2" xfId="17798"/>
    <cellStyle name="표준 24 3 5 2 2 2 4 2 2" xfId="17799"/>
    <cellStyle name="표준 24 3 5 2 2 2 4 2 2 2" xfId="17800"/>
    <cellStyle name="표준 24 3 5 2 2 2 4 2 3" xfId="17801"/>
    <cellStyle name="표준 24 3 5 2 2 2 4 3" xfId="17802"/>
    <cellStyle name="표준 24 3 5 2 2 2 4 3 2" xfId="17803"/>
    <cellStyle name="표준 24 3 5 2 2 2 4 4" xfId="17804"/>
    <cellStyle name="표준 24 3 5 2 2 2 5" xfId="17805"/>
    <cellStyle name="표준 24 3 5 2 2 2 5 2" xfId="17806"/>
    <cellStyle name="표준 24 3 5 2 2 2 5 2 2" xfId="17807"/>
    <cellStyle name="표준 24 3 5 2 2 2 5 3" xfId="17808"/>
    <cellStyle name="표준 24 3 5 2 2 2 6" xfId="17809"/>
    <cellStyle name="표준 24 3 5 2 2 2 6 2" xfId="17810"/>
    <cellStyle name="표준 24 3 5 2 2 2 7" xfId="17811"/>
    <cellStyle name="표준 24 3 5 2 2 2 8" xfId="17812"/>
    <cellStyle name="표준 24 3 5 2 2 3" xfId="17813"/>
    <cellStyle name="표준 24 3 5 2 2 3 2" xfId="17814"/>
    <cellStyle name="표준 24 3 5 2 2 3 2 2" xfId="17815"/>
    <cellStyle name="표준 24 3 5 2 2 3 2 2 2" xfId="17816"/>
    <cellStyle name="표준 24 3 5 2 2 3 2 2 2 2" xfId="17817"/>
    <cellStyle name="표준 24 3 5 2 2 3 2 2 2 2 2" xfId="17818"/>
    <cellStyle name="표준 24 3 5 2 2 3 2 2 2 3" xfId="17819"/>
    <cellStyle name="표준 24 3 5 2 2 3 2 2 3" xfId="17820"/>
    <cellStyle name="표준 24 3 5 2 2 3 2 2 3 2" xfId="17821"/>
    <cellStyle name="표준 24 3 5 2 2 3 2 2 4" xfId="17822"/>
    <cellStyle name="표준 24 3 5 2 2 3 2 3" xfId="17823"/>
    <cellStyle name="표준 24 3 5 2 2 3 2 3 2" xfId="17824"/>
    <cellStyle name="표준 24 3 5 2 2 3 2 3 2 2" xfId="17825"/>
    <cellStyle name="표준 24 3 5 2 2 3 2 3 3" xfId="17826"/>
    <cellStyle name="표준 24 3 5 2 2 3 2 4" xfId="17827"/>
    <cellStyle name="표준 24 3 5 2 2 3 2 4 2" xfId="17828"/>
    <cellStyle name="표준 24 3 5 2 2 3 2 5" xfId="17829"/>
    <cellStyle name="표준 24 3 5 2 2 3 3" xfId="17830"/>
    <cellStyle name="표준 24 3 5 2 2 3 3 2" xfId="17831"/>
    <cellStyle name="표준 24 3 5 2 2 3 3 2 2" xfId="17832"/>
    <cellStyle name="표준 24 3 5 2 2 3 3 2 2 2" xfId="17833"/>
    <cellStyle name="표준 24 3 5 2 2 3 3 2 3" xfId="17834"/>
    <cellStyle name="표준 24 3 5 2 2 3 3 3" xfId="17835"/>
    <cellStyle name="표준 24 3 5 2 2 3 3 3 2" xfId="17836"/>
    <cellStyle name="표준 24 3 5 2 2 3 3 4" xfId="17837"/>
    <cellStyle name="표준 24 3 5 2 2 3 4" xfId="17838"/>
    <cellStyle name="표준 24 3 5 2 2 3 4 2" xfId="17839"/>
    <cellStyle name="표준 24 3 5 2 2 3 4 2 2" xfId="17840"/>
    <cellStyle name="표준 24 3 5 2 2 3 4 3" xfId="17841"/>
    <cellStyle name="표준 24 3 5 2 2 3 5" xfId="17842"/>
    <cellStyle name="표준 24 3 5 2 2 3 5 2" xfId="17843"/>
    <cellStyle name="표준 24 3 5 2 2 3 6" xfId="17844"/>
    <cellStyle name="표준 24 3 5 2 2 4" xfId="17845"/>
    <cellStyle name="표준 24 3 5 2 2 4 2" xfId="17846"/>
    <cellStyle name="표준 24 3 5 2 2 4 2 2" xfId="17847"/>
    <cellStyle name="표준 24 3 5 2 2 4 2 2 2" xfId="17848"/>
    <cellStyle name="표준 24 3 5 2 2 4 2 2 2 2" xfId="17849"/>
    <cellStyle name="표준 24 3 5 2 2 4 2 2 3" xfId="17850"/>
    <cellStyle name="표준 24 3 5 2 2 4 2 3" xfId="17851"/>
    <cellStyle name="표준 24 3 5 2 2 4 2 3 2" xfId="17852"/>
    <cellStyle name="표준 24 3 5 2 2 4 2 4" xfId="17853"/>
    <cellStyle name="표준 24 3 5 2 2 4 3" xfId="17854"/>
    <cellStyle name="표준 24 3 5 2 2 4 3 2" xfId="17855"/>
    <cellStyle name="표준 24 3 5 2 2 4 3 2 2" xfId="17856"/>
    <cellStyle name="표준 24 3 5 2 2 4 3 3" xfId="17857"/>
    <cellStyle name="표준 24 3 5 2 2 4 4" xfId="17858"/>
    <cellStyle name="표준 24 3 5 2 2 4 4 2" xfId="17859"/>
    <cellStyle name="표준 24 3 5 2 2 4 5" xfId="17860"/>
    <cellStyle name="표준 24 3 5 2 2 5" xfId="17861"/>
    <cellStyle name="표준 24 3 5 2 2 5 2" xfId="17862"/>
    <cellStyle name="표준 24 3 5 2 2 5 2 2" xfId="17863"/>
    <cellStyle name="표준 24 3 5 2 2 5 2 2 2" xfId="17864"/>
    <cellStyle name="표준 24 3 5 2 2 5 2 3" xfId="17865"/>
    <cellStyle name="표준 24 3 5 2 2 5 3" xfId="17866"/>
    <cellStyle name="표준 24 3 5 2 2 5 3 2" xfId="17867"/>
    <cellStyle name="표준 24 3 5 2 2 5 4" xfId="17868"/>
    <cellStyle name="표준 24 3 5 2 2 6" xfId="17869"/>
    <cellStyle name="표준 24 3 5 2 2 6 2" xfId="17870"/>
    <cellStyle name="표준 24 3 5 2 2 6 2 2" xfId="17871"/>
    <cellStyle name="표준 24 3 5 2 2 6 3" xfId="17872"/>
    <cellStyle name="표준 24 3 5 2 2 7" xfId="17873"/>
    <cellStyle name="표준 24 3 5 2 2 7 2" xfId="17874"/>
    <cellStyle name="표준 24 3 5 2 2 8" xfId="17875"/>
    <cellStyle name="표준 24 3 5 2 2 9" xfId="17876"/>
    <cellStyle name="표준 24 3 5 2 3" xfId="17877"/>
    <cellStyle name="표준 24 3 5 2 3 2" xfId="17878"/>
    <cellStyle name="표준 24 3 5 2 3 2 2" xfId="17879"/>
    <cellStyle name="표준 24 3 5 2 3 2 2 2" xfId="17880"/>
    <cellStyle name="표준 24 3 5 2 3 2 2 2 2" xfId="17881"/>
    <cellStyle name="표준 24 3 5 2 3 2 2 2 2 2" xfId="17882"/>
    <cellStyle name="표준 24 3 5 2 3 2 2 2 2 2 2" xfId="17883"/>
    <cellStyle name="표준 24 3 5 2 3 2 2 2 2 3" xfId="17884"/>
    <cellStyle name="표준 24 3 5 2 3 2 2 2 3" xfId="17885"/>
    <cellStyle name="표준 24 3 5 2 3 2 2 2 3 2" xfId="17886"/>
    <cellStyle name="표준 24 3 5 2 3 2 2 2 4" xfId="17887"/>
    <cellStyle name="표준 24 3 5 2 3 2 2 3" xfId="17888"/>
    <cellStyle name="표준 24 3 5 2 3 2 2 3 2" xfId="17889"/>
    <cellStyle name="표준 24 3 5 2 3 2 2 3 2 2" xfId="17890"/>
    <cellStyle name="표준 24 3 5 2 3 2 2 3 3" xfId="17891"/>
    <cellStyle name="표준 24 3 5 2 3 2 2 4" xfId="17892"/>
    <cellStyle name="표준 24 3 5 2 3 2 2 4 2" xfId="17893"/>
    <cellStyle name="표준 24 3 5 2 3 2 2 5" xfId="17894"/>
    <cellStyle name="표준 24 3 5 2 3 2 3" xfId="17895"/>
    <cellStyle name="표준 24 3 5 2 3 2 3 2" xfId="17896"/>
    <cellStyle name="표준 24 3 5 2 3 2 3 2 2" xfId="17897"/>
    <cellStyle name="표준 24 3 5 2 3 2 3 2 2 2" xfId="17898"/>
    <cellStyle name="표준 24 3 5 2 3 2 3 2 3" xfId="17899"/>
    <cellStyle name="표준 24 3 5 2 3 2 3 3" xfId="17900"/>
    <cellStyle name="표준 24 3 5 2 3 2 3 3 2" xfId="17901"/>
    <cellStyle name="표준 24 3 5 2 3 2 3 4" xfId="17902"/>
    <cellStyle name="표준 24 3 5 2 3 2 4" xfId="17903"/>
    <cellStyle name="표준 24 3 5 2 3 2 4 2" xfId="17904"/>
    <cellStyle name="표준 24 3 5 2 3 2 4 2 2" xfId="17905"/>
    <cellStyle name="표준 24 3 5 2 3 2 4 3" xfId="17906"/>
    <cellStyle name="표준 24 3 5 2 3 2 5" xfId="17907"/>
    <cellStyle name="표준 24 3 5 2 3 2 5 2" xfId="17908"/>
    <cellStyle name="표준 24 3 5 2 3 2 6" xfId="17909"/>
    <cellStyle name="표준 24 3 5 2 3 3" xfId="17910"/>
    <cellStyle name="표준 24 3 5 2 3 3 2" xfId="17911"/>
    <cellStyle name="표준 24 3 5 2 3 3 2 2" xfId="17912"/>
    <cellStyle name="표준 24 3 5 2 3 3 2 2 2" xfId="17913"/>
    <cellStyle name="표준 24 3 5 2 3 3 2 2 2 2" xfId="17914"/>
    <cellStyle name="표준 24 3 5 2 3 3 2 2 3" xfId="17915"/>
    <cellStyle name="표준 24 3 5 2 3 3 2 3" xfId="17916"/>
    <cellStyle name="표준 24 3 5 2 3 3 2 3 2" xfId="17917"/>
    <cellStyle name="표준 24 3 5 2 3 3 2 4" xfId="17918"/>
    <cellStyle name="표준 24 3 5 2 3 3 3" xfId="17919"/>
    <cellStyle name="표준 24 3 5 2 3 3 3 2" xfId="17920"/>
    <cellStyle name="표준 24 3 5 2 3 3 3 2 2" xfId="17921"/>
    <cellStyle name="표준 24 3 5 2 3 3 3 3" xfId="17922"/>
    <cellStyle name="표준 24 3 5 2 3 3 4" xfId="17923"/>
    <cellStyle name="표준 24 3 5 2 3 3 4 2" xfId="17924"/>
    <cellStyle name="표준 24 3 5 2 3 3 5" xfId="17925"/>
    <cellStyle name="표준 24 3 5 2 3 4" xfId="17926"/>
    <cellStyle name="표준 24 3 5 2 3 4 2" xfId="17927"/>
    <cellStyle name="표준 24 3 5 2 3 4 2 2" xfId="17928"/>
    <cellStyle name="표준 24 3 5 2 3 4 2 2 2" xfId="17929"/>
    <cellStyle name="표준 24 3 5 2 3 4 2 3" xfId="17930"/>
    <cellStyle name="표준 24 3 5 2 3 4 3" xfId="17931"/>
    <cellStyle name="표준 24 3 5 2 3 4 3 2" xfId="17932"/>
    <cellStyle name="표준 24 3 5 2 3 4 4" xfId="17933"/>
    <cellStyle name="표준 24 3 5 2 3 5" xfId="17934"/>
    <cellStyle name="표준 24 3 5 2 3 5 2" xfId="17935"/>
    <cellStyle name="표준 24 3 5 2 3 5 2 2" xfId="17936"/>
    <cellStyle name="표준 24 3 5 2 3 5 3" xfId="17937"/>
    <cellStyle name="표준 24 3 5 2 3 6" xfId="17938"/>
    <cellStyle name="표준 24 3 5 2 3 6 2" xfId="17939"/>
    <cellStyle name="표준 24 3 5 2 3 7" xfId="17940"/>
    <cellStyle name="표준 24 3 5 2 3 8" xfId="17941"/>
    <cellStyle name="표준 24 3 5 2 4" xfId="17942"/>
    <cellStyle name="표준 24 3 5 2 4 2" xfId="17943"/>
    <cellStyle name="표준 24 3 5 2 4 2 2" xfId="17944"/>
    <cellStyle name="표준 24 3 5 2 4 2 2 2" xfId="17945"/>
    <cellStyle name="표준 24 3 5 2 4 2 2 2 2" xfId="17946"/>
    <cellStyle name="표준 24 3 5 2 4 2 2 2 2 2" xfId="17947"/>
    <cellStyle name="표준 24 3 5 2 4 2 2 2 3" xfId="17948"/>
    <cellStyle name="표준 24 3 5 2 4 2 2 3" xfId="17949"/>
    <cellStyle name="표준 24 3 5 2 4 2 2 3 2" xfId="17950"/>
    <cellStyle name="표준 24 3 5 2 4 2 2 4" xfId="17951"/>
    <cellStyle name="표준 24 3 5 2 4 2 3" xfId="17952"/>
    <cellStyle name="표준 24 3 5 2 4 2 3 2" xfId="17953"/>
    <cellStyle name="표준 24 3 5 2 4 2 3 2 2" xfId="17954"/>
    <cellStyle name="표준 24 3 5 2 4 2 3 3" xfId="17955"/>
    <cellStyle name="표준 24 3 5 2 4 2 4" xfId="17956"/>
    <cellStyle name="표준 24 3 5 2 4 2 4 2" xfId="17957"/>
    <cellStyle name="표준 24 3 5 2 4 2 5" xfId="17958"/>
    <cellStyle name="표준 24 3 5 2 4 3" xfId="17959"/>
    <cellStyle name="표준 24 3 5 2 4 3 2" xfId="17960"/>
    <cellStyle name="표준 24 3 5 2 4 3 2 2" xfId="17961"/>
    <cellStyle name="표준 24 3 5 2 4 3 2 2 2" xfId="17962"/>
    <cellStyle name="표준 24 3 5 2 4 3 2 3" xfId="17963"/>
    <cellStyle name="표준 24 3 5 2 4 3 3" xfId="17964"/>
    <cellStyle name="표준 24 3 5 2 4 3 3 2" xfId="17965"/>
    <cellStyle name="표준 24 3 5 2 4 3 4" xfId="17966"/>
    <cellStyle name="표준 24 3 5 2 4 4" xfId="17967"/>
    <cellStyle name="표준 24 3 5 2 4 4 2" xfId="17968"/>
    <cellStyle name="표준 24 3 5 2 4 4 2 2" xfId="17969"/>
    <cellStyle name="표준 24 3 5 2 4 4 3" xfId="17970"/>
    <cellStyle name="표준 24 3 5 2 4 5" xfId="17971"/>
    <cellStyle name="표준 24 3 5 2 4 5 2" xfId="17972"/>
    <cellStyle name="표준 24 3 5 2 4 6" xfId="17973"/>
    <cellStyle name="표준 24 3 5 2 5" xfId="17974"/>
    <cellStyle name="표준 24 3 5 2 5 2" xfId="17975"/>
    <cellStyle name="표준 24 3 5 2 5 2 2" xfId="17976"/>
    <cellStyle name="표준 24 3 5 2 5 2 2 2" xfId="17977"/>
    <cellStyle name="표준 24 3 5 2 5 2 2 2 2" xfId="17978"/>
    <cellStyle name="표준 24 3 5 2 5 2 2 3" xfId="17979"/>
    <cellStyle name="표준 24 3 5 2 5 2 3" xfId="17980"/>
    <cellStyle name="표준 24 3 5 2 5 2 3 2" xfId="17981"/>
    <cellStyle name="표준 24 3 5 2 5 2 4" xfId="17982"/>
    <cellStyle name="표준 24 3 5 2 5 3" xfId="17983"/>
    <cellStyle name="표준 24 3 5 2 5 3 2" xfId="17984"/>
    <cellStyle name="표준 24 3 5 2 5 3 2 2" xfId="17985"/>
    <cellStyle name="표준 24 3 5 2 5 3 3" xfId="17986"/>
    <cellStyle name="표준 24 3 5 2 5 4" xfId="17987"/>
    <cellStyle name="표준 24 3 5 2 5 4 2" xfId="17988"/>
    <cellStyle name="표준 24 3 5 2 5 5" xfId="17989"/>
    <cellStyle name="표준 24 3 5 2 6" xfId="17990"/>
    <cellStyle name="표준 24 3 5 2 6 2" xfId="17991"/>
    <cellStyle name="표준 24 3 5 2 6 2 2" xfId="17992"/>
    <cellStyle name="표준 24 3 5 2 6 2 2 2" xfId="17993"/>
    <cellStyle name="표준 24 3 5 2 6 2 3" xfId="17994"/>
    <cellStyle name="표준 24 3 5 2 6 3" xfId="17995"/>
    <cellStyle name="표준 24 3 5 2 6 3 2" xfId="17996"/>
    <cellStyle name="표준 24 3 5 2 6 4" xfId="17997"/>
    <cellStyle name="표준 24 3 5 2 7" xfId="17998"/>
    <cellStyle name="표준 24 3 5 2 7 2" xfId="17999"/>
    <cellStyle name="표준 24 3 5 2 7 2 2" xfId="18000"/>
    <cellStyle name="표준 24 3 5 2 7 3" xfId="18001"/>
    <cellStyle name="표준 24 3 5 2 8" xfId="18002"/>
    <cellStyle name="표준 24 3 5 2 8 2" xfId="18003"/>
    <cellStyle name="표준 24 3 5 2 9" xfId="18004"/>
    <cellStyle name="표준 24 3 5 3" xfId="18005"/>
    <cellStyle name="표준 24 3 5 3 2" xfId="18006"/>
    <cellStyle name="표준 24 3 5 3 2 2" xfId="18007"/>
    <cellStyle name="표준 24 3 5 3 2 2 2" xfId="18008"/>
    <cellStyle name="표준 24 3 5 3 2 2 2 2" xfId="18009"/>
    <cellStyle name="표준 24 3 5 3 2 2 2 2 2" xfId="18010"/>
    <cellStyle name="표준 24 3 5 3 2 2 2 2 2 2" xfId="18011"/>
    <cellStyle name="표준 24 3 5 3 2 2 2 2 2 2 2" xfId="18012"/>
    <cellStyle name="표준 24 3 5 3 2 2 2 2 2 3" xfId="18013"/>
    <cellStyle name="표준 24 3 5 3 2 2 2 2 3" xfId="18014"/>
    <cellStyle name="표준 24 3 5 3 2 2 2 2 3 2" xfId="18015"/>
    <cellStyle name="표준 24 3 5 3 2 2 2 2 4" xfId="18016"/>
    <cellStyle name="표준 24 3 5 3 2 2 2 3" xfId="18017"/>
    <cellStyle name="표준 24 3 5 3 2 2 2 3 2" xfId="18018"/>
    <cellStyle name="표준 24 3 5 3 2 2 2 3 2 2" xfId="18019"/>
    <cellStyle name="표준 24 3 5 3 2 2 2 3 3" xfId="18020"/>
    <cellStyle name="표준 24 3 5 3 2 2 2 4" xfId="18021"/>
    <cellStyle name="표준 24 3 5 3 2 2 2 4 2" xfId="18022"/>
    <cellStyle name="표준 24 3 5 3 2 2 2 5" xfId="18023"/>
    <cellStyle name="표준 24 3 5 3 2 2 3" xfId="18024"/>
    <cellStyle name="표준 24 3 5 3 2 2 3 2" xfId="18025"/>
    <cellStyle name="표준 24 3 5 3 2 2 3 2 2" xfId="18026"/>
    <cellStyle name="표준 24 3 5 3 2 2 3 2 2 2" xfId="18027"/>
    <cellStyle name="표준 24 3 5 3 2 2 3 2 3" xfId="18028"/>
    <cellStyle name="표준 24 3 5 3 2 2 3 3" xfId="18029"/>
    <cellStyle name="표준 24 3 5 3 2 2 3 3 2" xfId="18030"/>
    <cellStyle name="표준 24 3 5 3 2 2 3 4" xfId="18031"/>
    <cellStyle name="표준 24 3 5 3 2 2 4" xfId="18032"/>
    <cellStyle name="표준 24 3 5 3 2 2 4 2" xfId="18033"/>
    <cellStyle name="표준 24 3 5 3 2 2 4 2 2" xfId="18034"/>
    <cellStyle name="표준 24 3 5 3 2 2 4 3" xfId="18035"/>
    <cellStyle name="표준 24 3 5 3 2 2 5" xfId="18036"/>
    <cellStyle name="표준 24 3 5 3 2 2 5 2" xfId="18037"/>
    <cellStyle name="표준 24 3 5 3 2 2 6" xfId="18038"/>
    <cellStyle name="표준 24 3 5 3 2 3" xfId="18039"/>
    <cellStyle name="표준 24 3 5 3 2 3 2" xfId="18040"/>
    <cellStyle name="표준 24 3 5 3 2 3 2 2" xfId="18041"/>
    <cellStyle name="표준 24 3 5 3 2 3 2 2 2" xfId="18042"/>
    <cellStyle name="표준 24 3 5 3 2 3 2 2 2 2" xfId="18043"/>
    <cellStyle name="표준 24 3 5 3 2 3 2 2 3" xfId="18044"/>
    <cellStyle name="표준 24 3 5 3 2 3 2 3" xfId="18045"/>
    <cellStyle name="표준 24 3 5 3 2 3 2 3 2" xfId="18046"/>
    <cellStyle name="표준 24 3 5 3 2 3 2 4" xfId="18047"/>
    <cellStyle name="표준 24 3 5 3 2 3 3" xfId="18048"/>
    <cellStyle name="표준 24 3 5 3 2 3 3 2" xfId="18049"/>
    <cellStyle name="표준 24 3 5 3 2 3 3 2 2" xfId="18050"/>
    <cellStyle name="표준 24 3 5 3 2 3 3 3" xfId="18051"/>
    <cellStyle name="표준 24 3 5 3 2 3 4" xfId="18052"/>
    <cellStyle name="표준 24 3 5 3 2 3 4 2" xfId="18053"/>
    <cellStyle name="표준 24 3 5 3 2 3 5" xfId="18054"/>
    <cellStyle name="표준 24 3 5 3 2 4" xfId="18055"/>
    <cellStyle name="표준 24 3 5 3 2 4 2" xfId="18056"/>
    <cellStyle name="표준 24 3 5 3 2 4 2 2" xfId="18057"/>
    <cellStyle name="표준 24 3 5 3 2 4 2 2 2" xfId="18058"/>
    <cellStyle name="표준 24 3 5 3 2 4 2 3" xfId="18059"/>
    <cellStyle name="표준 24 3 5 3 2 4 3" xfId="18060"/>
    <cellStyle name="표준 24 3 5 3 2 4 3 2" xfId="18061"/>
    <cellStyle name="표준 24 3 5 3 2 4 4" xfId="18062"/>
    <cellStyle name="표준 24 3 5 3 2 5" xfId="18063"/>
    <cellStyle name="표준 24 3 5 3 2 5 2" xfId="18064"/>
    <cellStyle name="표준 24 3 5 3 2 5 2 2" xfId="18065"/>
    <cellStyle name="표준 24 3 5 3 2 5 3" xfId="18066"/>
    <cellStyle name="표준 24 3 5 3 2 6" xfId="18067"/>
    <cellStyle name="표준 24 3 5 3 2 6 2" xfId="18068"/>
    <cellStyle name="표준 24 3 5 3 2 7" xfId="18069"/>
    <cellStyle name="표준 24 3 5 3 2 8" xfId="18070"/>
    <cellStyle name="표준 24 3 5 3 3" xfId="18071"/>
    <cellStyle name="표준 24 3 5 3 3 2" xfId="18072"/>
    <cellStyle name="표준 24 3 5 3 3 2 2" xfId="18073"/>
    <cellStyle name="표준 24 3 5 3 3 2 2 2" xfId="18074"/>
    <cellStyle name="표준 24 3 5 3 3 2 2 2 2" xfId="18075"/>
    <cellStyle name="표준 24 3 5 3 3 2 2 2 2 2" xfId="18076"/>
    <cellStyle name="표준 24 3 5 3 3 2 2 2 3" xfId="18077"/>
    <cellStyle name="표준 24 3 5 3 3 2 2 3" xfId="18078"/>
    <cellStyle name="표준 24 3 5 3 3 2 2 3 2" xfId="18079"/>
    <cellStyle name="표준 24 3 5 3 3 2 2 4" xfId="18080"/>
    <cellStyle name="표준 24 3 5 3 3 2 3" xfId="18081"/>
    <cellStyle name="표준 24 3 5 3 3 2 3 2" xfId="18082"/>
    <cellStyle name="표준 24 3 5 3 3 2 3 2 2" xfId="18083"/>
    <cellStyle name="표준 24 3 5 3 3 2 3 3" xfId="18084"/>
    <cellStyle name="표준 24 3 5 3 3 2 4" xfId="18085"/>
    <cellStyle name="표준 24 3 5 3 3 2 4 2" xfId="18086"/>
    <cellStyle name="표준 24 3 5 3 3 2 5" xfId="18087"/>
    <cellStyle name="표준 24 3 5 3 3 3" xfId="18088"/>
    <cellStyle name="표준 24 3 5 3 3 3 2" xfId="18089"/>
    <cellStyle name="표준 24 3 5 3 3 3 2 2" xfId="18090"/>
    <cellStyle name="표준 24 3 5 3 3 3 2 2 2" xfId="18091"/>
    <cellStyle name="표준 24 3 5 3 3 3 2 3" xfId="18092"/>
    <cellStyle name="표준 24 3 5 3 3 3 3" xfId="18093"/>
    <cellStyle name="표준 24 3 5 3 3 3 3 2" xfId="18094"/>
    <cellStyle name="표준 24 3 5 3 3 3 4" xfId="18095"/>
    <cellStyle name="표준 24 3 5 3 3 4" xfId="18096"/>
    <cellStyle name="표준 24 3 5 3 3 4 2" xfId="18097"/>
    <cellStyle name="표준 24 3 5 3 3 4 2 2" xfId="18098"/>
    <cellStyle name="표준 24 3 5 3 3 4 3" xfId="18099"/>
    <cellStyle name="표준 24 3 5 3 3 5" xfId="18100"/>
    <cellStyle name="표준 24 3 5 3 3 5 2" xfId="18101"/>
    <cellStyle name="표준 24 3 5 3 3 6" xfId="18102"/>
    <cellStyle name="표준 24 3 5 3 4" xfId="18103"/>
    <cellStyle name="표준 24 3 5 3 4 2" xfId="18104"/>
    <cellStyle name="표준 24 3 5 3 4 2 2" xfId="18105"/>
    <cellStyle name="표준 24 3 5 3 4 2 2 2" xfId="18106"/>
    <cellStyle name="표준 24 3 5 3 4 2 2 2 2" xfId="18107"/>
    <cellStyle name="표준 24 3 5 3 4 2 2 3" xfId="18108"/>
    <cellStyle name="표준 24 3 5 3 4 2 3" xfId="18109"/>
    <cellStyle name="표준 24 3 5 3 4 2 3 2" xfId="18110"/>
    <cellStyle name="표준 24 3 5 3 4 2 4" xfId="18111"/>
    <cellStyle name="표준 24 3 5 3 4 3" xfId="18112"/>
    <cellStyle name="표준 24 3 5 3 4 3 2" xfId="18113"/>
    <cellStyle name="표준 24 3 5 3 4 3 2 2" xfId="18114"/>
    <cellStyle name="표준 24 3 5 3 4 3 3" xfId="18115"/>
    <cellStyle name="표준 24 3 5 3 4 4" xfId="18116"/>
    <cellStyle name="표준 24 3 5 3 4 4 2" xfId="18117"/>
    <cellStyle name="표준 24 3 5 3 4 5" xfId="18118"/>
    <cellStyle name="표준 24 3 5 3 5" xfId="18119"/>
    <cellStyle name="표준 24 3 5 3 5 2" xfId="18120"/>
    <cellStyle name="표준 24 3 5 3 5 2 2" xfId="18121"/>
    <cellStyle name="표준 24 3 5 3 5 2 2 2" xfId="18122"/>
    <cellStyle name="표준 24 3 5 3 5 2 3" xfId="18123"/>
    <cellStyle name="표준 24 3 5 3 5 3" xfId="18124"/>
    <cellStyle name="표준 24 3 5 3 5 3 2" xfId="18125"/>
    <cellStyle name="표준 24 3 5 3 5 4" xfId="18126"/>
    <cellStyle name="표준 24 3 5 3 6" xfId="18127"/>
    <cellStyle name="표준 24 3 5 3 6 2" xfId="18128"/>
    <cellStyle name="표준 24 3 5 3 6 2 2" xfId="18129"/>
    <cellStyle name="표준 24 3 5 3 6 3" xfId="18130"/>
    <cellStyle name="표준 24 3 5 3 7" xfId="18131"/>
    <cellStyle name="표준 24 3 5 3 7 2" xfId="18132"/>
    <cellStyle name="표준 24 3 5 3 8" xfId="18133"/>
    <cellStyle name="표준 24 3 5 3 9" xfId="18134"/>
    <cellStyle name="표준 24 3 5 4" xfId="18135"/>
    <cellStyle name="표준 24 3 5 4 2" xfId="18136"/>
    <cellStyle name="표준 24 3 5 4 2 2" xfId="18137"/>
    <cellStyle name="표준 24 3 5 4 2 2 2" xfId="18138"/>
    <cellStyle name="표준 24 3 5 4 2 2 2 2" xfId="18139"/>
    <cellStyle name="표준 24 3 5 4 2 2 2 2 2" xfId="18140"/>
    <cellStyle name="표준 24 3 5 4 2 2 2 2 2 2" xfId="18141"/>
    <cellStyle name="표준 24 3 5 4 2 2 2 2 3" xfId="18142"/>
    <cellStyle name="표준 24 3 5 4 2 2 2 3" xfId="18143"/>
    <cellStyle name="표준 24 3 5 4 2 2 2 3 2" xfId="18144"/>
    <cellStyle name="표준 24 3 5 4 2 2 2 4" xfId="18145"/>
    <cellStyle name="표준 24 3 5 4 2 2 3" xfId="18146"/>
    <cellStyle name="표준 24 3 5 4 2 2 3 2" xfId="18147"/>
    <cellStyle name="표준 24 3 5 4 2 2 3 2 2" xfId="18148"/>
    <cellStyle name="표준 24 3 5 4 2 2 3 3" xfId="18149"/>
    <cellStyle name="표준 24 3 5 4 2 2 4" xfId="18150"/>
    <cellStyle name="표준 24 3 5 4 2 2 4 2" xfId="18151"/>
    <cellStyle name="표준 24 3 5 4 2 2 5" xfId="18152"/>
    <cellStyle name="표준 24 3 5 4 2 3" xfId="18153"/>
    <cellStyle name="표준 24 3 5 4 2 3 2" xfId="18154"/>
    <cellStyle name="표준 24 3 5 4 2 3 2 2" xfId="18155"/>
    <cellStyle name="표준 24 3 5 4 2 3 2 2 2" xfId="18156"/>
    <cellStyle name="표준 24 3 5 4 2 3 2 3" xfId="18157"/>
    <cellStyle name="표준 24 3 5 4 2 3 3" xfId="18158"/>
    <cellStyle name="표준 24 3 5 4 2 3 3 2" xfId="18159"/>
    <cellStyle name="표준 24 3 5 4 2 3 4" xfId="18160"/>
    <cellStyle name="표준 24 3 5 4 2 4" xfId="18161"/>
    <cellStyle name="표준 24 3 5 4 2 4 2" xfId="18162"/>
    <cellStyle name="표준 24 3 5 4 2 4 2 2" xfId="18163"/>
    <cellStyle name="표준 24 3 5 4 2 4 3" xfId="18164"/>
    <cellStyle name="표준 24 3 5 4 2 5" xfId="18165"/>
    <cellStyle name="표준 24 3 5 4 2 5 2" xfId="18166"/>
    <cellStyle name="표준 24 3 5 4 2 6" xfId="18167"/>
    <cellStyle name="표준 24 3 5 4 3" xfId="18168"/>
    <cellStyle name="표준 24 3 5 4 3 2" xfId="18169"/>
    <cellStyle name="표준 24 3 5 4 3 2 2" xfId="18170"/>
    <cellStyle name="표준 24 3 5 4 3 2 2 2" xfId="18171"/>
    <cellStyle name="표준 24 3 5 4 3 2 2 2 2" xfId="18172"/>
    <cellStyle name="표준 24 3 5 4 3 2 2 3" xfId="18173"/>
    <cellStyle name="표준 24 3 5 4 3 2 3" xfId="18174"/>
    <cellStyle name="표준 24 3 5 4 3 2 3 2" xfId="18175"/>
    <cellStyle name="표준 24 3 5 4 3 2 4" xfId="18176"/>
    <cellStyle name="표준 24 3 5 4 3 3" xfId="18177"/>
    <cellStyle name="표준 24 3 5 4 3 3 2" xfId="18178"/>
    <cellStyle name="표준 24 3 5 4 3 3 2 2" xfId="18179"/>
    <cellStyle name="표준 24 3 5 4 3 3 3" xfId="18180"/>
    <cellStyle name="표준 24 3 5 4 3 4" xfId="18181"/>
    <cellStyle name="표준 24 3 5 4 3 4 2" xfId="18182"/>
    <cellStyle name="표준 24 3 5 4 3 5" xfId="18183"/>
    <cellStyle name="표준 24 3 5 4 4" xfId="18184"/>
    <cellStyle name="표준 24 3 5 4 4 2" xfId="18185"/>
    <cellStyle name="표준 24 3 5 4 4 2 2" xfId="18186"/>
    <cellStyle name="표준 24 3 5 4 4 2 2 2" xfId="18187"/>
    <cellStyle name="표준 24 3 5 4 4 2 3" xfId="18188"/>
    <cellStyle name="표준 24 3 5 4 4 3" xfId="18189"/>
    <cellStyle name="표준 24 3 5 4 4 3 2" xfId="18190"/>
    <cellStyle name="표준 24 3 5 4 4 4" xfId="18191"/>
    <cellStyle name="표준 24 3 5 4 5" xfId="18192"/>
    <cellStyle name="표준 24 3 5 4 5 2" xfId="18193"/>
    <cellStyle name="표준 24 3 5 4 5 2 2" xfId="18194"/>
    <cellStyle name="표준 24 3 5 4 5 3" xfId="18195"/>
    <cellStyle name="표준 24 3 5 4 6" xfId="18196"/>
    <cellStyle name="표준 24 3 5 4 6 2" xfId="18197"/>
    <cellStyle name="표준 24 3 5 4 7" xfId="18198"/>
    <cellStyle name="표준 24 3 5 4 8" xfId="18199"/>
    <cellStyle name="표준 24 3 5 5" xfId="18200"/>
    <cellStyle name="표준 24 3 5 5 2" xfId="18201"/>
    <cellStyle name="표준 24 3 5 5 2 2" xfId="18202"/>
    <cellStyle name="표준 24 3 5 5 2 2 2" xfId="18203"/>
    <cellStyle name="표준 24 3 5 5 2 2 2 2" xfId="18204"/>
    <cellStyle name="표준 24 3 5 5 2 2 2 2 2" xfId="18205"/>
    <cellStyle name="표준 24 3 5 5 2 2 2 3" xfId="18206"/>
    <cellStyle name="표준 24 3 5 5 2 2 3" xfId="18207"/>
    <cellStyle name="표준 24 3 5 5 2 2 3 2" xfId="18208"/>
    <cellStyle name="표준 24 3 5 5 2 2 4" xfId="18209"/>
    <cellStyle name="표준 24 3 5 5 2 3" xfId="18210"/>
    <cellStyle name="표준 24 3 5 5 2 3 2" xfId="18211"/>
    <cellStyle name="표준 24 3 5 5 2 3 2 2" xfId="18212"/>
    <cellStyle name="표준 24 3 5 5 2 3 3" xfId="18213"/>
    <cellStyle name="표준 24 3 5 5 2 4" xfId="18214"/>
    <cellStyle name="표준 24 3 5 5 2 4 2" xfId="18215"/>
    <cellStyle name="표준 24 3 5 5 2 5" xfId="18216"/>
    <cellStyle name="표준 24 3 5 5 3" xfId="18217"/>
    <cellStyle name="표준 24 3 5 5 3 2" xfId="18218"/>
    <cellStyle name="표준 24 3 5 5 3 2 2" xfId="18219"/>
    <cellStyle name="표준 24 3 5 5 3 2 2 2" xfId="18220"/>
    <cellStyle name="표준 24 3 5 5 3 2 3" xfId="18221"/>
    <cellStyle name="표준 24 3 5 5 3 3" xfId="18222"/>
    <cellStyle name="표준 24 3 5 5 3 3 2" xfId="18223"/>
    <cellStyle name="표준 24 3 5 5 3 4" xfId="18224"/>
    <cellStyle name="표준 24 3 5 5 4" xfId="18225"/>
    <cellStyle name="표준 24 3 5 5 4 2" xfId="18226"/>
    <cellStyle name="표준 24 3 5 5 4 2 2" xfId="18227"/>
    <cellStyle name="표준 24 3 5 5 4 3" xfId="18228"/>
    <cellStyle name="표준 24 3 5 5 5" xfId="18229"/>
    <cellStyle name="표준 24 3 5 5 5 2" xfId="18230"/>
    <cellStyle name="표준 24 3 5 5 6" xfId="18231"/>
    <cellStyle name="표준 24 3 5 6" xfId="18232"/>
    <cellStyle name="표준 24 3 5 6 2" xfId="18233"/>
    <cellStyle name="표준 24 3 5 6 2 2" xfId="18234"/>
    <cellStyle name="표준 24 3 5 6 2 2 2" xfId="18235"/>
    <cellStyle name="표준 24 3 5 6 2 2 2 2" xfId="18236"/>
    <cellStyle name="표준 24 3 5 6 2 2 3" xfId="18237"/>
    <cellStyle name="표준 24 3 5 6 2 3" xfId="18238"/>
    <cellStyle name="표준 24 3 5 6 2 3 2" xfId="18239"/>
    <cellStyle name="표준 24 3 5 6 2 4" xfId="18240"/>
    <cellStyle name="표준 24 3 5 6 3" xfId="18241"/>
    <cellStyle name="표준 24 3 5 6 3 2" xfId="18242"/>
    <cellStyle name="표준 24 3 5 6 3 2 2" xfId="18243"/>
    <cellStyle name="표준 24 3 5 6 3 3" xfId="18244"/>
    <cellStyle name="표준 24 3 5 6 4" xfId="18245"/>
    <cellStyle name="표준 24 3 5 6 4 2" xfId="18246"/>
    <cellStyle name="표준 24 3 5 6 5" xfId="18247"/>
    <cellStyle name="표준 24 3 5 7" xfId="18248"/>
    <cellStyle name="표준 24 3 5 7 2" xfId="18249"/>
    <cellStyle name="표준 24 3 5 7 2 2" xfId="18250"/>
    <cellStyle name="표준 24 3 5 7 2 2 2" xfId="18251"/>
    <cellStyle name="표준 24 3 5 7 2 3" xfId="18252"/>
    <cellStyle name="표준 24 3 5 7 3" xfId="18253"/>
    <cellStyle name="표준 24 3 5 7 3 2" xfId="18254"/>
    <cellStyle name="표준 24 3 5 7 4" xfId="18255"/>
    <cellStyle name="표준 24 3 5 8" xfId="18256"/>
    <cellStyle name="표준 24 3 5 8 2" xfId="18257"/>
    <cellStyle name="표준 24 3 5 8 2 2" xfId="18258"/>
    <cellStyle name="표준 24 3 5 8 3" xfId="18259"/>
    <cellStyle name="표준 24 3 5 9" xfId="18260"/>
    <cellStyle name="표준 24 3 5 9 2" xfId="18261"/>
    <cellStyle name="표준 24 3 6" xfId="18262"/>
    <cellStyle name="표준 24 3 6 10" xfId="18263"/>
    <cellStyle name="표준 24 3 6 2" xfId="18264"/>
    <cellStyle name="표준 24 3 6 2 2" xfId="18265"/>
    <cellStyle name="표준 24 3 6 2 2 2" xfId="18266"/>
    <cellStyle name="표준 24 3 6 2 2 2 2" xfId="18267"/>
    <cellStyle name="표준 24 3 6 2 2 2 2 2" xfId="18268"/>
    <cellStyle name="표준 24 3 6 2 2 2 2 2 2" xfId="18269"/>
    <cellStyle name="표준 24 3 6 2 2 2 2 2 2 2" xfId="18270"/>
    <cellStyle name="표준 24 3 6 2 2 2 2 2 2 2 2" xfId="18271"/>
    <cellStyle name="표준 24 3 6 2 2 2 2 2 2 3" xfId="18272"/>
    <cellStyle name="표준 24 3 6 2 2 2 2 2 3" xfId="18273"/>
    <cellStyle name="표준 24 3 6 2 2 2 2 2 3 2" xfId="18274"/>
    <cellStyle name="표준 24 3 6 2 2 2 2 2 4" xfId="18275"/>
    <cellStyle name="표준 24 3 6 2 2 2 2 3" xfId="18276"/>
    <cellStyle name="표준 24 3 6 2 2 2 2 3 2" xfId="18277"/>
    <cellStyle name="표준 24 3 6 2 2 2 2 3 2 2" xfId="18278"/>
    <cellStyle name="표준 24 3 6 2 2 2 2 3 3" xfId="18279"/>
    <cellStyle name="표준 24 3 6 2 2 2 2 4" xfId="18280"/>
    <cellStyle name="표준 24 3 6 2 2 2 2 4 2" xfId="18281"/>
    <cellStyle name="표준 24 3 6 2 2 2 2 5" xfId="18282"/>
    <cellStyle name="표준 24 3 6 2 2 2 3" xfId="18283"/>
    <cellStyle name="표준 24 3 6 2 2 2 3 2" xfId="18284"/>
    <cellStyle name="표준 24 3 6 2 2 2 3 2 2" xfId="18285"/>
    <cellStyle name="표준 24 3 6 2 2 2 3 2 2 2" xfId="18286"/>
    <cellStyle name="표준 24 3 6 2 2 2 3 2 3" xfId="18287"/>
    <cellStyle name="표준 24 3 6 2 2 2 3 3" xfId="18288"/>
    <cellStyle name="표준 24 3 6 2 2 2 3 3 2" xfId="18289"/>
    <cellStyle name="표준 24 3 6 2 2 2 3 4" xfId="18290"/>
    <cellStyle name="표준 24 3 6 2 2 2 4" xfId="18291"/>
    <cellStyle name="표준 24 3 6 2 2 2 4 2" xfId="18292"/>
    <cellStyle name="표준 24 3 6 2 2 2 4 2 2" xfId="18293"/>
    <cellStyle name="표준 24 3 6 2 2 2 4 3" xfId="18294"/>
    <cellStyle name="표준 24 3 6 2 2 2 5" xfId="18295"/>
    <cellStyle name="표준 24 3 6 2 2 2 5 2" xfId="18296"/>
    <cellStyle name="표준 24 3 6 2 2 2 6" xfId="18297"/>
    <cellStyle name="표준 24 3 6 2 2 3" xfId="18298"/>
    <cellStyle name="표준 24 3 6 2 2 3 2" xfId="18299"/>
    <cellStyle name="표준 24 3 6 2 2 3 2 2" xfId="18300"/>
    <cellStyle name="표준 24 3 6 2 2 3 2 2 2" xfId="18301"/>
    <cellStyle name="표준 24 3 6 2 2 3 2 2 2 2" xfId="18302"/>
    <cellStyle name="표준 24 3 6 2 2 3 2 2 3" xfId="18303"/>
    <cellStyle name="표준 24 3 6 2 2 3 2 3" xfId="18304"/>
    <cellStyle name="표준 24 3 6 2 2 3 2 3 2" xfId="18305"/>
    <cellStyle name="표준 24 3 6 2 2 3 2 4" xfId="18306"/>
    <cellStyle name="표준 24 3 6 2 2 3 3" xfId="18307"/>
    <cellStyle name="표준 24 3 6 2 2 3 3 2" xfId="18308"/>
    <cellStyle name="표준 24 3 6 2 2 3 3 2 2" xfId="18309"/>
    <cellStyle name="표준 24 3 6 2 2 3 3 3" xfId="18310"/>
    <cellStyle name="표준 24 3 6 2 2 3 4" xfId="18311"/>
    <cellStyle name="표준 24 3 6 2 2 3 4 2" xfId="18312"/>
    <cellStyle name="표준 24 3 6 2 2 3 5" xfId="18313"/>
    <cellStyle name="표준 24 3 6 2 2 4" xfId="18314"/>
    <cellStyle name="표준 24 3 6 2 2 4 2" xfId="18315"/>
    <cellStyle name="표준 24 3 6 2 2 4 2 2" xfId="18316"/>
    <cellStyle name="표준 24 3 6 2 2 4 2 2 2" xfId="18317"/>
    <cellStyle name="표준 24 3 6 2 2 4 2 3" xfId="18318"/>
    <cellStyle name="표준 24 3 6 2 2 4 3" xfId="18319"/>
    <cellStyle name="표준 24 3 6 2 2 4 3 2" xfId="18320"/>
    <cellStyle name="표준 24 3 6 2 2 4 4" xfId="18321"/>
    <cellStyle name="표준 24 3 6 2 2 5" xfId="18322"/>
    <cellStyle name="표준 24 3 6 2 2 5 2" xfId="18323"/>
    <cellStyle name="표준 24 3 6 2 2 5 2 2" xfId="18324"/>
    <cellStyle name="표준 24 3 6 2 2 5 3" xfId="18325"/>
    <cellStyle name="표준 24 3 6 2 2 6" xfId="18326"/>
    <cellStyle name="표준 24 3 6 2 2 6 2" xfId="18327"/>
    <cellStyle name="표준 24 3 6 2 2 7" xfId="18328"/>
    <cellStyle name="표준 24 3 6 2 2 8" xfId="18329"/>
    <cellStyle name="표준 24 3 6 2 3" xfId="18330"/>
    <cellStyle name="표준 24 3 6 2 3 2" xfId="18331"/>
    <cellStyle name="표준 24 3 6 2 3 2 2" xfId="18332"/>
    <cellStyle name="표준 24 3 6 2 3 2 2 2" xfId="18333"/>
    <cellStyle name="표준 24 3 6 2 3 2 2 2 2" xfId="18334"/>
    <cellStyle name="표준 24 3 6 2 3 2 2 2 2 2" xfId="18335"/>
    <cellStyle name="표준 24 3 6 2 3 2 2 2 3" xfId="18336"/>
    <cellStyle name="표준 24 3 6 2 3 2 2 3" xfId="18337"/>
    <cellStyle name="표준 24 3 6 2 3 2 2 3 2" xfId="18338"/>
    <cellStyle name="표준 24 3 6 2 3 2 2 4" xfId="18339"/>
    <cellStyle name="표준 24 3 6 2 3 2 3" xfId="18340"/>
    <cellStyle name="표준 24 3 6 2 3 2 3 2" xfId="18341"/>
    <cellStyle name="표준 24 3 6 2 3 2 3 2 2" xfId="18342"/>
    <cellStyle name="표준 24 3 6 2 3 2 3 3" xfId="18343"/>
    <cellStyle name="표준 24 3 6 2 3 2 4" xfId="18344"/>
    <cellStyle name="표준 24 3 6 2 3 2 4 2" xfId="18345"/>
    <cellStyle name="표준 24 3 6 2 3 2 5" xfId="18346"/>
    <cellStyle name="표준 24 3 6 2 3 3" xfId="18347"/>
    <cellStyle name="표준 24 3 6 2 3 3 2" xfId="18348"/>
    <cellStyle name="표준 24 3 6 2 3 3 2 2" xfId="18349"/>
    <cellStyle name="표준 24 3 6 2 3 3 2 2 2" xfId="18350"/>
    <cellStyle name="표준 24 3 6 2 3 3 2 3" xfId="18351"/>
    <cellStyle name="표준 24 3 6 2 3 3 3" xfId="18352"/>
    <cellStyle name="표준 24 3 6 2 3 3 3 2" xfId="18353"/>
    <cellStyle name="표준 24 3 6 2 3 3 4" xfId="18354"/>
    <cellStyle name="표준 24 3 6 2 3 4" xfId="18355"/>
    <cellStyle name="표준 24 3 6 2 3 4 2" xfId="18356"/>
    <cellStyle name="표준 24 3 6 2 3 4 2 2" xfId="18357"/>
    <cellStyle name="표준 24 3 6 2 3 4 3" xfId="18358"/>
    <cellStyle name="표준 24 3 6 2 3 5" xfId="18359"/>
    <cellStyle name="표준 24 3 6 2 3 5 2" xfId="18360"/>
    <cellStyle name="표준 24 3 6 2 3 6" xfId="18361"/>
    <cellStyle name="표준 24 3 6 2 4" xfId="18362"/>
    <cellStyle name="표준 24 3 6 2 4 2" xfId="18363"/>
    <cellStyle name="표준 24 3 6 2 4 2 2" xfId="18364"/>
    <cellStyle name="표준 24 3 6 2 4 2 2 2" xfId="18365"/>
    <cellStyle name="표준 24 3 6 2 4 2 2 2 2" xfId="18366"/>
    <cellStyle name="표준 24 3 6 2 4 2 2 3" xfId="18367"/>
    <cellStyle name="표준 24 3 6 2 4 2 3" xfId="18368"/>
    <cellStyle name="표준 24 3 6 2 4 2 3 2" xfId="18369"/>
    <cellStyle name="표준 24 3 6 2 4 2 4" xfId="18370"/>
    <cellStyle name="표준 24 3 6 2 4 3" xfId="18371"/>
    <cellStyle name="표준 24 3 6 2 4 3 2" xfId="18372"/>
    <cellStyle name="표준 24 3 6 2 4 3 2 2" xfId="18373"/>
    <cellStyle name="표준 24 3 6 2 4 3 3" xfId="18374"/>
    <cellStyle name="표준 24 3 6 2 4 4" xfId="18375"/>
    <cellStyle name="표준 24 3 6 2 4 4 2" xfId="18376"/>
    <cellStyle name="표준 24 3 6 2 4 5" xfId="18377"/>
    <cellStyle name="표준 24 3 6 2 5" xfId="18378"/>
    <cellStyle name="표준 24 3 6 2 5 2" xfId="18379"/>
    <cellStyle name="표준 24 3 6 2 5 2 2" xfId="18380"/>
    <cellStyle name="표준 24 3 6 2 5 2 2 2" xfId="18381"/>
    <cellStyle name="표준 24 3 6 2 5 2 3" xfId="18382"/>
    <cellStyle name="표준 24 3 6 2 5 3" xfId="18383"/>
    <cellStyle name="표준 24 3 6 2 5 3 2" xfId="18384"/>
    <cellStyle name="표준 24 3 6 2 5 4" xfId="18385"/>
    <cellStyle name="표준 24 3 6 2 6" xfId="18386"/>
    <cellStyle name="표준 24 3 6 2 6 2" xfId="18387"/>
    <cellStyle name="표준 24 3 6 2 6 2 2" xfId="18388"/>
    <cellStyle name="표준 24 3 6 2 6 3" xfId="18389"/>
    <cellStyle name="표준 24 3 6 2 7" xfId="18390"/>
    <cellStyle name="표준 24 3 6 2 7 2" xfId="18391"/>
    <cellStyle name="표준 24 3 6 2 8" xfId="18392"/>
    <cellStyle name="표준 24 3 6 2 9" xfId="18393"/>
    <cellStyle name="표준 24 3 6 3" xfId="18394"/>
    <cellStyle name="표준 24 3 6 3 2" xfId="18395"/>
    <cellStyle name="표준 24 3 6 3 2 2" xfId="18396"/>
    <cellStyle name="표준 24 3 6 3 2 2 2" xfId="18397"/>
    <cellStyle name="표준 24 3 6 3 2 2 2 2" xfId="18398"/>
    <cellStyle name="표준 24 3 6 3 2 2 2 2 2" xfId="18399"/>
    <cellStyle name="표준 24 3 6 3 2 2 2 2 2 2" xfId="18400"/>
    <cellStyle name="표준 24 3 6 3 2 2 2 2 3" xfId="18401"/>
    <cellStyle name="표준 24 3 6 3 2 2 2 3" xfId="18402"/>
    <cellStyle name="표준 24 3 6 3 2 2 2 3 2" xfId="18403"/>
    <cellStyle name="표준 24 3 6 3 2 2 2 4" xfId="18404"/>
    <cellStyle name="표준 24 3 6 3 2 2 3" xfId="18405"/>
    <cellStyle name="표준 24 3 6 3 2 2 3 2" xfId="18406"/>
    <cellStyle name="표준 24 3 6 3 2 2 3 2 2" xfId="18407"/>
    <cellStyle name="표준 24 3 6 3 2 2 3 3" xfId="18408"/>
    <cellStyle name="표준 24 3 6 3 2 2 4" xfId="18409"/>
    <cellStyle name="표준 24 3 6 3 2 2 4 2" xfId="18410"/>
    <cellStyle name="표준 24 3 6 3 2 2 5" xfId="18411"/>
    <cellStyle name="표준 24 3 6 3 2 3" xfId="18412"/>
    <cellStyle name="표준 24 3 6 3 2 3 2" xfId="18413"/>
    <cellStyle name="표준 24 3 6 3 2 3 2 2" xfId="18414"/>
    <cellStyle name="표준 24 3 6 3 2 3 2 2 2" xfId="18415"/>
    <cellStyle name="표준 24 3 6 3 2 3 2 3" xfId="18416"/>
    <cellStyle name="표준 24 3 6 3 2 3 3" xfId="18417"/>
    <cellStyle name="표준 24 3 6 3 2 3 3 2" xfId="18418"/>
    <cellStyle name="표준 24 3 6 3 2 3 4" xfId="18419"/>
    <cellStyle name="표준 24 3 6 3 2 4" xfId="18420"/>
    <cellStyle name="표준 24 3 6 3 2 4 2" xfId="18421"/>
    <cellStyle name="표준 24 3 6 3 2 4 2 2" xfId="18422"/>
    <cellStyle name="표준 24 3 6 3 2 4 3" xfId="18423"/>
    <cellStyle name="표준 24 3 6 3 2 5" xfId="18424"/>
    <cellStyle name="표준 24 3 6 3 2 5 2" xfId="18425"/>
    <cellStyle name="표준 24 3 6 3 2 6" xfId="18426"/>
    <cellStyle name="표준 24 3 6 3 3" xfId="18427"/>
    <cellStyle name="표준 24 3 6 3 3 2" xfId="18428"/>
    <cellStyle name="표준 24 3 6 3 3 2 2" xfId="18429"/>
    <cellStyle name="표준 24 3 6 3 3 2 2 2" xfId="18430"/>
    <cellStyle name="표준 24 3 6 3 3 2 2 2 2" xfId="18431"/>
    <cellStyle name="표준 24 3 6 3 3 2 2 3" xfId="18432"/>
    <cellStyle name="표준 24 3 6 3 3 2 3" xfId="18433"/>
    <cellStyle name="표준 24 3 6 3 3 2 3 2" xfId="18434"/>
    <cellStyle name="표준 24 3 6 3 3 2 4" xfId="18435"/>
    <cellStyle name="표준 24 3 6 3 3 3" xfId="18436"/>
    <cellStyle name="표준 24 3 6 3 3 3 2" xfId="18437"/>
    <cellStyle name="표준 24 3 6 3 3 3 2 2" xfId="18438"/>
    <cellStyle name="표준 24 3 6 3 3 3 3" xfId="18439"/>
    <cellStyle name="표준 24 3 6 3 3 4" xfId="18440"/>
    <cellStyle name="표준 24 3 6 3 3 4 2" xfId="18441"/>
    <cellStyle name="표준 24 3 6 3 3 5" xfId="18442"/>
    <cellStyle name="표준 24 3 6 3 4" xfId="18443"/>
    <cellStyle name="표준 24 3 6 3 4 2" xfId="18444"/>
    <cellStyle name="표준 24 3 6 3 4 2 2" xfId="18445"/>
    <cellStyle name="표준 24 3 6 3 4 2 2 2" xfId="18446"/>
    <cellStyle name="표준 24 3 6 3 4 2 3" xfId="18447"/>
    <cellStyle name="표준 24 3 6 3 4 3" xfId="18448"/>
    <cellStyle name="표준 24 3 6 3 4 3 2" xfId="18449"/>
    <cellStyle name="표준 24 3 6 3 4 4" xfId="18450"/>
    <cellStyle name="표준 24 3 6 3 5" xfId="18451"/>
    <cellStyle name="표준 24 3 6 3 5 2" xfId="18452"/>
    <cellStyle name="표준 24 3 6 3 5 2 2" xfId="18453"/>
    <cellStyle name="표준 24 3 6 3 5 3" xfId="18454"/>
    <cellStyle name="표준 24 3 6 3 6" xfId="18455"/>
    <cellStyle name="표준 24 3 6 3 6 2" xfId="18456"/>
    <cellStyle name="표준 24 3 6 3 7" xfId="18457"/>
    <cellStyle name="표준 24 3 6 3 8" xfId="18458"/>
    <cellStyle name="표준 24 3 6 4" xfId="18459"/>
    <cellStyle name="표준 24 3 6 4 2" xfId="18460"/>
    <cellStyle name="표준 24 3 6 4 2 2" xfId="18461"/>
    <cellStyle name="표준 24 3 6 4 2 2 2" xfId="18462"/>
    <cellStyle name="표준 24 3 6 4 2 2 2 2" xfId="18463"/>
    <cellStyle name="표준 24 3 6 4 2 2 2 2 2" xfId="18464"/>
    <cellStyle name="표준 24 3 6 4 2 2 2 3" xfId="18465"/>
    <cellStyle name="표준 24 3 6 4 2 2 3" xfId="18466"/>
    <cellStyle name="표준 24 3 6 4 2 2 3 2" xfId="18467"/>
    <cellStyle name="표준 24 3 6 4 2 2 4" xfId="18468"/>
    <cellStyle name="표준 24 3 6 4 2 3" xfId="18469"/>
    <cellStyle name="표준 24 3 6 4 2 3 2" xfId="18470"/>
    <cellStyle name="표준 24 3 6 4 2 3 2 2" xfId="18471"/>
    <cellStyle name="표준 24 3 6 4 2 3 3" xfId="18472"/>
    <cellStyle name="표준 24 3 6 4 2 4" xfId="18473"/>
    <cellStyle name="표준 24 3 6 4 2 4 2" xfId="18474"/>
    <cellStyle name="표준 24 3 6 4 2 5" xfId="18475"/>
    <cellStyle name="표준 24 3 6 4 3" xfId="18476"/>
    <cellStyle name="표준 24 3 6 4 3 2" xfId="18477"/>
    <cellStyle name="표준 24 3 6 4 3 2 2" xfId="18478"/>
    <cellStyle name="표준 24 3 6 4 3 2 2 2" xfId="18479"/>
    <cellStyle name="표준 24 3 6 4 3 2 3" xfId="18480"/>
    <cellStyle name="표준 24 3 6 4 3 3" xfId="18481"/>
    <cellStyle name="표준 24 3 6 4 3 3 2" xfId="18482"/>
    <cellStyle name="표준 24 3 6 4 3 4" xfId="18483"/>
    <cellStyle name="표준 24 3 6 4 4" xfId="18484"/>
    <cellStyle name="표준 24 3 6 4 4 2" xfId="18485"/>
    <cellStyle name="표준 24 3 6 4 4 2 2" xfId="18486"/>
    <cellStyle name="표준 24 3 6 4 4 3" xfId="18487"/>
    <cellStyle name="표준 24 3 6 4 5" xfId="18488"/>
    <cellStyle name="표준 24 3 6 4 5 2" xfId="18489"/>
    <cellStyle name="표준 24 3 6 4 6" xfId="18490"/>
    <cellStyle name="표준 24 3 6 5" xfId="18491"/>
    <cellStyle name="표준 24 3 6 5 2" xfId="18492"/>
    <cellStyle name="표준 24 3 6 5 2 2" xfId="18493"/>
    <cellStyle name="표준 24 3 6 5 2 2 2" xfId="18494"/>
    <cellStyle name="표준 24 3 6 5 2 2 2 2" xfId="18495"/>
    <cellStyle name="표준 24 3 6 5 2 2 3" xfId="18496"/>
    <cellStyle name="표준 24 3 6 5 2 3" xfId="18497"/>
    <cellStyle name="표준 24 3 6 5 2 3 2" xfId="18498"/>
    <cellStyle name="표준 24 3 6 5 2 4" xfId="18499"/>
    <cellStyle name="표준 24 3 6 5 3" xfId="18500"/>
    <cellStyle name="표준 24 3 6 5 3 2" xfId="18501"/>
    <cellStyle name="표준 24 3 6 5 3 2 2" xfId="18502"/>
    <cellStyle name="표준 24 3 6 5 3 3" xfId="18503"/>
    <cellStyle name="표준 24 3 6 5 4" xfId="18504"/>
    <cellStyle name="표준 24 3 6 5 4 2" xfId="18505"/>
    <cellStyle name="표준 24 3 6 5 5" xfId="18506"/>
    <cellStyle name="표준 24 3 6 6" xfId="18507"/>
    <cellStyle name="표준 24 3 6 6 2" xfId="18508"/>
    <cellStyle name="표준 24 3 6 6 2 2" xfId="18509"/>
    <cellStyle name="표준 24 3 6 6 2 2 2" xfId="18510"/>
    <cellStyle name="표준 24 3 6 6 2 3" xfId="18511"/>
    <cellStyle name="표준 24 3 6 6 3" xfId="18512"/>
    <cellStyle name="표준 24 3 6 6 3 2" xfId="18513"/>
    <cellStyle name="표준 24 3 6 6 4" xfId="18514"/>
    <cellStyle name="표준 24 3 6 7" xfId="18515"/>
    <cellStyle name="표준 24 3 6 7 2" xfId="18516"/>
    <cellStyle name="표준 24 3 6 7 2 2" xfId="18517"/>
    <cellStyle name="표준 24 3 6 7 3" xfId="18518"/>
    <cellStyle name="표준 24 3 6 8" xfId="18519"/>
    <cellStyle name="표준 24 3 6 8 2" xfId="18520"/>
    <cellStyle name="표준 24 3 6 9" xfId="18521"/>
    <cellStyle name="표준 24 3 7" xfId="18522"/>
    <cellStyle name="표준 24 3 7 2" xfId="18523"/>
    <cellStyle name="표준 24 3 7 2 2" xfId="18524"/>
    <cellStyle name="표준 24 3 7 2 2 2" xfId="18525"/>
    <cellStyle name="표준 24 3 7 2 2 2 2" xfId="18526"/>
    <cellStyle name="표준 24 3 7 2 2 2 2 2" xfId="18527"/>
    <cellStyle name="표준 24 3 7 2 2 2 2 2 2" xfId="18528"/>
    <cellStyle name="표준 24 3 7 2 2 2 2 2 2 2" xfId="18529"/>
    <cellStyle name="표준 24 3 7 2 2 2 2 2 3" xfId="18530"/>
    <cellStyle name="표준 24 3 7 2 2 2 2 3" xfId="18531"/>
    <cellStyle name="표준 24 3 7 2 2 2 2 3 2" xfId="18532"/>
    <cellStyle name="표준 24 3 7 2 2 2 2 4" xfId="18533"/>
    <cellStyle name="표준 24 3 7 2 2 2 3" xfId="18534"/>
    <cellStyle name="표준 24 3 7 2 2 2 3 2" xfId="18535"/>
    <cellStyle name="표준 24 3 7 2 2 2 3 2 2" xfId="18536"/>
    <cellStyle name="표준 24 3 7 2 2 2 3 3" xfId="18537"/>
    <cellStyle name="표준 24 3 7 2 2 2 4" xfId="18538"/>
    <cellStyle name="표준 24 3 7 2 2 2 4 2" xfId="18539"/>
    <cellStyle name="표준 24 3 7 2 2 2 5" xfId="18540"/>
    <cellStyle name="표준 24 3 7 2 2 3" xfId="18541"/>
    <cellStyle name="표준 24 3 7 2 2 3 2" xfId="18542"/>
    <cellStyle name="표준 24 3 7 2 2 3 2 2" xfId="18543"/>
    <cellStyle name="표준 24 3 7 2 2 3 2 2 2" xfId="18544"/>
    <cellStyle name="표준 24 3 7 2 2 3 2 3" xfId="18545"/>
    <cellStyle name="표준 24 3 7 2 2 3 3" xfId="18546"/>
    <cellStyle name="표준 24 3 7 2 2 3 3 2" xfId="18547"/>
    <cellStyle name="표준 24 3 7 2 2 3 4" xfId="18548"/>
    <cellStyle name="표준 24 3 7 2 2 4" xfId="18549"/>
    <cellStyle name="표준 24 3 7 2 2 4 2" xfId="18550"/>
    <cellStyle name="표준 24 3 7 2 2 4 2 2" xfId="18551"/>
    <cellStyle name="표준 24 3 7 2 2 4 3" xfId="18552"/>
    <cellStyle name="표준 24 3 7 2 2 5" xfId="18553"/>
    <cellStyle name="표준 24 3 7 2 2 5 2" xfId="18554"/>
    <cellStyle name="표준 24 3 7 2 2 6" xfId="18555"/>
    <cellStyle name="표준 24 3 7 2 3" xfId="18556"/>
    <cellStyle name="표준 24 3 7 2 3 2" xfId="18557"/>
    <cellStyle name="표준 24 3 7 2 3 2 2" xfId="18558"/>
    <cellStyle name="표준 24 3 7 2 3 2 2 2" xfId="18559"/>
    <cellStyle name="표준 24 3 7 2 3 2 2 2 2" xfId="18560"/>
    <cellStyle name="표준 24 3 7 2 3 2 2 3" xfId="18561"/>
    <cellStyle name="표준 24 3 7 2 3 2 3" xfId="18562"/>
    <cellStyle name="표준 24 3 7 2 3 2 3 2" xfId="18563"/>
    <cellStyle name="표준 24 3 7 2 3 2 4" xfId="18564"/>
    <cellStyle name="표준 24 3 7 2 3 3" xfId="18565"/>
    <cellStyle name="표준 24 3 7 2 3 3 2" xfId="18566"/>
    <cellStyle name="표준 24 3 7 2 3 3 2 2" xfId="18567"/>
    <cellStyle name="표준 24 3 7 2 3 3 3" xfId="18568"/>
    <cellStyle name="표준 24 3 7 2 3 4" xfId="18569"/>
    <cellStyle name="표준 24 3 7 2 3 4 2" xfId="18570"/>
    <cellStyle name="표준 24 3 7 2 3 5" xfId="18571"/>
    <cellStyle name="표준 24 3 7 2 4" xfId="18572"/>
    <cellStyle name="표준 24 3 7 2 4 2" xfId="18573"/>
    <cellStyle name="표준 24 3 7 2 4 2 2" xfId="18574"/>
    <cellStyle name="표준 24 3 7 2 4 2 2 2" xfId="18575"/>
    <cellStyle name="표준 24 3 7 2 4 2 3" xfId="18576"/>
    <cellStyle name="표준 24 3 7 2 4 3" xfId="18577"/>
    <cellStyle name="표준 24 3 7 2 4 3 2" xfId="18578"/>
    <cellStyle name="표준 24 3 7 2 4 4" xfId="18579"/>
    <cellStyle name="표준 24 3 7 2 5" xfId="18580"/>
    <cellStyle name="표준 24 3 7 2 5 2" xfId="18581"/>
    <cellStyle name="표준 24 3 7 2 5 2 2" xfId="18582"/>
    <cellStyle name="표준 24 3 7 2 5 3" xfId="18583"/>
    <cellStyle name="표준 24 3 7 2 6" xfId="18584"/>
    <cellStyle name="표준 24 3 7 2 6 2" xfId="18585"/>
    <cellStyle name="표준 24 3 7 2 7" xfId="18586"/>
    <cellStyle name="표준 24 3 7 2 8" xfId="18587"/>
    <cellStyle name="표준 24 3 7 3" xfId="18588"/>
    <cellStyle name="표준 24 3 7 3 2" xfId="18589"/>
    <cellStyle name="표준 24 3 7 3 2 2" xfId="18590"/>
    <cellStyle name="표준 24 3 7 3 2 2 2" xfId="18591"/>
    <cellStyle name="표준 24 3 7 3 2 2 2 2" xfId="18592"/>
    <cellStyle name="표준 24 3 7 3 2 2 2 2 2" xfId="18593"/>
    <cellStyle name="표준 24 3 7 3 2 2 2 3" xfId="18594"/>
    <cellStyle name="표준 24 3 7 3 2 2 3" xfId="18595"/>
    <cellStyle name="표준 24 3 7 3 2 2 3 2" xfId="18596"/>
    <cellStyle name="표준 24 3 7 3 2 2 4" xfId="18597"/>
    <cellStyle name="표준 24 3 7 3 2 3" xfId="18598"/>
    <cellStyle name="표준 24 3 7 3 2 3 2" xfId="18599"/>
    <cellStyle name="표준 24 3 7 3 2 3 2 2" xfId="18600"/>
    <cellStyle name="표준 24 3 7 3 2 3 3" xfId="18601"/>
    <cellStyle name="표준 24 3 7 3 2 4" xfId="18602"/>
    <cellStyle name="표준 24 3 7 3 2 4 2" xfId="18603"/>
    <cellStyle name="표준 24 3 7 3 2 5" xfId="18604"/>
    <cellStyle name="표준 24 3 7 3 3" xfId="18605"/>
    <cellStyle name="표준 24 3 7 3 3 2" xfId="18606"/>
    <cellStyle name="표준 24 3 7 3 3 2 2" xfId="18607"/>
    <cellStyle name="표준 24 3 7 3 3 2 2 2" xfId="18608"/>
    <cellStyle name="표준 24 3 7 3 3 2 3" xfId="18609"/>
    <cellStyle name="표준 24 3 7 3 3 3" xfId="18610"/>
    <cellStyle name="표준 24 3 7 3 3 3 2" xfId="18611"/>
    <cellStyle name="표준 24 3 7 3 3 4" xfId="18612"/>
    <cellStyle name="표준 24 3 7 3 4" xfId="18613"/>
    <cellStyle name="표준 24 3 7 3 4 2" xfId="18614"/>
    <cellStyle name="표준 24 3 7 3 4 2 2" xfId="18615"/>
    <cellStyle name="표준 24 3 7 3 4 3" xfId="18616"/>
    <cellStyle name="표준 24 3 7 3 5" xfId="18617"/>
    <cellStyle name="표준 24 3 7 3 5 2" xfId="18618"/>
    <cellStyle name="표준 24 3 7 3 6" xfId="18619"/>
    <cellStyle name="표준 24 3 7 4" xfId="18620"/>
    <cellStyle name="표준 24 3 7 4 2" xfId="18621"/>
    <cellStyle name="표준 24 3 7 4 2 2" xfId="18622"/>
    <cellStyle name="표준 24 3 7 4 2 2 2" xfId="18623"/>
    <cellStyle name="표준 24 3 7 4 2 2 2 2" xfId="18624"/>
    <cellStyle name="표준 24 3 7 4 2 2 3" xfId="18625"/>
    <cellStyle name="표준 24 3 7 4 2 3" xfId="18626"/>
    <cellStyle name="표준 24 3 7 4 2 3 2" xfId="18627"/>
    <cellStyle name="표준 24 3 7 4 2 4" xfId="18628"/>
    <cellStyle name="표준 24 3 7 4 3" xfId="18629"/>
    <cellStyle name="표준 24 3 7 4 3 2" xfId="18630"/>
    <cellStyle name="표준 24 3 7 4 3 2 2" xfId="18631"/>
    <cellStyle name="표준 24 3 7 4 3 3" xfId="18632"/>
    <cellStyle name="표준 24 3 7 4 4" xfId="18633"/>
    <cellStyle name="표준 24 3 7 4 4 2" xfId="18634"/>
    <cellStyle name="표준 24 3 7 4 5" xfId="18635"/>
    <cellStyle name="표준 24 3 7 5" xfId="18636"/>
    <cellStyle name="표준 24 3 7 5 2" xfId="18637"/>
    <cellStyle name="표준 24 3 7 5 2 2" xfId="18638"/>
    <cellStyle name="표준 24 3 7 5 2 2 2" xfId="18639"/>
    <cellStyle name="표준 24 3 7 5 2 3" xfId="18640"/>
    <cellStyle name="표준 24 3 7 5 3" xfId="18641"/>
    <cellStyle name="표준 24 3 7 5 3 2" xfId="18642"/>
    <cellStyle name="표준 24 3 7 5 4" xfId="18643"/>
    <cellStyle name="표준 24 3 7 6" xfId="18644"/>
    <cellStyle name="표준 24 3 7 6 2" xfId="18645"/>
    <cellStyle name="표준 24 3 7 6 2 2" xfId="18646"/>
    <cellStyle name="표준 24 3 7 6 3" xfId="18647"/>
    <cellStyle name="표준 24 3 7 7" xfId="18648"/>
    <cellStyle name="표준 24 3 7 7 2" xfId="18649"/>
    <cellStyle name="표준 24 3 7 8" xfId="18650"/>
    <cellStyle name="표준 24 3 7 9" xfId="18651"/>
    <cellStyle name="표준 24 3 8" xfId="18652"/>
    <cellStyle name="표준 24 3 8 2" xfId="18653"/>
    <cellStyle name="표준 24 3 8 2 2" xfId="18654"/>
    <cellStyle name="표준 24 3 8 2 2 2" xfId="18655"/>
    <cellStyle name="표준 24 3 8 2 2 2 2" xfId="18656"/>
    <cellStyle name="표준 24 3 8 2 2 2 2 2" xfId="18657"/>
    <cellStyle name="표준 24 3 8 2 2 2 2 2 2" xfId="18658"/>
    <cellStyle name="표준 24 3 8 2 2 2 2 3" xfId="18659"/>
    <cellStyle name="표준 24 3 8 2 2 2 3" xfId="18660"/>
    <cellStyle name="표준 24 3 8 2 2 2 3 2" xfId="18661"/>
    <cellStyle name="표준 24 3 8 2 2 2 4" xfId="18662"/>
    <cellStyle name="표준 24 3 8 2 2 3" xfId="18663"/>
    <cellStyle name="표준 24 3 8 2 2 3 2" xfId="18664"/>
    <cellStyle name="표준 24 3 8 2 2 3 2 2" xfId="18665"/>
    <cellStyle name="표준 24 3 8 2 2 3 3" xfId="18666"/>
    <cellStyle name="표준 24 3 8 2 2 4" xfId="18667"/>
    <cellStyle name="표준 24 3 8 2 2 4 2" xfId="18668"/>
    <cellStyle name="표준 24 3 8 2 2 5" xfId="18669"/>
    <cellStyle name="표준 24 3 8 2 3" xfId="18670"/>
    <cellStyle name="표준 24 3 8 2 3 2" xfId="18671"/>
    <cellStyle name="표준 24 3 8 2 3 2 2" xfId="18672"/>
    <cellStyle name="표준 24 3 8 2 3 2 2 2" xfId="18673"/>
    <cellStyle name="표준 24 3 8 2 3 2 3" xfId="18674"/>
    <cellStyle name="표준 24 3 8 2 3 3" xfId="18675"/>
    <cellStyle name="표준 24 3 8 2 3 3 2" xfId="18676"/>
    <cellStyle name="표준 24 3 8 2 3 4" xfId="18677"/>
    <cellStyle name="표준 24 3 8 2 4" xfId="18678"/>
    <cellStyle name="표준 24 3 8 2 4 2" xfId="18679"/>
    <cellStyle name="표준 24 3 8 2 4 2 2" xfId="18680"/>
    <cellStyle name="표준 24 3 8 2 4 3" xfId="18681"/>
    <cellStyle name="표준 24 3 8 2 5" xfId="18682"/>
    <cellStyle name="표준 24 3 8 2 5 2" xfId="18683"/>
    <cellStyle name="표준 24 3 8 2 6" xfId="18684"/>
    <cellStyle name="표준 24 3 8 3" xfId="18685"/>
    <cellStyle name="표준 24 3 8 3 2" xfId="18686"/>
    <cellStyle name="표준 24 3 8 3 2 2" xfId="18687"/>
    <cellStyle name="표준 24 3 8 3 2 2 2" xfId="18688"/>
    <cellStyle name="표준 24 3 8 3 2 2 2 2" xfId="18689"/>
    <cellStyle name="표준 24 3 8 3 2 2 3" xfId="18690"/>
    <cellStyle name="표준 24 3 8 3 2 3" xfId="18691"/>
    <cellStyle name="표준 24 3 8 3 2 3 2" xfId="18692"/>
    <cellStyle name="표준 24 3 8 3 2 4" xfId="18693"/>
    <cellStyle name="표준 24 3 8 3 3" xfId="18694"/>
    <cellStyle name="표준 24 3 8 3 3 2" xfId="18695"/>
    <cellStyle name="표준 24 3 8 3 3 2 2" xfId="18696"/>
    <cellStyle name="표준 24 3 8 3 3 3" xfId="18697"/>
    <cellStyle name="표준 24 3 8 3 4" xfId="18698"/>
    <cellStyle name="표준 24 3 8 3 4 2" xfId="18699"/>
    <cellStyle name="표준 24 3 8 3 5" xfId="18700"/>
    <cellStyle name="표준 24 3 8 4" xfId="18701"/>
    <cellStyle name="표준 24 3 8 4 2" xfId="18702"/>
    <cellStyle name="표준 24 3 8 4 2 2" xfId="18703"/>
    <cellStyle name="표준 24 3 8 4 2 2 2" xfId="18704"/>
    <cellStyle name="표준 24 3 8 4 2 3" xfId="18705"/>
    <cellStyle name="표준 24 3 8 4 3" xfId="18706"/>
    <cellStyle name="표준 24 3 8 4 3 2" xfId="18707"/>
    <cellStyle name="표준 24 3 8 4 4" xfId="18708"/>
    <cellStyle name="표준 24 3 8 5" xfId="18709"/>
    <cellStyle name="표준 24 3 8 5 2" xfId="18710"/>
    <cellStyle name="표준 24 3 8 5 2 2" xfId="18711"/>
    <cellStyle name="표준 24 3 8 5 3" xfId="18712"/>
    <cellStyle name="표준 24 3 8 6" xfId="18713"/>
    <cellStyle name="표준 24 3 8 6 2" xfId="18714"/>
    <cellStyle name="표준 24 3 8 7" xfId="18715"/>
    <cellStyle name="표준 24 3 8 8" xfId="18716"/>
    <cellStyle name="표준 24 3 9" xfId="18717"/>
    <cellStyle name="표준 24 3 9 2" xfId="18718"/>
    <cellStyle name="표준 24 3 9 2 2" xfId="18719"/>
    <cellStyle name="표준 24 3 9 2 2 2" xfId="18720"/>
    <cellStyle name="표준 24 3 9 2 2 2 2" xfId="18721"/>
    <cellStyle name="표준 24 3 9 2 2 2 2 2" xfId="18722"/>
    <cellStyle name="표준 24 3 9 2 2 2 3" xfId="18723"/>
    <cellStyle name="표준 24 3 9 2 2 3" xfId="18724"/>
    <cellStyle name="표준 24 3 9 2 2 3 2" xfId="18725"/>
    <cellStyle name="표준 24 3 9 2 2 4" xfId="18726"/>
    <cellStyle name="표준 24 3 9 2 3" xfId="18727"/>
    <cellStyle name="표준 24 3 9 2 3 2" xfId="18728"/>
    <cellStyle name="표준 24 3 9 2 3 2 2" xfId="18729"/>
    <cellStyle name="표준 24 3 9 2 3 3" xfId="18730"/>
    <cellStyle name="표준 24 3 9 2 4" xfId="18731"/>
    <cellStyle name="표준 24 3 9 2 4 2" xfId="18732"/>
    <cellStyle name="표준 24 3 9 2 5" xfId="18733"/>
    <cellStyle name="표준 24 3 9 3" xfId="18734"/>
    <cellStyle name="표준 24 3 9 3 2" xfId="18735"/>
    <cellStyle name="표준 24 3 9 3 2 2" xfId="18736"/>
    <cellStyle name="표준 24 3 9 3 2 2 2" xfId="18737"/>
    <cellStyle name="표준 24 3 9 3 2 3" xfId="18738"/>
    <cellStyle name="표준 24 3 9 3 3" xfId="18739"/>
    <cellStyle name="표준 24 3 9 3 3 2" xfId="18740"/>
    <cellStyle name="표준 24 3 9 3 4" xfId="18741"/>
    <cellStyle name="표준 24 3 9 4" xfId="18742"/>
    <cellStyle name="표준 24 3 9 4 2" xfId="18743"/>
    <cellStyle name="표준 24 3 9 4 2 2" xfId="18744"/>
    <cellStyle name="표준 24 3 9 4 3" xfId="18745"/>
    <cellStyle name="표준 24 3 9 5" xfId="18746"/>
    <cellStyle name="표준 24 3 9 5 2" xfId="18747"/>
    <cellStyle name="표준 24 3 9 6" xfId="18748"/>
    <cellStyle name="표준 24 4" xfId="18749"/>
    <cellStyle name="표준 24 4 10" xfId="18750"/>
    <cellStyle name="표준 24 4 11" xfId="18751"/>
    <cellStyle name="표준 24 4 2" xfId="18752"/>
    <cellStyle name="표준 24 4 2 10" xfId="18753"/>
    <cellStyle name="표준 24 4 2 2" xfId="18754"/>
    <cellStyle name="표준 24 4 2 2 2" xfId="18755"/>
    <cellStyle name="표준 24 4 2 2 2 2" xfId="18756"/>
    <cellStyle name="표준 24 4 2 2 2 2 2" xfId="18757"/>
    <cellStyle name="표준 24 4 2 2 2 2 2 2" xfId="18758"/>
    <cellStyle name="표준 24 4 2 2 2 2 2 2 2" xfId="18759"/>
    <cellStyle name="표준 24 4 2 2 2 2 2 2 2 2" xfId="18760"/>
    <cellStyle name="표준 24 4 2 2 2 2 2 2 2 2 2" xfId="18761"/>
    <cellStyle name="표준 24 4 2 2 2 2 2 2 2 3" xfId="18762"/>
    <cellStyle name="표준 24 4 2 2 2 2 2 2 3" xfId="18763"/>
    <cellStyle name="표준 24 4 2 2 2 2 2 2 3 2" xfId="18764"/>
    <cellStyle name="표준 24 4 2 2 2 2 2 2 4" xfId="18765"/>
    <cellStyle name="표준 24 4 2 2 2 2 2 3" xfId="18766"/>
    <cellStyle name="표준 24 4 2 2 2 2 2 3 2" xfId="18767"/>
    <cellStyle name="표준 24 4 2 2 2 2 2 3 2 2" xfId="18768"/>
    <cellStyle name="표준 24 4 2 2 2 2 2 3 3" xfId="18769"/>
    <cellStyle name="표준 24 4 2 2 2 2 2 4" xfId="18770"/>
    <cellStyle name="표준 24 4 2 2 2 2 2 4 2" xfId="18771"/>
    <cellStyle name="표준 24 4 2 2 2 2 2 5" xfId="18772"/>
    <cellStyle name="표준 24 4 2 2 2 2 3" xfId="18773"/>
    <cellStyle name="표준 24 4 2 2 2 2 3 2" xfId="18774"/>
    <cellStyle name="표준 24 4 2 2 2 2 3 2 2" xfId="18775"/>
    <cellStyle name="표준 24 4 2 2 2 2 3 2 2 2" xfId="18776"/>
    <cellStyle name="표준 24 4 2 2 2 2 3 2 3" xfId="18777"/>
    <cellStyle name="표준 24 4 2 2 2 2 3 3" xfId="18778"/>
    <cellStyle name="표준 24 4 2 2 2 2 3 3 2" xfId="18779"/>
    <cellStyle name="표준 24 4 2 2 2 2 3 4" xfId="18780"/>
    <cellStyle name="표준 24 4 2 2 2 2 4" xfId="18781"/>
    <cellStyle name="표준 24 4 2 2 2 2 4 2" xfId="18782"/>
    <cellStyle name="표준 24 4 2 2 2 2 4 2 2" xfId="18783"/>
    <cellStyle name="표준 24 4 2 2 2 2 4 3" xfId="18784"/>
    <cellStyle name="표준 24 4 2 2 2 2 5" xfId="18785"/>
    <cellStyle name="표준 24 4 2 2 2 2 5 2" xfId="18786"/>
    <cellStyle name="표준 24 4 2 2 2 2 6" xfId="18787"/>
    <cellStyle name="표준 24 4 2 2 2 3" xfId="18788"/>
    <cellStyle name="표준 24 4 2 2 2 3 2" xfId="18789"/>
    <cellStyle name="표준 24 4 2 2 2 3 2 2" xfId="18790"/>
    <cellStyle name="표준 24 4 2 2 2 3 2 2 2" xfId="18791"/>
    <cellStyle name="표준 24 4 2 2 2 3 2 2 2 2" xfId="18792"/>
    <cellStyle name="표준 24 4 2 2 2 3 2 2 3" xfId="18793"/>
    <cellStyle name="표준 24 4 2 2 2 3 2 3" xfId="18794"/>
    <cellStyle name="표준 24 4 2 2 2 3 2 3 2" xfId="18795"/>
    <cellStyle name="표준 24 4 2 2 2 3 2 4" xfId="18796"/>
    <cellStyle name="표준 24 4 2 2 2 3 3" xfId="18797"/>
    <cellStyle name="표준 24 4 2 2 2 3 3 2" xfId="18798"/>
    <cellStyle name="표준 24 4 2 2 2 3 3 2 2" xfId="18799"/>
    <cellStyle name="표준 24 4 2 2 2 3 3 3" xfId="18800"/>
    <cellStyle name="표준 24 4 2 2 2 3 4" xfId="18801"/>
    <cellStyle name="표준 24 4 2 2 2 3 4 2" xfId="18802"/>
    <cellStyle name="표준 24 4 2 2 2 3 5" xfId="18803"/>
    <cellStyle name="표준 24 4 2 2 2 4" xfId="18804"/>
    <cellStyle name="표준 24 4 2 2 2 4 2" xfId="18805"/>
    <cellStyle name="표준 24 4 2 2 2 4 2 2" xfId="18806"/>
    <cellStyle name="표준 24 4 2 2 2 4 2 2 2" xfId="18807"/>
    <cellStyle name="표준 24 4 2 2 2 4 2 3" xfId="18808"/>
    <cellStyle name="표준 24 4 2 2 2 4 3" xfId="18809"/>
    <cellStyle name="표준 24 4 2 2 2 4 3 2" xfId="18810"/>
    <cellStyle name="표준 24 4 2 2 2 4 4" xfId="18811"/>
    <cellStyle name="표준 24 4 2 2 2 5" xfId="18812"/>
    <cellStyle name="표준 24 4 2 2 2 5 2" xfId="18813"/>
    <cellStyle name="표준 24 4 2 2 2 5 2 2" xfId="18814"/>
    <cellStyle name="표준 24 4 2 2 2 5 3" xfId="18815"/>
    <cellStyle name="표준 24 4 2 2 2 6" xfId="18816"/>
    <cellStyle name="표준 24 4 2 2 2 6 2" xfId="18817"/>
    <cellStyle name="표준 24 4 2 2 2 7" xfId="18818"/>
    <cellStyle name="표준 24 4 2 2 2 8" xfId="18819"/>
    <cellStyle name="표준 24 4 2 2 3" xfId="18820"/>
    <cellStyle name="표준 24 4 2 2 3 2" xfId="18821"/>
    <cellStyle name="표준 24 4 2 2 3 2 2" xfId="18822"/>
    <cellStyle name="표준 24 4 2 2 3 2 2 2" xfId="18823"/>
    <cellStyle name="표준 24 4 2 2 3 2 2 2 2" xfId="18824"/>
    <cellStyle name="표준 24 4 2 2 3 2 2 2 2 2" xfId="18825"/>
    <cellStyle name="표준 24 4 2 2 3 2 2 2 3" xfId="18826"/>
    <cellStyle name="표준 24 4 2 2 3 2 2 3" xfId="18827"/>
    <cellStyle name="표준 24 4 2 2 3 2 2 3 2" xfId="18828"/>
    <cellStyle name="표준 24 4 2 2 3 2 2 4" xfId="18829"/>
    <cellStyle name="표준 24 4 2 2 3 2 3" xfId="18830"/>
    <cellStyle name="표준 24 4 2 2 3 2 3 2" xfId="18831"/>
    <cellStyle name="표준 24 4 2 2 3 2 3 2 2" xfId="18832"/>
    <cellStyle name="표준 24 4 2 2 3 2 3 3" xfId="18833"/>
    <cellStyle name="표준 24 4 2 2 3 2 4" xfId="18834"/>
    <cellStyle name="표준 24 4 2 2 3 2 4 2" xfId="18835"/>
    <cellStyle name="표준 24 4 2 2 3 2 5" xfId="18836"/>
    <cellStyle name="표준 24 4 2 2 3 3" xfId="18837"/>
    <cellStyle name="표준 24 4 2 2 3 3 2" xfId="18838"/>
    <cellStyle name="표준 24 4 2 2 3 3 2 2" xfId="18839"/>
    <cellStyle name="표준 24 4 2 2 3 3 2 2 2" xfId="18840"/>
    <cellStyle name="표준 24 4 2 2 3 3 2 3" xfId="18841"/>
    <cellStyle name="표준 24 4 2 2 3 3 3" xfId="18842"/>
    <cellStyle name="표준 24 4 2 2 3 3 3 2" xfId="18843"/>
    <cellStyle name="표준 24 4 2 2 3 3 4" xfId="18844"/>
    <cellStyle name="표준 24 4 2 2 3 4" xfId="18845"/>
    <cellStyle name="표준 24 4 2 2 3 4 2" xfId="18846"/>
    <cellStyle name="표준 24 4 2 2 3 4 2 2" xfId="18847"/>
    <cellStyle name="표준 24 4 2 2 3 4 3" xfId="18848"/>
    <cellStyle name="표준 24 4 2 2 3 5" xfId="18849"/>
    <cellStyle name="표준 24 4 2 2 3 5 2" xfId="18850"/>
    <cellStyle name="표준 24 4 2 2 3 6" xfId="18851"/>
    <cellStyle name="표준 24 4 2 2 4" xfId="18852"/>
    <cellStyle name="표준 24 4 2 2 4 2" xfId="18853"/>
    <cellStyle name="표준 24 4 2 2 4 2 2" xfId="18854"/>
    <cellStyle name="표준 24 4 2 2 4 2 2 2" xfId="18855"/>
    <cellStyle name="표준 24 4 2 2 4 2 2 2 2" xfId="18856"/>
    <cellStyle name="표준 24 4 2 2 4 2 2 3" xfId="18857"/>
    <cellStyle name="표준 24 4 2 2 4 2 3" xfId="18858"/>
    <cellStyle name="표준 24 4 2 2 4 2 3 2" xfId="18859"/>
    <cellStyle name="표준 24 4 2 2 4 2 4" xfId="18860"/>
    <cellStyle name="표준 24 4 2 2 4 3" xfId="18861"/>
    <cellStyle name="표준 24 4 2 2 4 3 2" xfId="18862"/>
    <cellStyle name="표준 24 4 2 2 4 3 2 2" xfId="18863"/>
    <cellStyle name="표준 24 4 2 2 4 3 3" xfId="18864"/>
    <cellStyle name="표준 24 4 2 2 4 4" xfId="18865"/>
    <cellStyle name="표준 24 4 2 2 4 4 2" xfId="18866"/>
    <cellStyle name="표준 24 4 2 2 4 5" xfId="18867"/>
    <cellStyle name="표준 24 4 2 2 5" xfId="18868"/>
    <cellStyle name="표준 24 4 2 2 5 2" xfId="18869"/>
    <cellStyle name="표준 24 4 2 2 5 2 2" xfId="18870"/>
    <cellStyle name="표준 24 4 2 2 5 2 2 2" xfId="18871"/>
    <cellStyle name="표준 24 4 2 2 5 2 3" xfId="18872"/>
    <cellStyle name="표준 24 4 2 2 5 3" xfId="18873"/>
    <cellStyle name="표준 24 4 2 2 5 3 2" xfId="18874"/>
    <cellStyle name="표준 24 4 2 2 5 4" xfId="18875"/>
    <cellStyle name="표준 24 4 2 2 6" xfId="18876"/>
    <cellStyle name="표준 24 4 2 2 6 2" xfId="18877"/>
    <cellStyle name="표준 24 4 2 2 6 2 2" xfId="18878"/>
    <cellStyle name="표준 24 4 2 2 6 3" xfId="18879"/>
    <cellStyle name="표준 24 4 2 2 7" xfId="18880"/>
    <cellStyle name="표준 24 4 2 2 7 2" xfId="18881"/>
    <cellStyle name="표준 24 4 2 2 8" xfId="18882"/>
    <cellStyle name="표준 24 4 2 2 9" xfId="18883"/>
    <cellStyle name="표준 24 4 2 3" xfId="18884"/>
    <cellStyle name="표준 24 4 2 3 2" xfId="18885"/>
    <cellStyle name="표준 24 4 2 3 2 2" xfId="18886"/>
    <cellStyle name="표준 24 4 2 3 2 2 2" xfId="18887"/>
    <cellStyle name="표준 24 4 2 3 2 2 2 2" xfId="18888"/>
    <cellStyle name="표준 24 4 2 3 2 2 2 2 2" xfId="18889"/>
    <cellStyle name="표준 24 4 2 3 2 2 2 2 2 2" xfId="18890"/>
    <cellStyle name="표준 24 4 2 3 2 2 2 2 3" xfId="18891"/>
    <cellStyle name="표준 24 4 2 3 2 2 2 3" xfId="18892"/>
    <cellStyle name="표준 24 4 2 3 2 2 2 3 2" xfId="18893"/>
    <cellStyle name="표준 24 4 2 3 2 2 2 4" xfId="18894"/>
    <cellStyle name="표준 24 4 2 3 2 2 3" xfId="18895"/>
    <cellStyle name="표준 24 4 2 3 2 2 3 2" xfId="18896"/>
    <cellStyle name="표준 24 4 2 3 2 2 3 2 2" xfId="18897"/>
    <cellStyle name="표준 24 4 2 3 2 2 3 3" xfId="18898"/>
    <cellStyle name="표준 24 4 2 3 2 2 4" xfId="18899"/>
    <cellStyle name="표준 24 4 2 3 2 2 4 2" xfId="18900"/>
    <cellStyle name="표준 24 4 2 3 2 2 5" xfId="18901"/>
    <cellStyle name="표준 24 4 2 3 2 3" xfId="18902"/>
    <cellStyle name="표준 24 4 2 3 2 3 2" xfId="18903"/>
    <cellStyle name="표준 24 4 2 3 2 3 2 2" xfId="18904"/>
    <cellStyle name="표준 24 4 2 3 2 3 2 2 2" xfId="18905"/>
    <cellStyle name="표준 24 4 2 3 2 3 2 3" xfId="18906"/>
    <cellStyle name="표준 24 4 2 3 2 3 3" xfId="18907"/>
    <cellStyle name="표준 24 4 2 3 2 3 3 2" xfId="18908"/>
    <cellStyle name="표준 24 4 2 3 2 3 4" xfId="18909"/>
    <cellStyle name="표준 24 4 2 3 2 4" xfId="18910"/>
    <cellStyle name="표준 24 4 2 3 2 4 2" xfId="18911"/>
    <cellStyle name="표준 24 4 2 3 2 4 2 2" xfId="18912"/>
    <cellStyle name="표준 24 4 2 3 2 4 3" xfId="18913"/>
    <cellStyle name="표준 24 4 2 3 2 5" xfId="18914"/>
    <cellStyle name="표준 24 4 2 3 2 5 2" xfId="18915"/>
    <cellStyle name="표준 24 4 2 3 2 6" xfId="18916"/>
    <cellStyle name="표준 24 4 2 3 3" xfId="18917"/>
    <cellStyle name="표준 24 4 2 3 3 2" xfId="18918"/>
    <cellStyle name="표준 24 4 2 3 3 2 2" xfId="18919"/>
    <cellStyle name="표준 24 4 2 3 3 2 2 2" xfId="18920"/>
    <cellStyle name="표준 24 4 2 3 3 2 2 2 2" xfId="18921"/>
    <cellStyle name="표준 24 4 2 3 3 2 2 3" xfId="18922"/>
    <cellStyle name="표준 24 4 2 3 3 2 3" xfId="18923"/>
    <cellStyle name="표준 24 4 2 3 3 2 3 2" xfId="18924"/>
    <cellStyle name="표준 24 4 2 3 3 2 4" xfId="18925"/>
    <cellStyle name="표준 24 4 2 3 3 3" xfId="18926"/>
    <cellStyle name="표준 24 4 2 3 3 3 2" xfId="18927"/>
    <cellStyle name="표준 24 4 2 3 3 3 2 2" xfId="18928"/>
    <cellStyle name="표준 24 4 2 3 3 3 3" xfId="18929"/>
    <cellStyle name="표준 24 4 2 3 3 4" xfId="18930"/>
    <cellStyle name="표준 24 4 2 3 3 4 2" xfId="18931"/>
    <cellStyle name="표준 24 4 2 3 3 5" xfId="18932"/>
    <cellStyle name="표준 24 4 2 3 4" xfId="18933"/>
    <cellStyle name="표준 24 4 2 3 4 2" xfId="18934"/>
    <cellStyle name="표준 24 4 2 3 4 2 2" xfId="18935"/>
    <cellStyle name="표준 24 4 2 3 4 2 2 2" xfId="18936"/>
    <cellStyle name="표준 24 4 2 3 4 2 3" xfId="18937"/>
    <cellStyle name="표준 24 4 2 3 4 3" xfId="18938"/>
    <cellStyle name="표준 24 4 2 3 4 3 2" xfId="18939"/>
    <cellStyle name="표준 24 4 2 3 4 4" xfId="18940"/>
    <cellStyle name="표준 24 4 2 3 5" xfId="18941"/>
    <cellStyle name="표준 24 4 2 3 5 2" xfId="18942"/>
    <cellStyle name="표준 24 4 2 3 5 2 2" xfId="18943"/>
    <cellStyle name="표준 24 4 2 3 5 3" xfId="18944"/>
    <cellStyle name="표준 24 4 2 3 6" xfId="18945"/>
    <cellStyle name="표준 24 4 2 3 6 2" xfId="18946"/>
    <cellStyle name="표준 24 4 2 3 7" xfId="18947"/>
    <cellStyle name="표준 24 4 2 3 8" xfId="18948"/>
    <cellStyle name="표준 24 4 2 4" xfId="18949"/>
    <cellStyle name="표준 24 4 2 4 2" xfId="18950"/>
    <cellStyle name="표준 24 4 2 4 2 2" xfId="18951"/>
    <cellStyle name="표준 24 4 2 4 2 2 2" xfId="18952"/>
    <cellStyle name="표준 24 4 2 4 2 2 2 2" xfId="18953"/>
    <cellStyle name="표준 24 4 2 4 2 2 2 2 2" xfId="18954"/>
    <cellStyle name="표준 24 4 2 4 2 2 2 3" xfId="18955"/>
    <cellStyle name="표준 24 4 2 4 2 2 3" xfId="18956"/>
    <cellStyle name="표준 24 4 2 4 2 2 3 2" xfId="18957"/>
    <cellStyle name="표준 24 4 2 4 2 2 4" xfId="18958"/>
    <cellStyle name="표준 24 4 2 4 2 3" xfId="18959"/>
    <cellStyle name="표준 24 4 2 4 2 3 2" xfId="18960"/>
    <cellStyle name="표준 24 4 2 4 2 3 2 2" xfId="18961"/>
    <cellStyle name="표준 24 4 2 4 2 3 3" xfId="18962"/>
    <cellStyle name="표준 24 4 2 4 2 4" xfId="18963"/>
    <cellStyle name="표준 24 4 2 4 2 4 2" xfId="18964"/>
    <cellStyle name="표준 24 4 2 4 2 5" xfId="18965"/>
    <cellStyle name="표준 24 4 2 4 3" xfId="18966"/>
    <cellStyle name="표준 24 4 2 4 3 2" xfId="18967"/>
    <cellStyle name="표준 24 4 2 4 3 2 2" xfId="18968"/>
    <cellStyle name="표준 24 4 2 4 3 2 2 2" xfId="18969"/>
    <cellStyle name="표준 24 4 2 4 3 2 3" xfId="18970"/>
    <cellStyle name="표준 24 4 2 4 3 3" xfId="18971"/>
    <cellStyle name="표준 24 4 2 4 3 3 2" xfId="18972"/>
    <cellStyle name="표준 24 4 2 4 3 4" xfId="18973"/>
    <cellStyle name="표준 24 4 2 4 4" xfId="18974"/>
    <cellStyle name="표준 24 4 2 4 4 2" xfId="18975"/>
    <cellStyle name="표준 24 4 2 4 4 2 2" xfId="18976"/>
    <cellStyle name="표준 24 4 2 4 4 3" xfId="18977"/>
    <cellStyle name="표준 24 4 2 4 5" xfId="18978"/>
    <cellStyle name="표준 24 4 2 4 5 2" xfId="18979"/>
    <cellStyle name="표준 24 4 2 4 6" xfId="18980"/>
    <cellStyle name="표준 24 4 2 5" xfId="18981"/>
    <cellStyle name="표준 24 4 2 5 2" xfId="18982"/>
    <cellStyle name="표준 24 4 2 5 2 2" xfId="18983"/>
    <cellStyle name="표준 24 4 2 5 2 2 2" xfId="18984"/>
    <cellStyle name="표준 24 4 2 5 2 2 2 2" xfId="18985"/>
    <cellStyle name="표준 24 4 2 5 2 2 3" xfId="18986"/>
    <cellStyle name="표준 24 4 2 5 2 3" xfId="18987"/>
    <cellStyle name="표준 24 4 2 5 2 3 2" xfId="18988"/>
    <cellStyle name="표준 24 4 2 5 2 4" xfId="18989"/>
    <cellStyle name="표준 24 4 2 5 3" xfId="18990"/>
    <cellStyle name="표준 24 4 2 5 3 2" xfId="18991"/>
    <cellStyle name="표준 24 4 2 5 3 2 2" xfId="18992"/>
    <cellStyle name="표준 24 4 2 5 3 3" xfId="18993"/>
    <cellStyle name="표준 24 4 2 5 4" xfId="18994"/>
    <cellStyle name="표준 24 4 2 5 4 2" xfId="18995"/>
    <cellStyle name="표준 24 4 2 5 5" xfId="18996"/>
    <cellStyle name="표준 24 4 2 6" xfId="18997"/>
    <cellStyle name="표준 24 4 2 6 2" xfId="18998"/>
    <cellStyle name="표준 24 4 2 6 2 2" xfId="18999"/>
    <cellStyle name="표준 24 4 2 6 2 2 2" xfId="19000"/>
    <cellStyle name="표준 24 4 2 6 2 3" xfId="19001"/>
    <cellStyle name="표준 24 4 2 6 3" xfId="19002"/>
    <cellStyle name="표준 24 4 2 6 3 2" xfId="19003"/>
    <cellStyle name="표준 24 4 2 6 4" xfId="19004"/>
    <cellStyle name="표준 24 4 2 7" xfId="19005"/>
    <cellStyle name="표준 24 4 2 7 2" xfId="19006"/>
    <cellStyle name="표준 24 4 2 7 2 2" xfId="19007"/>
    <cellStyle name="표준 24 4 2 7 3" xfId="19008"/>
    <cellStyle name="표준 24 4 2 8" xfId="19009"/>
    <cellStyle name="표준 24 4 2 8 2" xfId="19010"/>
    <cellStyle name="표준 24 4 2 9" xfId="19011"/>
    <cellStyle name="표준 24 4 3" xfId="19012"/>
    <cellStyle name="표준 24 4 3 2" xfId="19013"/>
    <cellStyle name="표준 24 4 3 2 2" xfId="19014"/>
    <cellStyle name="표준 24 4 3 2 2 2" xfId="19015"/>
    <cellStyle name="표준 24 4 3 2 2 2 2" xfId="19016"/>
    <cellStyle name="표준 24 4 3 2 2 2 2 2" xfId="19017"/>
    <cellStyle name="표준 24 4 3 2 2 2 2 2 2" xfId="19018"/>
    <cellStyle name="표준 24 4 3 2 2 2 2 2 2 2" xfId="19019"/>
    <cellStyle name="표준 24 4 3 2 2 2 2 2 3" xfId="19020"/>
    <cellStyle name="표준 24 4 3 2 2 2 2 3" xfId="19021"/>
    <cellStyle name="표준 24 4 3 2 2 2 2 3 2" xfId="19022"/>
    <cellStyle name="표준 24 4 3 2 2 2 2 4" xfId="19023"/>
    <cellStyle name="표준 24 4 3 2 2 2 3" xfId="19024"/>
    <cellStyle name="표준 24 4 3 2 2 2 3 2" xfId="19025"/>
    <cellStyle name="표준 24 4 3 2 2 2 3 2 2" xfId="19026"/>
    <cellStyle name="표준 24 4 3 2 2 2 3 3" xfId="19027"/>
    <cellStyle name="표준 24 4 3 2 2 2 4" xfId="19028"/>
    <cellStyle name="표준 24 4 3 2 2 2 4 2" xfId="19029"/>
    <cellStyle name="표준 24 4 3 2 2 2 5" xfId="19030"/>
    <cellStyle name="표준 24 4 3 2 2 3" xfId="19031"/>
    <cellStyle name="표준 24 4 3 2 2 3 2" xfId="19032"/>
    <cellStyle name="표준 24 4 3 2 2 3 2 2" xfId="19033"/>
    <cellStyle name="표준 24 4 3 2 2 3 2 2 2" xfId="19034"/>
    <cellStyle name="표준 24 4 3 2 2 3 2 3" xfId="19035"/>
    <cellStyle name="표준 24 4 3 2 2 3 3" xfId="19036"/>
    <cellStyle name="표준 24 4 3 2 2 3 3 2" xfId="19037"/>
    <cellStyle name="표준 24 4 3 2 2 3 4" xfId="19038"/>
    <cellStyle name="표준 24 4 3 2 2 4" xfId="19039"/>
    <cellStyle name="표준 24 4 3 2 2 4 2" xfId="19040"/>
    <cellStyle name="표준 24 4 3 2 2 4 2 2" xfId="19041"/>
    <cellStyle name="표준 24 4 3 2 2 4 3" xfId="19042"/>
    <cellStyle name="표준 24 4 3 2 2 5" xfId="19043"/>
    <cellStyle name="표준 24 4 3 2 2 5 2" xfId="19044"/>
    <cellStyle name="표준 24 4 3 2 2 6" xfId="19045"/>
    <cellStyle name="표준 24 4 3 2 3" xfId="19046"/>
    <cellStyle name="표준 24 4 3 2 3 2" xfId="19047"/>
    <cellStyle name="표준 24 4 3 2 3 2 2" xfId="19048"/>
    <cellStyle name="표준 24 4 3 2 3 2 2 2" xfId="19049"/>
    <cellStyle name="표준 24 4 3 2 3 2 2 2 2" xfId="19050"/>
    <cellStyle name="표준 24 4 3 2 3 2 2 3" xfId="19051"/>
    <cellStyle name="표준 24 4 3 2 3 2 3" xfId="19052"/>
    <cellStyle name="표준 24 4 3 2 3 2 3 2" xfId="19053"/>
    <cellStyle name="표준 24 4 3 2 3 2 4" xfId="19054"/>
    <cellStyle name="표준 24 4 3 2 3 3" xfId="19055"/>
    <cellStyle name="표준 24 4 3 2 3 3 2" xfId="19056"/>
    <cellStyle name="표준 24 4 3 2 3 3 2 2" xfId="19057"/>
    <cellStyle name="표준 24 4 3 2 3 3 3" xfId="19058"/>
    <cellStyle name="표준 24 4 3 2 3 4" xfId="19059"/>
    <cellStyle name="표준 24 4 3 2 3 4 2" xfId="19060"/>
    <cellStyle name="표준 24 4 3 2 3 5" xfId="19061"/>
    <cellStyle name="표준 24 4 3 2 4" xfId="19062"/>
    <cellStyle name="표준 24 4 3 2 4 2" xfId="19063"/>
    <cellStyle name="표준 24 4 3 2 4 2 2" xfId="19064"/>
    <cellStyle name="표준 24 4 3 2 4 2 2 2" xfId="19065"/>
    <cellStyle name="표준 24 4 3 2 4 2 3" xfId="19066"/>
    <cellStyle name="표준 24 4 3 2 4 3" xfId="19067"/>
    <cellStyle name="표준 24 4 3 2 4 3 2" xfId="19068"/>
    <cellStyle name="표준 24 4 3 2 4 4" xfId="19069"/>
    <cellStyle name="표준 24 4 3 2 5" xfId="19070"/>
    <cellStyle name="표준 24 4 3 2 5 2" xfId="19071"/>
    <cellStyle name="표준 24 4 3 2 5 2 2" xfId="19072"/>
    <cellStyle name="표준 24 4 3 2 5 3" xfId="19073"/>
    <cellStyle name="표준 24 4 3 2 6" xfId="19074"/>
    <cellStyle name="표준 24 4 3 2 6 2" xfId="19075"/>
    <cellStyle name="표준 24 4 3 2 7" xfId="19076"/>
    <cellStyle name="표준 24 4 3 2 8" xfId="19077"/>
    <cellStyle name="표준 24 4 3 3" xfId="19078"/>
    <cellStyle name="표준 24 4 3 3 2" xfId="19079"/>
    <cellStyle name="표준 24 4 3 3 2 2" xfId="19080"/>
    <cellStyle name="표준 24 4 3 3 2 2 2" xfId="19081"/>
    <cellStyle name="표준 24 4 3 3 2 2 2 2" xfId="19082"/>
    <cellStyle name="표준 24 4 3 3 2 2 2 2 2" xfId="19083"/>
    <cellStyle name="표준 24 4 3 3 2 2 2 3" xfId="19084"/>
    <cellStyle name="표준 24 4 3 3 2 2 3" xfId="19085"/>
    <cellStyle name="표준 24 4 3 3 2 2 3 2" xfId="19086"/>
    <cellStyle name="표준 24 4 3 3 2 2 4" xfId="19087"/>
    <cellStyle name="표준 24 4 3 3 2 3" xfId="19088"/>
    <cellStyle name="표준 24 4 3 3 2 3 2" xfId="19089"/>
    <cellStyle name="표준 24 4 3 3 2 3 2 2" xfId="19090"/>
    <cellStyle name="표준 24 4 3 3 2 3 3" xfId="19091"/>
    <cellStyle name="표준 24 4 3 3 2 4" xfId="19092"/>
    <cellStyle name="표준 24 4 3 3 2 4 2" xfId="19093"/>
    <cellStyle name="표준 24 4 3 3 2 5" xfId="19094"/>
    <cellStyle name="표준 24 4 3 3 3" xfId="19095"/>
    <cellStyle name="표준 24 4 3 3 3 2" xfId="19096"/>
    <cellStyle name="표준 24 4 3 3 3 2 2" xfId="19097"/>
    <cellStyle name="표준 24 4 3 3 3 2 2 2" xfId="19098"/>
    <cellStyle name="표준 24 4 3 3 3 2 3" xfId="19099"/>
    <cellStyle name="표준 24 4 3 3 3 3" xfId="19100"/>
    <cellStyle name="표준 24 4 3 3 3 3 2" xfId="19101"/>
    <cellStyle name="표준 24 4 3 3 3 4" xfId="19102"/>
    <cellStyle name="표준 24 4 3 3 4" xfId="19103"/>
    <cellStyle name="표준 24 4 3 3 4 2" xfId="19104"/>
    <cellStyle name="표준 24 4 3 3 4 2 2" xfId="19105"/>
    <cellStyle name="표준 24 4 3 3 4 3" xfId="19106"/>
    <cellStyle name="표준 24 4 3 3 5" xfId="19107"/>
    <cellStyle name="표준 24 4 3 3 5 2" xfId="19108"/>
    <cellStyle name="표준 24 4 3 3 6" xfId="19109"/>
    <cellStyle name="표준 24 4 3 4" xfId="19110"/>
    <cellStyle name="표준 24 4 3 4 2" xfId="19111"/>
    <cellStyle name="표준 24 4 3 4 2 2" xfId="19112"/>
    <cellStyle name="표준 24 4 3 4 2 2 2" xfId="19113"/>
    <cellStyle name="표준 24 4 3 4 2 2 2 2" xfId="19114"/>
    <cellStyle name="표준 24 4 3 4 2 2 3" xfId="19115"/>
    <cellStyle name="표준 24 4 3 4 2 3" xfId="19116"/>
    <cellStyle name="표준 24 4 3 4 2 3 2" xfId="19117"/>
    <cellStyle name="표준 24 4 3 4 2 4" xfId="19118"/>
    <cellStyle name="표준 24 4 3 4 3" xfId="19119"/>
    <cellStyle name="표준 24 4 3 4 3 2" xfId="19120"/>
    <cellStyle name="표준 24 4 3 4 3 2 2" xfId="19121"/>
    <cellStyle name="표준 24 4 3 4 3 3" xfId="19122"/>
    <cellStyle name="표준 24 4 3 4 4" xfId="19123"/>
    <cellStyle name="표준 24 4 3 4 4 2" xfId="19124"/>
    <cellStyle name="표준 24 4 3 4 5" xfId="19125"/>
    <cellStyle name="표준 24 4 3 5" xfId="19126"/>
    <cellStyle name="표준 24 4 3 5 2" xfId="19127"/>
    <cellStyle name="표준 24 4 3 5 2 2" xfId="19128"/>
    <cellStyle name="표준 24 4 3 5 2 2 2" xfId="19129"/>
    <cellStyle name="표준 24 4 3 5 2 3" xfId="19130"/>
    <cellStyle name="표준 24 4 3 5 3" xfId="19131"/>
    <cellStyle name="표준 24 4 3 5 3 2" xfId="19132"/>
    <cellStyle name="표준 24 4 3 5 4" xfId="19133"/>
    <cellStyle name="표준 24 4 3 6" xfId="19134"/>
    <cellStyle name="표준 24 4 3 6 2" xfId="19135"/>
    <cellStyle name="표준 24 4 3 6 2 2" xfId="19136"/>
    <cellStyle name="표준 24 4 3 6 3" xfId="19137"/>
    <cellStyle name="표준 24 4 3 7" xfId="19138"/>
    <cellStyle name="표준 24 4 3 7 2" xfId="19139"/>
    <cellStyle name="표준 24 4 3 8" xfId="19140"/>
    <cellStyle name="표준 24 4 3 9" xfId="19141"/>
    <cellStyle name="표준 24 4 4" xfId="19142"/>
    <cellStyle name="표준 24 4 4 2" xfId="19143"/>
    <cellStyle name="표준 24 4 4 2 2" xfId="19144"/>
    <cellStyle name="표준 24 4 4 2 2 2" xfId="19145"/>
    <cellStyle name="표준 24 4 4 2 2 2 2" xfId="19146"/>
    <cellStyle name="표준 24 4 4 2 2 2 2 2" xfId="19147"/>
    <cellStyle name="표준 24 4 4 2 2 2 2 2 2" xfId="19148"/>
    <cellStyle name="표준 24 4 4 2 2 2 2 3" xfId="19149"/>
    <cellStyle name="표준 24 4 4 2 2 2 3" xfId="19150"/>
    <cellStyle name="표준 24 4 4 2 2 2 3 2" xfId="19151"/>
    <cellStyle name="표준 24 4 4 2 2 2 4" xfId="19152"/>
    <cellStyle name="표준 24 4 4 2 2 3" xfId="19153"/>
    <cellStyle name="표준 24 4 4 2 2 3 2" xfId="19154"/>
    <cellStyle name="표준 24 4 4 2 2 3 2 2" xfId="19155"/>
    <cellStyle name="표준 24 4 4 2 2 3 3" xfId="19156"/>
    <cellStyle name="표준 24 4 4 2 2 4" xfId="19157"/>
    <cellStyle name="표준 24 4 4 2 2 4 2" xfId="19158"/>
    <cellStyle name="표준 24 4 4 2 2 5" xfId="19159"/>
    <cellStyle name="표준 24 4 4 2 3" xfId="19160"/>
    <cellStyle name="표준 24 4 4 2 3 2" xfId="19161"/>
    <cellStyle name="표준 24 4 4 2 3 2 2" xfId="19162"/>
    <cellStyle name="표준 24 4 4 2 3 2 2 2" xfId="19163"/>
    <cellStyle name="표준 24 4 4 2 3 2 3" xfId="19164"/>
    <cellStyle name="표준 24 4 4 2 3 3" xfId="19165"/>
    <cellStyle name="표준 24 4 4 2 3 3 2" xfId="19166"/>
    <cellStyle name="표준 24 4 4 2 3 4" xfId="19167"/>
    <cellStyle name="표준 24 4 4 2 4" xfId="19168"/>
    <cellStyle name="표준 24 4 4 2 4 2" xfId="19169"/>
    <cellStyle name="표준 24 4 4 2 4 2 2" xfId="19170"/>
    <cellStyle name="표준 24 4 4 2 4 3" xfId="19171"/>
    <cellStyle name="표준 24 4 4 2 5" xfId="19172"/>
    <cellStyle name="표준 24 4 4 2 5 2" xfId="19173"/>
    <cellStyle name="표준 24 4 4 2 6" xfId="19174"/>
    <cellStyle name="표준 24 4 4 3" xfId="19175"/>
    <cellStyle name="표준 24 4 4 3 2" xfId="19176"/>
    <cellStyle name="표준 24 4 4 3 2 2" xfId="19177"/>
    <cellStyle name="표준 24 4 4 3 2 2 2" xfId="19178"/>
    <cellStyle name="표준 24 4 4 3 2 2 2 2" xfId="19179"/>
    <cellStyle name="표준 24 4 4 3 2 2 3" xfId="19180"/>
    <cellStyle name="표준 24 4 4 3 2 3" xfId="19181"/>
    <cellStyle name="표준 24 4 4 3 2 3 2" xfId="19182"/>
    <cellStyle name="표준 24 4 4 3 2 4" xfId="19183"/>
    <cellStyle name="표준 24 4 4 3 3" xfId="19184"/>
    <cellStyle name="표준 24 4 4 3 3 2" xfId="19185"/>
    <cellStyle name="표준 24 4 4 3 3 2 2" xfId="19186"/>
    <cellStyle name="표준 24 4 4 3 3 3" xfId="19187"/>
    <cellStyle name="표준 24 4 4 3 4" xfId="19188"/>
    <cellStyle name="표준 24 4 4 3 4 2" xfId="19189"/>
    <cellStyle name="표준 24 4 4 3 5" xfId="19190"/>
    <cellStyle name="표준 24 4 4 4" xfId="19191"/>
    <cellStyle name="표준 24 4 4 4 2" xfId="19192"/>
    <cellStyle name="표준 24 4 4 4 2 2" xfId="19193"/>
    <cellStyle name="표준 24 4 4 4 2 2 2" xfId="19194"/>
    <cellStyle name="표준 24 4 4 4 2 3" xfId="19195"/>
    <cellStyle name="표준 24 4 4 4 3" xfId="19196"/>
    <cellStyle name="표준 24 4 4 4 3 2" xfId="19197"/>
    <cellStyle name="표준 24 4 4 4 4" xfId="19198"/>
    <cellStyle name="표준 24 4 4 5" xfId="19199"/>
    <cellStyle name="표준 24 4 4 5 2" xfId="19200"/>
    <cellStyle name="표준 24 4 4 5 2 2" xfId="19201"/>
    <cellStyle name="표준 24 4 4 5 3" xfId="19202"/>
    <cellStyle name="표준 24 4 4 6" xfId="19203"/>
    <cellStyle name="표준 24 4 4 6 2" xfId="19204"/>
    <cellStyle name="표준 24 4 4 7" xfId="19205"/>
    <cellStyle name="표준 24 4 4 8" xfId="19206"/>
    <cellStyle name="표준 24 4 5" xfId="19207"/>
    <cellStyle name="표준 24 4 5 2" xfId="19208"/>
    <cellStyle name="표준 24 4 5 2 2" xfId="19209"/>
    <cellStyle name="표준 24 4 5 2 2 2" xfId="19210"/>
    <cellStyle name="표준 24 4 5 2 2 2 2" xfId="19211"/>
    <cellStyle name="표준 24 4 5 2 2 2 2 2" xfId="19212"/>
    <cellStyle name="표준 24 4 5 2 2 2 3" xfId="19213"/>
    <cellStyle name="표준 24 4 5 2 2 3" xfId="19214"/>
    <cellStyle name="표준 24 4 5 2 2 3 2" xfId="19215"/>
    <cellStyle name="표준 24 4 5 2 2 4" xfId="19216"/>
    <cellStyle name="표준 24 4 5 2 3" xfId="19217"/>
    <cellStyle name="표준 24 4 5 2 3 2" xfId="19218"/>
    <cellStyle name="표준 24 4 5 2 3 2 2" xfId="19219"/>
    <cellStyle name="표준 24 4 5 2 3 3" xfId="19220"/>
    <cellStyle name="표준 24 4 5 2 4" xfId="19221"/>
    <cellStyle name="표준 24 4 5 2 4 2" xfId="19222"/>
    <cellStyle name="표준 24 4 5 2 5" xfId="19223"/>
    <cellStyle name="표준 24 4 5 3" xfId="19224"/>
    <cellStyle name="표준 24 4 5 3 2" xfId="19225"/>
    <cellStyle name="표준 24 4 5 3 2 2" xfId="19226"/>
    <cellStyle name="표준 24 4 5 3 2 2 2" xfId="19227"/>
    <cellStyle name="표준 24 4 5 3 2 3" xfId="19228"/>
    <cellStyle name="표준 24 4 5 3 3" xfId="19229"/>
    <cellStyle name="표준 24 4 5 3 3 2" xfId="19230"/>
    <cellStyle name="표준 24 4 5 3 4" xfId="19231"/>
    <cellStyle name="표준 24 4 5 4" xfId="19232"/>
    <cellStyle name="표준 24 4 5 4 2" xfId="19233"/>
    <cellStyle name="표준 24 4 5 4 2 2" xfId="19234"/>
    <cellStyle name="표준 24 4 5 4 3" xfId="19235"/>
    <cellStyle name="표준 24 4 5 5" xfId="19236"/>
    <cellStyle name="표준 24 4 5 5 2" xfId="19237"/>
    <cellStyle name="표준 24 4 5 6" xfId="19238"/>
    <cellStyle name="표준 24 4 6" xfId="19239"/>
    <cellStyle name="표준 24 4 6 2" xfId="19240"/>
    <cellStyle name="표준 24 4 6 2 2" xfId="19241"/>
    <cellStyle name="표준 24 4 6 2 2 2" xfId="19242"/>
    <cellStyle name="표준 24 4 6 2 2 2 2" xfId="19243"/>
    <cellStyle name="표준 24 4 6 2 2 3" xfId="19244"/>
    <cellStyle name="표준 24 4 6 2 3" xfId="19245"/>
    <cellStyle name="표준 24 4 6 2 3 2" xfId="19246"/>
    <cellStyle name="표준 24 4 6 2 4" xfId="19247"/>
    <cellStyle name="표준 24 4 6 3" xfId="19248"/>
    <cellStyle name="표준 24 4 6 3 2" xfId="19249"/>
    <cellStyle name="표준 24 4 6 3 2 2" xfId="19250"/>
    <cellStyle name="표준 24 4 6 3 3" xfId="19251"/>
    <cellStyle name="표준 24 4 6 4" xfId="19252"/>
    <cellStyle name="표준 24 4 6 4 2" xfId="19253"/>
    <cellStyle name="표준 24 4 6 5" xfId="19254"/>
    <cellStyle name="표준 24 4 7" xfId="19255"/>
    <cellStyle name="표준 24 4 7 2" xfId="19256"/>
    <cellStyle name="표준 24 4 7 2 2" xfId="19257"/>
    <cellStyle name="표준 24 4 7 2 2 2" xfId="19258"/>
    <cellStyle name="표준 24 4 7 2 3" xfId="19259"/>
    <cellStyle name="표준 24 4 7 3" xfId="19260"/>
    <cellStyle name="표준 24 4 7 3 2" xfId="19261"/>
    <cellStyle name="표준 24 4 7 4" xfId="19262"/>
    <cellStyle name="표준 24 4 8" xfId="19263"/>
    <cellStyle name="표준 24 4 8 2" xfId="19264"/>
    <cellStyle name="표준 24 4 8 2 2" xfId="19265"/>
    <cellStyle name="표준 24 4 8 3" xfId="19266"/>
    <cellStyle name="표준 24 4 9" xfId="19267"/>
    <cellStyle name="표준 24 4 9 2" xfId="19268"/>
    <cellStyle name="표준 25" xfId="27"/>
    <cellStyle name="표준 25 2" xfId="49"/>
    <cellStyle name="표준 25 3" xfId="19269"/>
    <cellStyle name="표준 25 3 10" xfId="19270"/>
    <cellStyle name="표준 25 3 10 2" xfId="19271"/>
    <cellStyle name="표준 25 3 10 2 2" xfId="19272"/>
    <cellStyle name="표준 25 3 10 2 2 2" xfId="19273"/>
    <cellStyle name="표준 25 3 10 2 2 2 2" xfId="19274"/>
    <cellStyle name="표준 25 3 10 2 2 3" xfId="19275"/>
    <cellStyle name="표준 25 3 10 2 3" xfId="19276"/>
    <cellStyle name="표준 25 3 10 2 3 2" xfId="19277"/>
    <cellStyle name="표준 25 3 10 2 4" xfId="19278"/>
    <cellStyle name="표준 25 3 10 3" xfId="19279"/>
    <cellStyle name="표준 25 3 10 3 2" xfId="19280"/>
    <cellStyle name="표준 25 3 10 3 2 2" xfId="19281"/>
    <cellStyle name="표준 25 3 10 3 3" xfId="19282"/>
    <cellStyle name="표준 25 3 10 4" xfId="19283"/>
    <cellStyle name="표준 25 3 10 4 2" xfId="19284"/>
    <cellStyle name="표준 25 3 10 5" xfId="19285"/>
    <cellStyle name="표준 25 3 11" xfId="19286"/>
    <cellStyle name="표준 25 3 11 2" xfId="19287"/>
    <cellStyle name="표준 25 3 11 2 2" xfId="19288"/>
    <cellStyle name="표준 25 3 11 2 2 2" xfId="19289"/>
    <cellStyle name="표준 25 3 11 2 3" xfId="19290"/>
    <cellStyle name="표준 25 3 11 3" xfId="19291"/>
    <cellStyle name="표준 25 3 11 3 2" xfId="19292"/>
    <cellStyle name="표준 25 3 11 4" xfId="19293"/>
    <cellStyle name="표준 25 3 12" xfId="19294"/>
    <cellStyle name="표준 25 3 12 2" xfId="19295"/>
    <cellStyle name="표준 25 3 12 2 2" xfId="19296"/>
    <cellStyle name="표준 25 3 12 3" xfId="19297"/>
    <cellStyle name="표준 25 3 13" xfId="19298"/>
    <cellStyle name="표준 25 3 13 2" xfId="19299"/>
    <cellStyle name="표준 25 3 14" xfId="19300"/>
    <cellStyle name="표준 25 3 15" xfId="19301"/>
    <cellStyle name="표준 25 3 2" xfId="19302"/>
    <cellStyle name="표준 25 3 2 10" xfId="19303"/>
    <cellStyle name="표준 25 3 2 10 2" xfId="19304"/>
    <cellStyle name="표준 25 3 2 11" xfId="19305"/>
    <cellStyle name="표준 25 3 2 12" xfId="19306"/>
    <cellStyle name="표준 25 3 2 2" xfId="19307"/>
    <cellStyle name="표준 25 3 2 2 10" xfId="19308"/>
    <cellStyle name="표준 25 3 2 2 11" xfId="19309"/>
    <cellStyle name="표준 25 3 2 2 2" xfId="19310"/>
    <cellStyle name="표준 25 3 2 2 2 10" xfId="19311"/>
    <cellStyle name="표준 25 3 2 2 2 2" xfId="19312"/>
    <cellStyle name="표준 25 3 2 2 2 2 2" xfId="19313"/>
    <cellStyle name="표준 25 3 2 2 2 2 2 2" xfId="19314"/>
    <cellStyle name="표준 25 3 2 2 2 2 2 2 2" xfId="19315"/>
    <cellStyle name="표준 25 3 2 2 2 2 2 2 2 2" xfId="19316"/>
    <cellStyle name="표준 25 3 2 2 2 2 2 2 2 2 2" xfId="19317"/>
    <cellStyle name="표준 25 3 2 2 2 2 2 2 2 2 2 2" xfId="19318"/>
    <cellStyle name="표준 25 3 2 2 2 2 2 2 2 2 2 2 2" xfId="19319"/>
    <cellStyle name="표준 25 3 2 2 2 2 2 2 2 2 2 3" xfId="19320"/>
    <cellStyle name="표준 25 3 2 2 2 2 2 2 2 2 3" xfId="19321"/>
    <cellStyle name="표준 25 3 2 2 2 2 2 2 2 2 3 2" xfId="19322"/>
    <cellStyle name="표준 25 3 2 2 2 2 2 2 2 2 4" xfId="19323"/>
    <cellStyle name="표준 25 3 2 2 2 2 2 2 2 3" xfId="19324"/>
    <cellStyle name="표준 25 3 2 2 2 2 2 2 2 3 2" xfId="19325"/>
    <cellStyle name="표준 25 3 2 2 2 2 2 2 2 3 2 2" xfId="19326"/>
    <cellStyle name="표준 25 3 2 2 2 2 2 2 2 3 3" xfId="19327"/>
    <cellStyle name="표준 25 3 2 2 2 2 2 2 2 4" xfId="19328"/>
    <cellStyle name="표준 25 3 2 2 2 2 2 2 2 4 2" xfId="19329"/>
    <cellStyle name="표준 25 3 2 2 2 2 2 2 2 5" xfId="19330"/>
    <cellStyle name="표준 25 3 2 2 2 2 2 2 3" xfId="19331"/>
    <cellStyle name="표준 25 3 2 2 2 2 2 2 3 2" xfId="19332"/>
    <cellStyle name="표준 25 3 2 2 2 2 2 2 3 2 2" xfId="19333"/>
    <cellStyle name="표준 25 3 2 2 2 2 2 2 3 2 2 2" xfId="19334"/>
    <cellStyle name="표준 25 3 2 2 2 2 2 2 3 2 3" xfId="19335"/>
    <cellStyle name="표준 25 3 2 2 2 2 2 2 3 3" xfId="19336"/>
    <cellStyle name="표준 25 3 2 2 2 2 2 2 3 3 2" xfId="19337"/>
    <cellStyle name="표준 25 3 2 2 2 2 2 2 3 4" xfId="19338"/>
    <cellStyle name="표준 25 3 2 2 2 2 2 2 4" xfId="19339"/>
    <cellStyle name="표준 25 3 2 2 2 2 2 2 4 2" xfId="19340"/>
    <cellStyle name="표준 25 3 2 2 2 2 2 2 4 2 2" xfId="19341"/>
    <cellStyle name="표준 25 3 2 2 2 2 2 2 4 3" xfId="19342"/>
    <cellStyle name="표준 25 3 2 2 2 2 2 2 5" xfId="19343"/>
    <cellStyle name="표준 25 3 2 2 2 2 2 2 5 2" xfId="19344"/>
    <cellStyle name="표준 25 3 2 2 2 2 2 2 6" xfId="19345"/>
    <cellStyle name="표준 25 3 2 2 2 2 2 3" xfId="19346"/>
    <cellStyle name="표준 25 3 2 2 2 2 2 3 2" xfId="19347"/>
    <cellStyle name="표준 25 3 2 2 2 2 2 3 2 2" xfId="19348"/>
    <cellStyle name="표준 25 3 2 2 2 2 2 3 2 2 2" xfId="19349"/>
    <cellStyle name="표준 25 3 2 2 2 2 2 3 2 2 2 2" xfId="19350"/>
    <cellStyle name="표준 25 3 2 2 2 2 2 3 2 2 3" xfId="19351"/>
    <cellStyle name="표준 25 3 2 2 2 2 2 3 2 3" xfId="19352"/>
    <cellStyle name="표준 25 3 2 2 2 2 2 3 2 3 2" xfId="19353"/>
    <cellStyle name="표준 25 3 2 2 2 2 2 3 2 4" xfId="19354"/>
    <cellStyle name="표준 25 3 2 2 2 2 2 3 3" xfId="19355"/>
    <cellStyle name="표준 25 3 2 2 2 2 2 3 3 2" xfId="19356"/>
    <cellStyle name="표준 25 3 2 2 2 2 2 3 3 2 2" xfId="19357"/>
    <cellStyle name="표준 25 3 2 2 2 2 2 3 3 3" xfId="19358"/>
    <cellStyle name="표준 25 3 2 2 2 2 2 3 4" xfId="19359"/>
    <cellStyle name="표준 25 3 2 2 2 2 2 3 4 2" xfId="19360"/>
    <cellStyle name="표준 25 3 2 2 2 2 2 3 5" xfId="19361"/>
    <cellStyle name="표준 25 3 2 2 2 2 2 4" xfId="19362"/>
    <cellStyle name="표준 25 3 2 2 2 2 2 4 2" xfId="19363"/>
    <cellStyle name="표준 25 3 2 2 2 2 2 4 2 2" xfId="19364"/>
    <cellStyle name="표준 25 3 2 2 2 2 2 4 2 2 2" xfId="19365"/>
    <cellStyle name="표준 25 3 2 2 2 2 2 4 2 3" xfId="19366"/>
    <cellStyle name="표준 25 3 2 2 2 2 2 4 3" xfId="19367"/>
    <cellStyle name="표준 25 3 2 2 2 2 2 4 3 2" xfId="19368"/>
    <cellStyle name="표준 25 3 2 2 2 2 2 4 4" xfId="19369"/>
    <cellStyle name="표준 25 3 2 2 2 2 2 5" xfId="19370"/>
    <cellStyle name="표준 25 3 2 2 2 2 2 5 2" xfId="19371"/>
    <cellStyle name="표준 25 3 2 2 2 2 2 5 2 2" xfId="19372"/>
    <cellStyle name="표준 25 3 2 2 2 2 2 5 3" xfId="19373"/>
    <cellStyle name="표준 25 3 2 2 2 2 2 6" xfId="19374"/>
    <cellStyle name="표준 25 3 2 2 2 2 2 6 2" xfId="19375"/>
    <cellStyle name="표준 25 3 2 2 2 2 2 7" xfId="19376"/>
    <cellStyle name="표준 25 3 2 2 2 2 2 8" xfId="19377"/>
    <cellStyle name="표준 25 3 2 2 2 2 3" xfId="19378"/>
    <cellStyle name="표준 25 3 2 2 2 2 3 2" xfId="19379"/>
    <cellStyle name="표준 25 3 2 2 2 2 3 2 2" xfId="19380"/>
    <cellStyle name="표준 25 3 2 2 2 2 3 2 2 2" xfId="19381"/>
    <cellStyle name="표준 25 3 2 2 2 2 3 2 2 2 2" xfId="19382"/>
    <cellStyle name="표준 25 3 2 2 2 2 3 2 2 2 2 2" xfId="19383"/>
    <cellStyle name="표준 25 3 2 2 2 2 3 2 2 2 3" xfId="19384"/>
    <cellStyle name="표준 25 3 2 2 2 2 3 2 2 3" xfId="19385"/>
    <cellStyle name="표준 25 3 2 2 2 2 3 2 2 3 2" xfId="19386"/>
    <cellStyle name="표준 25 3 2 2 2 2 3 2 2 4" xfId="19387"/>
    <cellStyle name="표준 25 3 2 2 2 2 3 2 3" xfId="19388"/>
    <cellStyle name="표준 25 3 2 2 2 2 3 2 3 2" xfId="19389"/>
    <cellStyle name="표준 25 3 2 2 2 2 3 2 3 2 2" xfId="19390"/>
    <cellStyle name="표준 25 3 2 2 2 2 3 2 3 3" xfId="19391"/>
    <cellStyle name="표준 25 3 2 2 2 2 3 2 4" xfId="19392"/>
    <cellStyle name="표준 25 3 2 2 2 2 3 2 4 2" xfId="19393"/>
    <cellStyle name="표준 25 3 2 2 2 2 3 2 5" xfId="19394"/>
    <cellStyle name="표준 25 3 2 2 2 2 3 3" xfId="19395"/>
    <cellStyle name="표준 25 3 2 2 2 2 3 3 2" xfId="19396"/>
    <cellStyle name="표준 25 3 2 2 2 2 3 3 2 2" xfId="19397"/>
    <cellStyle name="표준 25 3 2 2 2 2 3 3 2 2 2" xfId="19398"/>
    <cellStyle name="표준 25 3 2 2 2 2 3 3 2 3" xfId="19399"/>
    <cellStyle name="표준 25 3 2 2 2 2 3 3 3" xfId="19400"/>
    <cellStyle name="표준 25 3 2 2 2 2 3 3 3 2" xfId="19401"/>
    <cellStyle name="표준 25 3 2 2 2 2 3 3 4" xfId="19402"/>
    <cellStyle name="표준 25 3 2 2 2 2 3 4" xfId="19403"/>
    <cellStyle name="표준 25 3 2 2 2 2 3 4 2" xfId="19404"/>
    <cellStyle name="표준 25 3 2 2 2 2 3 4 2 2" xfId="19405"/>
    <cellStyle name="표준 25 3 2 2 2 2 3 4 3" xfId="19406"/>
    <cellStyle name="표준 25 3 2 2 2 2 3 5" xfId="19407"/>
    <cellStyle name="표준 25 3 2 2 2 2 3 5 2" xfId="19408"/>
    <cellStyle name="표준 25 3 2 2 2 2 3 6" xfId="19409"/>
    <cellStyle name="표준 25 3 2 2 2 2 4" xfId="19410"/>
    <cellStyle name="표준 25 3 2 2 2 2 4 2" xfId="19411"/>
    <cellStyle name="표준 25 3 2 2 2 2 4 2 2" xfId="19412"/>
    <cellStyle name="표준 25 3 2 2 2 2 4 2 2 2" xfId="19413"/>
    <cellStyle name="표준 25 3 2 2 2 2 4 2 2 2 2" xfId="19414"/>
    <cellStyle name="표준 25 3 2 2 2 2 4 2 2 3" xfId="19415"/>
    <cellStyle name="표준 25 3 2 2 2 2 4 2 3" xfId="19416"/>
    <cellStyle name="표준 25 3 2 2 2 2 4 2 3 2" xfId="19417"/>
    <cellStyle name="표준 25 3 2 2 2 2 4 2 4" xfId="19418"/>
    <cellStyle name="표준 25 3 2 2 2 2 4 3" xfId="19419"/>
    <cellStyle name="표준 25 3 2 2 2 2 4 3 2" xfId="19420"/>
    <cellStyle name="표준 25 3 2 2 2 2 4 3 2 2" xfId="19421"/>
    <cellStyle name="표준 25 3 2 2 2 2 4 3 3" xfId="19422"/>
    <cellStyle name="표준 25 3 2 2 2 2 4 4" xfId="19423"/>
    <cellStyle name="표준 25 3 2 2 2 2 4 4 2" xfId="19424"/>
    <cellStyle name="표준 25 3 2 2 2 2 4 5" xfId="19425"/>
    <cellStyle name="표준 25 3 2 2 2 2 5" xfId="19426"/>
    <cellStyle name="표준 25 3 2 2 2 2 5 2" xfId="19427"/>
    <cellStyle name="표준 25 3 2 2 2 2 5 2 2" xfId="19428"/>
    <cellStyle name="표준 25 3 2 2 2 2 5 2 2 2" xfId="19429"/>
    <cellStyle name="표준 25 3 2 2 2 2 5 2 3" xfId="19430"/>
    <cellStyle name="표준 25 3 2 2 2 2 5 3" xfId="19431"/>
    <cellStyle name="표준 25 3 2 2 2 2 5 3 2" xfId="19432"/>
    <cellStyle name="표준 25 3 2 2 2 2 5 4" xfId="19433"/>
    <cellStyle name="표준 25 3 2 2 2 2 6" xfId="19434"/>
    <cellStyle name="표준 25 3 2 2 2 2 6 2" xfId="19435"/>
    <cellStyle name="표준 25 3 2 2 2 2 6 2 2" xfId="19436"/>
    <cellStyle name="표준 25 3 2 2 2 2 6 3" xfId="19437"/>
    <cellStyle name="표준 25 3 2 2 2 2 7" xfId="19438"/>
    <cellStyle name="표준 25 3 2 2 2 2 7 2" xfId="19439"/>
    <cellStyle name="표준 25 3 2 2 2 2 8" xfId="19440"/>
    <cellStyle name="표준 25 3 2 2 2 2 9" xfId="19441"/>
    <cellStyle name="표준 25 3 2 2 2 3" xfId="19442"/>
    <cellStyle name="표준 25 3 2 2 2 3 2" xfId="19443"/>
    <cellStyle name="표준 25 3 2 2 2 3 2 2" xfId="19444"/>
    <cellStyle name="표준 25 3 2 2 2 3 2 2 2" xfId="19445"/>
    <cellStyle name="표준 25 3 2 2 2 3 2 2 2 2" xfId="19446"/>
    <cellStyle name="표준 25 3 2 2 2 3 2 2 2 2 2" xfId="19447"/>
    <cellStyle name="표준 25 3 2 2 2 3 2 2 2 2 2 2" xfId="19448"/>
    <cellStyle name="표준 25 3 2 2 2 3 2 2 2 2 3" xfId="19449"/>
    <cellStyle name="표준 25 3 2 2 2 3 2 2 2 3" xfId="19450"/>
    <cellStyle name="표준 25 3 2 2 2 3 2 2 2 3 2" xfId="19451"/>
    <cellStyle name="표준 25 3 2 2 2 3 2 2 2 4" xfId="19452"/>
    <cellStyle name="표준 25 3 2 2 2 3 2 2 3" xfId="19453"/>
    <cellStyle name="표준 25 3 2 2 2 3 2 2 3 2" xfId="19454"/>
    <cellStyle name="표준 25 3 2 2 2 3 2 2 3 2 2" xfId="19455"/>
    <cellStyle name="표준 25 3 2 2 2 3 2 2 3 3" xfId="19456"/>
    <cellStyle name="표준 25 3 2 2 2 3 2 2 4" xfId="19457"/>
    <cellStyle name="표준 25 3 2 2 2 3 2 2 4 2" xfId="19458"/>
    <cellStyle name="표준 25 3 2 2 2 3 2 2 5" xfId="19459"/>
    <cellStyle name="표준 25 3 2 2 2 3 2 3" xfId="19460"/>
    <cellStyle name="표준 25 3 2 2 2 3 2 3 2" xfId="19461"/>
    <cellStyle name="표준 25 3 2 2 2 3 2 3 2 2" xfId="19462"/>
    <cellStyle name="표준 25 3 2 2 2 3 2 3 2 2 2" xfId="19463"/>
    <cellStyle name="표준 25 3 2 2 2 3 2 3 2 3" xfId="19464"/>
    <cellStyle name="표준 25 3 2 2 2 3 2 3 3" xfId="19465"/>
    <cellStyle name="표준 25 3 2 2 2 3 2 3 3 2" xfId="19466"/>
    <cellStyle name="표준 25 3 2 2 2 3 2 3 4" xfId="19467"/>
    <cellStyle name="표준 25 3 2 2 2 3 2 4" xfId="19468"/>
    <cellStyle name="표준 25 3 2 2 2 3 2 4 2" xfId="19469"/>
    <cellStyle name="표준 25 3 2 2 2 3 2 4 2 2" xfId="19470"/>
    <cellStyle name="표준 25 3 2 2 2 3 2 4 3" xfId="19471"/>
    <cellStyle name="표준 25 3 2 2 2 3 2 5" xfId="19472"/>
    <cellStyle name="표준 25 3 2 2 2 3 2 5 2" xfId="19473"/>
    <cellStyle name="표준 25 3 2 2 2 3 2 6" xfId="19474"/>
    <cellStyle name="표준 25 3 2 2 2 3 3" xfId="19475"/>
    <cellStyle name="표준 25 3 2 2 2 3 3 2" xfId="19476"/>
    <cellStyle name="표준 25 3 2 2 2 3 3 2 2" xfId="19477"/>
    <cellStyle name="표준 25 3 2 2 2 3 3 2 2 2" xfId="19478"/>
    <cellStyle name="표준 25 3 2 2 2 3 3 2 2 2 2" xfId="19479"/>
    <cellStyle name="표준 25 3 2 2 2 3 3 2 2 3" xfId="19480"/>
    <cellStyle name="표준 25 3 2 2 2 3 3 2 3" xfId="19481"/>
    <cellStyle name="표준 25 3 2 2 2 3 3 2 3 2" xfId="19482"/>
    <cellStyle name="표준 25 3 2 2 2 3 3 2 4" xfId="19483"/>
    <cellStyle name="표준 25 3 2 2 2 3 3 3" xfId="19484"/>
    <cellStyle name="표준 25 3 2 2 2 3 3 3 2" xfId="19485"/>
    <cellStyle name="표준 25 3 2 2 2 3 3 3 2 2" xfId="19486"/>
    <cellStyle name="표준 25 3 2 2 2 3 3 3 3" xfId="19487"/>
    <cellStyle name="표준 25 3 2 2 2 3 3 4" xfId="19488"/>
    <cellStyle name="표준 25 3 2 2 2 3 3 4 2" xfId="19489"/>
    <cellStyle name="표준 25 3 2 2 2 3 3 5" xfId="19490"/>
    <cellStyle name="표준 25 3 2 2 2 3 4" xfId="19491"/>
    <cellStyle name="표준 25 3 2 2 2 3 4 2" xfId="19492"/>
    <cellStyle name="표준 25 3 2 2 2 3 4 2 2" xfId="19493"/>
    <cellStyle name="표준 25 3 2 2 2 3 4 2 2 2" xfId="19494"/>
    <cellStyle name="표준 25 3 2 2 2 3 4 2 3" xfId="19495"/>
    <cellStyle name="표준 25 3 2 2 2 3 4 3" xfId="19496"/>
    <cellStyle name="표준 25 3 2 2 2 3 4 3 2" xfId="19497"/>
    <cellStyle name="표준 25 3 2 2 2 3 4 4" xfId="19498"/>
    <cellStyle name="표준 25 3 2 2 2 3 5" xfId="19499"/>
    <cellStyle name="표준 25 3 2 2 2 3 5 2" xfId="19500"/>
    <cellStyle name="표준 25 3 2 2 2 3 5 2 2" xfId="19501"/>
    <cellStyle name="표준 25 3 2 2 2 3 5 3" xfId="19502"/>
    <cellStyle name="표준 25 3 2 2 2 3 6" xfId="19503"/>
    <cellStyle name="표준 25 3 2 2 2 3 6 2" xfId="19504"/>
    <cellStyle name="표준 25 3 2 2 2 3 7" xfId="19505"/>
    <cellStyle name="표준 25 3 2 2 2 3 8" xfId="19506"/>
    <cellStyle name="표준 25 3 2 2 2 4" xfId="19507"/>
    <cellStyle name="표준 25 3 2 2 2 4 2" xfId="19508"/>
    <cellStyle name="표준 25 3 2 2 2 4 2 2" xfId="19509"/>
    <cellStyle name="표준 25 3 2 2 2 4 2 2 2" xfId="19510"/>
    <cellStyle name="표준 25 3 2 2 2 4 2 2 2 2" xfId="19511"/>
    <cellStyle name="표준 25 3 2 2 2 4 2 2 2 2 2" xfId="19512"/>
    <cellStyle name="표준 25 3 2 2 2 4 2 2 2 3" xfId="19513"/>
    <cellStyle name="표준 25 3 2 2 2 4 2 2 3" xfId="19514"/>
    <cellStyle name="표준 25 3 2 2 2 4 2 2 3 2" xfId="19515"/>
    <cellStyle name="표준 25 3 2 2 2 4 2 2 4" xfId="19516"/>
    <cellStyle name="표준 25 3 2 2 2 4 2 3" xfId="19517"/>
    <cellStyle name="표준 25 3 2 2 2 4 2 3 2" xfId="19518"/>
    <cellStyle name="표준 25 3 2 2 2 4 2 3 2 2" xfId="19519"/>
    <cellStyle name="표준 25 3 2 2 2 4 2 3 3" xfId="19520"/>
    <cellStyle name="표준 25 3 2 2 2 4 2 4" xfId="19521"/>
    <cellStyle name="표준 25 3 2 2 2 4 2 4 2" xfId="19522"/>
    <cellStyle name="표준 25 3 2 2 2 4 2 5" xfId="19523"/>
    <cellStyle name="표준 25 3 2 2 2 4 3" xfId="19524"/>
    <cellStyle name="표준 25 3 2 2 2 4 3 2" xfId="19525"/>
    <cellStyle name="표준 25 3 2 2 2 4 3 2 2" xfId="19526"/>
    <cellStyle name="표준 25 3 2 2 2 4 3 2 2 2" xfId="19527"/>
    <cellStyle name="표준 25 3 2 2 2 4 3 2 3" xfId="19528"/>
    <cellStyle name="표준 25 3 2 2 2 4 3 3" xfId="19529"/>
    <cellStyle name="표준 25 3 2 2 2 4 3 3 2" xfId="19530"/>
    <cellStyle name="표준 25 3 2 2 2 4 3 4" xfId="19531"/>
    <cellStyle name="표준 25 3 2 2 2 4 4" xfId="19532"/>
    <cellStyle name="표준 25 3 2 2 2 4 4 2" xfId="19533"/>
    <cellStyle name="표준 25 3 2 2 2 4 4 2 2" xfId="19534"/>
    <cellStyle name="표준 25 3 2 2 2 4 4 3" xfId="19535"/>
    <cellStyle name="표준 25 3 2 2 2 4 5" xfId="19536"/>
    <cellStyle name="표준 25 3 2 2 2 4 5 2" xfId="19537"/>
    <cellStyle name="표준 25 3 2 2 2 4 6" xfId="19538"/>
    <cellStyle name="표준 25 3 2 2 2 5" xfId="19539"/>
    <cellStyle name="표준 25 3 2 2 2 5 2" xfId="19540"/>
    <cellStyle name="표준 25 3 2 2 2 5 2 2" xfId="19541"/>
    <cellStyle name="표준 25 3 2 2 2 5 2 2 2" xfId="19542"/>
    <cellStyle name="표준 25 3 2 2 2 5 2 2 2 2" xfId="19543"/>
    <cellStyle name="표준 25 3 2 2 2 5 2 2 3" xfId="19544"/>
    <cellStyle name="표준 25 3 2 2 2 5 2 3" xfId="19545"/>
    <cellStyle name="표준 25 3 2 2 2 5 2 3 2" xfId="19546"/>
    <cellStyle name="표준 25 3 2 2 2 5 2 4" xfId="19547"/>
    <cellStyle name="표준 25 3 2 2 2 5 3" xfId="19548"/>
    <cellStyle name="표준 25 3 2 2 2 5 3 2" xfId="19549"/>
    <cellStyle name="표준 25 3 2 2 2 5 3 2 2" xfId="19550"/>
    <cellStyle name="표준 25 3 2 2 2 5 3 3" xfId="19551"/>
    <cellStyle name="표준 25 3 2 2 2 5 4" xfId="19552"/>
    <cellStyle name="표준 25 3 2 2 2 5 4 2" xfId="19553"/>
    <cellStyle name="표준 25 3 2 2 2 5 5" xfId="19554"/>
    <cellStyle name="표준 25 3 2 2 2 6" xfId="19555"/>
    <cellStyle name="표준 25 3 2 2 2 6 2" xfId="19556"/>
    <cellStyle name="표준 25 3 2 2 2 6 2 2" xfId="19557"/>
    <cellStyle name="표준 25 3 2 2 2 6 2 2 2" xfId="19558"/>
    <cellStyle name="표준 25 3 2 2 2 6 2 3" xfId="19559"/>
    <cellStyle name="표준 25 3 2 2 2 6 3" xfId="19560"/>
    <cellStyle name="표준 25 3 2 2 2 6 3 2" xfId="19561"/>
    <cellStyle name="표준 25 3 2 2 2 6 4" xfId="19562"/>
    <cellStyle name="표준 25 3 2 2 2 7" xfId="19563"/>
    <cellStyle name="표준 25 3 2 2 2 7 2" xfId="19564"/>
    <cellStyle name="표준 25 3 2 2 2 7 2 2" xfId="19565"/>
    <cellStyle name="표준 25 3 2 2 2 7 3" xfId="19566"/>
    <cellStyle name="표준 25 3 2 2 2 8" xfId="19567"/>
    <cellStyle name="표준 25 3 2 2 2 8 2" xfId="19568"/>
    <cellStyle name="표준 25 3 2 2 2 9" xfId="19569"/>
    <cellStyle name="표준 25 3 2 2 3" xfId="19570"/>
    <cellStyle name="표준 25 3 2 2 3 2" xfId="19571"/>
    <cellStyle name="표준 25 3 2 2 3 2 2" xfId="19572"/>
    <cellStyle name="표준 25 3 2 2 3 2 2 2" xfId="19573"/>
    <cellStyle name="표준 25 3 2 2 3 2 2 2 2" xfId="19574"/>
    <cellStyle name="표준 25 3 2 2 3 2 2 2 2 2" xfId="19575"/>
    <cellStyle name="표준 25 3 2 2 3 2 2 2 2 2 2" xfId="19576"/>
    <cellStyle name="표준 25 3 2 2 3 2 2 2 2 2 2 2" xfId="19577"/>
    <cellStyle name="표준 25 3 2 2 3 2 2 2 2 2 3" xfId="19578"/>
    <cellStyle name="표준 25 3 2 2 3 2 2 2 2 3" xfId="19579"/>
    <cellStyle name="표준 25 3 2 2 3 2 2 2 2 3 2" xfId="19580"/>
    <cellStyle name="표준 25 3 2 2 3 2 2 2 2 4" xfId="19581"/>
    <cellStyle name="표준 25 3 2 2 3 2 2 2 3" xfId="19582"/>
    <cellStyle name="표준 25 3 2 2 3 2 2 2 3 2" xfId="19583"/>
    <cellStyle name="표준 25 3 2 2 3 2 2 2 3 2 2" xfId="19584"/>
    <cellStyle name="표준 25 3 2 2 3 2 2 2 3 3" xfId="19585"/>
    <cellStyle name="표준 25 3 2 2 3 2 2 2 4" xfId="19586"/>
    <cellStyle name="표준 25 3 2 2 3 2 2 2 4 2" xfId="19587"/>
    <cellStyle name="표준 25 3 2 2 3 2 2 2 5" xfId="19588"/>
    <cellStyle name="표준 25 3 2 2 3 2 2 3" xfId="19589"/>
    <cellStyle name="표준 25 3 2 2 3 2 2 3 2" xfId="19590"/>
    <cellStyle name="표준 25 3 2 2 3 2 2 3 2 2" xfId="19591"/>
    <cellStyle name="표준 25 3 2 2 3 2 2 3 2 2 2" xfId="19592"/>
    <cellStyle name="표준 25 3 2 2 3 2 2 3 2 3" xfId="19593"/>
    <cellStyle name="표준 25 3 2 2 3 2 2 3 3" xfId="19594"/>
    <cellStyle name="표준 25 3 2 2 3 2 2 3 3 2" xfId="19595"/>
    <cellStyle name="표준 25 3 2 2 3 2 2 3 4" xfId="19596"/>
    <cellStyle name="표준 25 3 2 2 3 2 2 4" xfId="19597"/>
    <cellStyle name="표준 25 3 2 2 3 2 2 4 2" xfId="19598"/>
    <cellStyle name="표준 25 3 2 2 3 2 2 4 2 2" xfId="19599"/>
    <cellStyle name="표준 25 3 2 2 3 2 2 4 3" xfId="19600"/>
    <cellStyle name="표준 25 3 2 2 3 2 2 5" xfId="19601"/>
    <cellStyle name="표준 25 3 2 2 3 2 2 5 2" xfId="19602"/>
    <cellStyle name="표준 25 3 2 2 3 2 2 6" xfId="19603"/>
    <cellStyle name="표준 25 3 2 2 3 2 3" xfId="19604"/>
    <cellStyle name="표준 25 3 2 2 3 2 3 2" xfId="19605"/>
    <cellStyle name="표준 25 3 2 2 3 2 3 2 2" xfId="19606"/>
    <cellStyle name="표준 25 3 2 2 3 2 3 2 2 2" xfId="19607"/>
    <cellStyle name="표준 25 3 2 2 3 2 3 2 2 2 2" xfId="19608"/>
    <cellStyle name="표준 25 3 2 2 3 2 3 2 2 3" xfId="19609"/>
    <cellStyle name="표준 25 3 2 2 3 2 3 2 3" xfId="19610"/>
    <cellStyle name="표준 25 3 2 2 3 2 3 2 3 2" xfId="19611"/>
    <cellStyle name="표준 25 3 2 2 3 2 3 2 4" xfId="19612"/>
    <cellStyle name="표준 25 3 2 2 3 2 3 3" xfId="19613"/>
    <cellStyle name="표준 25 3 2 2 3 2 3 3 2" xfId="19614"/>
    <cellStyle name="표준 25 3 2 2 3 2 3 3 2 2" xfId="19615"/>
    <cellStyle name="표준 25 3 2 2 3 2 3 3 3" xfId="19616"/>
    <cellStyle name="표준 25 3 2 2 3 2 3 4" xfId="19617"/>
    <cellStyle name="표준 25 3 2 2 3 2 3 4 2" xfId="19618"/>
    <cellStyle name="표준 25 3 2 2 3 2 3 5" xfId="19619"/>
    <cellStyle name="표준 25 3 2 2 3 2 4" xfId="19620"/>
    <cellStyle name="표준 25 3 2 2 3 2 4 2" xfId="19621"/>
    <cellStyle name="표준 25 3 2 2 3 2 4 2 2" xfId="19622"/>
    <cellStyle name="표준 25 3 2 2 3 2 4 2 2 2" xfId="19623"/>
    <cellStyle name="표준 25 3 2 2 3 2 4 2 3" xfId="19624"/>
    <cellStyle name="표준 25 3 2 2 3 2 4 3" xfId="19625"/>
    <cellStyle name="표준 25 3 2 2 3 2 4 3 2" xfId="19626"/>
    <cellStyle name="표준 25 3 2 2 3 2 4 4" xfId="19627"/>
    <cellStyle name="표준 25 3 2 2 3 2 5" xfId="19628"/>
    <cellStyle name="표준 25 3 2 2 3 2 5 2" xfId="19629"/>
    <cellStyle name="표준 25 3 2 2 3 2 5 2 2" xfId="19630"/>
    <cellStyle name="표준 25 3 2 2 3 2 5 3" xfId="19631"/>
    <cellStyle name="표준 25 3 2 2 3 2 6" xfId="19632"/>
    <cellStyle name="표준 25 3 2 2 3 2 6 2" xfId="19633"/>
    <cellStyle name="표준 25 3 2 2 3 2 7" xfId="19634"/>
    <cellStyle name="표준 25 3 2 2 3 2 8" xfId="19635"/>
    <cellStyle name="표준 25 3 2 2 3 3" xfId="19636"/>
    <cellStyle name="표준 25 3 2 2 3 3 2" xfId="19637"/>
    <cellStyle name="표준 25 3 2 2 3 3 2 2" xfId="19638"/>
    <cellStyle name="표준 25 3 2 2 3 3 2 2 2" xfId="19639"/>
    <cellStyle name="표준 25 3 2 2 3 3 2 2 2 2" xfId="19640"/>
    <cellStyle name="표준 25 3 2 2 3 3 2 2 2 2 2" xfId="19641"/>
    <cellStyle name="표준 25 3 2 2 3 3 2 2 2 3" xfId="19642"/>
    <cellStyle name="표준 25 3 2 2 3 3 2 2 3" xfId="19643"/>
    <cellStyle name="표준 25 3 2 2 3 3 2 2 3 2" xfId="19644"/>
    <cellStyle name="표준 25 3 2 2 3 3 2 2 4" xfId="19645"/>
    <cellStyle name="표준 25 3 2 2 3 3 2 3" xfId="19646"/>
    <cellStyle name="표준 25 3 2 2 3 3 2 3 2" xfId="19647"/>
    <cellStyle name="표준 25 3 2 2 3 3 2 3 2 2" xfId="19648"/>
    <cellStyle name="표준 25 3 2 2 3 3 2 3 3" xfId="19649"/>
    <cellStyle name="표준 25 3 2 2 3 3 2 4" xfId="19650"/>
    <cellStyle name="표준 25 3 2 2 3 3 2 4 2" xfId="19651"/>
    <cellStyle name="표준 25 3 2 2 3 3 2 5" xfId="19652"/>
    <cellStyle name="표준 25 3 2 2 3 3 3" xfId="19653"/>
    <cellStyle name="표준 25 3 2 2 3 3 3 2" xfId="19654"/>
    <cellStyle name="표준 25 3 2 2 3 3 3 2 2" xfId="19655"/>
    <cellStyle name="표준 25 3 2 2 3 3 3 2 2 2" xfId="19656"/>
    <cellStyle name="표준 25 3 2 2 3 3 3 2 3" xfId="19657"/>
    <cellStyle name="표준 25 3 2 2 3 3 3 3" xfId="19658"/>
    <cellStyle name="표준 25 3 2 2 3 3 3 3 2" xfId="19659"/>
    <cellStyle name="표준 25 3 2 2 3 3 3 4" xfId="19660"/>
    <cellStyle name="표준 25 3 2 2 3 3 4" xfId="19661"/>
    <cellStyle name="표준 25 3 2 2 3 3 4 2" xfId="19662"/>
    <cellStyle name="표준 25 3 2 2 3 3 4 2 2" xfId="19663"/>
    <cellStyle name="표준 25 3 2 2 3 3 4 3" xfId="19664"/>
    <cellStyle name="표준 25 3 2 2 3 3 5" xfId="19665"/>
    <cellStyle name="표준 25 3 2 2 3 3 5 2" xfId="19666"/>
    <cellStyle name="표준 25 3 2 2 3 3 6" xfId="19667"/>
    <cellStyle name="표준 25 3 2 2 3 4" xfId="19668"/>
    <cellStyle name="표준 25 3 2 2 3 4 2" xfId="19669"/>
    <cellStyle name="표준 25 3 2 2 3 4 2 2" xfId="19670"/>
    <cellStyle name="표준 25 3 2 2 3 4 2 2 2" xfId="19671"/>
    <cellStyle name="표준 25 3 2 2 3 4 2 2 2 2" xfId="19672"/>
    <cellStyle name="표준 25 3 2 2 3 4 2 2 3" xfId="19673"/>
    <cellStyle name="표준 25 3 2 2 3 4 2 3" xfId="19674"/>
    <cellStyle name="표준 25 3 2 2 3 4 2 3 2" xfId="19675"/>
    <cellStyle name="표준 25 3 2 2 3 4 2 4" xfId="19676"/>
    <cellStyle name="표준 25 3 2 2 3 4 3" xfId="19677"/>
    <cellStyle name="표준 25 3 2 2 3 4 3 2" xfId="19678"/>
    <cellStyle name="표준 25 3 2 2 3 4 3 2 2" xfId="19679"/>
    <cellStyle name="표준 25 3 2 2 3 4 3 3" xfId="19680"/>
    <cellStyle name="표준 25 3 2 2 3 4 4" xfId="19681"/>
    <cellStyle name="표준 25 3 2 2 3 4 4 2" xfId="19682"/>
    <cellStyle name="표준 25 3 2 2 3 4 5" xfId="19683"/>
    <cellStyle name="표준 25 3 2 2 3 5" xfId="19684"/>
    <cellStyle name="표준 25 3 2 2 3 5 2" xfId="19685"/>
    <cellStyle name="표준 25 3 2 2 3 5 2 2" xfId="19686"/>
    <cellStyle name="표준 25 3 2 2 3 5 2 2 2" xfId="19687"/>
    <cellStyle name="표준 25 3 2 2 3 5 2 3" xfId="19688"/>
    <cellStyle name="표준 25 3 2 2 3 5 3" xfId="19689"/>
    <cellStyle name="표준 25 3 2 2 3 5 3 2" xfId="19690"/>
    <cellStyle name="표준 25 3 2 2 3 5 4" xfId="19691"/>
    <cellStyle name="표준 25 3 2 2 3 6" xfId="19692"/>
    <cellStyle name="표준 25 3 2 2 3 6 2" xfId="19693"/>
    <cellStyle name="표준 25 3 2 2 3 6 2 2" xfId="19694"/>
    <cellStyle name="표준 25 3 2 2 3 6 3" xfId="19695"/>
    <cellStyle name="표준 25 3 2 2 3 7" xfId="19696"/>
    <cellStyle name="표준 25 3 2 2 3 7 2" xfId="19697"/>
    <cellStyle name="표준 25 3 2 2 3 8" xfId="19698"/>
    <cellStyle name="표준 25 3 2 2 3 9" xfId="19699"/>
    <cellStyle name="표준 25 3 2 2 4" xfId="19700"/>
    <cellStyle name="표준 25 3 2 2 4 2" xfId="19701"/>
    <cellStyle name="표준 25 3 2 2 4 2 2" xfId="19702"/>
    <cellStyle name="표준 25 3 2 2 4 2 2 2" xfId="19703"/>
    <cellStyle name="표준 25 3 2 2 4 2 2 2 2" xfId="19704"/>
    <cellStyle name="표준 25 3 2 2 4 2 2 2 2 2" xfId="19705"/>
    <cellStyle name="표준 25 3 2 2 4 2 2 2 2 2 2" xfId="19706"/>
    <cellStyle name="표준 25 3 2 2 4 2 2 2 2 3" xfId="19707"/>
    <cellStyle name="표준 25 3 2 2 4 2 2 2 3" xfId="19708"/>
    <cellStyle name="표준 25 3 2 2 4 2 2 2 3 2" xfId="19709"/>
    <cellStyle name="표준 25 3 2 2 4 2 2 2 4" xfId="19710"/>
    <cellStyle name="표준 25 3 2 2 4 2 2 3" xfId="19711"/>
    <cellStyle name="표준 25 3 2 2 4 2 2 3 2" xfId="19712"/>
    <cellStyle name="표준 25 3 2 2 4 2 2 3 2 2" xfId="19713"/>
    <cellStyle name="표준 25 3 2 2 4 2 2 3 3" xfId="19714"/>
    <cellStyle name="표준 25 3 2 2 4 2 2 4" xfId="19715"/>
    <cellStyle name="표준 25 3 2 2 4 2 2 4 2" xfId="19716"/>
    <cellStyle name="표준 25 3 2 2 4 2 2 5" xfId="19717"/>
    <cellStyle name="표준 25 3 2 2 4 2 3" xfId="19718"/>
    <cellStyle name="표준 25 3 2 2 4 2 3 2" xfId="19719"/>
    <cellStyle name="표준 25 3 2 2 4 2 3 2 2" xfId="19720"/>
    <cellStyle name="표준 25 3 2 2 4 2 3 2 2 2" xfId="19721"/>
    <cellStyle name="표준 25 3 2 2 4 2 3 2 3" xfId="19722"/>
    <cellStyle name="표준 25 3 2 2 4 2 3 3" xfId="19723"/>
    <cellStyle name="표준 25 3 2 2 4 2 3 3 2" xfId="19724"/>
    <cellStyle name="표준 25 3 2 2 4 2 3 4" xfId="19725"/>
    <cellStyle name="표준 25 3 2 2 4 2 4" xfId="19726"/>
    <cellStyle name="표준 25 3 2 2 4 2 4 2" xfId="19727"/>
    <cellStyle name="표준 25 3 2 2 4 2 4 2 2" xfId="19728"/>
    <cellStyle name="표준 25 3 2 2 4 2 4 3" xfId="19729"/>
    <cellStyle name="표준 25 3 2 2 4 2 5" xfId="19730"/>
    <cellStyle name="표준 25 3 2 2 4 2 5 2" xfId="19731"/>
    <cellStyle name="표준 25 3 2 2 4 2 6" xfId="19732"/>
    <cellStyle name="표준 25 3 2 2 4 3" xfId="19733"/>
    <cellStyle name="표준 25 3 2 2 4 3 2" xfId="19734"/>
    <cellStyle name="표준 25 3 2 2 4 3 2 2" xfId="19735"/>
    <cellStyle name="표준 25 3 2 2 4 3 2 2 2" xfId="19736"/>
    <cellStyle name="표준 25 3 2 2 4 3 2 2 2 2" xfId="19737"/>
    <cellStyle name="표준 25 3 2 2 4 3 2 2 3" xfId="19738"/>
    <cellStyle name="표준 25 3 2 2 4 3 2 3" xfId="19739"/>
    <cellStyle name="표준 25 3 2 2 4 3 2 3 2" xfId="19740"/>
    <cellStyle name="표준 25 3 2 2 4 3 2 4" xfId="19741"/>
    <cellStyle name="표준 25 3 2 2 4 3 3" xfId="19742"/>
    <cellStyle name="표준 25 3 2 2 4 3 3 2" xfId="19743"/>
    <cellStyle name="표준 25 3 2 2 4 3 3 2 2" xfId="19744"/>
    <cellStyle name="표준 25 3 2 2 4 3 3 3" xfId="19745"/>
    <cellStyle name="표준 25 3 2 2 4 3 4" xfId="19746"/>
    <cellStyle name="표준 25 3 2 2 4 3 4 2" xfId="19747"/>
    <cellStyle name="표준 25 3 2 2 4 3 5" xfId="19748"/>
    <cellStyle name="표준 25 3 2 2 4 4" xfId="19749"/>
    <cellStyle name="표준 25 3 2 2 4 4 2" xfId="19750"/>
    <cellStyle name="표준 25 3 2 2 4 4 2 2" xfId="19751"/>
    <cellStyle name="표준 25 3 2 2 4 4 2 2 2" xfId="19752"/>
    <cellStyle name="표준 25 3 2 2 4 4 2 3" xfId="19753"/>
    <cellStyle name="표준 25 3 2 2 4 4 3" xfId="19754"/>
    <cellStyle name="표준 25 3 2 2 4 4 3 2" xfId="19755"/>
    <cellStyle name="표준 25 3 2 2 4 4 4" xfId="19756"/>
    <cellStyle name="표준 25 3 2 2 4 5" xfId="19757"/>
    <cellStyle name="표준 25 3 2 2 4 5 2" xfId="19758"/>
    <cellStyle name="표준 25 3 2 2 4 5 2 2" xfId="19759"/>
    <cellStyle name="표준 25 3 2 2 4 5 3" xfId="19760"/>
    <cellStyle name="표준 25 3 2 2 4 6" xfId="19761"/>
    <cellStyle name="표준 25 3 2 2 4 6 2" xfId="19762"/>
    <cellStyle name="표준 25 3 2 2 4 7" xfId="19763"/>
    <cellStyle name="표준 25 3 2 2 4 8" xfId="19764"/>
    <cellStyle name="표준 25 3 2 2 5" xfId="19765"/>
    <cellStyle name="표준 25 3 2 2 5 2" xfId="19766"/>
    <cellStyle name="표준 25 3 2 2 5 2 2" xfId="19767"/>
    <cellStyle name="표준 25 3 2 2 5 2 2 2" xfId="19768"/>
    <cellStyle name="표준 25 3 2 2 5 2 2 2 2" xfId="19769"/>
    <cellStyle name="표준 25 3 2 2 5 2 2 2 2 2" xfId="19770"/>
    <cellStyle name="표준 25 3 2 2 5 2 2 2 3" xfId="19771"/>
    <cellStyle name="표준 25 3 2 2 5 2 2 3" xfId="19772"/>
    <cellStyle name="표준 25 3 2 2 5 2 2 3 2" xfId="19773"/>
    <cellStyle name="표준 25 3 2 2 5 2 2 4" xfId="19774"/>
    <cellStyle name="표준 25 3 2 2 5 2 3" xfId="19775"/>
    <cellStyle name="표준 25 3 2 2 5 2 3 2" xfId="19776"/>
    <cellStyle name="표준 25 3 2 2 5 2 3 2 2" xfId="19777"/>
    <cellStyle name="표준 25 3 2 2 5 2 3 3" xfId="19778"/>
    <cellStyle name="표준 25 3 2 2 5 2 4" xfId="19779"/>
    <cellStyle name="표준 25 3 2 2 5 2 4 2" xfId="19780"/>
    <cellStyle name="표준 25 3 2 2 5 2 5" xfId="19781"/>
    <cellStyle name="표준 25 3 2 2 5 3" xfId="19782"/>
    <cellStyle name="표준 25 3 2 2 5 3 2" xfId="19783"/>
    <cellStyle name="표준 25 3 2 2 5 3 2 2" xfId="19784"/>
    <cellStyle name="표준 25 3 2 2 5 3 2 2 2" xfId="19785"/>
    <cellStyle name="표준 25 3 2 2 5 3 2 3" xfId="19786"/>
    <cellStyle name="표준 25 3 2 2 5 3 3" xfId="19787"/>
    <cellStyle name="표준 25 3 2 2 5 3 3 2" xfId="19788"/>
    <cellStyle name="표준 25 3 2 2 5 3 4" xfId="19789"/>
    <cellStyle name="표준 25 3 2 2 5 4" xfId="19790"/>
    <cellStyle name="표준 25 3 2 2 5 4 2" xfId="19791"/>
    <cellStyle name="표준 25 3 2 2 5 4 2 2" xfId="19792"/>
    <cellStyle name="표준 25 3 2 2 5 4 3" xfId="19793"/>
    <cellStyle name="표준 25 3 2 2 5 5" xfId="19794"/>
    <cellStyle name="표준 25 3 2 2 5 5 2" xfId="19795"/>
    <cellStyle name="표준 25 3 2 2 5 6" xfId="19796"/>
    <cellStyle name="표준 25 3 2 2 6" xfId="19797"/>
    <cellStyle name="표준 25 3 2 2 6 2" xfId="19798"/>
    <cellStyle name="표준 25 3 2 2 6 2 2" xfId="19799"/>
    <cellStyle name="표준 25 3 2 2 6 2 2 2" xfId="19800"/>
    <cellStyle name="표준 25 3 2 2 6 2 2 2 2" xfId="19801"/>
    <cellStyle name="표준 25 3 2 2 6 2 2 3" xfId="19802"/>
    <cellStyle name="표준 25 3 2 2 6 2 3" xfId="19803"/>
    <cellStyle name="표준 25 3 2 2 6 2 3 2" xfId="19804"/>
    <cellStyle name="표준 25 3 2 2 6 2 4" xfId="19805"/>
    <cellStyle name="표준 25 3 2 2 6 3" xfId="19806"/>
    <cellStyle name="표준 25 3 2 2 6 3 2" xfId="19807"/>
    <cellStyle name="표준 25 3 2 2 6 3 2 2" xfId="19808"/>
    <cellStyle name="표준 25 3 2 2 6 3 3" xfId="19809"/>
    <cellStyle name="표준 25 3 2 2 6 4" xfId="19810"/>
    <cellStyle name="표준 25 3 2 2 6 4 2" xfId="19811"/>
    <cellStyle name="표준 25 3 2 2 6 5" xfId="19812"/>
    <cellStyle name="표준 25 3 2 2 7" xfId="19813"/>
    <cellStyle name="표준 25 3 2 2 7 2" xfId="19814"/>
    <cellStyle name="표준 25 3 2 2 7 2 2" xfId="19815"/>
    <cellStyle name="표준 25 3 2 2 7 2 2 2" xfId="19816"/>
    <cellStyle name="표준 25 3 2 2 7 2 3" xfId="19817"/>
    <cellStyle name="표준 25 3 2 2 7 3" xfId="19818"/>
    <cellStyle name="표준 25 3 2 2 7 3 2" xfId="19819"/>
    <cellStyle name="표준 25 3 2 2 7 4" xfId="19820"/>
    <cellStyle name="표준 25 3 2 2 8" xfId="19821"/>
    <cellStyle name="표준 25 3 2 2 8 2" xfId="19822"/>
    <cellStyle name="표준 25 3 2 2 8 2 2" xfId="19823"/>
    <cellStyle name="표준 25 3 2 2 8 3" xfId="19824"/>
    <cellStyle name="표준 25 3 2 2 9" xfId="19825"/>
    <cellStyle name="표준 25 3 2 2 9 2" xfId="19826"/>
    <cellStyle name="표준 25 3 2 3" xfId="19827"/>
    <cellStyle name="표준 25 3 2 3 10" xfId="19828"/>
    <cellStyle name="표준 25 3 2 3 2" xfId="19829"/>
    <cellStyle name="표준 25 3 2 3 2 2" xfId="19830"/>
    <cellStyle name="표준 25 3 2 3 2 2 2" xfId="19831"/>
    <cellStyle name="표준 25 3 2 3 2 2 2 2" xfId="19832"/>
    <cellStyle name="표준 25 3 2 3 2 2 2 2 2" xfId="19833"/>
    <cellStyle name="표준 25 3 2 3 2 2 2 2 2 2" xfId="19834"/>
    <cellStyle name="표준 25 3 2 3 2 2 2 2 2 2 2" xfId="19835"/>
    <cellStyle name="표준 25 3 2 3 2 2 2 2 2 2 2 2" xfId="19836"/>
    <cellStyle name="표준 25 3 2 3 2 2 2 2 2 2 3" xfId="19837"/>
    <cellStyle name="표준 25 3 2 3 2 2 2 2 2 3" xfId="19838"/>
    <cellStyle name="표준 25 3 2 3 2 2 2 2 2 3 2" xfId="19839"/>
    <cellStyle name="표준 25 3 2 3 2 2 2 2 2 4" xfId="19840"/>
    <cellStyle name="표준 25 3 2 3 2 2 2 2 3" xfId="19841"/>
    <cellStyle name="표준 25 3 2 3 2 2 2 2 3 2" xfId="19842"/>
    <cellStyle name="표준 25 3 2 3 2 2 2 2 3 2 2" xfId="19843"/>
    <cellStyle name="표준 25 3 2 3 2 2 2 2 3 3" xfId="19844"/>
    <cellStyle name="표준 25 3 2 3 2 2 2 2 4" xfId="19845"/>
    <cellStyle name="표준 25 3 2 3 2 2 2 2 4 2" xfId="19846"/>
    <cellStyle name="표준 25 3 2 3 2 2 2 2 5" xfId="19847"/>
    <cellStyle name="표준 25 3 2 3 2 2 2 3" xfId="19848"/>
    <cellStyle name="표준 25 3 2 3 2 2 2 3 2" xfId="19849"/>
    <cellStyle name="표준 25 3 2 3 2 2 2 3 2 2" xfId="19850"/>
    <cellStyle name="표준 25 3 2 3 2 2 2 3 2 2 2" xfId="19851"/>
    <cellStyle name="표준 25 3 2 3 2 2 2 3 2 3" xfId="19852"/>
    <cellStyle name="표준 25 3 2 3 2 2 2 3 3" xfId="19853"/>
    <cellStyle name="표준 25 3 2 3 2 2 2 3 3 2" xfId="19854"/>
    <cellStyle name="표준 25 3 2 3 2 2 2 3 4" xfId="19855"/>
    <cellStyle name="표준 25 3 2 3 2 2 2 4" xfId="19856"/>
    <cellStyle name="표준 25 3 2 3 2 2 2 4 2" xfId="19857"/>
    <cellStyle name="표준 25 3 2 3 2 2 2 4 2 2" xfId="19858"/>
    <cellStyle name="표준 25 3 2 3 2 2 2 4 3" xfId="19859"/>
    <cellStyle name="표준 25 3 2 3 2 2 2 5" xfId="19860"/>
    <cellStyle name="표준 25 3 2 3 2 2 2 5 2" xfId="19861"/>
    <cellStyle name="표준 25 3 2 3 2 2 2 6" xfId="19862"/>
    <cellStyle name="표준 25 3 2 3 2 2 3" xfId="19863"/>
    <cellStyle name="표준 25 3 2 3 2 2 3 2" xfId="19864"/>
    <cellStyle name="표준 25 3 2 3 2 2 3 2 2" xfId="19865"/>
    <cellStyle name="표준 25 3 2 3 2 2 3 2 2 2" xfId="19866"/>
    <cellStyle name="표준 25 3 2 3 2 2 3 2 2 2 2" xfId="19867"/>
    <cellStyle name="표준 25 3 2 3 2 2 3 2 2 3" xfId="19868"/>
    <cellStyle name="표준 25 3 2 3 2 2 3 2 3" xfId="19869"/>
    <cellStyle name="표준 25 3 2 3 2 2 3 2 3 2" xfId="19870"/>
    <cellStyle name="표준 25 3 2 3 2 2 3 2 4" xfId="19871"/>
    <cellStyle name="표준 25 3 2 3 2 2 3 3" xfId="19872"/>
    <cellStyle name="표준 25 3 2 3 2 2 3 3 2" xfId="19873"/>
    <cellStyle name="표준 25 3 2 3 2 2 3 3 2 2" xfId="19874"/>
    <cellStyle name="표준 25 3 2 3 2 2 3 3 3" xfId="19875"/>
    <cellStyle name="표준 25 3 2 3 2 2 3 4" xfId="19876"/>
    <cellStyle name="표준 25 3 2 3 2 2 3 4 2" xfId="19877"/>
    <cellStyle name="표준 25 3 2 3 2 2 3 5" xfId="19878"/>
    <cellStyle name="표준 25 3 2 3 2 2 4" xfId="19879"/>
    <cellStyle name="표준 25 3 2 3 2 2 4 2" xfId="19880"/>
    <cellStyle name="표준 25 3 2 3 2 2 4 2 2" xfId="19881"/>
    <cellStyle name="표준 25 3 2 3 2 2 4 2 2 2" xfId="19882"/>
    <cellStyle name="표준 25 3 2 3 2 2 4 2 3" xfId="19883"/>
    <cellStyle name="표준 25 3 2 3 2 2 4 3" xfId="19884"/>
    <cellStyle name="표준 25 3 2 3 2 2 4 3 2" xfId="19885"/>
    <cellStyle name="표준 25 3 2 3 2 2 4 4" xfId="19886"/>
    <cellStyle name="표준 25 3 2 3 2 2 5" xfId="19887"/>
    <cellStyle name="표준 25 3 2 3 2 2 5 2" xfId="19888"/>
    <cellStyle name="표준 25 3 2 3 2 2 5 2 2" xfId="19889"/>
    <cellStyle name="표준 25 3 2 3 2 2 5 3" xfId="19890"/>
    <cellStyle name="표준 25 3 2 3 2 2 6" xfId="19891"/>
    <cellStyle name="표준 25 3 2 3 2 2 6 2" xfId="19892"/>
    <cellStyle name="표준 25 3 2 3 2 2 7" xfId="19893"/>
    <cellStyle name="표준 25 3 2 3 2 2 8" xfId="19894"/>
    <cellStyle name="표준 25 3 2 3 2 3" xfId="19895"/>
    <cellStyle name="표준 25 3 2 3 2 3 2" xfId="19896"/>
    <cellStyle name="표준 25 3 2 3 2 3 2 2" xfId="19897"/>
    <cellStyle name="표준 25 3 2 3 2 3 2 2 2" xfId="19898"/>
    <cellStyle name="표준 25 3 2 3 2 3 2 2 2 2" xfId="19899"/>
    <cellStyle name="표준 25 3 2 3 2 3 2 2 2 2 2" xfId="19900"/>
    <cellStyle name="표준 25 3 2 3 2 3 2 2 2 3" xfId="19901"/>
    <cellStyle name="표준 25 3 2 3 2 3 2 2 3" xfId="19902"/>
    <cellStyle name="표준 25 3 2 3 2 3 2 2 3 2" xfId="19903"/>
    <cellStyle name="표준 25 3 2 3 2 3 2 2 4" xfId="19904"/>
    <cellStyle name="표준 25 3 2 3 2 3 2 3" xfId="19905"/>
    <cellStyle name="표준 25 3 2 3 2 3 2 3 2" xfId="19906"/>
    <cellStyle name="표준 25 3 2 3 2 3 2 3 2 2" xfId="19907"/>
    <cellStyle name="표준 25 3 2 3 2 3 2 3 3" xfId="19908"/>
    <cellStyle name="표준 25 3 2 3 2 3 2 4" xfId="19909"/>
    <cellStyle name="표준 25 3 2 3 2 3 2 4 2" xfId="19910"/>
    <cellStyle name="표준 25 3 2 3 2 3 2 5" xfId="19911"/>
    <cellStyle name="표준 25 3 2 3 2 3 3" xfId="19912"/>
    <cellStyle name="표준 25 3 2 3 2 3 3 2" xfId="19913"/>
    <cellStyle name="표준 25 3 2 3 2 3 3 2 2" xfId="19914"/>
    <cellStyle name="표준 25 3 2 3 2 3 3 2 2 2" xfId="19915"/>
    <cellStyle name="표준 25 3 2 3 2 3 3 2 3" xfId="19916"/>
    <cellStyle name="표준 25 3 2 3 2 3 3 3" xfId="19917"/>
    <cellStyle name="표준 25 3 2 3 2 3 3 3 2" xfId="19918"/>
    <cellStyle name="표준 25 3 2 3 2 3 3 4" xfId="19919"/>
    <cellStyle name="표준 25 3 2 3 2 3 4" xfId="19920"/>
    <cellStyle name="표준 25 3 2 3 2 3 4 2" xfId="19921"/>
    <cellStyle name="표준 25 3 2 3 2 3 4 2 2" xfId="19922"/>
    <cellStyle name="표준 25 3 2 3 2 3 4 3" xfId="19923"/>
    <cellStyle name="표준 25 3 2 3 2 3 5" xfId="19924"/>
    <cellStyle name="표준 25 3 2 3 2 3 5 2" xfId="19925"/>
    <cellStyle name="표준 25 3 2 3 2 3 6" xfId="19926"/>
    <cellStyle name="표준 25 3 2 3 2 4" xfId="19927"/>
    <cellStyle name="표준 25 3 2 3 2 4 2" xfId="19928"/>
    <cellStyle name="표준 25 3 2 3 2 4 2 2" xfId="19929"/>
    <cellStyle name="표준 25 3 2 3 2 4 2 2 2" xfId="19930"/>
    <cellStyle name="표준 25 3 2 3 2 4 2 2 2 2" xfId="19931"/>
    <cellStyle name="표준 25 3 2 3 2 4 2 2 3" xfId="19932"/>
    <cellStyle name="표준 25 3 2 3 2 4 2 3" xfId="19933"/>
    <cellStyle name="표준 25 3 2 3 2 4 2 3 2" xfId="19934"/>
    <cellStyle name="표준 25 3 2 3 2 4 2 4" xfId="19935"/>
    <cellStyle name="표준 25 3 2 3 2 4 3" xfId="19936"/>
    <cellStyle name="표준 25 3 2 3 2 4 3 2" xfId="19937"/>
    <cellStyle name="표준 25 3 2 3 2 4 3 2 2" xfId="19938"/>
    <cellStyle name="표준 25 3 2 3 2 4 3 3" xfId="19939"/>
    <cellStyle name="표준 25 3 2 3 2 4 4" xfId="19940"/>
    <cellStyle name="표준 25 3 2 3 2 4 4 2" xfId="19941"/>
    <cellStyle name="표준 25 3 2 3 2 4 5" xfId="19942"/>
    <cellStyle name="표준 25 3 2 3 2 5" xfId="19943"/>
    <cellStyle name="표준 25 3 2 3 2 5 2" xfId="19944"/>
    <cellStyle name="표준 25 3 2 3 2 5 2 2" xfId="19945"/>
    <cellStyle name="표준 25 3 2 3 2 5 2 2 2" xfId="19946"/>
    <cellStyle name="표준 25 3 2 3 2 5 2 3" xfId="19947"/>
    <cellStyle name="표준 25 3 2 3 2 5 3" xfId="19948"/>
    <cellStyle name="표준 25 3 2 3 2 5 3 2" xfId="19949"/>
    <cellStyle name="표준 25 3 2 3 2 5 4" xfId="19950"/>
    <cellStyle name="표준 25 3 2 3 2 6" xfId="19951"/>
    <cellStyle name="표준 25 3 2 3 2 6 2" xfId="19952"/>
    <cellStyle name="표준 25 3 2 3 2 6 2 2" xfId="19953"/>
    <cellStyle name="표준 25 3 2 3 2 6 3" xfId="19954"/>
    <cellStyle name="표준 25 3 2 3 2 7" xfId="19955"/>
    <cellStyle name="표준 25 3 2 3 2 7 2" xfId="19956"/>
    <cellStyle name="표준 25 3 2 3 2 8" xfId="19957"/>
    <cellStyle name="표준 25 3 2 3 2 9" xfId="19958"/>
    <cellStyle name="표준 25 3 2 3 3" xfId="19959"/>
    <cellStyle name="표준 25 3 2 3 3 2" xfId="19960"/>
    <cellStyle name="표준 25 3 2 3 3 2 2" xfId="19961"/>
    <cellStyle name="표준 25 3 2 3 3 2 2 2" xfId="19962"/>
    <cellStyle name="표준 25 3 2 3 3 2 2 2 2" xfId="19963"/>
    <cellStyle name="표준 25 3 2 3 3 2 2 2 2 2" xfId="19964"/>
    <cellStyle name="표준 25 3 2 3 3 2 2 2 2 2 2" xfId="19965"/>
    <cellStyle name="표준 25 3 2 3 3 2 2 2 2 3" xfId="19966"/>
    <cellStyle name="표준 25 3 2 3 3 2 2 2 3" xfId="19967"/>
    <cellStyle name="표준 25 3 2 3 3 2 2 2 3 2" xfId="19968"/>
    <cellStyle name="표준 25 3 2 3 3 2 2 2 4" xfId="19969"/>
    <cellStyle name="표준 25 3 2 3 3 2 2 3" xfId="19970"/>
    <cellStyle name="표준 25 3 2 3 3 2 2 3 2" xfId="19971"/>
    <cellStyle name="표준 25 3 2 3 3 2 2 3 2 2" xfId="19972"/>
    <cellStyle name="표준 25 3 2 3 3 2 2 3 3" xfId="19973"/>
    <cellStyle name="표준 25 3 2 3 3 2 2 4" xfId="19974"/>
    <cellStyle name="표준 25 3 2 3 3 2 2 4 2" xfId="19975"/>
    <cellStyle name="표준 25 3 2 3 3 2 2 5" xfId="19976"/>
    <cellStyle name="표준 25 3 2 3 3 2 3" xfId="19977"/>
    <cellStyle name="표준 25 3 2 3 3 2 3 2" xfId="19978"/>
    <cellStyle name="표준 25 3 2 3 3 2 3 2 2" xfId="19979"/>
    <cellStyle name="표준 25 3 2 3 3 2 3 2 2 2" xfId="19980"/>
    <cellStyle name="표준 25 3 2 3 3 2 3 2 3" xfId="19981"/>
    <cellStyle name="표준 25 3 2 3 3 2 3 3" xfId="19982"/>
    <cellStyle name="표준 25 3 2 3 3 2 3 3 2" xfId="19983"/>
    <cellStyle name="표준 25 3 2 3 3 2 3 4" xfId="19984"/>
    <cellStyle name="표준 25 3 2 3 3 2 4" xfId="19985"/>
    <cellStyle name="표준 25 3 2 3 3 2 4 2" xfId="19986"/>
    <cellStyle name="표준 25 3 2 3 3 2 4 2 2" xfId="19987"/>
    <cellStyle name="표준 25 3 2 3 3 2 4 3" xfId="19988"/>
    <cellStyle name="표준 25 3 2 3 3 2 5" xfId="19989"/>
    <cellStyle name="표준 25 3 2 3 3 2 5 2" xfId="19990"/>
    <cellStyle name="표준 25 3 2 3 3 2 6" xfId="19991"/>
    <cellStyle name="표준 25 3 2 3 3 3" xfId="19992"/>
    <cellStyle name="표준 25 3 2 3 3 3 2" xfId="19993"/>
    <cellStyle name="표준 25 3 2 3 3 3 2 2" xfId="19994"/>
    <cellStyle name="표준 25 3 2 3 3 3 2 2 2" xfId="19995"/>
    <cellStyle name="표준 25 3 2 3 3 3 2 2 2 2" xfId="19996"/>
    <cellStyle name="표준 25 3 2 3 3 3 2 2 3" xfId="19997"/>
    <cellStyle name="표준 25 3 2 3 3 3 2 3" xfId="19998"/>
    <cellStyle name="표준 25 3 2 3 3 3 2 3 2" xfId="19999"/>
    <cellStyle name="표준 25 3 2 3 3 3 2 4" xfId="20000"/>
    <cellStyle name="표준 25 3 2 3 3 3 3" xfId="20001"/>
    <cellStyle name="표준 25 3 2 3 3 3 3 2" xfId="20002"/>
    <cellStyle name="표준 25 3 2 3 3 3 3 2 2" xfId="20003"/>
    <cellStyle name="표준 25 3 2 3 3 3 3 3" xfId="20004"/>
    <cellStyle name="표준 25 3 2 3 3 3 4" xfId="20005"/>
    <cellStyle name="표준 25 3 2 3 3 3 4 2" xfId="20006"/>
    <cellStyle name="표준 25 3 2 3 3 3 5" xfId="20007"/>
    <cellStyle name="표준 25 3 2 3 3 4" xfId="20008"/>
    <cellStyle name="표준 25 3 2 3 3 4 2" xfId="20009"/>
    <cellStyle name="표준 25 3 2 3 3 4 2 2" xfId="20010"/>
    <cellStyle name="표준 25 3 2 3 3 4 2 2 2" xfId="20011"/>
    <cellStyle name="표준 25 3 2 3 3 4 2 3" xfId="20012"/>
    <cellStyle name="표준 25 3 2 3 3 4 3" xfId="20013"/>
    <cellStyle name="표준 25 3 2 3 3 4 3 2" xfId="20014"/>
    <cellStyle name="표준 25 3 2 3 3 4 4" xfId="20015"/>
    <cellStyle name="표준 25 3 2 3 3 5" xfId="20016"/>
    <cellStyle name="표준 25 3 2 3 3 5 2" xfId="20017"/>
    <cellStyle name="표준 25 3 2 3 3 5 2 2" xfId="20018"/>
    <cellStyle name="표준 25 3 2 3 3 5 3" xfId="20019"/>
    <cellStyle name="표준 25 3 2 3 3 6" xfId="20020"/>
    <cellStyle name="표준 25 3 2 3 3 6 2" xfId="20021"/>
    <cellStyle name="표준 25 3 2 3 3 7" xfId="20022"/>
    <cellStyle name="표준 25 3 2 3 3 8" xfId="20023"/>
    <cellStyle name="표준 25 3 2 3 4" xfId="20024"/>
    <cellStyle name="표준 25 3 2 3 4 2" xfId="20025"/>
    <cellStyle name="표준 25 3 2 3 4 2 2" xfId="20026"/>
    <cellStyle name="표준 25 3 2 3 4 2 2 2" xfId="20027"/>
    <cellStyle name="표준 25 3 2 3 4 2 2 2 2" xfId="20028"/>
    <cellStyle name="표준 25 3 2 3 4 2 2 2 2 2" xfId="20029"/>
    <cellStyle name="표준 25 3 2 3 4 2 2 2 3" xfId="20030"/>
    <cellStyle name="표준 25 3 2 3 4 2 2 3" xfId="20031"/>
    <cellStyle name="표준 25 3 2 3 4 2 2 3 2" xfId="20032"/>
    <cellStyle name="표준 25 3 2 3 4 2 2 4" xfId="20033"/>
    <cellStyle name="표준 25 3 2 3 4 2 3" xfId="20034"/>
    <cellStyle name="표준 25 3 2 3 4 2 3 2" xfId="20035"/>
    <cellStyle name="표준 25 3 2 3 4 2 3 2 2" xfId="20036"/>
    <cellStyle name="표준 25 3 2 3 4 2 3 3" xfId="20037"/>
    <cellStyle name="표준 25 3 2 3 4 2 4" xfId="20038"/>
    <cellStyle name="표준 25 3 2 3 4 2 4 2" xfId="20039"/>
    <cellStyle name="표준 25 3 2 3 4 2 5" xfId="20040"/>
    <cellStyle name="표준 25 3 2 3 4 3" xfId="20041"/>
    <cellStyle name="표준 25 3 2 3 4 3 2" xfId="20042"/>
    <cellStyle name="표준 25 3 2 3 4 3 2 2" xfId="20043"/>
    <cellStyle name="표준 25 3 2 3 4 3 2 2 2" xfId="20044"/>
    <cellStyle name="표준 25 3 2 3 4 3 2 3" xfId="20045"/>
    <cellStyle name="표준 25 3 2 3 4 3 3" xfId="20046"/>
    <cellStyle name="표준 25 3 2 3 4 3 3 2" xfId="20047"/>
    <cellStyle name="표준 25 3 2 3 4 3 4" xfId="20048"/>
    <cellStyle name="표준 25 3 2 3 4 4" xfId="20049"/>
    <cellStyle name="표준 25 3 2 3 4 4 2" xfId="20050"/>
    <cellStyle name="표준 25 3 2 3 4 4 2 2" xfId="20051"/>
    <cellStyle name="표준 25 3 2 3 4 4 3" xfId="20052"/>
    <cellStyle name="표준 25 3 2 3 4 5" xfId="20053"/>
    <cellStyle name="표준 25 3 2 3 4 5 2" xfId="20054"/>
    <cellStyle name="표준 25 3 2 3 4 6" xfId="20055"/>
    <cellStyle name="표준 25 3 2 3 5" xfId="20056"/>
    <cellStyle name="표준 25 3 2 3 5 2" xfId="20057"/>
    <cellStyle name="표준 25 3 2 3 5 2 2" xfId="20058"/>
    <cellStyle name="표준 25 3 2 3 5 2 2 2" xfId="20059"/>
    <cellStyle name="표준 25 3 2 3 5 2 2 2 2" xfId="20060"/>
    <cellStyle name="표준 25 3 2 3 5 2 2 3" xfId="20061"/>
    <cellStyle name="표준 25 3 2 3 5 2 3" xfId="20062"/>
    <cellStyle name="표준 25 3 2 3 5 2 3 2" xfId="20063"/>
    <cellStyle name="표준 25 3 2 3 5 2 4" xfId="20064"/>
    <cellStyle name="표준 25 3 2 3 5 3" xfId="20065"/>
    <cellStyle name="표준 25 3 2 3 5 3 2" xfId="20066"/>
    <cellStyle name="표준 25 3 2 3 5 3 2 2" xfId="20067"/>
    <cellStyle name="표준 25 3 2 3 5 3 3" xfId="20068"/>
    <cellStyle name="표준 25 3 2 3 5 4" xfId="20069"/>
    <cellStyle name="표준 25 3 2 3 5 4 2" xfId="20070"/>
    <cellStyle name="표준 25 3 2 3 5 5" xfId="20071"/>
    <cellStyle name="표준 25 3 2 3 6" xfId="20072"/>
    <cellStyle name="표준 25 3 2 3 6 2" xfId="20073"/>
    <cellStyle name="표준 25 3 2 3 6 2 2" xfId="20074"/>
    <cellStyle name="표준 25 3 2 3 6 2 2 2" xfId="20075"/>
    <cellStyle name="표준 25 3 2 3 6 2 3" xfId="20076"/>
    <cellStyle name="표준 25 3 2 3 6 3" xfId="20077"/>
    <cellStyle name="표준 25 3 2 3 6 3 2" xfId="20078"/>
    <cellStyle name="표준 25 3 2 3 6 4" xfId="20079"/>
    <cellStyle name="표준 25 3 2 3 7" xfId="20080"/>
    <cellStyle name="표준 25 3 2 3 7 2" xfId="20081"/>
    <cellStyle name="표준 25 3 2 3 7 2 2" xfId="20082"/>
    <cellStyle name="표준 25 3 2 3 7 3" xfId="20083"/>
    <cellStyle name="표준 25 3 2 3 8" xfId="20084"/>
    <cellStyle name="표준 25 3 2 3 8 2" xfId="20085"/>
    <cellStyle name="표준 25 3 2 3 9" xfId="20086"/>
    <cellStyle name="표준 25 3 2 4" xfId="20087"/>
    <cellStyle name="표준 25 3 2 4 2" xfId="20088"/>
    <cellStyle name="표준 25 3 2 4 2 2" xfId="20089"/>
    <cellStyle name="표준 25 3 2 4 2 2 2" xfId="20090"/>
    <cellStyle name="표준 25 3 2 4 2 2 2 2" xfId="20091"/>
    <cellStyle name="표준 25 3 2 4 2 2 2 2 2" xfId="20092"/>
    <cellStyle name="표준 25 3 2 4 2 2 2 2 2 2" xfId="20093"/>
    <cellStyle name="표준 25 3 2 4 2 2 2 2 2 2 2" xfId="20094"/>
    <cellStyle name="표준 25 3 2 4 2 2 2 2 2 3" xfId="20095"/>
    <cellStyle name="표준 25 3 2 4 2 2 2 2 3" xfId="20096"/>
    <cellStyle name="표준 25 3 2 4 2 2 2 2 3 2" xfId="20097"/>
    <cellStyle name="표준 25 3 2 4 2 2 2 2 4" xfId="20098"/>
    <cellStyle name="표준 25 3 2 4 2 2 2 3" xfId="20099"/>
    <cellStyle name="표준 25 3 2 4 2 2 2 3 2" xfId="20100"/>
    <cellStyle name="표준 25 3 2 4 2 2 2 3 2 2" xfId="20101"/>
    <cellStyle name="표준 25 3 2 4 2 2 2 3 3" xfId="20102"/>
    <cellStyle name="표준 25 3 2 4 2 2 2 4" xfId="20103"/>
    <cellStyle name="표준 25 3 2 4 2 2 2 4 2" xfId="20104"/>
    <cellStyle name="표준 25 3 2 4 2 2 2 5" xfId="20105"/>
    <cellStyle name="표준 25 3 2 4 2 2 3" xfId="20106"/>
    <cellStyle name="표준 25 3 2 4 2 2 3 2" xfId="20107"/>
    <cellStyle name="표준 25 3 2 4 2 2 3 2 2" xfId="20108"/>
    <cellStyle name="표준 25 3 2 4 2 2 3 2 2 2" xfId="20109"/>
    <cellStyle name="표준 25 3 2 4 2 2 3 2 3" xfId="20110"/>
    <cellStyle name="표준 25 3 2 4 2 2 3 3" xfId="20111"/>
    <cellStyle name="표준 25 3 2 4 2 2 3 3 2" xfId="20112"/>
    <cellStyle name="표준 25 3 2 4 2 2 3 4" xfId="20113"/>
    <cellStyle name="표준 25 3 2 4 2 2 4" xfId="20114"/>
    <cellStyle name="표준 25 3 2 4 2 2 4 2" xfId="20115"/>
    <cellStyle name="표준 25 3 2 4 2 2 4 2 2" xfId="20116"/>
    <cellStyle name="표준 25 3 2 4 2 2 4 3" xfId="20117"/>
    <cellStyle name="표준 25 3 2 4 2 2 5" xfId="20118"/>
    <cellStyle name="표준 25 3 2 4 2 2 5 2" xfId="20119"/>
    <cellStyle name="표준 25 3 2 4 2 2 6" xfId="20120"/>
    <cellStyle name="표준 25 3 2 4 2 3" xfId="20121"/>
    <cellStyle name="표준 25 3 2 4 2 3 2" xfId="20122"/>
    <cellStyle name="표준 25 3 2 4 2 3 2 2" xfId="20123"/>
    <cellStyle name="표준 25 3 2 4 2 3 2 2 2" xfId="20124"/>
    <cellStyle name="표준 25 3 2 4 2 3 2 2 2 2" xfId="20125"/>
    <cellStyle name="표준 25 3 2 4 2 3 2 2 3" xfId="20126"/>
    <cellStyle name="표준 25 3 2 4 2 3 2 3" xfId="20127"/>
    <cellStyle name="표준 25 3 2 4 2 3 2 3 2" xfId="20128"/>
    <cellStyle name="표준 25 3 2 4 2 3 2 4" xfId="20129"/>
    <cellStyle name="표준 25 3 2 4 2 3 3" xfId="20130"/>
    <cellStyle name="표준 25 3 2 4 2 3 3 2" xfId="20131"/>
    <cellStyle name="표준 25 3 2 4 2 3 3 2 2" xfId="20132"/>
    <cellStyle name="표준 25 3 2 4 2 3 3 3" xfId="20133"/>
    <cellStyle name="표준 25 3 2 4 2 3 4" xfId="20134"/>
    <cellStyle name="표준 25 3 2 4 2 3 4 2" xfId="20135"/>
    <cellStyle name="표준 25 3 2 4 2 3 5" xfId="20136"/>
    <cellStyle name="표준 25 3 2 4 2 4" xfId="20137"/>
    <cellStyle name="표준 25 3 2 4 2 4 2" xfId="20138"/>
    <cellStyle name="표준 25 3 2 4 2 4 2 2" xfId="20139"/>
    <cellStyle name="표준 25 3 2 4 2 4 2 2 2" xfId="20140"/>
    <cellStyle name="표준 25 3 2 4 2 4 2 3" xfId="20141"/>
    <cellStyle name="표준 25 3 2 4 2 4 3" xfId="20142"/>
    <cellStyle name="표준 25 3 2 4 2 4 3 2" xfId="20143"/>
    <cellStyle name="표준 25 3 2 4 2 4 4" xfId="20144"/>
    <cellStyle name="표준 25 3 2 4 2 5" xfId="20145"/>
    <cellStyle name="표준 25 3 2 4 2 5 2" xfId="20146"/>
    <cellStyle name="표준 25 3 2 4 2 5 2 2" xfId="20147"/>
    <cellStyle name="표준 25 3 2 4 2 5 3" xfId="20148"/>
    <cellStyle name="표준 25 3 2 4 2 6" xfId="20149"/>
    <cellStyle name="표준 25 3 2 4 2 6 2" xfId="20150"/>
    <cellStyle name="표준 25 3 2 4 2 7" xfId="20151"/>
    <cellStyle name="표준 25 3 2 4 2 8" xfId="20152"/>
    <cellStyle name="표준 25 3 2 4 3" xfId="20153"/>
    <cellStyle name="표준 25 3 2 4 3 2" xfId="20154"/>
    <cellStyle name="표준 25 3 2 4 3 2 2" xfId="20155"/>
    <cellStyle name="표준 25 3 2 4 3 2 2 2" xfId="20156"/>
    <cellStyle name="표준 25 3 2 4 3 2 2 2 2" xfId="20157"/>
    <cellStyle name="표준 25 3 2 4 3 2 2 2 2 2" xfId="20158"/>
    <cellStyle name="표준 25 3 2 4 3 2 2 2 3" xfId="20159"/>
    <cellStyle name="표준 25 3 2 4 3 2 2 3" xfId="20160"/>
    <cellStyle name="표준 25 3 2 4 3 2 2 3 2" xfId="20161"/>
    <cellStyle name="표준 25 3 2 4 3 2 2 4" xfId="20162"/>
    <cellStyle name="표준 25 3 2 4 3 2 3" xfId="20163"/>
    <cellStyle name="표준 25 3 2 4 3 2 3 2" xfId="20164"/>
    <cellStyle name="표준 25 3 2 4 3 2 3 2 2" xfId="20165"/>
    <cellStyle name="표준 25 3 2 4 3 2 3 3" xfId="20166"/>
    <cellStyle name="표준 25 3 2 4 3 2 4" xfId="20167"/>
    <cellStyle name="표준 25 3 2 4 3 2 4 2" xfId="20168"/>
    <cellStyle name="표준 25 3 2 4 3 2 5" xfId="20169"/>
    <cellStyle name="표준 25 3 2 4 3 3" xfId="20170"/>
    <cellStyle name="표준 25 3 2 4 3 3 2" xfId="20171"/>
    <cellStyle name="표준 25 3 2 4 3 3 2 2" xfId="20172"/>
    <cellStyle name="표준 25 3 2 4 3 3 2 2 2" xfId="20173"/>
    <cellStyle name="표준 25 3 2 4 3 3 2 3" xfId="20174"/>
    <cellStyle name="표준 25 3 2 4 3 3 3" xfId="20175"/>
    <cellStyle name="표준 25 3 2 4 3 3 3 2" xfId="20176"/>
    <cellStyle name="표준 25 3 2 4 3 3 4" xfId="20177"/>
    <cellStyle name="표준 25 3 2 4 3 4" xfId="20178"/>
    <cellStyle name="표준 25 3 2 4 3 4 2" xfId="20179"/>
    <cellStyle name="표준 25 3 2 4 3 4 2 2" xfId="20180"/>
    <cellStyle name="표준 25 3 2 4 3 4 3" xfId="20181"/>
    <cellStyle name="표준 25 3 2 4 3 5" xfId="20182"/>
    <cellStyle name="표준 25 3 2 4 3 5 2" xfId="20183"/>
    <cellStyle name="표준 25 3 2 4 3 6" xfId="20184"/>
    <cellStyle name="표준 25 3 2 4 4" xfId="20185"/>
    <cellStyle name="표준 25 3 2 4 4 2" xfId="20186"/>
    <cellStyle name="표준 25 3 2 4 4 2 2" xfId="20187"/>
    <cellStyle name="표준 25 3 2 4 4 2 2 2" xfId="20188"/>
    <cellStyle name="표준 25 3 2 4 4 2 2 2 2" xfId="20189"/>
    <cellStyle name="표준 25 3 2 4 4 2 2 3" xfId="20190"/>
    <cellStyle name="표준 25 3 2 4 4 2 3" xfId="20191"/>
    <cellStyle name="표준 25 3 2 4 4 2 3 2" xfId="20192"/>
    <cellStyle name="표준 25 3 2 4 4 2 4" xfId="20193"/>
    <cellStyle name="표준 25 3 2 4 4 3" xfId="20194"/>
    <cellStyle name="표준 25 3 2 4 4 3 2" xfId="20195"/>
    <cellStyle name="표준 25 3 2 4 4 3 2 2" xfId="20196"/>
    <cellStyle name="표준 25 3 2 4 4 3 3" xfId="20197"/>
    <cellStyle name="표준 25 3 2 4 4 4" xfId="20198"/>
    <cellStyle name="표준 25 3 2 4 4 4 2" xfId="20199"/>
    <cellStyle name="표준 25 3 2 4 4 5" xfId="20200"/>
    <cellStyle name="표준 25 3 2 4 5" xfId="20201"/>
    <cellStyle name="표준 25 3 2 4 5 2" xfId="20202"/>
    <cellStyle name="표준 25 3 2 4 5 2 2" xfId="20203"/>
    <cellStyle name="표준 25 3 2 4 5 2 2 2" xfId="20204"/>
    <cellStyle name="표준 25 3 2 4 5 2 3" xfId="20205"/>
    <cellStyle name="표준 25 3 2 4 5 3" xfId="20206"/>
    <cellStyle name="표준 25 3 2 4 5 3 2" xfId="20207"/>
    <cellStyle name="표준 25 3 2 4 5 4" xfId="20208"/>
    <cellStyle name="표준 25 3 2 4 6" xfId="20209"/>
    <cellStyle name="표준 25 3 2 4 6 2" xfId="20210"/>
    <cellStyle name="표준 25 3 2 4 6 2 2" xfId="20211"/>
    <cellStyle name="표준 25 3 2 4 6 3" xfId="20212"/>
    <cellStyle name="표준 25 3 2 4 7" xfId="20213"/>
    <cellStyle name="표준 25 3 2 4 7 2" xfId="20214"/>
    <cellStyle name="표준 25 3 2 4 8" xfId="20215"/>
    <cellStyle name="표준 25 3 2 4 9" xfId="20216"/>
    <cellStyle name="표준 25 3 2 5" xfId="20217"/>
    <cellStyle name="표준 25 3 2 5 2" xfId="20218"/>
    <cellStyle name="표준 25 3 2 5 2 2" xfId="20219"/>
    <cellStyle name="표준 25 3 2 5 2 2 2" xfId="20220"/>
    <cellStyle name="표준 25 3 2 5 2 2 2 2" xfId="20221"/>
    <cellStyle name="표준 25 3 2 5 2 2 2 2 2" xfId="20222"/>
    <cellStyle name="표준 25 3 2 5 2 2 2 2 2 2" xfId="20223"/>
    <cellStyle name="표준 25 3 2 5 2 2 2 2 3" xfId="20224"/>
    <cellStyle name="표준 25 3 2 5 2 2 2 3" xfId="20225"/>
    <cellStyle name="표준 25 3 2 5 2 2 2 3 2" xfId="20226"/>
    <cellStyle name="표준 25 3 2 5 2 2 2 4" xfId="20227"/>
    <cellStyle name="표준 25 3 2 5 2 2 3" xfId="20228"/>
    <cellStyle name="표준 25 3 2 5 2 2 3 2" xfId="20229"/>
    <cellStyle name="표준 25 3 2 5 2 2 3 2 2" xfId="20230"/>
    <cellStyle name="표준 25 3 2 5 2 2 3 3" xfId="20231"/>
    <cellStyle name="표준 25 3 2 5 2 2 4" xfId="20232"/>
    <cellStyle name="표준 25 3 2 5 2 2 4 2" xfId="20233"/>
    <cellStyle name="표준 25 3 2 5 2 2 5" xfId="20234"/>
    <cellStyle name="표준 25 3 2 5 2 3" xfId="20235"/>
    <cellStyle name="표준 25 3 2 5 2 3 2" xfId="20236"/>
    <cellStyle name="표준 25 3 2 5 2 3 2 2" xfId="20237"/>
    <cellStyle name="표준 25 3 2 5 2 3 2 2 2" xfId="20238"/>
    <cellStyle name="표준 25 3 2 5 2 3 2 3" xfId="20239"/>
    <cellStyle name="표준 25 3 2 5 2 3 3" xfId="20240"/>
    <cellStyle name="표준 25 3 2 5 2 3 3 2" xfId="20241"/>
    <cellStyle name="표준 25 3 2 5 2 3 4" xfId="20242"/>
    <cellStyle name="표준 25 3 2 5 2 4" xfId="20243"/>
    <cellStyle name="표준 25 3 2 5 2 4 2" xfId="20244"/>
    <cellStyle name="표준 25 3 2 5 2 4 2 2" xfId="20245"/>
    <cellStyle name="표준 25 3 2 5 2 4 3" xfId="20246"/>
    <cellStyle name="표준 25 3 2 5 2 5" xfId="20247"/>
    <cellStyle name="표준 25 3 2 5 2 5 2" xfId="20248"/>
    <cellStyle name="표준 25 3 2 5 2 6" xfId="20249"/>
    <cellStyle name="표준 25 3 2 5 3" xfId="20250"/>
    <cellStyle name="표준 25 3 2 5 3 2" xfId="20251"/>
    <cellStyle name="표준 25 3 2 5 3 2 2" xfId="20252"/>
    <cellStyle name="표준 25 3 2 5 3 2 2 2" xfId="20253"/>
    <cellStyle name="표준 25 3 2 5 3 2 2 2 2" xfId="20254"/>
    <cellStyle name="표준 25 3 2 5 3 2 2 3" xfId="20255"/>
    <cellStyle name="표준 25 3 2 5 3 2 3" xfId="20256"/>
    <cellStyle name="표준 25 3 2 5 3 2 3 2" xfId="20257"/>
    <cellStyle name="표준 25 3 2 5 3 2 4" xfId="20258"/>
    <cellStyle name="표준 25 3 2 5 3 3" xfId="20259"/>
    <cellStyle name="표준 25 3 2 5 3 3 2" xfId="20260"/>
    <cellStyle name="표준 25 3 2 5 3 3 2 2" xfId="20261"/>
    <cellStyle name="표준 25 3 2 5 3 3 3" xfId="20262"/>
    <cellStyle name="표준 25 3 2 5 3 4" xfId="20263"/>
    <cellStyle name="표준 25 3 2 5 3 4 2" xfId="20264"/>
    <cellStyle name="표준 25 3 2 5 3 5" xfId="20265"/>
    <cellStyle name="표준 25 3 2 5 4" xfId="20266"/>
    <cellStyle name="표준 25 3 2 5 4 2" xfId="20267"/>
    <cellStyle name="표준 25 3 2 5 4 2 2" xfId="20268"/>
    <cellStyle name="표준 25 3 2 5 4 2 2 2" xfId="20269"/>
    <cellStyle name="표준 25 3 2 5 4 2 3" xfId="20270"/>
    <cellStyle name="표준 25 3 2 5 4 3" xfId="20271"/>
    <cellStyle name="표준 25 3 2 5 4 3 2" xfId="20272"/>
    <cellStyle name="표준 25 3 2 5 4 4" xfId="20273"/>
    <cellStyle name="표준 25 3 2 5 5" xfId="20274"/>
    <cellStyle name="표준 25 3 2 5 5 2" xfId="20275"/>
    <cellStyle name="표준 25 3 2 5 5 2 2" xfId="20276"/>
    <cellStyle name="표준 25 3 2 5 5 3" xfId="20277"/>
    <cellStyle name="표준 25 3 2 5 6" xfId="20278"/>
    <cellStyle name="표준 25 3 2 5 6 2" xfId="20279"/>
    <cellStyle name="표준 25 3 2 5 7" xfId="20280"/>
    <cellStyle name="표준 25 3 2 5 8" xfId="20281"/>
    <cellStyle name="표준 25 3 2 6" xfId="20282"/>
    <cellStyle name="표준 25 3 2 6 2" xfId="20283"/>
    <cellStyle name="표준 25 3 2 6 2 2" xfId="20284"/>
    <cellStyle name="표준 25 3 2 6 2 2 2" xfId="20285"/>
    <cellStyle name="표준 25 3 2 6 2 2 2 2" xfId="20286"/>
    <cellStyle name="표준 25 3 2 6 2 2 2 2 2" xfId="20287"/>
    <cellStyle name="표준 25 3 2 6 2 2 2 3" xfId="20288"/>
    <cellStyle name="표준 25 3 2 6 2 2 3" xfId="20289"/>
    <cellStyle name="표준 25 3 2 6 2 2 3 2" xfId="20290"/>
    <cellStyle name="표준 25 3 2 6 2 2 4" xfId="20291"/>
    <cellStyle name="표준 25 3 2 6 2 3" xfId="20292"/>
    <cellStyle name="표준 25 3 2 6 2 3 2" xfId="20293"/>
    <cellStyle name="표준 25 3 2 6 2 3 2 2" xfId="20294"/>
    <cellStyle name="표준 25 3 2 6 2 3 3" xfId="20295"/>
    <cellStyle name="표준 25 3 2 6 2 4" xfId="20296"/>
    <cellStyle name="표준 25 3 2 6 2 4 2" xfId="20297"/>
    <cellStyle name="표준 25 3 2 6 2 5" xfId="20298"/>
    <cellStyle name="표준 25 3 2 6 3" xfId="20299"/>
    <cellStyle name="표준 25 3 2 6 3 2" xfId="20300"/>
    <cellStyle name="표준 25 3 2 6 3 2 2" xfId="20301"/>
    <cellStyle name="표준 25 3 2 6 3 2 2 2" xfId="20302"/>
    <cellStyle name="표준 25 3 2 6 3 2 3" xfId="20303"/>
    <cellStyle name="표준 25 3 2 6 3 3" xfId="20304"/>
    <cellStyle name="표준 25 3 2 6 3 3 2" xfId="20305"/>
    <cellStyle name="표준 25 3 2 6 3 4" xfId="20306"/>
    <cellStyle name="표준 25 3 2 6 4" xfId="20307"/>
    <cellStyle name="표준 25 3 2 6 4 2" xfId="20308"/>
    <cellStyle name="표준 25 3 2 6 4 2 2" xfId="20309"/>
    <cellStyle name="표준 25 3 2 6 4 3" xfId="20310"/>
    <cellStyle name="표준 25 3 2 6 5" xfId="20311"/>
    <cellStyle name="표준 25 3 2 6 5 2" xfId="20312"/>
    <cellStyle name="표준 25 3 2 6 6" xfId="20313"/>
    <cellStyle name="표준 25 3 2 7" xfId="20314"/>
    <cellStyle name="표준 25 3 2 7 2" xfId="20315"/>
    <cellStyle name="표준 25 3 2 7 2 2" xfId="20316"/>
    <cellStyle name="표준 25 3 2 7 2 2 2" xfId="20317"/>
    <cellStyle name="표준 25 3 2 7 2 2 2 2" xfId="20318"/>
    <cellStyle name="표준 25 3 2 7 2 2 3" xfId="20319"/>
    <cellStyle name="표준 25 3 2 7 2 3" xfId="20320"/>
    <cellStyle name="표준 25 3 2 7 2 3 2" xfId="20321"/>
    <cellStyle name="표준 25 3 2 7 2 4" xfId="20322"/>
    <cellStyle name="표준 25 3 2 7 3" xfId="20323"/>
    <cellStyle name="표준 25 3 2 7 3 2" xfId="20324"/>
    <cellStyle name="표준 25 3 2 7 3 2 2" xfId="20325"/>
    <cellStyle name="표준 25 3 2 7 3 3" xfId="20326"/>
    <cellStyle name="표준 25 3 2 7 4" xfId="20327"/>
    <cellStyle name="표준 25 3 2 7 4 2" xfId="20328"/>
    <cellStyle name="표준 25 3 2 7 5" xfId="20329"/>
    <cellStyle name="표준 25 3 2 8" xfId="20330"/>
    <cellStyle name="표준 25 3 2 8 2" xfId="20331"/>
    <cellStyle name="표준 25 3 2 8 2 2" xfId="20332"/>
    <cellStyle name="표준 25 3 2 8 2 2 2" xfId="20333"/>
    <cellStyle name="표준 25 3 2 8 2 3" xfId="20334"/>
    <cellStyle name="표준 25 3 2 8 3" xfId="20335"/>
    <cellStyle name="표준 25 3 2 8 3 2" xfId="20336"/>
    <cellStyle name="표준 25 3 2 8 4" xfId="20337"/>
    <cellStyle name="표준 25 3 2 9" xfId="20338"/>
    <cellStyle name="표준 25 3 2 9 2" xfId="20339"/>
    <cellStyle name="표준 25 3 2 9 2 2" xfId="20340"/>
    <cellStyle name="표준 25 3 2 9 3" xfId="20341"/>
    <cellStyle name="표준 25 3 3" xfId="20342"/>
    <cellStyle name="표준 25 3 3 10" xfId="20343"/>
    <cellStyle name="표준 25 3 3 11" xfId="20344"/>
    <cellStyle name="표준 25 3 3 2" xfId="20345"/>
    <cellStyle name="표준 25 3 3 2 10" xfId="20346"/>
    <cellStyle name="표준 25 3 3 2 2" xfId="20347"/>
    <cellStyle name="표준 25 3 3 2 2 2" xfId="20348"/>
    <cellStyle name="표준 25 3 3 2 2 2 2" xfId="20349"/>
    <cellStyle name="표준 25 3 3 2 2 2 2 2" xfId="20350"/>
    <cellStyle name="표준 25 3 3 2 2 2 2 2 2" xfId="20351"/>
    <cellStyle name="표준 25 3 3 2 2 2 2 2 2 2" xfId="20352"/>
    <cellStyle name="표준 25 3 3 2 2 2 2 2 2 2 2" xfId="20353"/>
    <cellStyle name="표준 25 3 3 2 2 2 2 2 2 2 2 2" xfId="20354"/>
    <cellStyle name="표준 25 3 3 2 2 2 2 2 2 2 3" xfId="20355"/>
    <cellStyle name="표준 25 3 3 2 2 2 2 2 2 3" xfId="20356"/>
    <cellStyle name="표준 25 3 3 2 2 2 2 2 2 3 2" xfId="20357"/>
    <cellStyle name="표준 25 3 3 2 2 2 2 2 2 4" xfId="20358"/>
    <cellStyle name="표준 25 3 3 2 2 2 2 2 3" xfId="20359"/>
    <cellStyle name="표준 25 3 3 2 2 2 2 2 3 2" xfId="20360"/>
    <cellStyle name="표준 25 3 3 2 2 2 2 2 3 2 2" xfId="20361"/>
    <cellStyle name="표준 25 3 3 2 2 2 2 2 3 3" xfId="20362"/>
    <cellStyle name="표준 25 3 3 2 2 2 2 2 4" xfId="20363"/>
    <cellStyle name="표준 25 3 3 2 2 2 2 2 4 2" xfId="20364"/>
    <cellStyle name="표준 25 3 3 2 2 2 2 2 5" xfId="20365"/>
    <cellStyle name="표준 25 3 3 2 2 2 2 3" xfId="20366"/>
    <cellStyle name="표준 25 3 3 2 2 2 2 3 2" xfId="20367"/>
    <cellStyle name="표준 25 3 3 2 2 2 2 3 2 2" xfId="20368"/>
    <cellStyle name="표준 25 3 3 2 2 2 2 3 2 2 2" xfId="20369"/>
    <cellStyle name="표준 25 3 3 2 2 2 2 3 2 3" xfId="20370"/>
    <cellStyle name="표준 25 3 3 2 2 2 2 3 3" xfId="20371"/>
    <cellStyle name="표준 25 3 3 2 2 2 2 3 3 2" xfId="20372"/>
    <cellStyle name="표준 25 3 3 2 2 2 2 3 4" xfId="20373"/>
    <cellStyle name="표준 25 3 3 2 2 2 2 4" xfId="20374"/>
    <cellStyle name="표준 25 3 3 2 2 2 2 4 2" xfId="20375"/>
    <cellStyle name="표준 25 3 3 2 2 2 2 4 2 2" xfId="20376"/>
    <cellStyle name="표준 25 3 3 2 2 2 2 4 3" xfId="20377"/>
    <cellStyle name="표준 25 3 3 2 2 2 2 5" xfId="20378"/>
    <cellStyle name="표준 25 3 3 2 2 2 2 5 2" xfId="20379"/>
    <cellStyle name="표준 25 3 3 2 2 2 2 6" xfId="20380"/>
    <cellStyle name="표준 25 3 3 2 2 2 3" xfId="20381"/>
    <cellStyle name="표준 25 3 3 2 2 2 3 2" xfId="20382"/>
    <cellStyle name="표준 25 3 3 2 2 2 3 2 2" xfId="20383"/>
    <cellStyle name="표준 25 3 3 2 2 2 3 2 2 2" xfId="20384"/>
    <cellStyle name="표준 25 3 3 2 2 2 3 2 2 2 2" xfId="20385"/>
    <cellStyle name="표준 25 3 3 2 2 2 3 2 2 3" xfId="20386"/>
    <cellStyle name="표준 25 3 3 2 2 2 3 2 3" xfId="20387"/>
    <cellStyle name="표준 25 3 3 2 2 2 3 2 3 2" xfId="20388"/>
    <cellStyle name="표준 25 3 3 2 2 2 3 2 4" xfId="20389"/>
    <cellStyle name="표준 25 3 3 2 2 2 3 3" xfId="20390"/>
    <cellStyle name="표준 25 3 3 2 2 2 3 3 2" xfId="20391"/>
    <cellStyle name="표준 25 3 3 2 2 2 3 3 2 2" xfId="20392"/>
    <cellStyle name="표준 25 3 3 2 2 2 3 3 3" xfId="20393"/>
    <cellStyle name="표준 25 3 3 2 2 2 3 4" xfId="20394"/>
    <cellStyle name="표준 25 3 3 2 2 2 3 4 2" xfId="20395"/>
    <cellStyle name="표준 25 3 3 2 2 2 3 5" xfId="20396"/>
    <cellStyle name="표준 25 3 3 2 2 2 4" xfId="20397"/>
    <cellStyle name="표준 25 3 3 2 2 2 4 2" xfId="20398"/>
    <cellStyle name="표준 25 3 3 2 2 2 4 2 2" xfId="20399"/>
    <cellStyle name="표준 25 3 3 2 2 2 4 2 2 2" xfId="20400"/>
    <cellStyle name="표준 25 3 3 2 2 2 4 2 3" xfId="20401"/>
    <cellStyle name="표준 25 3 3 2 2 2 4 3" xfId="20402"/>
    <cellStyle name="표준 25 3 3 2 2 2 4 3 2" xfId="20403"/>
    <cellStyle name="표준 25 3 3 2 2 2 4 4" xfId="20404"/>
    <cellStyle name="표준 25 3 3 2 2 2 5" xfId="20405"/>
    <cellStyle name="표준 25 3 3 2 2 2 5 2" xfId="20406"/>
    <cellStyle name="표준 25 3 3 2 2 2 5 2 2" xfId="20407"/>
    <cellStyle name="표준 25 3 3 2 2 2 5 3" xfId="20408"/>
    <cellStyle name="표준 25 3 3 2 2 2 6" xfId="20409"/>
    <cellStyle name="표준 25 3 3 2 2 2 6 2" xfId="20410"/>
    <cellStyle name="표준 25 3 3 2 2 2 7" xfId="20411"/>
    <cellStyle name="표준 25 3 3 2 2 2 8" xfId="20412"/>
    <cellStyle name="표준 25 3 3 2 2 3" xfId="20413"/>
    <cellStyle name="표준 25 3 3 2 2 3 2" xfId="20414"/>
    <cellStyle name="표준 25 3 3 2 2 3 2 2" xfId="20415"/>
    <cellStyle name="표준 25 3 3 2 2 3 2 2 2" xfId="20416"/>
    <cellStyle name="표준 25 3 3 2 2 3 2 2 2 2" xfId="20417"/>
    <cellStyle name="표준 25 3 3 2 2 3 2 2 2 2 2" xfId="20418"/>
    <cellStyle name="표준 25 3 3 2 2 3 2 2 2 3" xfId="20419"/>
    <cellStyle name="표준 25 3 3 2 2 3 2 2 3" xfId="20420"/>
    <cellStyle name="표준 25 3 3 2 2 3 2 2 3 2" xfId="20421"/>
    <cellStyle name="표준 25 3 3 2 2 3 2 2 4" xfId="20422"/>
    <cellStyle name="표준 25 3 3 2 2 3 2 3" xfId="20423"/>
    <cellStyle name="표준 25 3 3 2 2 3 2 3 2" xfId="20424"/>
    <cellStyle name="표준 25 3 3 2 2 3 2 3 2 2" xfId="20425"/>
    <cellStyle name="표준 25 3 3 2 2 3 2 3 3" xfId="20426"/>
    <cellStyle name="표준 25 3 3 2 2 3 2 4" xfId="20427"/>
    <cellStyle name="표준 25 3 3 2 2 3 2 4 2" xfId="20428"/>
    <cellStyle name="표준 25 3 3 2 2 3 2 5" xfId="20429"/>
    <cellStyle name="표준 25 3 3 2 2 3 3" xfId="20430"/>
    <cellStyle name="표준 25 3 3 2 2 3 3 2" xfId="20431"/>
    <cellStyle name="표준 25 3 3 2 2 3 3 2 2" xfId="20432"/>
    <cellStyle name="표준 25 3 3 2 2 3 3 2 2 2" xfId="20433"/>
    <cellStyle name="표준 25 3 3 2 2 3 3 2 3" xfId="20434"/>
    <cellStyle name="표준 25 3 3 2 2 3 3 3" xfId="20435"/>
    <cellStyle name="표준 25 3 3 2 2 3 3 3 2" xfId="20436"/>
    <cellStyle name="표준 25 3 3 2 2 3 3 4" xfId="20437"/>
    <cellStyle name="표준 25 3 3 2 2 3 4" xfId="20438"/>
    <cellStyle name="표준 25 3 3 2 2 3 4 2" xfId="20439"/>
    <cellStyle name="표준 25 3 3 2 2 3 4 2 2" xfId="20440"/>
    <cellStyle name="표준 25 3 3 2 2 3 4 3" xfId="20441"/>
    <cellStyle name="표준 25 3 3 2 2 3 5" xfId="20442"/>
    <cellStyle name="표준 25 3 3 2 2 3 5 2" xfId="20443"/>
    <cellStyle name="표준 25 3 3 2 2 3 6" xfId="20444"/>
    <cellStyle name="표준 25 3 3 2 2 4" xfId="20445"/>
    <cellStyle name="표준 25 3 3 2 2 4 2" xfId="20446"/>
    <cellStyle name="표준 25 3 3 2 2 4 2 2" xfId="20447"/>
    <cellStyle name="표준 25 3 3 2 2 4 2 2 2" xfId="20448"/>
    <cellStyle name="표준 25 3 3 2 2 4 2 2 2 2" xfId="20449"/>
    <cellStyle name="표준 25 3 3 2 2 4 2 2 3" xfId="20450"/>
    <cellStyle name="표준 25 3 3 2 2 4 2 3" xfId="20451"/>
    <cellStyle name="표준 25 3 3 2 2 4 2 3 2" xfId="20452"/>
    <cellStyle name="표준 25 3 3 2 2 4 2 4" xfId="20453"/>
    <cellStyle name="표준 25 3 3 2 2 4 3" xfId="20454"/>
    <cellStyle name="표준 25 3 3 2 2 4 3 2" xfId="20455"/>
    <cellStyle name="표준 25 3 3 2 2 4 3 2 2" xfId="20456"/>
    <cellStyle name="표준 25 3 3 2 2 4 3 3" xfId="20457"/>
    <cellStyle name="표준 25 3 3 2 2 4 4" xfId="20458"/>
    <cellStyle name="표준 25 3 3 2 2 4 4 2" xfId="20459"/>
    <cellStyle name="표준 25 3 3 2 2 4 5" xfId="20460"/>
    <cellStyle name="표준 25 3 3 2 2 5" xfId="20461"/>
    <cellStyle name="표준 25 3 3 2 2 5 2" xfId="20462"/>
    <cellStyle name="표준 25 3 3 2 2 5 2 2" xfId="20463"/>
    <cellStyle name="표준 25 3 3 2 2 5 2 2 2" xfId="20464"/>
    <cellStyle name="표준 25 3 3 2 2 5 2 3" xfId="20465"/>
    <cellStyle name="표준 25 3 3 2 2 5 3" xfId="20466"/>
    <cellStyle name="표준 25 3 3 2 2 5 3 2" xfId="20467"/>
    <cellStyle name="표준 25 3 3 2 2 5 4" xfId="20468"/>
    <cellStyle name="표준 25 3 3 2 2 6" xfId="20469"/>
    <cellStyle name="표준 25 3 3 2 2 6 2" xfId="20470"/>
    <cellStyle name="표준 25 3 3 2 2 6 2 2" xfId="20471"/>
    <cellStyle name="표준 25 3 3 2 2 6 3" xfId="20472"/>
    <cellStyle name="표준 25 3 3 2 2 7" xfId="20473"/>
    <cellStyle name="표준 25 3 3 2 2 7 2" xfId="20474"/>
    <cellStyle name="표준 25 3 3 2 2 8" xfId="20475"/>
    <cellStyle name="표준 25 3 3 2 2 9" xfId="20476"/>
    <cellStyle name="표준 25 3 3 2 3" xfId="20477"/>
    <cellStyle name="표준 25 3 3 2 3 2" xfId="20478"/>
    <cellStyle name="표준 25 3 3 2 3 2 2" xfId="20479"/>
    <cellStyle name="표준 25 3 3 2 3 2 2 2" xfId="20480"/>
    <cellStyle name="표준 25 3 3 2 3 2 2 2 2" xfId="20481"/>
    <cellStyle name="표준 25 3 3 2 3 2 2 2 2 2" xfId="20482"/>
    <cellStyle name="표준 25 3 3 2 3 2 2 2 2 2 2" xfId="20483"/>
    <cellStyle name="표준 25 3 3 2 3 2 2 2 2 3" xfId="20484"/>
    <cellStyle name="표준 25 3 3 2 3 2 2 2 3" xfId="20485"/>
    <cellStyle name="표준 25 3 3 2 3 2 2 2 3 2" xfId="20486"/>
    <cellStyle name="표준 25 3 3 2 3 2 2 2 4" xfId="20487"/>
    <cellStyle name="표준 25 3 3 2 3 2 2 3" xfId="20488"/>
    <cellStyle name="표준 25 3 3 2 3 2 2 3 2" xfId="20489"/>
    <cellStyle name="표준 25 3 3 2 3 2 2 3 2 2" xfId="20490"/>
    <cellStyle name="표준 25 3 3 2 3 2 2 3 3" xfId="20491"/>
    <cellStyle name="표준 25 3 3 2 3 2 2 4" xfId="20492"/>
    <cellStyle name="표준 25 3 3 2 3 2 2 4 2" xfId="20493"/>
    <cellStyle name="표준 25 3 3 2 3 2 2 5" xfId="20494"/>
    <cellStyle name="표준 25 3 3 2 3 2 3" xfId="20495"/>
    <cellStyle name="표준 25 3 3 2 3 2 3 2" xfId="20496"/>
    <cellStyle name="표준 25 3 3 2 3 2 3 2 2" xfId="20497"/>
    <cellStyle name="표준 25 3 3 2 3 2 3 2 2 2" xfId="20498"/>
    <cellStyle name="표준 25 3 3 2 3 2 3 2 3" xfId="20499"/>
    <cellStyle name="표준 25 3 3 2 3 2 3 3" xfId="20500"/>
    <cellStyle name="표준 25 3 3 2 3 2 3 3 2" xfId="20501"/>
    <cellStyle name="표준 25 3 3 2 3 2 3 4" xfId="20502"/>
    <cellStyle name="표준 25 3 3 2 3 2 4" xfId="20503"/>
    <cellStyle name="표준 25 3 3 2 3 2 4 2" xfId="20504"/>
    <cellStyle name="표준 25 3 3 2 3 2 4 2 2" xfId="20505"/>
    <cellStyle name="표준 25 3 3 2 3 2 4 3" xfId="20506"/>
    <cellStyle name="표준 25 3 3 2 3 2 5" xfId="20507"/>
    <cellStyle name="표준 25 3 3 2 3 2 5 2" xfId="20508"/>
    <cellStyle name="표준 25 3 3 2 3 2 6" xfId="20509"/>
    <cellStyle name="표준 25 3 3 2 3 3" xfId="20510"/>
    <cellStyle name="표준 25 3 3 2 3 3 2" xfId="20511"/>
    <cellStyle name="표준 25 3 3 2 3 3 2 2" xfId="20512"/>
    <cellStyle name="표준 25 3 3 2 3 3 2 2 2" xfId="20513"/>
    <cellStyle name="표준 25 3 3 2 3 3 2 2 2 2" xfId="20514"/>
    <cellStyle name="표준 25 3 3 2 3 3 2 2 3" xfId="20515"/>
    <cellStyle name="표준 25 3 3 2 3 3 2 3" xfId="20516"/>
    <cellStyle name="표준 25 3 3 2 3 3 2 3 2" xfId="20517"/>
    <cellStyle name="표준 25 3 3 2 3 3 2 4" xfId="20518"/>
    <cellStyle name="표준 25 3 3 2 3 3 3" xfId="20519"/>
    <cellStyle name="표준 25 3 3 2 3 3 3 2" xfId="20520"/>
    <cellStyle name="표준 25 3 3 2 3 3 3 2 2" xfId="20521"/>
    <cellStyle name="표준 25 3 3 2 3 3 3 3" xfId="20522"/>
    <cellStyle name="표준 25 3 3 2 3 3 4" xfId="20523"/>
    <cellStyle name="표준 25 3 3 2 3 3 4 2" xfId="20524"/>
    <cellStyle name="표준 25 3 3 2 3 3 5" xfId="20525"/>
    <cellStyle name="표준 25 3 3 2 3 4" xfId="20526"/>
    <cellStyle name="표준 25 3 3 2 3 4 2" xfId="20527"/>
    <cellStyle name="표준 25 3 3 2 3 4 2 2" xfId="20528"/>
    <cellStyle name="표준 25 3 3 2 3 4 2 2 2" xfId="20529"/>
    <cellStyle name="표준 25 3 3 2 3 4 2 3" xfId="20530"/>
    <cellStyle name="표준 25 3 3 2 3 4 3" xfId="20531"/>
    <cellStyle name="표준 25 3 3 2 3 4 3 2" xfId="20532"/>
    <cellStyle name="표준 25 3 3 2 3 4 4" xfId="20533"/>
    <cellStyle name="표준 25 3 3 2 3 5" xfId="20534"/>
    <cellStyle name="표준 25 3 3 2 3 5 2" xfId="20535"/>
    <cellStyle name="표준 25 3 3 2 3 5 2 2" xfId="20536"/>
    <cellStyle name="표준 25 3 3 2 3 5 3" xfId="20537"/>
    <cellStyle name="표준 25 3 3 2 3 6" xfId="20538"/>
    <cellStyle name="표준 25 3 3 2 3 6 2" xfId="20539"/>
    <cellStyle name="표준 25 3 3 2 3 7" xfId="20540"/>
    <cellStyle name="표준 25 3 3 2 3 8" xfId="20541"/>
    <cellStyle name="표준 25 3 3 2 4" xfId="20542"/>
    <cellStyle name="표준 25 3 3 2 4 2" xfId="20543"/>
    <cellStyle name="표준 25 3 3 2 4 2 2" xfId="20544"/>
    <cellStyle name="표준 25 3 3 2 4 2 2 2" xfId="20545"/>
    <cellStyle name="표준 25 3 3 2 4 2 2 2 2" xfId="20546"/>
    <cellStyle name="표준 25 3 3 2 4 2 2 2 2 2" xfId="20547"/>
    <cellStyle name="표준 25 3 3 2 4 2 2 2 3" xfId="20548"/>
    <cellStyle name="표준 25 3 3 2 4 2 2 3" xfId="20549"/>
    <cellStyle name="표준 25 3 3 2 4 2 2 3 2" xfId="20550"/>
    <cellStyle name="표준 25 3 3 2 4 2 2 4" xfId="20551"/>
    <cellStyle name="표준 25 3 3 2 4 2 3" xfId="20552"/>
    <cellStyle name="표준 25 3 3 2 4 2 3 2" xfId="20553"/>
    <cellStyle name="표준 25 3 3 2 4 2 3 2 2" xfId="20554"/>
    <cellStyle name="표준 25 3 3 2 4 2 3 3" xfId="20555"/>
    <cellStyle name="표준 25 3 3 2 4 2 4" xfId="20556"/>
    <cellStyle name="표준 25 3 3 2 4 2 4 2" xfId="20557"/>
    <cellStyle name="표준 25 3 3 2 4 2 5" xfId="20558"/>
    <cellStyle name="표준 25 3 3 2 4 3" xfId="20559"/>
    <cellStyle name="표준 25 3 3 2 4 3 2" xfId="20560"/>
    <cellStyle name="표준 25 3 3 2 4 3 2 2" xfId="20561"/>
    <cellStyle name="표준 25 3 3 2 4 3 2 2 2" xfId="20562"/>
    <cellStyle name="표준 25 3 3 2 4 3 2 3" xfId="20563"/>
    <cellStyle name="표준 25 3 3 2 4 3 3" xfId="20564"/>
    <cellStyle name="표준 25 3 3 2 4 3 3 2" xfId="20565"/>
    <cellStyle name="표준 25 3 3 2 4 3 4" xfId="20566"/>
    <cellStyle name="표준 25 3 3 2 4 4" xfId="20567"/>
    <cellStyle name="표준 25 3 3 2 4 4 2" xfId="20568"/>
    <cellStyle name="표준 25 3 3 2 4 4 2 2" xfId="20569"/>
    <cellStyle name="표준 25 3 3 2 4 4 3" xfId="20570"/>
    <cellStyle name="표준 25 3 3 2 4 5" xfId="20571"/>
    <cellStyle name="표준 25 3 3 2 4 5 2" xfId="20572"/>
    <cellStyle name="표준 25 3 3 2 4 6" xfId="20573"/>
    <cellStyle name="표준 25 3 3 2 5" xfId="20574"/>
    <cellStyle name="표준 25 3 3 2 5 2" xfId="20575"/>
    <cellStyle name="표준 25 3 3 2 5 2 2" xfId="20576"/>
    <cellStyle name="표준 25 3 3 2 5 2 2 2" xfId="20577"/>
    <cellStyle name="표준 25 3 3 2 5 2 2 2 2" xfId="20578"/>
    <cellStyle name="표준 25 3 3 2 5 2 2 3" xfId="20579"/>
    <cellStyle name="표준 25 3 3 2 5 2 3" xfId="20580"/>
    <cellStyle name="표준 25 3 3 2 5 2 3 2" xfId="20581"/>
    <cellStyle name="표준 25 3 3 2 5 2 4" xfId="20582"/>
    <cellStyle name="표준 25 3 3 2 5 3" xfId="20583"/>
    <cellStyle name="표준 25 3 3 2 5 3 2" xfId="20584"/>
    <cellStyle name="표준 25 3 3 2 5 3 2 2" xfId="20585"/>
    <cellStyle name="표준 25 3 3 2 5 3 3" xfId="20586"/>
    <cellStyle name="표준 25 3 3 2 5 4" xfId="20587"/>
    <cellStyle name="표준 25 3 3 2 5 4 2" xfId="20588"/>
    <cellStyle name="표준 25 3 3 2 5 5" xfId="20589"/>
    <cellStyle name="표준 25 3 3 2 6" xfId="20590"/>
    <cellStyle name="표준 25 3 3 2 6 2" xfId="20591"/>
    <cellStyle name="표준 25 3 3 2 6 2 2" xfId="20592"/>
    <cellStyle name="표준 25 3 3 2 6 2 2 2" xfId="20593"/>
    <cellStyle name="표준 25 3 3 2 6 2 3" xfId="20594"/>
    <cellStyle name="표준 25 3 3 2 6 3" xfId="20595"/>
    <cellStyle name="표준 25 3 3 2 6 3 2" xfId="20596"/>
    <cellStyle name="표준 25 3 3 2 6 4" xfId="20597"/>
    <cellStyle name="표준 25 3 3 2 7" xfId="20598"/>
    <cellStyle name="표준 25 3 3 2 7 2" xfId="20599"/>
    <cellStyle name="표준 25 3 3 2 7 2 2" xfId="20600"/>
    <cellStyle name="표준 25 3 3 2 7 3" xfId="20601"/>
    <cellStyle name="표준 25 3 3 2 8" xfId="20602"/>
    <cellStyle name="표준 25 3 3 2 8 2" xfId="20603"/>
    <cellStyle name="표준 25 3 3 2 9" xfId="20604"/>
    <cellStyle name="표준 25 3 3 3" xfId="20605"/>
    <cellStyle name="표준 25 3 3 3 2" xfId="20606"/>
    <cellStyle name="표준 25 3 3 3 2 2" xfId="20607"/>
    <cellStyle name="표준 25 3 3 3 2 2 2" xfId="20608"/>
    <cellStyle name="표준 25 3 3 3 2 2 2 2" xfId="20609"/>
    <cellStyle name="표준 25 3 3 3 2 2 2 2 2" xfId="20610"/>
    <cellStyle name="표준 25 3 3 3 2 2 2 2 2 2" xfId="20611"/>
    <cellStyle name="표준 25 3 3 3 2 2 2 2 2 2 2" xfId="20612"/>
    <cellStyle name="표준 25 3 3 3 2 2 2 2 2 3" xfId="20613"/>
    <cellStyle name="표준 25 3 3 3 2 2 2 2 3" xfId="20614"/>
    <cellStyle name="표준 25 3 3 3 2 2 2 2 3 2" xfId="20615"/>
    <cellStyle name="표준 25 3 3 3 2 2 2 2 4" xfId="20616"/>
    <cellStyle name="표준 25 3 3 3 2 2 2 3" xfId="20617"/>
    <cellStyle name="표준 25 3 3 3 2 2 2 3 2" xfId="20618"/>
    <cellStyle name="표준 25 3 3 3 2 2 2 3 2 2" xfId="20619"/>
    <cellStyle name="표준 25 3 3 3 2 2 2 3 3" xfId="20620"/>
    <cellStyle name="표준 25 3 3 3 2 2 2 4" xfId="20621"/>
    <cellStyle name="표준 25 3 3 3 2 2 2 4 2" xfId="20622"/>
    <cellStyle name="표준 25 3 3 3 2 2 2 5" xfId="20623"/>
    <cellStyle name="표준 25 3 3 3 2 2 3" xfId="20624"/>
    <cellStyle name="표준 25 3 3 3 2 2 3 2" xfId="20625"/>
    <cellStyle name="표준 25 3 3 3 2 2 3 2 2" xfId="20626"/>
    <cellStyle name="표준 25 3 3 3 2 2 3 2 2 2" xfId="20627"/>
    <cellStyle name="표준 25 3 3 3 2 2 3 2 3" xfId="20628"/>
    <cellStyle name="표준 25 3 3 3 2 2 3 3" xfId="20629"/>
    <cellStyle name="표준 25 3 3 3 2 2 3 3 2" xfId="20630"/>
    <cellStyle name="표준 25 3 3 3 2 2 3 4" xfId="20631"/>
    <cellStyle name="표준 25 3 3 3 2 2 4" xfId="20632"/>
    <cellStyle name="표준 25 3 3 3 2 2 4 2" xfId="20633"/>
    <cellStyle name="표준 25 3 3 3 2 2 4 2 2" xfId="20634"/>
    <cellStyle name="표준 25 3 3 3 2 2 4 3" xfId="20635"/>
    <cellStyle name="표준 25 3 3 3 2 2 5" xfId="20636"/>
    <cellStyle name="표준 25 3 3 3 2 2 5 2" xfId="20637"/>
    <cellStyle name="표준 25 3 3 3 2 2 6" xfId="20638"/>
    <cellStyle name="표준 25 3 3 3 2 3" xfId="20639"/>
    <cellStyle name="표준 25 3 3 3 2 3 2" xfId="20640"/>
    <cellStyle name="표준 25 3 3 3 2 3 2 2" xfId="20641"/>
    <cellStyle name="표준 25 3 3 3 2 3 2 2 2" xfId="20642"/>
    <cellStyle name="표준 25 3 3 3 2 3 2 2 2 2" xfId="20643"/>
    <cellStyle name="표준 25 3 3 3 2 3 2 2 3" xfId="20644"/>
    <cellStyle name="표준 25 3 3 3 2 3 2 3" xfId="20645"/>
    <cellStyle name="표준 25 3 3 3 2 3 2 3 2" xfId="20646"/>
    <cellStyle name="표준 25 3 3 3 2 3 2 4" xfId="20647"/>
    <cellStyle name="표준 25 3 3 3 2 3 3" xfId="20648"/>
    <cellStyle name="표준 25 3 3 3 2 3 3 2" xfId="20649"/>
    <cellStyle name="표준 25 3 3 3 2 3 3 2 2" xfId="20650"/>
    <cellStyle name="표준 25 3 3 3 2 3 3 3" xfId="20651"/>
    <cellStyle name="표준 25 3 3 3 2 3 4" xfId="20652"/>
    <cellStyle name="표준 25 3 3 3 2 3 4 2" xfId="20653"/>
    <cellStyle name="표준 25 3 3 3 2 3 5" xfId="20654"/>
    <cellStyle name="표준 25 3 3 3 2 4" xfId="20655"/>
    <cellStyle name="표준 25 3 3 3 2 4 2" xfId="20656"/>
    <cellStyle name="표준 25 3 3 3 2 4 2 2" xfId="20657"/>
    <cellStyle name="표준 25 3 3 3 2 4 2 2 2" xfId="20658"/>
    <cellStyle name="표준 25 3 3 3 2 4 2 3" xfId="20659"/>
    <cellStyle name="표준 25 3 3 3 2 4 3" xfId="20660"/>
    <cellStyle name="표준 25 3 3 3 2 4 3 2" xfId="20661"/>
    <cellStyle name="표준 25 3 3 3 2 4 4" xfId="20662"/>
    <cellStyle name="표준 25 3 3 3 2 5" xfId="20663"/>
    <cellStyle name="표준 25 3 3 3 2 5 2" xfId="20664"/>
    <cellStyle name="표준 25 3 3 3 2 5 2 2" xfId="20665"/>
    <cellStyle name="표준 25 3 3 3 2 5 3" xfId="20666"/>
    <cellStyle name="표준 25 3 3 3 2 6" xfId="20667"/>
    <cellStyle name="표준 25 3 3 3 2 6 2" xfId="20668"/>
    <cellStyle name="표준 25 3 3 3 2 7" xfId="20669"/>
    <cellStyle name="표준 25 3 3 3 2 8" xfId="20670"/>
    <cellStyle name="표준 25 3 3 3 3" xfId="20671"/>
    <cellStyle name="표준 25 3 3 3 3 2" xfId="20672"/>
    <cellStyle name="표준 25 3 3 3 3 2 2" xfId="20673"/>
    <cellStyle name="표준 25 3 3 3 3 2 2 2" xfId="20674"/>
    <cellStyle name="표준 25 3 3 3 3 2 2 2 2" xfId="20675"/>
    <cellStyle name="표준 25 3 3 3 3 2 2 2 2 2" xfId="20676"/>
    <cellStyle name="표준 25 3 3 3 3 2 2 2 3" xfId="20677"/>
    <cellStyle name="표준 25 3 3 3 3 2 2 3" xfId="20678"/>
    <cellStyle name="표준 25 3 3 3 3 2 2 3 2" xfId="20679"/>
    <cellStyle name="표준 25 3 3 3 3 2 2 4" xfId="20680"/>
    <cellStyle name="표준 25 3 3 3 3 2 3" xfId="20681"/>
    <cellStyle name="표준 25 3 3 3 3 2 3 2" xfId="20682"/>
    <cellStyle name="표준 25 3 3 3 3 2 3 2 2" xfId="20683"/>
    <cellStyle name="표준 25 3 3 3 3 2 3 3" xfId="20684"/>
    <cellStyle name="표준 25 3 3 3 3 2 4" xfId="20685"/>
    <cellStyle name="표준 25 3 3 3 3 2 4 2" xfId="20686"/>
    <cellStyle name="표준 25 3 3 3 3 2 5" xfId="20687"/>
    <cellStyle name="표준 25 3 3 3 3 3" xfId="20688"/>
    <cellStyle name="표준 25 3 3 3 3 3 2" xfId="20689"/>
    <cellStyle name="표준 25 3 3 3 3 3 2 2" xfId="20690"/>
    <cellStyle name="표준 25 3 3 3 3 3 2 2 2" xfId="20691"/>
    <cellStyle name="표준 25 3 3 3 3 3 2 3" xfId="20692"/>
    <cellStyle name="표준 25 3 3 3 3 3 3" xfId="20693"/>
    <cellStyle name="표준 25 3 3 3 3 3 3 2" xfId="20694"/>
    <cellStyle name="표준 25 3 3 3 3 3 4" xfId="20695"/>
    <cellStyle name="표준 25 3 3 3 3 4" xfId="20696"/>
    <cellStyle name="표준 25 3 3 3 3 4 2" xfId="20697"/>
    <cellStyle name="표준 25 3 3 3 3 4 2 2" xfId="20698"/>
    <cellStyle name="표준 25 3 3 3 3 4 3" xfId="20699"/>
    <cellStyle name="표준 25 3 3 3 3 5" xfId="20700"/>
    <cellStyle name="표준 25 3 3 3 3 5 2" xfId="20701"/>
    <cellStyle name="표준 25 3 3 3 3 6" xfId="20702"/>
    <cellStyle name="표준 25 3 3 3 4" xfId="20703"/>
    <cellStyle name="표준 25 3 3 3 4 2" xfId="20704"/>
    <cellStyle name="표준 25 3 3 3 4 2 2" xfId="20705"/>
    <cellStyle name="표준 25 3 3 3 4 2 2 2" xfId="20706"/>
    <cellStyle name="표준 25 3 3 3 4 2 2 2 2" xfId="20707"/>
    <cellStyle name="표준 25 3 3 3 4 2 2 3" xfId="20708"/>
    <cellStyle name="표준 25 3 3 3 4 2 3" xfId="20709"/>
    <cellStyle name="표준 25 3 3 3 4 2 3 2" xfId="20710"/>
    <cellStyle name="표준 25 3 3 3 4 2 4" xfId="20711"/>
    <cellStyle name="표준 25 3 3 3 4 3" xfId="20712"/>
    <cellStyle name="표준 25 3 3 3 4 3 2" xfId="20713"/>
    <cellStyle name="표준 25 3 3 3 4 3 2 2" xfId="20714"/>
    <cellStyle name="표준 25 3 3 3 4 3 3" xfId="20715"/>
    <cellStyle name="표준 25 3 3 3 4 4" xfId="20716"/>
    <cellStyle name="표준 25 3 3 3 4 4 2" xfId="20717"/>
    <cellStyle name="표준 25 3 3 3 4 5" xfId="20718"/>
    <cellStyle name="표준 25 3 3 3 5" xfId="20719"/>
    <cellStyle name="표준 25 3 3 3 5 2" xfId="20720"/>
    <cellStyle name="표준 25 3 3 3 5 2 2" xfId="20721"/>
    <cellStyle name="표준 25 3 3 3 5 2 2 2" xfId="20722"/>
    <cellStyle name="표준 25 3 3 3 5 2 3" xfId="20723"/>
    <cellStyle name="표준 25 3 3 3 5 3" xfId="20724"/>
    <cellStyle name="표준 25 3 3 3 5 3 2" xfId="20725"/>
    <cellStyle name="표준 25 3 3 3 5 4" xfId="20726"/>
    <cellStyle name="표준 25 3 3 3 6" xfId="20727"/>
    <cellStyle name="표준 25 3 3 3 6 2" xfId="20728"/>
    <cellStyle name="표준 25 3 3 3 6 2 2" xfId="20729"/>
    <cellStyle name="표준 25 3 3 3 6 3" xfId="20730"/>
    <cellStyle name="표준 25 3 3 3 7" xfId="20731"/>
    <cellStyle name="표준 25 3 3 3 7 2" xfId="20732"/>
    <cellStyle name="표준 25 3 3 3 8" xfId="20733"/>
    <cellStyle name="표준 25 3 3 3 9" xfId="20734"/>
    <cellStyle name="표준 25 3 3 4" xfId="20735"/>
    <cellStyle name="표준 25 3 3 4 2" xfId="20736"/>
    <cellStyle name="표준 25 3 3 4 2 2" xfId="20737"/>
    <cellStyle name="표준 25 3 3 4 2 2 2" xfId="20738"/>
    <cellStyle name="표준 25 3 3 4 2 2 2 2" xfId="20739"/>
    <cellStyle name="표준 25 3 3 4 2 2 2 2 2" xfId="20740"/>
    <cellStyle name="표준 25 3 3 4 2 2 2 2 2 2" xfId="20741"/>
    <cellStyle name="표준 25 3 3 4 2 2 2 2 3" xfId="20742"/>
    <cellStyle name="표준 25 3 3 4 2 2 2 3" xfId="20743"/>
    <cellStyle name="표준 25 3 3 4 2 2 2 3 2" xfId="20744"/>
    <cellStyle name="표준 25 3 3 4 2 2 2 4" xfId="20745"/>
    <cellStyle name="표준 25 3 3 4 2 2 3" xfId="20746"/>
    <cellStyle name="표준 25 3 3 4 2 2 3 2" xfId="20747"/>
    <cellStyle name="표준 25 3 3 4 2 2 3 2 2" xfId="20748"/>
    <cellStyle name="표준 25 3 3 4 2 2 3 3" xfId="20749"/>
    <cellStyle name="표준 25 3 3 4 2 2 4" xfId="20750"/>
    <cellStyle name="표준 25 3 3 4 2 2 4 2" xfId="20751"/>
    <cellStyle name="표준 25 3 3 4 2 2 5" xfId="20752"/>
    <cellStyle name="표준 25 3 3 4 2 3" xfId="20753"/>
    <cellStyle name="표준 25 3 3 4 2 3 2" xfId="20754"/>
    <cellStyle name="표준 25 3 3 4 2 3 2 2" xfId="20755"/>
    <cellStyle name="표준 25 3 3 4 2 3 2 2 2" xfId="20756"/>
    <cellStyle name="표준 25 3 3 4 2 3 2 3" xfId="20757"/>
    <cellStyle name="표준 25 3 3 4 2 3 3" xfId="20758"/>
    <cellStyle name="표준 25 3 3 4 2 3 3 2" xfId="20759"/>
    <cellStyle name="표준 25 3 3 4 2 3 4" xfId="20760"/>
    <cellStyle name="표준 25 3 3 4 2 4" xfId="20761"/>
    <cellStyle name="표준 25 3 3 4 2 4 2" xfId="20762"/>
    <cellStyle name="표준 25 3 3 4 2 4 2 2" xfId="20763"/>
    <cellStyle name="표준 25 3 3 4 2 4 3" xfId="20764"/>
    <cellStyle name="표준 25 3 3 4 2 5" xfId="20765"/>
    <cellStyle name="표준 25 3 3 4 2 5 2" xfId="20766"/>
    <cellStyle name="표준 25 3 3 4 2 6" xfId="20767"/>
    <cellStyle name="표준 25 3 3 4 3" xfId="20768"/>
    <cellStyle name="표준 25 3 3 4 3 2" xfId="20769"/>
    <cellStyle name="표준 25 3 3 4 3 2 2" xfId="20770"/>
    <cellStyle name="표준 25 3 3 4 3 2 2 2" xfId="20771"/>
    <cellStyle name="표준 25 3 3 4 3 2 2 2 2" xfId="20772"/>
    <cellStyle name="표준 25 3 3 4 3 2 2 3" xfId="20773"/>
    <cellStyle name="표준 25 3 3 4 3 2 3" xfId="20774"/>
    <cellStyle name="표준 25 3 3 4 3 2 3 2" xfId="20775"/>
    <cellStyle name="표준 25 3 3 4 3 2 4" xfId="20776"/>
    <cellStyle name="표준 25 3 3 4 3 3" xfId="20777"/>
    <cellStyle name="표준 25 3 3 4 3 3 2" xfId="20778"/>
    <cellStyle name="표준 25 3 3 4 3 3 2 2" xfId="20779"/>
    <cellStyle name="표준 25 3 3 4 3 3 3" xfId="20780"/>
    <cellStyle name="표준 25 3 3 4 3 4" xfId="20781"/>
    <cellStyle name="표준 25 3 3 4 3 4 2" xfId="20782"/>
    <cellStyle name="표준 25 3 3 4 3 5" xfId="20783"/>
    <cellStyle name="표준 25 3 3 4 4" xfId="20784"/>
    <cellStyle name="표준 25 3 3 4 4 2" xfId="20785"/>
    <cellStyle name="표준 25 3 3 4 4 2 2" xfId="20786"/>
    <cellStyle name="표준 25 3 3 4 4 2 2 2" xfId="20787"/>
    <cellStyle name="표준 25 3 3 4 4 2 3" xfId="20788"/>
    <cellStyle name="표준 25 3 3 4 4 3" xfId="20789"/>
    <cellStyle name="표준 25 3 3 4 4 3 2" xfId="20790"/>
    <cellStyle name="표준 25 3 3 4 4 4" xfId="20791"/>
    <cellStyle name="표준 25 3 3 4 5" xfId="20792"/>
    <cellStyle name="표준 25 3 3 4 5 2" xfId="20793"/>
    <cellStyle name="표준 25 3 3 4 5 2 2" xfId="20794"/>
    <cellStyle name="표준 25 3 3 4 5 3" xfId="20795"/>
    <cellStyle name="표준 25 3 3 4 6" xfId="20796"/>
    <cellStyle name="표준 25 3 3 4 6 2" xfId="20797"/>
    <cellStyle name="표준 25 3 3 4 7" xfId="20798"/>
    <cellStyle name="표준 25 3 3 4 8" xfId="20799"/>
    <cellStyle name="표준 25 3 3 5" xfId="20800"/>
    <cellStyle name="표준 25 3 3 5 2" xfId="20801"/>
    <cellStyle name="표준 25 3 3 5 2 2" xfId="20802"/>
    <cellStyle name="표준 25 3 3 5 2 2 2" xfId="20803"/>
    <cellStyle name="표준 25 3 3 5 2 2 2 2" xfId="20804"/>
    <cellStyle name="표준 25 3 3 5 2 2 2 2 2" xfId="20805"/>
    <cellStyle name="표준 25 3 3 5 2 2 2 3" xfId="20806"/>
    <cellStyle name="표준 25 3 3 5 2 2 3" xfId="20807"/>
    <cellStyle name="표준 25 3 3 5 2 2 3 2" xfId="20808"/>
    <cellStyle name="표준 25 3 3 5 2 2 4" xfId="20809"/>
    <cellStyle name="표준 25 3 3 5 2 3" xfId="20810"/>
    <cellStyle name="표준 25 3 3 5 2 3 2" xfId="20811"/>
    <cellStyle name="표준 25 3 3 5 2 3 2 2" xfId="20812"/>
    <cellStyle name="표준 25 3 3 5 2 3 3" xfId="20813"/>
    <cellStyle name="표준 25 3 3 5 2 4" xfId="20814"/>
    <cellStyle name="표준 25 3 3 5 2 4 2" xfId="20815"/>
    <cellStyle name="표준 25 3 3 5 2 5" xfId="20816"/>
    <cellStyle name="표준 25 3 3 5 3" xfId="20817"/>
    <cellStyle name="표준 25 3 3 5 3 2" xfId="20818"/>
    <cellStyle name="표준 25 3 3 5 3 2 2" xfId="20819"/>
    <cellStyle name="표준 25 3 3 5 3 2 2 2" xfId="20820"/>
    <cellStyle name="표준 25 3 3 5 3 2 3" xfId="20821"/>
    <cellStyle name="표준 25 3 3 5 3 3" xfId="20822"/>
    <cellStyle name="표준 25 3 3 5 3 3 2" xfId="20823"/>
    <cellStyle name="표준 25 3 3 5 3 4" xfId="20824"/>
    <cellStyle name="표준 25 3 3 5 4" xfId="20825"/>
    <cellStyle name="표준 25 3 3 5 4 2" xfId="20826"/>
    <cellStyle name="표준 25 3 3 5 4 2 2" xfId="20827"/>
    <cellStyle name="표준 25 3 3 5 4 3" xfId="20828"/>
    <cellStyle name="표준 25 3 3 5 5" xfId="20829"/>
    <cellStyle name="표준 25 3 3 5 5 2" xfId="20830"/>
    <cellStyle name="표준 25 3 3 5 6" xfId="20831"/>
    <cellStyle name="표준 25 3 3 6" xfId="20832"/>
    <cellStyle name="표준 25 3 3 6 2" xfId="20833"/>
    <cellStyle name="표준 25 3 3 6 2 2" xfId="20834"/>
    <cellStyle name="표준 25 3 3 6 2 2 2" xfId="20835"/>
    <cellStyle name="표준 25 3 3 6 2 2 2 2" xfId="20836"/>
    <cellStyle name="표준 25 3 3 6 2 2 3" xfId="20837"/>
    <cellStyle name="표준 25 3 3 6 2 3" xfId="20838"/>
    <cellStyle name="표준 25 3 3 6 2 3 2" xfId="20839"/>
    <cellStyle name="표준 25 3 3 6 2 4" xfId="20840"/>
    <cellStyle name="표준 25 3 3 6 3" xfId="20841"/>
    <cellStyle name="표준 25 3 3 6 3 2" xfId="20842"/>
    <cellStyle name="표준 25 3 3 6 3 2 2" xfId="20843"/>
    <cellStyle name="표준 25 3 3 6 3 3" xfId="20844"/>
    <cellStyle name="표준 25 3 3 6 4" xfId="20845"/>
    <cellStyle name="표준 25 3 3 6 4 2" xfId="20846"/>
    <cellStyle name="표준 25 3 3 6 5" xfId="20847"/>
    <cellStyle name="표준 25 3 3 7" xfId="20848"/>
    <cellStyle name="표준 25 3 3 7 2" xfId="20849"/>
    <cellStyle name="표준 25 3 3 7 2 2" xfId="20850"/>
    <cellStyle name="표준 25 3 3 7 2 2 2" xfId="20851"/>
    <cellStyle name="표준 25 3 3 7 2 3" xfId="20852"/>
    <cellStyle name="표준 25 3 3 7 3" xfId="20853"/>
    <cellStyle name="표준 25 3 3 7 3 2" xfId="20854"/>
    <cellStyle name="표준 25 3 3 7 4" xfId="20855"/>
    <cellStyle name="표준 25 3 3 8" xfId="20856"/>
    <cellStyle name="표준 25 3 3 8 2" xfId="20857"/>
    <cellStyle name="표준 25 3 3 8 2 2" xfId="20858"/>
    <cellStyle name="표준 25 3 3 8 3" xfId="20859"/>
    <cellStyle name="표준 25 3 3 9" xfId="20860"/>
    <cellStyle name="표준 25 3 3 9 2" xfId="20861"/>
    <cellStyle name="표준 25 3 4" xfId="20862"/>
    <cellStyle name="표준 25 3 4 10" xfId="20863"/>
    <cellStyle name="표준 25 3 4 11" xfId="20864"/>
    <cellStyle name="표준 25 3 4 2" xfId="20865"/>
    <cellStyle name="표준 25 3 4 2 10" xfId="20866"/>
    <cellStyle name="표준 25 3 4 2 2" xfId="20867"/>
    <cellStyle name="표준 25 3 4 2 2 2" xfId="20868"/>
    <cellStyle name="표준 25 3 4 2 2 2 2" xfId="20869"/>
    <cellStyle name="표준 25 3 4 2 2 2 2 2" xfId="20870"/>
    <cellStyle name="표준 25 3 4 2 2 2 2 2 2" xfId="20871"/>
    <cellStyle name="표준 25 3 4 2 2 2 2 2 2 2" xfId="20872"/>
    <cellStyle name="표준 25 3 4 2 2 2 2 2 2 2 2" xfId="20873"/>
    <cellStyle name="표준 25 3 4 2 2 2 2 2 2 2 2 2" xfId="20874"/>
    <cellStyle name="표준 25 3 4 2 2 2 2 2 2 2 3" xfId="20875"/>
    <cellStyle name="표준 25 3 4 2 2 2 2 2 2 3" xfId="20876"/>
    <cellStyle name="표준 25 3 4 2 2 2 2 2 2 3 2" xfId="20877"/>
    <cellStyle name="표준 25 3 4 2 2 2 2 2 2 4" xfId="20878"/>
    <cellStyle name="표준 25 3 4 2 2 2 2 2 3" xfId="20879"/>
    <cellStyle name="표준 25 3 4 2 2 2 2 2 3 2" xfId="20880"/>
    <cellStyle name="표준 25 3 4 2 2 2 2 2 3 2 2" xfId="20881"/>
    <cellStyle name="표준 25 3 4 2 2 2 2 2 3 3" xfId="20882"/>
    <cellStyle name="표준 25 3 4 2 2 2 2 2 4" xfId="20883"/>
    <cellStyle name="표준 25 3 4 2 2 2 2 2 4 2" xfId="20884"/>
    <cellStyle name="표준 25 3 4 2 2 2 2 2 5" xfId="20885"/>
    <cellStyle name="표준 25 3 4 2 2 2 2 3" xfId="20886"/>
    <cellStyle name="표준 25 3 4 2 2 2 2 3 2" xfId="20887"/>
    <cellStyle name="표준 25 3 4 2 2 2 2 3 2 2" xfId="20888"/>
    <cellStyle name="표준 25 3 4 2 2 2 2 3 2 2 2" xfId="20889"/>
    <cellStyle name="표준 25 3 4 2 2 2 2 3 2 3" xfId="20890"/>
    <cellStyle name="표준 25 3 4 2 2 2 2 3 3" xfId="20891"/>
    <cellStyle name="표준 25 3 4 2 2 2 2 3 3 2" xfId="20892"/>
    <cellStyle name="표준 25 3 4 2 2 2 2 3 4" xfId="20893"/>
    <cellStyle name="표준 25 3 4 2 2 2 2 4" xfId="20894"/>
    <cellStyle name="표준 25 3 4 2 2 2 2 4 2" xfId="20895"/>
    <cellStyle name="표준 25 3 4 2 2 2 2 4 2 2" xfId="20896"/>
    <cellStyle name="표준 25 3 4 2 2 2 2 4 3" xfId="20897"/>
    <cellStyle name="표준 25 3 4 2 2 2 2 5" xfId="20898"/>
    <cellStyle name="표준 25 3 4 2 2 2 2 5 2" xfId="20899"/>
    <cellStyle name="표준 25 3 4 2 2 2 2 6" xfId="20900"/>
    <cellStyle name="표준 25 3 4 2 2 2 3" xfId="20901"/>
    <cellStyle name="표준 25 3 4 2 2 2 3 2" xfId="20902"/>
    <cellStyle name="표준 25 3 4 2 2 2 3 2 2" xfId="20903"/>
    <cellStyle name="표준 25 3 4 2 2 2 3 2 2 2" xfId="20904"/>
    <cellStyle name="표준 25 3 4 2 2 2 3 2 2 2 2" xfId="20905"/>
    <cellStyle name="표준 25 3 4 2 2 2 3 2 2 3" xfId="20906"/>
    <cellStyle name="표준 25 3 4 2 2 2 3 2 3" xfId="20907"/>
    <cellStyle name="표준 25 3 4 2 2 2 3 2 3 2" xfId="20908"/>
    <cellStyle name="표준 25 3 4 2 2 2 3 2 4" xfId="20909"/>
    <cellStyle name="표준 25 3 4 2 2 2 3 3" xfId="20910"/>
    <cellStyle name="표준 25 3 4 2 2 2 3 3 2" xfId="20911"/>
    <cellStyle name="표준 25 3 4 2 2 2 3 3 2 2" xfId="20912"/>
    <cellStyle name="표준 25 3 4 2 2 2 3 3 3" xfId="20913"/>
    <cellStyle name="표준 25 3 4 2 2 2 3 4" xfId="20914"/>
    <cellStyle name="표준 25 3 4 2 2 2 3 4 2" xfId="20915"/>
    <cellStyle name="표준 25 3 4 2 2 2 3 5" xfId="20916"/>
    <cellStyle name="표준 25 3 4 2 2 2 4" xfId="20917"/>
    <cellStyle name="표준 25 3 4 2 2 2 4 2" xfId="20918"/>
    <cellStyle name="표준 25 3 4 2 2 2 4 2 2" xfId="20919"/>
    <cellStyle name="표준 25 3 4 2 2 2 4 2 2 2" xfId="20920"/>
    <cellStyle name="표준 25 3 4 2 2 2 4 2 3" xfId="20921"/>
    <cellStyle name="표준 25 3 4 2 2 2 4 3" xfId="20922"/>
    <cellStyle name="표준 25 3 4 2 2 2 4 3 2" xfId="20923"/>
    <cellStyle name="표준 25 3 4 2 2 2 4 4" xfId="20924"/>
    <cellStyle name="표준 25 3 4 2 2 2 5" xfId="20925"/>
    <cellStyle name="표준 25 3 4 2 2 2 5 2" xfId="20926"/>
    <cellStyle name="표준 25 3 4 2 2 2 5 2 2" xfId="20927"/>
    <cellStyle name="표준 25 3 4 2 2 2 5 3" xfId="20928"/>
    <cellStyle name="표준 25 3 4 2 2 2 6" xfId="20929"/>
    <cellStyle name="표준 25 3 4 2 2 2 6 2" xfId="20930"/>
    <cellStyle name="표준 25 3 4 2 2 2 7" xfId="20931"/>
    <cellStyle name="표준 25 3 4 2 2 2 8" xfId="20932"/>
    <cellStyle name="표준 25 3 4 2 2 3" xfId="20933"/>
    <cellStyle name="표준 25 3 4 2 2 3 2" xfId="20934"/>
    <cellStyle name="표준 25 3 4 2 2 3 2 2" xfId="20935"/>
    <cellStyle name="표준 25 3 4 2 2 3 2 2 2" xfId="20936"/>
    <cellStyle name="표준 25 3 4 2 2 3 2 2 2 2" xfId="20937"/>
    <cellStyle name="표준 25 3 4 2 2 3 2 2 2 2 2" xfId="20938"/>
    <cellStyle name="표준 25 3 4 2 2 3 2 2 2 3" xfId="20939"/>
    <cellStyle name="표준 25 3 4 2 2 3 2 2 3" xfId="20940"/>
    <cellStyle name="표준 25 3 4 2 2 3 2 2 3 2" xfId="20941"/>
    <cellStyle name="표준 25 3 4 2 2 3 2 2 4" xfId="20942"/>
    <cellStyle name="표준 25 3 4 2 2 3 2 3" xfId="20943"/>
    <cellStyle name="표준 25 3 4 2 2 3 2 3 2" xfId="20944"/>
    <cellStyle name="표준 25 3 4 2 2 3 2 3 2 2" xfId="20945"/>
    <cellStyle name="표준 25 3 4 2 2 3 2 3 3" xfId="20946"/>
    <cellStyle name="표준 25 3 4 2 2 3 2 4" xfId="20947"/>
    <cellStyle name="표준 25 3 4 2 2 3 2 4 2" xfId="20948"/>
    <cellStyle name="표준 25 3 4 2 2 3 2 5" xfId="20949"/>
    <cellStyle name="표준 25 3 4 2 2 3 3" xfId="20950"/>
    <cellStyle name="표준 25 3 4 2 2 3 3 2" xfId="20951"/>
    <cellStyle name="표준 25 3 4 2 2 3 3 2 2" xfId="20952"/>
    <cellStyle name="표준 25 3 4 2 2 3 3 2 2 2" xfId="20953"/>
    <cellStyle name="표준 25 3 4 2 2 3 3 2 3" xfId="20954"/>
    <cellStyle name="표준 25 3 4 2 2 3 3 3" xfId="20955"/>
    <cellStyle name="표준 25 3 4 2 2 3 3 3 2" xfId="20956"/>
    <cellStyle name="표준 25 3 4 2 2 3 3 4" xfId="20957"/>
    <cellStyle name="표준 25 3 4 2 2 3 4" xfId="20958"/>
    <cellStyle name="표준 25 3 4 2 2 3 4 2" xfId="20959"/>
    <cellStyle name="표준 25 3 4 2 2 3 4 2 2" xfId="20960"/>
    <cellStyle name="표준 25 3 4 2 2 3 4 3" xfId="20961"/>
    <cellStyle name="표준 25 3 4 2 2 3 5" xfId="20962"/>
    <cellStyle name="표준 25 3 4 2 2 3 5 2" xfId="20963"/>
    <cellStyle name="표준 25 3 4 2 2 3 6" xfId="20964"/>
    <cellStyle name="표준 25 3 4 2 2 4" xfId="20965"/>
    <cellStyle name="표준 25 3 4 2 2 4 2" xfId="20966"/>
    <cellStyle name="표준 25 3 4 2 2 4 2 2" xfId="20967"/>
    <cellStyle name="표준 25 3 4 2 2 4 2 2 2" xfId="20968"/>
    <cellStyle name="표준 25 3 4 2 2 4 2 2 2 2" xfId="20969"/>
    <cellStyle name="표준 25 3 4 2 2 4 2 2 3" xfId="20970"/>
    <cellStyle name="표준 25 3 4 2 2 4 2 3" xfId="20971"/>
    <cellStyle name="표준 25 3 4 2 2 4 2 3 2" xfId="20972"/>
    <cellStyle name="표준 25 3 4 2 2 4 2 4" xfId="20973"/>
    <cellStyle name="표준 25 3 4 2 2 4 3" xfId="20974"/>
    <cellStyle name="표준 25 3 4 2 2 4 3 2" xfId="20975"/>
    <cellStyle name="표준 25 3 4 2 2 4 3 2 2" xfId="20976"/>
    <cellStyle name="표준 25 3 4 2 2 4 3 3" xfId="20977"/>
    <cellStyle name="표준 25 3 4 2 2 4 4" xfId="20978"/>
    <cellStyle name="표준 25 3 4 2 2 4 4 2" xfId="20979"/>
    <cellStyle name="표준 25 3 4 2 2 4 5" xfId="20980"/>
    <cellStyle name="표준 25 3 4 2 2 5" xfId="20981"/>
    <cellStyle name="표준 25 3 4 2 2 5 2" xfId="20982"/>
    <cellStyle name="표준 25 3 4 2 2 5 2 2" xfId="20983"/>
    <cellStyle name="표준 25 3 4 2 2 5 2 2 2" xfId="20984"/>
    <cellStyle name="표준 25 3 4 2 2 5 2 3" xfId="20985"/>
    <cellStyle name="표준 25 3 4 2 2 5 3" xfId="20986"/>
    <cellStyle name="표준 25 3 4 2 2 5 3 2" xfId="20987"/>
    <cellStyle name="표준 25 3 4 2 2 5 4" xfId="20988"/>
    <cellStyle name="표준 25 3 4 2 2 6" xfId="20989"/>
    <cellStyle name="표준 25 3 4 2 2 6 2" xfId="20990"/>
    <cellStyle name="표준 25 3 4 2 2 6 2 2" xfId="20991"/>
    <cellStyle name="표준 25 3 4 2 2 6 3" xfId="20992"/>
    <cellStyle name="표준 25 3 4 2 2 7" xfId="20993"/>
    <cellStyle name="표준 25 3 4 2 2 7 2" xfId="20994"/>
    <cellStyle name="표준 25 3 4 2 2 8" xfId="20995"/>
    <cellStyle name="표준 25 3 4 2 2 9" xfId="20996"/>
    <cellStyle name="표준 25 3 4 2 3" xfId="20997"/>
    <cellStyle name="표준 25 3 4 2 3 2" xfId="20998"/>
    <cellStyle name="표준 25 3 4 2 3 2 2" xfId="20999"/>
    <cellStyle name="표준 25 3 4 2 3 2 2 2" xfId="21000"/>
    <cellStyle name="표준 25 3 4 2 3 2 2 2 2" xfId="21001"/>
    <cellStyle name="표준 25 3 4 2 3 2 2 2 2 2" xfId="21002"/>
    <cellStyle name="표준 25 3 4 2 3 2 2 2 2 2 2" xfId="21003"/>
    <cellStyle name="표준 25 3 4 2 3 2 2 2 2 3" xfId="21004"/>
    <cellStyle name="표준 25 3 4 2 3 2 2 2 3" xfId="21005"/>
    <cellStyle name="표준 25 3 4 2 3 2 2 2 3 2" xfId="21006"/>
    <cellStyle name="표준 25 3 4 2 3 2 2 2 4" xfId="21007"/>
    <cellStyle name="표준 25 3 4 2 3 2 2 3" xfId="21008"/>
    <cellStyle name="표준 25 3 4 2 3 2 2 3 2" xfId="21009"/>
    <cellStyle name="표준 25 3 4 2 3 2 2 3 2 2" xfId="21010"/>
    <cellStyle name="표준 25 3 4 2 3 2 2 3 3" xfId="21011"/>
    <cellStyle name="표준 25 3 4 2 3 2 2 4" xfId="21012"/>
    <cellStyle name="표준 25 3 4 2 3 2 2 4 2" xfId="21013"/>
    <cellStyle name="표준 25 3 4 2 3 2 2 5" xfId="21014"/>
    <cellStyle name="표준 25 3 4 2 3 2 3" xfId="21015"/>
    <cellStyle name="표준 25 3 4 2 3 2 3 2" xfId="21016"/>
    <cellStyle name="표준 25 3 4 2 3 2 3 2 2" xfId="21017"/>
    <cellStyle name="표준 25 3 4 2 3 2 3 2 2 2" xfId="21018"/>
    <cellStyle name="표준 25 3 4 2 3 2 3 2 3" xfId="21019"/>
    <cellStyle name="표준 25 3 4 2 3 2 3 3" xfId="21020"/>
    <cellStyle name="표준 25 3 4 2 3 2 3 3 2" xfId="21021"/>
    <cellStyle name="표준 25 3 4 2 3 2 3 4" xfId="21022"/>
    <cellStyle name="표준 25 3 4 2 3 2 4" xfId="21023"/>
    <cellStyle name="표준 25 3 4 2 3 2 4 2" xfId="21024"/>
    <cellStyle name="표준 25 3 4 2 3 2 4 2 2" xfId="21025"/>
    <cellStyle name="표준 25 3 4 2 3 2 4 3" xfId="21026"/>
    <cellStyle name="표준 25 3 4 2 3 2 5" xfId="21027"/>
    <cellStyle name="표준 25 3 4 2 3 2 5 2" xfId="21028"/>
    <cellStyle name="표준 25 3 4 2 3 2 6" xfId="21029"/>
    <cellStyle name="표준 25 3 4 2 3 3" xfId="21030"/>
    <cellStyle name="표준 25 3 4 2 3 3 2" xfId="21031"/>
    <cellStyle name="표준 25 3 4 2 3 3 2 2" xfId="21032"/>
    <cellStyle name="표준 25 3 4 2 3 3 2 2 2" xfId="21033"/>
    <cellStyle name="표준 25 3 4 2 3 3 2 2 2 2" xfId="21034"/>
    <cellStyle name="표준 25 3 4 2 3 3 2 2 3" xfId="21035"/>
    <cellStyle name="표준 25 3 4 2 3 3 2 3" xfId="21036"/>
    <cellStyle name="표준 25 3 4 2 3 3 2 3 2" xfId="21037"/>
    <cellStyle name="표준 25 3 4 2 3 3 2 4" xfId="21038"/>
    <cellStyle name="표준 25 3 4 2 3 3 3" xfId="21039"/>
    <cellStyle name="표준 25 3 4 2 3 3 3 2" xfId="21040"/>
    <cellStyle name="표준 25 3 4 2 3 3 3 2 2" xfId="21041"/>
    <cellStyle name="표준 25 3 4 2 3 3 3 3" xfId="21042"/>
    <cellStyle name="표준 25 3 4 2 3 3 4" xfId="21043"/>
    <cellStyle name="표준 25 3 4 2 3 3 4 2" xfId="21044"/>
    <cellStyle name="표준 25 3 4 2 3 3 5" xfId="21045"/>
    <cellStyle name="표준 25 3 4 2 3 4" xfId="21046"/>
    <cellStyle name="표준 25 3 4 2 3 4 2" xfId="21047"/>
    <cellStyle name="표준 25 3 4 2 3 4 2 2" xfId="21048"/>
    <cellStyle name="표준 25 3 4 2 3 4 2 2 2" xfId="21049"/>
    <cellStyle name="표준 25 3 4 2 3 4 2 3" xfId="21050"/>
    <cellStyle name="표준 25 3 4 2 3 4 3" xfId="21051"/>
    <cellStyle name="표준 25 3 4 2 3 4 3 2" xfId="21052"/>
    <cellStyle name="표준 25 3 4 2 3 4 4" xfId="21053"/>
    <cellStyle name="표준 25 3 4 2 3 5" xfId="21054"/>
    <cellStyle name="표준 25 3 4 2 3 5 2" xfId="21055"/>
    <cellStyle name="표준 25 3 4 2 3 5 2 2" xfId="21056"/>
    <cellStyle name="표준 25 3 4 2 3 5 3" xfId="21057"/>
    <cellStyle name="표준 25 3 4 2 3 6" xfId="21058"/>
    <cellStyle name="표준 25 3 4 2 3 6 2" xfId="21059"/>
    <cellStyle name="표준 25 3 4 2 3 7" xfId="21060"/>
    <cellStyle name="표준 25 3 4 2 3 8" xfId="21061"/>
    <cellStyle name="표준 25 3 4 2 4" xfId="21062"/>
    <cellStyle name="표준 25 3 4 2 4 2" xfId="21063"/>
    <cellStyle name="표준 25 3 4 2 4 2 2" xfId="21064"/>
    <cellStyle name="표준 25 3 4 2 4 2 2 2" xfId="21065"/>
    <cellStyle name="표준 25 3 4 2 4 2 2 2 2" xfId="21066"/>
    <cellStyle name="표준 25 3 4 2 4 2 2 2 2 2" xfId="21067"/>
    <cellStyle name="표준 25 3 4 2 4 2 2 2 3" xfId="21068"/>
    <cellStyle name="표준 25 3 4 2 4 2 2 3" xfId="21069"/>
    <cellStyle name="표준 25 3 4 2 4 2 2 3 2" xfId="21070"/>
    <cellStyle name="표준 25 3 4 2 4 2 2 4" xfId="21071"/>
    <cellStyle name="표준 25 3 4 2 4 2 3" xfId="21072"/>
    <cellStyle name="표준 25 3 4 2 4 2 3 2" xfId="21073"/>
    <cellStyle name="표준 25 3 4 2 4 2 3 2 2" xfId="21074"/>
    <cellStyle name="표준 25 3 4 2 4 2 3 3" xfId="21075"/>
    <cellStyle name="표준 25 3 4 2 4 2 4" xfId="21076"/>
    <cellStyle name="표준 25 3 4 2 4 2 4 2" xfId="21077"/>
    <cellStyle name="표준 25 3 4 2 4 2 5" xfId="21078"/>
    <cellStyle name="표준 25 3 4 2 4 3" xfId="21079"/>
    <cellStyle name="표준 25 3 4 2 4 3 2" xfId="21080"/>
    <cellStyle name="표준 25 3 4 2 4 3 2 2" xfId="21081"/>
    <cellStyle name="표준 25 3 4 2 4 3 2 2 2" xfId="21082"/>
    <cellStyle name="표준 25 3 4 2 4 3 2 3" xfId="21083"/>
    <cellStyle name="표준 25 3 4 2 4 3 3" xfId="21084"/>
    <cellStyle name="표준 25 3 4 2 4 3 3 2" xfId="21085"/>
    <cellStyle name="표준 25 3 4 2 4 3 4" xfId="21086"/>
    <cellStyle name="표준 25 3 4 2 4 4" xfId="21087"/>
    <cellStyle name="표준 25 3 4 2 4 4 2" xfId="21088"/>
    <cellStyle name="표준 25 3 4 2 4 4 2 2" xfId="21089"/>
    <cellStyle name="표준 25 3 4 2 4 4 3" xfId="21090"/>
    <cellStyle name="표준 25 3 4 2 4 5" xfId="21091"/>
    <cellStyle name="표준 25 3 4 2 4 5 2" xfId="21092"/>
    <cellStyle name="표준 25 3 4 2 4 6" xfId="21093"/>
    <cellStyle name="표준 25 3 4 2 5" xfId="21094"/>
    <cellStyle name="표준 25 3 4 2 5 2" xfId="21095"/>
    <cellStyle name="표준 25 3 4 2 5 2 2" xfId="21096"/>
    <cellStyle name="표준 25 3 4 2 5 2 2 2" xfId="21097"/>
    <cellStyle name="표준 25 3 4 2 5 2 2 2 2" xfId="21098"/>
    <cellStyle name="표준 25 3 4 2 5 2 2 3" xfId="21099"/>
    <cellStyle name="표준 25 3 4 2 5 2 3" xfId="21100"/>
    <cellStyle name="표준 25 3 4 2 5 2 3 2" xfId="21101"/>
    <cellStyle name="표준 25 3 4 2 5 2 4" xfId="21102"/>
    <cellStyle name="표준 25 3 4 2 5 3" xfId="21103"/>
    <cellStyle name="표준 25 3 4 2 5 3 2" xfId="21104"/>
    <cellStyle name="표준 25 3 4 2 5 3 2 2" xfId="21105"/>
    <cellStyle name="표준 25 3 4 2 5 3 3" xfId="21106"/>
    <cellStyle name="표준 25 3 4 2 5 4" xfId="21107"/>
    <cellStyle name="표준 25 3 4 2 5 4 2" xfId="21108"/>
    <cellStyle name="표준 25 3 4 2 5 5" xfId="21109"/>
    <cellStyle name="표준 25 3 4 2 6" xfId="21110"/>
    <cellStyle name="표준 25 3 4 2 6 2" xfId="21111"/>
    <cellStyle name="표준 25 3 4 2 6 2 2" xfId="21112"/>
    <cellStyle name="표준 25 3 4 2 6 2 2 2" xfId="21113"/>
    <cellStyle name="표준 25 3 4 2 6 2 3" xfId="21114"/>
    <cellStyle name="표준 25 3 4 2 6 3" xfId="21115"/>
    <cellStyle name="표준 25 3 4 2 6 3 2" xfId="21116"/>
    <cellStyle name="표준 25 3 4 2 6 4" xfId="21117"/>
    <cellStyle name="표준 25 3 4 2 7" xfId="21118"/>
    <cellStyle name="표준 25 3 4 2 7 2" xfId="21119"/>
    <cellStyle name="표준 25 3 4 2 7 2 2" xfId="21120"/>
    <cellStyle name="표준 25 3 4 2 7 3" xfId="21121"/>
    <cellStyle name="표준 25 3 4 2 8" xfId="21122"/>
    <cellStyle name="표준 25 3 4 2 8 2" xfId="21123"/>
    <cellStyle name="표준 25 3 4 2 9" xfId="21124"/>
    <cellStyle name="표준 25 3 4 3" xfId="21125"/>
    <cellStyle name="표준 25 3 4 3 2" xfId="21126"/>
    <cellStyle name="표준 25 3 4 3 2 2" xfId="21127"/>
    <cellStyle name="표준 25 3 4 3 2 2 2" xfId="21128"/>
    <cellStyle name="표준 25 3 4 3 2 2 2 2" xfId="21129"/>
    <cellStyle name="표준 25 3 4 3 2 2 2 2 2" xfId="21130"/>
    <cellStyle name="표준 25 3 4 3 2 2 2 2 2 2" xfId="21131"/>
    <cellStyle name="표준 25 3 4 3 2 2 2 2 2 2 2" xfId="21132"/>
    <cellStyle name="표준 25 3 4 3 2 2 2 2 2 3" xfId="21133"/>
    <cellStyle name="표준 25 3 4 3 2 2 2 2 3" xfId="21134"/>
    <cellStyle name="표준 25 3 4 3 2 2 2 2 3 2" xfId="21135"/>
    <cellStyle name="표준 25 3 4 3 2 2 2 2 4" xfId="21136"/>
    <cellStyle name="표준 25 3 4 3 2 2 2 3" xfId="21137"/>
    <cellStyle name="표준 25 3 4 3 2 2 2 3 2" xfId="21138"/>
    <cellStyle name="표준 25 3 4 3 2 2 2 3 2 2" xfId="21139"/>
    <cellStyle name="표준 25 3 4 3 2 2 2 3 3" xfId="21140"/>
    <cellStyle name="표준 25 3 4 3 2 2 2 4" xfId="21141"/>
    <cellStyle name="표준 25 3 4 3 2 2 2 4 2" xfId="21142"/>
    <cellStyle name="표준 25 3 4 3 2 2 2 5" xfId="21143"/>
    <cellStyle name="표준 25 3 4 3 2 2 3" xfId="21144"/>
    <cellStyle name="표준 25 3 4 3 2 2 3 2" xfId="21145"/>
    <cellStyle name="표준 25 3 4 3 2 2 3 2 2" xfId="21146"/>
    <cellStyle name="표준 25 3 4 3 2 2 3 2 2 2" xfId="21147"/>
    <cellStyle name="표준 25 3 4 3 2 2 3 2 3" xfId="21148"/>
    <cellStyle name="표준 25 3 4 3 2 2 3 3" xfId="21149"/>
    <cellStyle name="표준 25 3 4 3 2 2 3 3 2" xfId="21150"/>
    <cellStyle name="표준 25 3 4 3 2 2 3 4" xfId="21151"/>
    <cellStyle name="표준 25 3 4 3 2 2 4" xfId="21152"/>
    <cellStyle name="표준 25 3 4 3 2 2 4 2" xfId="21153"/>
    <cellStyle name="표준 25 3 4 3 2 2 4 2 2" xfId="21154"/>
    <cellStyle name="표준 25 3 4 3 2 2 4 3" xfId="21155"/>
    <cellStyle name="표준 25 3 4 3 2 2 5" xfId="21156"/>
    <cellStyle name="표준 25 3 4 3 2 2 5 2" xfId="21157"/>
    <cellStyle name="표준 25 3 4 3 2 2 6" xfId="21158"/>
    <cellStyle name="표준 25 3 4 3 2 3" xfId="21159"/>
    <cellStyle name="표준 25 3 4 3 2 3 2" xfId="21160"/>
    <cellStyle name="표준 25 3 4 3 2 3 2 2" xfId="21161"/>
    <cellStyle name="표준 25 3 4 3 2 3 2 2 2" xfId="21162"/>
    <cellStyle name="표준 25 3 4 3 2 3 2 2 2 2" xfId="21163"/>
    <cellStyle name="표준 25 3 4 3 2 3 2 2 3" xfId="21164"/>
    <cellStyle name="표준 25 3 4 3 2 3 2 3" xfId="21165"/>
    <cellStyle name="표준 25 3 4 3 2 3 2 3 2" xfId="21166"/>
    <cellStyle name="표준 25 3 4 3 2 3 2 4" xfId="21167"/>
    <cellStyle name="표준 25 3 4 3 2 3 3" xfId="21168"/>
    <cellStyle name="표준 25 3 4 3 2 3 3 2" xfId="21169"/>
    <cellStyle name="표준 25 3 4 3 2 3 3 2 2" xfId="21170"/>
    <cellStyle name="표준 25 3 4 3 2 3 3 3" xfId="21171"/>
    <cellStyle name="표준 25 3 4 3 2 3 4" xfId="21172"/>
    <cellStyle name="표준 25 3 4 3 2 3 4 2" xfId="21173"/>
    <cellStyle name="표준 25 3 4 3 2 3 5" xfId="21174"/>
    <cellStyle name="표준 25 3 4 3 2 4" xfId="21175"/>
    <cellStyle name="표준 25 3 4 3 2 4 2" xfId="21176"/>
    <cellStyle name="표준 25 3 4 3 2 4 2 2" xfId="21177"/>
    <cellStyle name="표준 25 3 4 3 2 4 2 2 2" xfId="21178"/>
    <cellStyle name="표준 25 3 4 3 2 4 2 3" xfId="21179"/>
    <cellStyle name="표준 25 3 4 3 2 4 3" xfId="21180"/>
    <cellStyle name="표준 25 3 4 3 2 4 3 2" xfId="21181"/>
    <cellStyle name="표준 25 3 4 3 2 4 4" xfId="21182"/>
    <cellStyle name="표준 25 3 4 3 2 5" xfId="21183"/>
    <cellStyle name="표준 25 3 4 3 2 5 2" xfId="21184"/>
    <cellStyle name="표준 25 3 4 3 2 5 2 2" xfId="21185"/>
    <cellStyle name="표준 25 3 4 3 2 5 3" xfId="21186"/>
    <cellStyle name="표준 25 3 4 3 2 6" xfId="21187"/>
    <cellStyle name="표준 25 3 4 3 2 6 2" xfId="21188"/>
    <cellStyle name="표준 25 3 4 3 2 7" xfId="21189"/>
    <cellStyle name="표준 25 3 4 3 2 8" xfId="21190"/>
    <cellStyle name="표준 25 3 4 3 3" xfId="21191"/>
    <cellStyle name="표준 25 3 4 3 3 2" xfId="21192"/>
    <cellStyle name="표준 25 3 4 3 3 2 2" xfId="21193"/>
    <cellStyle name="표준 25 3 4 3 3 2 2 2" xfId="21194"/>
    <cellStyle name="표준 25 3 4 3 3 2 2 2 2" xfId="21195"/>
    <cellStyle name="표준 25 3 4 3 3 2 2 2 2 2" xfId="21196"/>
    <cellStyle name="표준 25 3 4 3 3 2 2 2 3" xfId="21197"/>
    <cellStyle name="표준 25 3 4 3 3 2 2 3" xfId="21198"/>
    <cellStyle name="표준 25 3 4 3 3 2 2 3 2" xfId="21199"/>
    <cellStyle name="표준 25 3 4 3 3 2 2 4" xfId="21200"/>
    <cellStyle name="표준 25 3 4 3 3 2 3" xfId="21201"/>
    <cellStyle name="표준 25 3 4 3 3 2 3 2" xfId="21202"/>
    <cellStyle name="표준 25 3 4 3 3 2 3 2 2" xfId="21203"/>
    <cellStyle name="표준 25 3 4 3 3 2 3 3" xfId="21204"/>
    <cellStyle name="표준 25 3 4 3 3 2 4" xfId="21205"/>
    <cellStyle name="표준 25 3 4 3 3 2 4 2" xfId="21206"/>
    <cellStyle name="표준 25 3 4 3 3 2 5" xfId="21207"/>
    <cellStyle name="표준 25 3 4 3 3 3" xfId="21208"/>
    <cellStyle name="표준 25 3 4 3 3 3 2" xfId="21209"/>
    <cellStyle name="표준 25 3 4 3 3 3 2 2" xfId="21210"/>
    <cellStyle name="표준 25 3 4 3 3 3 2 2 2" xfId="21211"/>
    <cellStyle name="표준 25 3 4 3 3 3 2 3" xfId="21212"/>
    <cellStyle name="표준 25 3 4 3 3 3 3" xfId="21213"/>
    <cellStyle name="표준 25 3 4 3 3 3 3 2" xfId="21214"/>
    <cellStyle name="표준 25 3 4 3 3 3 4" xfId="21215"/>
    <cellStyle name="표준 25 3 4 3 3 4" xfId="21216"/>
    <cellStyle name="표준 25 3 4 3 3 4 2" xfId="21217"/>
    <cellStyle name="표준 25 3 4 3 3 4 2 2" xfId="21218"/>
    <cellStyle name="표준 25 3 4 3 3 4 3" xfId="21219"/>
    <cellStyle name="표준 25 3 4 3 3 5" xfId="21220"/>
    <cellStyle name="표준 25 3 4 3 3 5 2" xfId="21221"/>
    <cellStyle name="표준 25 3 4 3 3 6" xfId="21222"/>
    <cellStyle name="표준 25 3 4 3 4" xfId="21223"/>
    <cellStyle name="표준 25 3 4 3 4 2" xfId="21224"/>
    <cellStyle name="표준 25 3 4 3 4 2 2" xfId="21225"/>
    <cellStyle name="표준 25 3 4 3 4 2 2 2" xfId="21226"/>
    <cellStyle name="표준 25 3 4 3 4 2 2 2 2" xfId="21227"/>
    <cellStyle name="표준 25 3 4 3 4 2 2 3" xfId="21228"/>
    <cellStyle name="표준 25 3 4 3 4 2 3" xfId="21229"/>
    <cellStyle name="표준 25 3 4 3 4 2 3 2" xfId="21230"/>
    <cellStyle name="표준 25 3 4 3 4 2 4" xfId="21231"/>
    <cellStyle name="표준 25 3 4 3 4 3" xfId="21232"/>
    <cellStyle name="표준 25 3 4 3 4 3 2" xfId="21233"/>
    <cellStyle name="표준 25 3 4 3 4 3 2 2" xfId="21234"/>
    <cellStyle name="표준 25 3 4 3 4 3 3" xfId="21235"/>
    <cellStyle name="표준 25 3 4 3 4 4" xfId="21236"/>
    <cellStyle name="표준 25 3 4 3 4 4 2" xfId="21237"/>
    <cellStyle name="표준 25 3 4 3 4 5" xfId="21238"/>
    <cellStyle name="표준 25 3 4 3 5" xfId="21239"/>
    <cellStyle name="표준 25 3 4 3 5 2" xfId="21240"/>
    <cellStyle name="표준 25 3 4 3 5 2 2" xfId="21241"/>
    <cellStyle name="표준 25 3 4 3 5 2 2 2" xfId="21242"/>
    <cellStyle name="표준 25 3 4 3 5 2 3" xfId="21243"/>
    <cellStyle name="표준 25 3 4 3 5 3" xfId="21244"/>
    <cellStyle name="표준 25 3 4 3 5 3 2" xfId="21245"/>
    <cellStyle name="표준 25 3 4 3 5 4" xfId="21246"/>
    <cellStyle name="표준 25 3 4 3 6" xfId="21247"/>
    <cellStyle name="표준 25 3 4 3 6 2" xfId="21248"/>
    <cellStyle name="표준 25 3 4 3 6 2 2" xfId="21249"/>
    <cellStyle name="표준 25 3 4 3 6 3" xfId="21250"/>
    <cellStyle name="표준 25 3 4 3 7" xfId="21251"/>
    <cellStyle name="표준 25 3 4 3 7 2" xfId="21252"/>
    <cellStyle name="표준 25 3 4 3 8" xfId="21253"/>
    <cellStyle name="표준 25 3 4 3 9" xfId="21254"/>
    <cellStyle name="표준 25 3 4 4" xfId="21255"/>
    <cellStyle name="표준 25 3 4 4 2" xfId="21256"/>
    <cellStyle name="표준 25 3 4 4 2 2" xfId="21257"/>
    <cellStyle name="표준 25 3 4 4 2 2 2" xfId="21258"/>
    <cellStyle name="표준 25 3 4 4 2 2 2 2" xfId="21259"/>
    <cellStyle name="표준 25 3 4 4 2 2 2 2 2" xfId="21260"/>
    <cellStyle name="표준 25 3 4 4 2 2 2 2 2 2" xfId="21261"/>
    <cellStyle name="표준 25 3 4 4 2 2 2 2 3" xfId="21262"/>
    <cellStyle name="표준 25 3 4 4 2 2 2 3" xfId="21263"/>
    <cellStyle name="표준 25 3 4 4 2 2 2 3 2" xfId="21264"/>
    <cellStyle name="표준 25 3 4 4 2 2 2 4" xfId="21265"/>
    <cellStyle name="표준 25 3 4 4 2 2 3" xfId="21266"/>
    <cellStyle name="표준 25 3 4 4 2 2 3 2" xfId="21267"/>
    <cellStyle name="표준 25 3 4 4 2 2 3 2 2" xfId="21268"/>
    <cellStyle name="표준 25 3 4 4 2 2 3 3" xfId="21269"/>
    <cellStyle name="표준 25 3 4 4 2 2 4" xfId="21270"/>
    <cellStyle name="표준 25 3 4 4 2 2 4 2" xfId="21271"/>
    <cellStyle name="표준 25 3 4 4 2 2 5" xfId="21272"/>
    <cellStyle name="표준 25 3 4 4 2 3" xfId="21273"/>
    <cellStyle name="표준 25 3 4 4 2 3 2" xfId="21274"/>
    <cellStyle name="표준 25 3 4 4 2 3 2 2" xfId="21275"/>
    <cellStyle name="표준 25 3 4 4 2 3 2 2 2" xfId="21276"/>
    <cellStyle name="표준 25 3 4 4 2 3 2 3" xfId="21277"/>
    <cellStyle name="표준 25 3 4 4 2 3 3" xfId="21278"/>
    <cellStyle name="표준 25 3 4 4 2 3 3 2" xfId="21279"/>
    <cellStyle name="표준 25 3 4 4 2 3 4" xfId="21280"/>
    <cellStyle name="표준 25 3 4 4 2 4" xfId="21281"/>
    <cellStyle name="표준 25 3 4 4 2 4 2" xfId="21282"/>
    <cellStyle name="표준 25 3 4 4 2 4 2 2" xfId="21283"/>
    <cellStyle name="표준 25 3 4 4 2 4 3" xfId="21284"/>
    <cellStyle name="표준 25 3 4 4 2 5" xfId="21285"/>
    <cellStyle name="표준 25 3 4 4 2 5 2" xfId="21286"/>
    <cellStyle name="표준 25 3 4 4 2 6" xfId="21287"/>
    <cellStyle name="표준 25 3 4 4 3" xfId="21288"/>
    <cellStyle name="표준 25 3 4 4 3 2" xfId="21289"/>
    <cellStyle name="표준 25 3 4 4 3 2 2" xfId="21290"/>
    <cellStyle name="표준 25 3 4 4 3 2 2 2" xfId="21291"/>
    <cellStyle name="표준 25 3 4 4 3 2 2 2 2" xfId="21292"/>
    <cellStyle name="표준 25 3 4 4 3 2 2 3" xfId="21293"/>
    <cellStyle name="표준 25 3 4 4 3 2 3" xfId="21294"/>
    <cellStyle name="표준 25 3 4 4 3 2 3 2" xfId="21295"/>
    <cellStyle name="표준 25 3 4 4 3 2 4" xfId="21296"/>
    <cellStyle name="표준 25 3 4 4 3 3" xfId="21297"/>
    <cellStyle name="표준 25 3 4 4 3 3 2" xfId="21298"/>
    <cellStyle name="표준 25 3 4 4 3 3 2 2" xfId="21299"/>
    <cellStyle name="표준 25 3 4 4 3 3 3" xfId="21300"/>
    <cellStyle name="표준 25 3 4 4 3 4" xfId="21301"/>
    <cellStyle name="표준 25 3 4 4 3 4 2" xfId="21302"/>
    <cellStyle name="표준 25 3 4 4 3 5" xfId="21303"/>
    <cellStyle name="표준 25 3 4 4 4" xfId="21304"/>
    <cellStyle name="표준 25 3 4 4 4 2" xfId="21305"/>
    <cellStyle name="표준 25 3 4 4 4 2 2" xfId="21306"/>
    <cellStyle name="표준 25 3 4 4 4 2 2 2" xfId="21307"/>
    <cellStyle name="표준 25 3 4 4 4 2 3" xfId="21308"/>
    <cellStyle name="표준 25 3 4 4 4 3" xfId="21309"/>
    <cellStyle name="표준 25 3 4 4 4 3 2" xfId="21310"/>
    <cellStyle name="표준 25 3 4 4 4 4" xfId="21311"/>
    <cellStyle name="표준 25 3 4 4 5" xfId="21312"/>
    <cellStyle name="표준 25 3 4 4 5 2" xfId="21313"/>
    <cellStyle name="표준 25 3 4 4 5 2 2" xfId="21314"/>
    <cellStyle name="표준 25 3 4 4 5 3" xfId="21315"/>
    <cellStyle name="표준 25 3 4 4 6" xfId="21316"/>
    <cellStyle name="표준 25 3 4 4 6 2" xfId="21317"/>
    <cellStyle name="표준 25 3 4 4 7" xfId="21318"/>
    <cellStyle name="표준 25 3 4 4 8" xfId="21319"/>
    <cellStyle name="표준 25 3 4 5" xfId="21320"/>
    <cellStyle name="표준 25 3 4 5 2" xfId="21321"/>
    <cellStyle name="표준 25 3 4 5 2 2" xfId="21322"/>
    <cellStyle name="표준 25 3 4 5 2 2 2" xfId="21323"/>
    <cellStyle name="표준 25 3 4 5 2 2 2 2" xfId="21324"/>
    <cellStyle name="표준 25 3 4 5 2 2 2 2 2" xfId="21325"/>
    <cellStyle name="표준 25 3 4 5 2 2 2 3" xfId="21326"/>
    <cellStyle name="표준 25 3 4 5 2 2 3" xfId="21327"/>
    <cellStyle name="표준 25 3 4 5 2 2 3 2" xfId="21328"/>
    <cellStyle name="표준 25 3 4 5 2 2 4" xfId="21329"/>
    <cellStyle name="표준 25 3 4 5 2 3" xfId="21330"/>
    <cellStyle name="표준 25 3 4 5 2 3 2" xfId="21331"/>
    <cellStyle name="표준 25 3 4 5 2 3 2 2" xfId="21332"/>
    <cellStyle name="표준 25 3 4 5 2 3 3" xfId="21333"/>
    <cellStyle name="표준 25 3 4 5 2 4" xfId="21334"/>
    <cellStyle name="표준 25 3 4 5 2 4 2" xfId="21335"/>
    <cellStyle name="표준 25 3 4 5 2 5" xfId="21336"/>
    <cellStyle name="표준 25 3 4 5 3" xfId="21337"/>
    <cellStyle name="표준 25 3 4 5 3 2" xfId="21338"/>
    <cellStyle name="표준 25 3 4 5 3 2 2" xfId="21339"/>
    <cellStyle name="표준 25 3 4 5 3 2 2 2" xfId="21340"/>
    <cellStyle name="표준 25 3 4 5 3 2 3" xfId="21341"/>
    <cellStyle name="표준 25 3 4 5 3 3" xfId="21342"/>
    <cellStyle name="표준 25 3 4 5 3 3 2" xfId="21343"/>
    <cellStyle name="표준 25 3 4 5 3 4" xfId="21344"/>
    <cellStyle name="표준 25 3 4 5 4" xfId="21345"/>
    <cellStyle name="표준 25 3 4 5 4 2" xfId="21346"/>
    <cellStyle name="표준 25 3 4 5 4 2 2" xfId="21347"/>
    <cellStyle name="표준 25 3 4 5 4 3" xfId="21348"/>
    <cellStyle name="표준 25 3 4 5 5" xfId="21349"/>
    <cellStyle name="표준 25 3 4 5 5 2" xfId="21350"/>
    <cellStyle name="표준 25 3 4 5 6" xfId="21351"/>
    <cellStyle name="표준 25 3 4 6" xfId="21352"/>
    <cellStyle name="표준 25 3 4 6 2" xfId="21353"/>
    <cellStyle name="표준 25 3 4 6 2 2" xfId="21354"/>
    <cellStyle name="표준 25 3 4 6 2 2 2" xfId="21355"/>
    <cellStyle name="표준 25 3 4 6 2 2 2 2" xfId="21356"/>
    <cellStyle name="표준 25 3 4 6 2 2 3" xfId="21357"/>
    <cellStyle name="표준 25 3 4 6 2 3" xfId="21358"/>
    <cellStyle name="표준 25 3 4 6 2 3 2" xfId="21359"/>
    <cellStyle name="표준 25 3 4 6 2 4" xfId="21360"/>
    <cellStyle name="표준 25 3 4 6 3" xfId="21361"/>
    <cellStyle name="표준 25 3 4 6 3 2" xfId="21362"/>
    <cellStyle name="표준 25 3 4 6 3 2 2" xfId="21363"/>
    <cellStyle name="표준 25 3 4 6 3 3" xfId="21364"/>
    <cellStyle name="표준 25 3 4 6 4" xfId="21365"/>
    <cellStyle name="표준 25 3 4 6 4 2" xfId="21366"/>
    <cellStyle name="표준 25 3 4 6 5" xfId="21367"/>
    <cellStyle name="표준 25 3 4 7" xfId="21368"/>
    <cellStyle name="표준 25 3 4 7 2" xfId="21369"/>
    <cellStyle name="표준 25 3 4 7 2 2" xfId="21370"/>
    <cellStyle name="표준 25 3 4 7 2 2 2" xfId="21371"/>
    <cellStyle name="표준 25 3 4 7 2 3" xfId="21372"/>
    <cellStyle name="표준 25 3 4 7 3" xfId="21373"/>
    <cellStyle name="표준 25 3 4 7 3 2" xfId="21374"/>
    <cellStyle name="표준 25 3 4 7 4" xfId="21375"/>
    <cellStyle name="표준 25 3 4 8" xfId="21376"/>
    <cellStyle name="표준 25 3 4 8 2" xfId="21377"/>
    <cellStyle name="표준 25 3 4 8 2 2" xfId="21378"/>
    <cellStyle name="표준 25 3 4 8 3" xfId="21379"/>
    <cellStyle name="표준 25 3 4 9" xfId="21380"/>
    <cellStyle name="표준 25 3 4 9 2" xfId="21381"/>
    <cellStyle name="표준 25 3 5" xfId="21382"/>
    <cellStyle name="표준 25 3 5 10" xfId="21383"/>
    <cellStyle name="표준 25 3 5 11" xfId="21384"/>
    <cellStyle name="표준 25 3 5 2" xfId="21385"/>
    <cellStyle name="표준 25 3 5 2 10" xfId="21386"/>
    <cellStyle name="표준 25 3 5 2 2" xfId="21387"/>
    <cellStyle name="표준 25 3 5 2 2 2" xfId="21388"/>
    <cellStyle name="표준 25 3 5 2 2 2 2" xfId="21389"/>
    <cellStyle name="표준 25 3 5 2 2 2 2 2" xfId="21390"/>
    <cellStyle name="표준 25 3 5 2 2 2 2 2 2" xfId="21391"/>
    <cellStyle name="표준 25 3 5 2 2 2 2 2 2 2" xfId="21392"/>
    <cellStyle name="표준 25 3 5 2 2 2 2 2 2 2 2" xfId="21393"/>
    <cellStyle name="표준 25 3 5 2 2 2 2 2 2 2 2 2" xfId="21394"/>
    <cellStyle name="표준 25 3 5 2 2 2 2 2 2 2 3" xfId="21395"/>
    <cellStyle name="표준 25 3 5 2 2 2 2 2 2 3" xfId="21396"/>
    <cellStyle name="표준 25 3 5 2 2 2 2 2 2 3 2" xfId="21397"/>
    <cellStyle name="표준 25 3 5 2 2 2 2 2 2 4" xfId="21398"/>
    <cellStyle name="표준 25 3 5 2 2 2 2 2 3" xfId="21399"/>
    <cellStyle name="표준 25 3 5 2 2 2 2 2 3 2" xfId="21400"/>
    <cellStyle name="표준 25 3 5 2 2 2 2 2 3 2 2" xfId="21401"/>
    <cellStyle name="표준 25 3 5 2 2 2 2 2 3 3" xfId="21402"/>
    <cellStyle name="표준 25 3 5 2 2 2 2 2 4" xfId="21403"/>
    <cellStyle name="표준 25 3 5 2 2 2 2 2 4 2" xfId="21404"/>
    <cellStyle name="표준 25 3 5 2 2 2 2 2 5" xfId="21405"/>
    <cellStyle name="표준 25 3 5 2 2 2 2 3" xfId="21406"/>
    <cellStyle name="표준 25 3 5 2 2 2 2 3 2" xfId="21407"/>
    <cellStyle name="표준 25 3 5 2 2 2 2 3 2 2" xfId="21408"/>
    <cellStyle name="표준 25 3 5 2 2 2 2 3 2 2 2" xfId="21409"/>
    <cellStyle name="표준 25 3 5 2 2 2 2 3 2 3" xfId="21410"/>
    <cellStyle name="표준 25 3 5 2 2 2 2 3 3" xfId="21411"/>
    <cellStyle name="표준 25 3 5 2 2 2 2 3 3 2" xfId="21412"/>
    <cellStyle name="표준 25 3 5 2 2 2 2 3 4" xfId="21413"/>
    <cellStyle name="표준 25 3 5 2 2 2 2 4" xfId="21414"/>
    <cellStyle name="표준 25 3 5 2 2 2 2 4 2" xfId="21415"/>
    <cellStyle name="표준 25 3 5 2 2 2 2 4 2 2" xfId="21416"/>
    <cellStyle name="표준 25 3 5 2 2 2 2 4 3" xfId="21417"/>
    <cellStyle name="표준 25 3 5 2 2 2 2 5" xfId="21418"/>
    <cellStyle name="표준 25 3 5 2 2 2 2 5 2" xfId="21419"/>
    <cellStyle name="표준 25 3 5 2 2 2 2 6" xfId="21420"/>
    <cellStyle name="표준 25 3 5 2 2 2 3" xfId="21421"/>
    <cellStyle name="표준 25 3 5 2 2 2 3 2" xfId="21422"/>
    <cellStyle name="표준 25 3 5 2 2 2 3 2 2" xfId="21423"/>
    <cellStyle name="표준 25 3 5 2 2 2 3 2 2 2" xfId="21424"/>
    <cellStyle name="표준 25 3 5 2 2 2 3 2 2 2 2" xfId="21425"/>
    <cellStyle name="표준 25 3 5 2 2 2 3 2 2 3" xfId="21426"/>
    <cellStyle name="표준 25 3 5 2 2 2 3 2 3" xfId="21427"/>
    <cellStyle name="표준 25 3 5 2 2 2 3 2 3 2" xfId="21428"/>
    <cellStyle name="표준 25 3 5 2 2 2 3 2 4" xfId="21429"/>
    <cellStyle name="표준 25 3 5 2 2 2 3 3" xfId="21430"/>
    <cellStyle name="표준 25 3 5 2 2 2 3 3 2" xfId="21431"/>
    <cellStyle name="표준 25 3 5 2 2 2 3 3 2 2" xfId="21432"/>
    <cellStyle name="표준 25 3 5 2 2 2 3 3 3" xfId="21433"/>
    <cellStyle name="표준 25 3 5 2 2 2 3 4" xfId="21434"/>
    <cellStyle name="표준 25 3 5 2 2 2 3 4 2" xfId="21435"/>
    <cellStyle name="표준 25 3 5 2 2 2 3 5" xfId="21436"/>
    <cellStyle name="표준 25 3 5 2 2 2 4" xfId="21437"/>
    <cellStyle name="표준 25 3 5 2 2 2 4 2" xfId="21438"/>
    <cellStyle name="표준 25 3 5 2 2 2 4 2 2" xfId="21439"/>
    <cellStyle name="표준 25 3 5 2 2 2 4 2 2 2" xfId="21440"/>
    <cellStyle name="표준 25 3 5 2 2 2 4 2 3" xfId="21441"/>
    <cellStyle name="표준 25 3 5 2 2 2 4 3" xfId="21442"/>
    <cellStyle name="표준 25 3 5 2 2 2 4 3 2" xfId="21443"/>
    <cellStyle name="표준 25 3 5 2 2 2 4 4" xfId="21444"/>
    <cellStyle name="표준 25 3 5 2 2 2 5" xfId="21445"/>
    <cellStyle name="표준 25 3 5 2 2 2 5 2" xfId="21446"/>
    <cellStyle name="표준 25 3 5 2 2 2 5 2 2" xfId="21447"/>
    <cellStyle name="표준 25 3 5 2 2 2 5 3" xfId="21448"/>
    <cellStyle name="표준 25 3 5 2 2 2 6" xfId="21449"/>
    <cellStyle name="표준 25 3 5 2 2 2 6 2" xfId="21450"/>
    <cellStyle name="표준 25 3 5 2 2 2 7" xfId="21451"/>
    <cellStyle name="표준 25 3 5 2 2 2 8" xfId="21452"/>
    <cellStyle name="표준 25 3 5 2 2 3" xfId="21453"/>
    <cellStyle name="표준 25 3 5 2 2 3 2" xfId="21454"/>
    <cellStyle name="표준 25 3 5 2 2 3 2 2" xfId="21455"/>
    <cellStyle name="표준 25 3 5 2 2 3 2 2 2" xfId="21456"/>
    <cellStyle name="표준 25 3 5 2 2 3 2 2 2 2" xfId="21457"/>
    <cellStyle name="표준 25 3 5 2 2 3 2 2 2 2 2" xfId="21458"/>
    <cellStyle name="표준 25 3 5 2 2 3 2 2 2 3" xfId="21459"/>
    <cellStyle name="표준 25 3 5 2 2 3 2 2 3" xfId="21460"/>
    <cellStyle name="표준 25 3 5 2 2 3 2 2 3 2" xfId="21461"/>
    <cellStyle name="표준 25 3 5 2 2 3 2 2 4" xfId="21462"/>
    <cellStyle name="표준 25 3 5 2 2 3 2 3" xfId="21463"/>
    <cellStyle name="표준 25 3 5 2 2 3 2 3 2" xfId="21464"/>
    <cellStyle name="표준 25 3 5 2 2 3 2 3 2 2" xfId="21465"/>
    <cellStyle name="표준 25 3 5 2 2 3 2 3 3" xfId="21466"/>
    <cellStyle name="표준 25 3 5 2 2 3 2 4" xfId="21467"/>
    <cellStyle name="표준 25 3 5 2 2 3 2 4 2" xfId="21468"/>
    <cellStyle name="표준 25 3 5 2 2 3 2 5" xfId="21469"/>
    <cellStyle name="표준 25 3 5 2 2 3 3" xfId="21470"/>
    <cellStyle name="표준 25 3 5 2 2 3 3 2" xfId="21471"/>
    <cellStyle name="표준 25 3 5 2 2 3 3 2 2" xfId="21472"/>
    <cellStyle name="표준 25 3 5 2 2 3 3 2 2 2" xfId="21473"/>
    <cellStyle name="표준 25 3 5 2 2 3 3 2 3" xfId="21474"/>
    <cellStyle name="표준 25 3 5 2 2 3 3 3" xfId="21475"/>
    <cellStyle name="표준 25 3 5 2 2 3 3 3 2" xfId="21476"/>
    <cellStyle name="표준 25 3 5 2 2 3 3 4" xfId="21477"/>
    <cellStyle name="표준 25 3 5 2 2 3 4" xfId="21478"/>
    <cellStyle name="표준 25 3 5 2 2 3 4 2" xfId="21479"/>
    <cellStyle name="표준 25 3 5 2 2 3 4 2 2" xfId="21480"/>
    <cellStyle name="표준 25 3 5 2 2 3 4 3" xfId="21481"/>
    <cellStyle name="표준 25 3 5 2 2 3 5" xfId="21482"/>
    <cellStyle name="표준 25 3 5 2 2 3 5 2" xfId="21483"/>
    <cellStyle name="표준 25 3 5 2 2 3 6" xfId="21484"/>
    <cellStyle name="표준 25 3 5 2 2 4" xfId="21485"/>
    <cellStyle name="표준 25 3 5 2 2 4 2" xfId="21486"/>
    <cellStyle name="표준 25 3 5 2 2 4 2 2" xfId="21487"/>
    <cellStyle name="표준 25 3 5 2 2 4 2 2 2" xfId="21488"/>
    <cellStyle name="표준 25 3 5 2 2 4 2 2 2 2" xfId="21489"/>
    <cellStyle name="표준 25 3 5 2 2 4 2 2 3" xfId="21490"/>
    <cellStyle name="표준 25 3 5 2 2 4 2 3" xfId="21491"/>
    <cellStyle name="표준 25 3 5 2 2 4 2 3 2" xfId="21492"/>
    <cellStyle name="표준 25 3 5 2 2 4 2 4" xfId="21493"/>
    <cellStyle name="표준 25 3 5 2 2 4 3" xfId="21494"/>
    <cellStyle name="표준 25 3 5 2 2 4 3 2" xfId="21495"/>
    <cellStyle name="표준 25 3 5 2 2 4 3 2 2" xfId="21496"/>
    <cellStyle name="표준 25 3 5 2 2 4 3 3" xfId="21497"/>
    <cellStyle name="표준 25 3 5 2 2 4 4" xfId="21498"/>
    <cellStyle name="표준 25 3 5 2 2 4 4 2" xfId="21499"/>
    <cellStyle name="표준 25 3 5 2 2 4 5" xfId="21500"/>
    <cellStyle name="표준 25 3 5 2 2 5" xfId="21501"/>
    <cellStyle name="표준 25 3 5 2 2 5 2" xfId="21502"/>
    <cellStyle name="표준 25 3 5 2 2 5 2 2" xfId="21503"/>
    <cellStyle name="표준 25 3 5 2 2 5 2 2 2" xfId="21504"/>
    <cellStyle name="표준 25 3 5 2 2 5 2 3" xfId="21505"/>
    <cellStyle name="표준 25 3 5 2 2 5 3" xfId="21506"/>
    <cellStyle name="표준 25 3 5 2 2 5 3 2" xfId="21507"/>
    <cellStyle name="표준 25 3 5 2 2 5 4" xfId="21508"/>
    <cellStyle name="표준 25 3 5 2 2 6" xfId="21509"/>
    <cellStyle name="표준 25 3 5 2 2 6 2" xfId="21510"/>
    <cellStyle name="표준 25 3 5 2 2 6 2 2" xfId="21511"/>
    <cellStyle name="표준 25 3 5 2 2 6 3" xfId="21512"/>
    <cellStyle name="표준 25 3 5 2 2 7" xfId="21513"/>
    <cellStyle name="표준 25 3 5 2 2 7 2" xfId="21514"/>
    <cellStyle name="표준 25 3 5 2 2 8" xfId="21515"/>
    <cellStyle name="표준 25 3 5 2 2 9" xfId="21516"/>
    <cellStyle name="표준 25 3 5 2 3" xfId="21517"/>
    <cellStyle name="표준 25 3 5 2 3 2" xfId="21518"/>
    <cellStyle name="표준 25 3 5 2 3 2 2" xfId="21519"/>
    <cellStyle name="표준 25 3 5 2 3 2 2 2" xfId="21520"/>
    <cellStyle name="표준 25 3 5 2 3 2 2 2 2" xfId="21521"/>
    <cellStyle name="표준 25 3 5 2 3 2 2 2 2 2" xfId="21522"/>
    <cellStyle name="표준 25 3 5 2 3 2 2 2 2 2 2" xfId="21523"/>
    <cellStyle name="표준 25 3 5 2 3 2 2 2 2 3" xfId="21524"/>
    <cellStyle name="표준 25 3 5 2 3 2 2 2 3" xfId="21525"/>
    <cellStyle name="표준 25 3 5 2 3 2 2 2 3 2" xfId="21526"/>
    <cellStyle name="표준 25 3 5 2 3 2 2 2 4" xfId="21527"/>
    <cellStyle name="표준 25 3 5 2 3 2 2 3" xfId="21528"/>
    <cellStyle name="표준 25 3 5 2 3 2 2 3 2" xfId="21529"/>
    <cellStyle name="표준 25 3 5 2 3 2 2 3 2 2" xfId="21530"/>
    <cellStyle name="표준 25 3 5 2 3 2 2 3 3" xfId="21531"/>
    <cellStyle name="표준 25 3 5 2 3 2 2 4" xfId="21532"/>
    <cellStyle name="표준 25 3 5 2 3 2 2 4 2" xfId="21533"/>
    <cellStyle name="표준 25 3 5 2 3 2 2 5" xfId="21534"/>
    <cellStyle name="표준 25 3 5 2 3 2 3" xfId="21535"/>
    <cellStyle name="표준 25 3 5 2 3 2 3 2" xfId="21536"/>
    <cellStyle name="표준 25 3 5 2 3 2 3 2 2" xfId="21537"/>
    <cellStyle name="표준 25 3 5 2 3 2 3 2 2 2" xfId="21538"/>
    <cellStyle name="표준 25 3 5 2 3 2 3 2 3" xfId="21539"/>
    <cellStyle name="표준 25 3 5 2 3 2 3 3" xfId="21540"/>
    <cellStyle name="표준 25 3 5 2 3 2 3 3 2" xfId="21541"/>
    <cellStyle name="표준 25 3 5 2 3 2 3 4" xfId="21542"/>
    <cellStyle name="표준 25 3 5 2 3 2 4" xfId="21543"/>
    <cellStyle name="표준 25 3 5 2 3 2 4 2" xfId="21544"/>
    <cellStyle name="표준 25 3 5 2 3 2 4 2 2" xfId="21545"/>
    <cellStyle name="표준 25 3 5 2 3 2 4 3" xfId="21546"/>
    <cellStyle name="표준 25 3 5 2 3 2 5" xfId="21547"/>
    <cellStyle name="표준 25 3 5 2 3 2 5 2" xfId="21548"/>
    <cellStyle name="표준 25 3 5 2 3 2 6" xfId="21549"/>
    <cellStyle name="표준 25 3 5 2 3 3" xfId="21550"/>
    <cellStyle name="표준 25 3 5 2 3 3 2" xfId="21551"/>
    <cellStyle name="표준 25 3 5 2 3 3 2 2" xfId="21552"/>
    <cellStyle name="표준 25 3 5 2 3 3 2 2 2" xfId="21553"/>
    <cellStyle name="표준 25 3 5 2 3 3 2 2 2 2" xfId="21554"/>
    <cellStyle name="표준 25 3 5 2 3 3 2 2 3" xfId="21555"/>
    <cellStyle name="표준 25 3 5 2 3 3 2 3" xfId="21556"/>
    <cellStyle name="표준 25 3 5 2 3 3 2 3 2" xfId="21557"/>
    <cellStyle name="표준 25 3 5 2 3 3 2 4" xfId="21558"/>
    <cellStyle name="표준 25 3 5 2 3 3 3" xfId="21559"/>
    <cellStyle name="표준 25 3 5 2 3 3 3 2" xfId="21560"/>
    <cellStyle name="표준 25 3 5 2 3 3 3 2 2" xfId="21561"/>
    <cellStyle name="표준 25 3 5 2 3 3 3 3" xfId="21562"/>
    <cellStyle name="표준 25 3 5 2 3 3 4" xfId="21563"/>
    <cellStyle name="표준 25 3 5 2 3 3 4 2" xfId="21564"/>
    <cellStyle name="표준 25 3 5 2 3 3 5" xfId="21565"/>
    <cellStyle name="표준 25 3 5 2 3 4" xfId="21566"/>
    <cellStyle name="표준 25 3 5 2 3 4 2" xfId="21567"/>
    <cellStyle name="표준 25 3 5 2 3 4 2 2" xfId="21568"/>
    <cellStyle name="표준 25 3 5 2 3 4 2 2 2" xfId="21569"/>
    <cellStyle name="표준 25 3 5 2 3 4 2 3" xfId="21570"/>
    <cellStyle name="표준 25 3 5 2 3 4 3" xfId="21571"/>
    <cellStyle name="표준 25 3 5 2 3 4 3 2" xfId="21572"/>
    <cellStyle name="표준 25 3 5 2 3 4 4" xfId="21573"/>
    <cellStyle name="표준 25 3 5 2 3 5" xfId="21574"/>
    <cellStyle name="표준 25 3 5 2 3 5 2" xfId="21575"/>
    <cellStyle name="표준 25 3 5 2 3 5 2 2" xfId="21576"/>
    <cellStyle name="표준 25 3 5 2 3 5 3" xfId="21577"/>
    <cellStyle name="표준 25 3 5 2 3 6" xfId="21578"/>
    <cellStyle name="표준 25 3 5 2 3 6 2" xfId="21579"/>
    <cellStyle name="표준 25 3 5 2 3 7" xfId="21580"/>
    <cellStyle name="표준 25 3 5 2 3 8" xfId="21581"/>
    <cellStyle name="표준 25 3 5 2 4" xfId="21582"/>
    <cellStyle name="표준 25 3 5 2 4 2" xfId="21583"/>
    <cellStyle name="표준 25 3 5 2 4 2 2" xfId="21584"/>
    <cellStyle name="표준 25 3 5 2 4 2 2 2" xfId="21585"/>
    <cellStyle name="표준 25 3 5 2 4 2 2 2 2" xfId="21586"/>
    <cellStyle name="표준 25 3 5 2 4 2 2 2 2 2" xfId="21587"/>
    <cellStyle name="표준 25 3 5 2 4 2 2 2 3" xfId="21588"/>
    <cellStyle name="표준 25 3 5 2 4 2 2 3" xfId="21589"/>
    <cellStyle name="표준 25 3 5 2 4 2 2 3 2" xfId="21590"/>
    <cellStyle name="표준 25 3 5 2 4 2 2 4" xfId="21591"/>
    <cellStyle name="표준 25 3 5 2 4 2 3" xfId="21592"/>
    <cellStyle name="표준 25 3 5 2 4 2 3 2" xfId="21593"/>
    <cellStyle name="표준 25 3 5 2 4 2 3 2 2" xfId="21594"/>
    <cellStyle name="표준 25 3 5 2 4 2 3 3" xfId="21595"/>
    <cellStyle name="표준 25 3 5 2 4 2 4" xfId="21596"/>
    <cellStyle name="표준 25 3 5 2 4 2 4 2" xfId="21597"/>
    <cellStyle name="표준 25 3 5 2 4 2 5" xfId="21598"/>
    <cellStyle name="표준 25 3 5 2 4 3" xfId="21599"/>
    <cellStyle name="표준 25 3 5 2 4 3 2" xfId="21600"/>
    <cellStyle name="표준 25 3 5 2 4 3 2 2" xfId="21601"/>
    <cellStyle name="표준 25 3 5 2 4 3 2 2 2" xfId="21602"/>
    <cellStyle name="표준 25 3 5 2 4 3 2 3" xfId="21603"/>
    <cellStyle name="표준 25 3 5 2 4 3 3" xfId="21604"/>
    <cellStyle name="표준 25 3 5 2 4 3 3 2" xfId="21605"/>
    <cellStyle name="표준 25 3 5 2 4 3 4" xfId="21606"/>
    <cellStyle name="표준 25 3 5 2 4 4" xfId="21607"/>
    <cellStyle name="표준 25 3 5 2 4 4 2" xfId="21608"/>
    <cellStyle name="표준 25 3 5 2 4 4 2 2" xfId="21609"/>
    <cellStyle name="표준 25 3 5 2 4 4 3" xfId="21610"/>
    <cellStyle name="표준 25 3 5 2 4 5" xfId="21611"/>
    <cellStyle name="표준 25 3 5 2 4 5 2" xfId="21612"/>
    <cellStyle name="표준 25 3 5 2 4 6" xfId="21613"/>
    <cellStyle name="표준 25 3 5 2 5" xfId="21614"/>
    <cellStyle name="표준 25 3 5 2 5 2" xfId="21615"/>
    <cellStyle name="표준 25 3 5 2 5 2 2" xfId="21616"/>
    <cellStyle name="표준 25 3 5 2 5 2 2 2" xfId="21617"/>
    <cellStyle name="표준 25 3 5 2 5 2 2 2 2" xfId="21618"/>
    <cellStyle name="표준 25 3 5 2 5 2 2 3" xfId="21619"/>
    <cellStyle name="표준 25 3 5 2 5 2 3" xfId="21620"/>
    <cellStyle name="표준 25 3 5 2 5 2 3 2" xfId="21621"/>
    <cellStyle name="표준 25 3 5 2 5 2 4" xfId="21622"/>
    <cellStyle name="표준 25 3 5 2 5 3" xfId="21623"/>
    <cellStyle name="표준 25 3 5 2 5 3 2" xfId="21624"/>
    <cellStyle name="표준 25 3 5 2 5 3 2 2" xfId="21625"/>
    <cellStyle name="표준 25 3 5 2 5 3 3" xfId="21626"/>
    <cellStyle name="표준 25 3 5 2 5 4" xfId="21627"/>
    <cellStyle name="표준 25 3 5 2 5 4 2" xfId="21628"/>
    <cellStyle name="표준 25 3 5 2 5 5" xfId="21629"/>
    <cellStyle name="표준 25 3 5 2 6" xfId="21630"/>
    <cellStyle name="표준 25 3 5 2 6 2" xfId="21631"/>
    <cellStyle name="표준 25 3 5 2 6 2 2" xfId="21632"/>
    <cellStyle name="표준 25 3 5 2 6 2 2 2" xfId="21633"/>
    <cellStyle name="표준 25 3 5 2 6 2 3" xfId="21634"/>
    <cellStyle name="표준 25 3 5 2 6 3" xfId="21635"/>
    <cellStyle name="표준 25 3 5 2 6 3 2" xfId="21636"/>
    <cellStyle name="표준 25 3 5 2 6 4" xfId="21637"/>
    <cellStyle name="표준 25 3 5 2 7" xfId="21638"/>
    <cellStyle name="표준 25 3 5 2 7 2" xfId="21639"/>
    <cellStyle name="표준 25 3 5 2 7 2 2" xfId="21640"/>
    <cellStyle name="표준 25 3 5 2 7 3" xfId="21641"/>
    <cellStyle name="표준 25 3 5 2 8" xfId="21642"/>
    <cellStyle name="표준 25 3 5 2 8 2" xfId="21643"/>
    <cellStyle name="표준 25 3 5 2 9" xfId="21644"/>
    <cellStyle name="표준 25 3 5 3" xfId="21645"/>
    <cellStyle name="표준 25 3 5 3 2" xfId="21646"/>
    <cellStyle name="표준 25 3 5 3 2 2" xfId="21647"/>
    <cellStyle name="표준 25 3 5 3 2 2 2" xfId="21648"/>
    <cellStyle name="표준 25 3 5 3 2 2 2 2" xfId="21649"/>
    <cellStyle name="표준 25 3 5 3 2 2 2 2 2" xfId="21650"/>
    <cellStyle name="표준 25 3 5 3 2 2 2 2 2 2" xfId="21651"/>
    <cellStyle name="표준 25 3 5 3 2 2 2 2 2 2 2" xfId="21652"/>
    <cellStyle name="표준 25 3 5 3 2 2 2 2 2 3" xfId="21653"/>
    <cellStyle name="표준 25 3 5 3 2 2 2 2 3" xfId="21654"/>
    <cellStyle name="표준 25 3 5 3 2 2 2 2 3 2" xfId="21655"/>
    <cellStyle name="표준 25 3 5 3 2 2 2 2 4" xfId="21656"/>
    <cellStyle name="표준 25 3 5 3 2 2 2 3" xfId="21657"/>
    <cellStyle name="표준 25 3 5 3 2 2 2 3 2" xfId="21658"/>
    <cellStyle name="표준 25 3 5 3 2 2 2 3 2 2" xfId="21659"/>
    <cellStyle name="표준 25 3 5 3 2 2 2 3 3" xfId="21660"/>
    <cellStyle name="표준 25 3 5 3 2 2 2 4" xfId="21661"/>
    <cellStyle name="표준 25 3 5 3 2 2 2 4 2" xfId="21662"/>
    <cellStyle name="표준 25 3 5 3 2 2 2 5" xfId="21663"/>
    <cellStyle name="표준 25 3 5 3 2 2 3" xfId="21664"/>
    <cellStyle name="표준 25 3 5 3 2 2 3 2" xfId="21665"/>
    <cellStyle name="표준 25 3 5 3 2 2 3 2 2" xfId="21666"/>
    <cellStyle name="표준 25 3 5 3 2 2 3 2 2 2" xfId="21667"/>
    <cellStyle name="표준 25 3 5 3 2 2 3 2 3" xfId="21668"/>
    <cellStyle name="표준 25 3 5 3 2 2 3 3" xfId="21669"/>
    <cellStyle name="표준 25 3 5 3 2 2 3 3 2" xfId="21670"/>
    <cellStyle name="표준 25 3 5 3 2 2 3 4" xfId="21671"/>
    <cellStyle name="표준 25 3 5 3 2 2 4" xfId="21672"/>
    <cellStyle name="표준 25 3 5 3 2 2 4 2" xfId="21673"/>
    <cellStyle name="표준 25 3 5 3 2 2 4 2 2" xfId="21674"/>
    <cellStyle name="표준 25 3 5 3 2 2 4 3" xfId="21675"/>
    <cellStyle name="표준 25 3 5 3 2 2 5" xfId="21676"/>
    <cellStyle name="표준 25 3 5 3 2 2 5 2" xfId="21677"/>
    <cellStyle name="표준 25 3 5 3 2 2 6" xfId="21678"/>
    <cellStyle name="표준 25 3 5 3 2 3" xfId="21679"/>
    <cellStyle name="표준 25 3 5 3 2 3 2" xfId="21680"/>
    <cellStyle name="표준 25 3 5 3 2 3 2 2" xfId="21681"/>
    <cellStyle name="표준 25 3 5 3 2 3 2 2 2" xfId="21682"/>
    <cellStyle name="표준 25 3 5 3 2 3 2 2 2 2" xfId="21683"/>
    <cellStyle name="표준 25 3 5 3 2 3 2 2 3" xfId="21684"/>
    <cellStyle name="표준 25 3 5 3 2 3 2 3" xfId="21685"/>
    <cellStyle name="표준 25 3 5 3 2 3 2 3 2" xfId="21686"/>
    <cellStyle name="표준 25 3 5 3 2 3 2 4" xfId="21687"/>
    <cellStyle name="표준 25 3 5 3 2 3 3" xfId="21688"/>
    <cellStyle name="표준 25 3 5 3 2 3 3 2" xfId="21689"/>
    <cellStyle name="표준 25 3 5 3 2 3 3 2 2" xfId="21690"/>
    <cellStyle name="표준 25 3 5 3 2 3 3 3" xfId="21691"/>
    <cellStyle name="표준 25 3 5 3 2 3 4" xfId="21692"/>
    <cellStyle name="표준 25 3 5 3 2 3 4 2" xfId="21693"/>
    <cellStyle name="표준 25 3 5 3 2 3 5" xfId="21694"/>
    <cellStyle name="표준 25 3 5 3 2 4" xfId="21695"/>
    <cellStyle name="표준 25 3 5 3 2 4 2" xfId="21696"/>
    <cellStyle name="표준 25 3 5 3 2 4 2 2" xfId="21697"/>
    <cellStyle name="표준 25 3 5 3 2 4 2 2 2" xfId="21698"/>
    <cellStyle name="표준 25 3 5 3 2 4 2 3" xfId="21699"/>
    <cellStyle name="표준 25 3 5 3 2 4 3" xfId="21700"/>
    <cellStyle name="표준 25 3 5 3 2 4 3 2" xfId="21701"/>
    <cellStyle name="표준 25 3 5 3 2 4 4" xfId="21702"/>
    <cellStyle name="표준 25 3 5 3 2 5" xfId="21703"/>
    <cellStyle name="표준 25 3 5 3 2 5 2" xfId="21704"/>
    <cellStyle name="표준 25 3 5 3 2 5 2 2" xfId="21705"/>
    <cellStyle name="표준 25 3 5 3 2 5 3" xfId="21706"/>
    <cellStyle name="표준 25 3 5 3 2 6" xfId="21707"/>
    <cellStyle name="표준 25 3 5 3 2 6 2" xfId="21708"/>
    <cellStyle name="표준 25 3 5 3 2 7" xfId="21709"/>
    <cellStyle name="표준 25 3 5 3 2 8" xfId="21710"/>
    <cellStyle name="표준 25 3 5 3 3" xfId="21711"/>
    <cellStyle name="표준 25 3 5 3 3 2" xfId="21712"/>
    <cellStyle name="표준 25 3 5 3 3 2 2" xfId="21713"/>
    <cellStyle name="표준 25 3 5 3 3 2 2 2" xfId="21714"/>
    <cellStyle name="표준 25 3 5 3 3 2 2 2 2" xfId="21715"/>
    <cellStyle name="표준 25 3 5 3 3 2 2 2 2 2" xfId="21716"/>
    <cellStyle name="표준 25 3 5 3 3 2 2 2 3" xfId="21717"/>
    <cellStyle name="표준 25 3 5 3 3 2 2 3" xfId="21718"/>
    <cellStyle name="표준 25 3 5 3 3 2 2 3 2" xfId="21719"/>
    <cellStyle name="표준 25 3 5 3 3 2 2 4" xfId="21720"/>
    <cellStyle name="표준 25 3 5 3 3 2 3" xfId="21721"/>
    <cellStyle name="표준 25 3 5 3 3 2 3 2" xfId="21722"/>
    <cellStyle name="표준 25 3 5 3 3 2 3 2 2" xfId="21723"/>
    <cellStyle name="표준 25 3 5 3 3 2 3 3" xfId="21724"/>
    <cellStyle name="표준 25 3 5 3 3 2 4" xfId="21725"/>
    <cellStyle name="표준 25 3 5 3 3 2 4 2" xfId="21726"/>
    <cellStyle name="표준 25 3 5 3 3 2 5" xfId="21727"/>
    <cellStyle name="표준 25 3 5 3 3 3" xfId="21728"/>
    <cellStyle name="표준 25 3 5 3 3 3 2" xfId="21729"/>
    <cellStyle name="표준 25 3 5 3 3 3 2 2" xfId="21730"/>
    <cellStyle name="표준 25 3 5 3 3 3 2 2 2" xfId="21731"/>
    <cellStyle name="표준 25 3 5 3 3 3 2 3" xfId="21732"/>
    <cellStyle name="표준 25 3 5 3 3 3 3" xfId="21733"/>
    <cellStyle name="표준 25 3 5 3 3 3 3 2" xfId="21734"/>
    <cellStyle name="표준 25 3 5 3 3 3 4" xfId="21735"/>
    <cellStyle name="표준 25 3 5 3 3 4" xfId="21736"/>
    <cellStyle name="표준 25 3 5 3 3 4 2" xfId="21737"/>
    <cellStyle name="표준 25 3 5 3 3 4 2 2" xfId="21738"/>
    <cellStyle name="표준 25 3 5 3 3 4 3" xfId="21739"/>
    <cellStyle name="표준 25 3 5 3 3 5" xfId="21740"/>
    <cellStyle name="표준 25 3 5 3 3 5 2" xfId="21741"/>
    <cellStyle name="표준 25 3 5 3 3 6" xfId="21742"/>
    <cellStyle name="표준 25 3 5 3 4" xfId="21743"/>
    <cellStyle name="표준 25 3 5 3 4 2" xfId="21744"/>
    <cellStyle name="표준 25 3 5 3 4 2 2" xfId="21745"/>
    <cellStyle name="표준 25 3 5 3 4 2 2 2" xfId="21746"/>
    <cellStyle name="표준 25 3 5 3 4 2 2 2 2" xfId="21747"/>
    <cellStyle name="표준 25 3 5 3 4 2 2 3" xfId="21748"/>
    <cellStyle name="표준 25 3 5 3 4 2 3" xfId="21749"/>
    <cellStyle name="표준 25 3 5 3 4 2 3 2" xfId="21750"/>
    <cellStyle name="표준 25 3 5 3 4 2 4" xfId="21751"/>
    <cellStyle name="표준 25 3 5 3 4 3" xfId="21752"/>
    <cellStyle name="표준 25 3 5 3 4 3 2" xfId="21753"/>
    <cellStyle name="표준 25 3 5 3 4 3 2 2" xfId="21754"/>
    <cellStyle name="표준 25 3 5 3 4 3 3" xfId="21755"/>
    <cellStyle name="표준 25 3 5 3 4 4" xfId="21756"/>
    <cellStyle name="표준 25 3 5 3 4 4 2" xfId="21757"/>
    <cellStyle name="표준 25 3 5 3 4 5" xfId="21758"/>
    <cellStyle name="표준 25 3 5 3 5" xfId="21759"/>
    <cellStyle name="표준 25 3 5 3 5 2" xfId="21760"/>
    <cellStyle name="표준 25 3 5 3 5 2 2" xfId="21761"/>
    <cellStyle name="표준 25 3 5 3 5 2 2 2" xfId="21762"/>
    <cellStyle name="표준 25 3 5 3 5 2 3" xfId="21763"/>
    <cellStyle name="표준 25 3 5 3 5 3" xfId="21764"/>
    <cellStyle name="표준 25 3 5 3 5 3 2" xfId="21765"/>
    <cellStyle name="표준 25 3 5 3 5 4" xfId="21766"/>
    <cellStyle name="표준 25 3 5 3 6" xfId="21767"/>
    <cellStyle name="표준 25 3 5 3 6 2" xfId="21768"/>
    <cellStyle name="표준 25 3 5 3 6 2 2" xfId="21769"/>
    <cellStyle name="표준 25 3 5 3 6 3" xfId="21770"/>
    <cellStyle name="표준 25 3 5 3 7" xfId="21771"/>
    <cellStyle name="표준 25 3 5 3 7 2" xfId="21772"/>
    <cellStyle name="표준 25 3 5 3 8" xfId="21773"/>
    <cellStyle name="표준 25 3 5 3 9" xfId="21774"/>
    <cellStyle name="표준 25 3 5 4" xfId="21775"/>
    <cellStyle name="표준 25 3 5 4 2" xfId="21776"/>
    <cellStyle name="표준 25 3 5 4 2 2" xfId="21777"/>
    <cellStyle name="표준 25 3 5 4 2 2 2" xfId="21778"/>
    <cellStyle name="표준 25 3 5 4 2 2 2 2" xfId="21779"/>
    <cellStyle name="표준 25 3 5 4 2 2 2 2 2" xfId="21780"/>
    <cellStyle name="표준 25 3 5 4 2 2 2 2 2 2" xfId="21781"/>
    <cellStyle name="표준 25 3 5 4 2 2 2 2 3" xfId="21782"/>
    <cellStyle name="표준 25 3 5 4 2 2 2 3" xfId="21783"/>
    <cellStyle name="표준 25 3 5 4 2 2 2 3 2" xfId="21784"/>
    <cellStyle name="표준 25 3 5 4 2 2 2 4" xfId="21785"/>
    <cellStyle name="표준 25 3 5 4 2 2 3" xfId="21786"/>
    <cellStyle name="표준 25 3 5 4 2 2 3 2" xfId="21787"/>
    <cellStyle name="표준 25 3 5 4 2 2 3 2 2" xfId="21788"/>
    <cellStyle name="표준 25 3 5 4 2 2 3 3" xfId="21789"/>
    <cellStyle name="표준 25 3 5 4 2 2 4" xfId="21790"/>
    <cellStyle name="표준 25 3 5 4 2 2 4 2" xfId="21791"/>
    <cellStyle name="표준 25 3 5 4 2 2 5" xfId="21792"/>
    <cellStyle name="표준 25 3 5 4 2 3" xfId="21793"/>
    <cellStyle name="표준 25 3 5 4 2 3 2" xfId="21794"/>
    <cellStyle name="표준 25 3 5 4 2 3 2 2" xfId="21795"/>
    <cellStyle name="표준 25 3 5 4 2 3 2 2 2" xfId="21796"/>
    <cellStyle name="표준 25 3 5 4 2 3 2 3" xfId="21797"/>
    <cellStyle name="표준 25 3 5 4 2 3 3" xfId="21798"/>
    <cellStyle name="표준 25 3 5 4 2 3 3 2" xfId="21799"/>
    <cellStyle name="표준 25 3 5 4 2 3 4" xfId="21800"/>
    <cellStyle name="표준 25 3 5 4 2 4" xfId="21801"/>
    <cellStyle name="표준 25 3 5 4 2 4 2" xfId="21802"/>
    <cellStyle name="표준 25 3 5 4 2 4 2 2" xfId="21803"/>
    <cellStyle name="표준 25 3 5 4 2 4 3" xfId="21804"/>
    <cellStyle name="표준 25 3 5 4 2 5" xfId="21805"/>
    <cellStyle name="표준 25 3 5 4 2 5 2" xfId="21806"/>
    <cellStyle name="표준 25 3 5 4 2 6" xfId="21807"/>
    <cellStyle name="표준 25 3 5 4 3" xfId="21808"/>
    <cellStyle name="표준 25 3 5 4 3 2" xfId="21809"/>
    <cellStyle name="표준 25 3 5 4 3 2 2" xfId="21810"/>
    <cellStyle name="표준 25 3 5 4 3 2 2 2" xfId="21811"/>
    <cellStyle name="표준 25 3 5 4 3 2 2 2 2" xfId="21812"/>
    <cellStyle name="표준 25 3 5 4 3 2 2 3" xfId="21813"/>
    <cellStyle name="표준 25 3 5 4 3 2 3" xfId="21814"/>
    <cellStyle name="표준 25 3 5 4 3 2 3 2" xfId="21815"/>
    <cellStyle name="표준 25 3 5 4 3 2 4" xfId="21816"/>
    <cellStyle name="표준 25 3 5 4 3 3" xfId="21817"/>
    <cellStyle name="표준 25 3 5 4 3 3 2" xfId="21818"/>
    <cellStyle name="표준 25 3 5 4 3 3 2 2" xfId="21819"/>
    <cellStyle name="표준 25 3 5 4 3 3 3" xfId="21820"/>
    <cellStyle name="표준 25 3 5 4 3 4" xfId="21821"/>
    <cellStyle name="표준 25 3 5 4 3 4 2" xfId="21822"/>
    <cellStyle name="표준 25 3 5 4 3 5" xfId="21823"/>
    <cellStyle name="표준 25 3 5 4 4" xfId="21824"/>
    <cellStyle name="표준 25 3 5 4 4 2" xfId="21825"/>
    <cellStyle name="표준 25 3 5 4 4 2 2" xfId="21826"/>
    <cellStyle name="표준 25 3 5 4 4 2 2 2" xfId="21827"/>
    <cellStyle name="표준 25 3 5 4 4 2 3" xfId="21828"/>
    <cellStyle name="표준 25 3 5 4 4 3" xfId="21829"/>
    <cellStyle name="표준 25 3 5 4 4 3 2" xfId="21830"/>
    <cellStyle name="표준 25 3 5 4 4 4" xfId="21831"/>
    <cellStyle name="표준 25 3 5 4 5" xfId="21832"/>
    <cellStyle name="표준 25 3 5 4 5 2" xfId="21833"/>
    <cellStyle name="표준 25 3 5 4 5 2 2" xfId="21834"/>
    <cellStyle name="표준 25 3 5 4 5 3" xfId="21835"/>
    <cellStyle name="표준 25 3 5 4 6" xfId="21836"/>
    <cellStyle name="표준 25 3 5 4 6 2" xfId="21837"/>
    <cellStyle name="표준 25 3 5 4 7" xfId="21838"/>
    <cellStyle name="표준 25 3 5 4 8" xfId="21839"/>
    <cellStyle name="표준 25 3 5 5" xfId="21840"/>
    <cellStyle name="표준 25 3 5 5 2" xfId="21841"/>
    <cellStyle name="표준 25 3 5 5 2 2" xfId="21842"/>
    <cellStyle name="표준 25 3 5 5 2 2 2" xfId="21843"/>
    <cellStyle name="표준 25 3 5 5 2 2 2 2" xfId="21844"/>
    <cellStyle name="표준 25 3 5 5 2 2 2 2 2" xfId="21845"/>
    <cellStyle name="표준 25 3 5 5 2 2 2 3" xfId="21846"/>
    <cellStyle name="표준 25 3 5 5 2 2 3" xfId="21847"/>
    <cellStyle name="표준 25 3 5 5 2 2 3 2" xfId="21848"/>
    <cellStyle name="표준 25 3 5 5 2 2 4" xfId="21849"/>
    <cellStyle name="표준 25 3 5 5 2 3" xfId="21850"/>
    <cellStyle name="표준 25 3 5 5 2 3 2" xfId="21851"/>
    <cellStyle name="표준 25 3 5 5 2 3 2 2" xfId="21852"/>
    <cellStyle name="표준 25 3 5 5 2 3 3" xfId="21853"/>
    <cellStyle name="표준 25 3 5 5 2 4" xfId="21854"/>
    <cellStyle name="표준 25 3 5 5 2 4 2" xfId="21855"/>
    <cellStyle name="표준 25 3 5 5 2 5" xfId="21856"/>
    <cellStyle name="표준 25 3 5 5 3" xfId="21857"/>
    <cellStyle name="표준 25 3 5 5 3 2" xfId="21858"/>
    <cellStyle name="표준 25 3 5 5 3 2 2" xfId="21859"/>
    <cellStyle name="표준 25 3 5 5 3 2 2 2" xfId="21860"/>
    <cellStyle name="표준 25 3 5 5 3 2 3" xfId="21861"/>
    <cellStyle name="표준 25 3 5 5 3 3" xfId="21862"/>
    <cellStyle name="표준 25 3 5 5 3 3 2" xfId="21863"/>
    <cellStyle name="표준 25 3 5 5 3 4" xfId="21864"/>
    <cellStyle name="표준 25 3 5 5 4" xfId="21865"/>
    <cellStyle name="표준 25 3 5 5 4 2" xfId="21866"/>
    <cellStyle name="표준 25 3 5 5 4 2 2" xfId="21867"/>
    <cellStyle name="표준 25 3 5 5 4 3" xfId="21868"/>
    <cellStyle name="표준 25 3 5 5 5" xfId="21869"/>
    <cellStyle name="표준 25 3 5 5 5 2" xfId="21870"/>
    <cellStyle name="표준 25 3 5 5 6" xfId="21871"/>
    <cellStyle name="표준 25 3 5 6" xfId="21872"/>
    <cellStyle name="표준 25 3 5 6 2" xfId="21873"/>
    <cellStyle name="표준 25 3 5 6 2 2" xfId="21874"/>
    <cellStyle name="표준 25 3 5 6 2 2 2" xfId="21875"/>
    <cellStyle name="표준 25 3 5 6 2 2 2 2" xfId="21876"/>
    <cellStyle name="표준 25 3 5 6 2 2 3" xfId="21877"/>
    <cellStyle name="표준 25 3 5 6 2 3" xfId="21878"/>
    <cellStyle name="표준 25 3 5 6 2 3 2" xfId="21879"/>
    <cellStyle name="표준 25 3 5 6 2 4" xfId="21880"/>
    <cellStyle name="표준 25 3 5 6 3" xfId="21881"/>
    <cellStyle name="표준 25 3 5 6 3 2" xfId="21882"/>
    <cellStyle name="표준 25 3 5 6 3 2 2" xfId="21883"/>
    <cellStyle name="표준 25 3 5 6 3 3" xfId="21884"/>
    <cellStyle name="표준 25 3 5 6 4" xfId="21885"/>
    <cellStyle name="표준 25 3 5 6 4 2" xfId="21886"/>
    <cellStyle name="표준 25 3 5 6 5" xfId="21887"/>
    <cellStyle name="표준 25 3 5 7" xfId="21888"/>
    <cellStyle name="표준 25 3 5 7 2" xfId="21889"/>
    <cellStyle name="표준 25 3 5 7 2 2" xfId="21890"/>
    <cellStyle name="표준 25 3 5 7 2 2 2" xfId="21891"/>
    <cellStyle name="표준 25 3 5 7 2 3" xfId="21892"/>
    <cellStyle name="표준 25 3 5 7 3" xfId="21893"/>
    <cellStyle name="표준 25 3 5 7 3 2" xfId="21894"/>
    <cellStyle name="표준 25 3 5 7 4" xfId="21895"/>
    <cellStyle name="표준 25 3 5 8" xfId="21896"/>
    <cellStyle name="표준 25 3 5 8 2" xfId="21897"/>
    <cellStyle name="표준 25 3 5 8 2 2" xfId="21898"/>
    <cellStyle name="표준 25 3 5 8 3" xfId="21899"/>
    <cellStyle name="표준 25 3 5 9" xfId="21900"/>
    <cellStyle name="표준 25 3 5 9 2" xfId="21901"/>
    <cellStyle name="표준 25 3 6" xfId="21902"/>
    <cellStyle name="표준 25 3 6 10" xfId="21903"/>
    <cellStyle name="표준 25 3 6 2" xfId="21904"/>
    <cellStyle name="표준 25 3 6 2 2" xfId="21905"/>
    <cellStyle name="표준 25 3 6 2 2 2" xfId="21906"/>
    <cellStyle name="표준 25 3 6 2 2 2 2" xfId="21907"/>
    <cellStyle name="표준 25 3 6 2 2 2 2 2" xfId="21908"/>
    <cellStyle name="표준 25 3 6 2 2 2 2 2 2" xfId="21909"/>
    <cellStyle name="표준 25 3 6 2 2 2 2 2 2 2" xfId="21910"/>
    <cellStyle name="표준 25 3 6 2 2 2 2 2 2 2 2" xfId="21911"/>
    <cellStyle name="표준 25 3 6 2 2 2 2 2 2 3" xfId="21912"/>
    <cellStyle name="표준 25 3 6 2 2 2 2 2 3" xfId="21913"/>
    <cellStyle name="표준 25 3 6 2 2 2 2 2 3 2" xfId="21914"/>
    <cellStyle name="표준 25 3 6 2 2 2 2 2 4" xfId="21915"/>
    <cellStyle name="표준 25 3 6 2 2 2 2 3" xfId="21916"/>
    <cellStyle name="표준 25 3 6 2 2 2 2 3 2" xfId="21917"/>
    <cellStyle name="표준 25 3 6 2 2 2 2 3 2 2" xfId="21918"/>
    <cellStyle name="표준 25 3 6 2 2 2 2 3 3" xfId="21919"/>
    <cellStyle name="표준 25 3 6 2 2 2 2 4" xfId="21920"/>
    <cellStyle name="표준 25 3 6 2 2 2 2 4 2" xfId="21921"/>
    <cellStyle name="표준 25 3 6 2 2 2 2 5" xfId="21922"/>
    <cellStyle name="표준 25 3 6 2 2 2 3" xfId="21923"/>
    <cellStyle name="표준 25 3 6 2 2 2 3 2" xfId="21924"/>
    <cellStyle name="표준 25 3 6 2 2 2 3 2 2" xfId="21925"/>
    <cellStyle name="표준 25 3 6 2 2 2 3 2 2 2" xfId="21926"/>
    <cellStyle name="표준 25 3 6 2 2 2 3 2 3" xfId="21927"/>
    <cellStyle name="표준 25 3 6 2 2 2 3 3" xfId="21928"/>
    <cellStyle name="표준 25 3 6 2 2 2 3 3 2" xfId="21929"/>
    <cellStyle name="표준 25 3 6 2 2 2 3 4" xfId="21930"/>
    <cellStyle name="표준 25 3 6 2 2 2 4" xfId="21931"/>
    <cellStyle name="표준 25 3 6 2 2 2 4 2" xfId="21932"/>
    <cellStyle name="표준 25 3 6 2 2 2 4 2 2" xfId="21933"/>
    <cellStyle name="표준 25 3 6 2 2 2 4 3" xfId="21934"/>
    <cellStyle name="표준 25 3 6 2 2 2 5" xfId="21935"/>
    <cellStyle name="표준 25 3 6 2 2 2 5 2" xfId="21936"/>
    <cellStyle name="표준 25 3 6 2 2 2 6" xfId="21937"/>
    <cellStyle name="표준 25 3 6 2 2 3" xfId="21938"/>
    <cellStyle name="표준 25 3 6 2 2 3 2" xfId="21939"/>
    <cellStyle name="표준 25 3 6 2 2 3 2 2" xfId="21940"/>
    <cellStyle name="표준 25 3 6 2 2 3 2 2 2" xfId="21941"/>
    <cellStyle name="표준 25 3 6 2 2 3 2 2 2 2" xfId="21942"/>
    <cellStyle name="표준 25 3 6 2 2 3 2 2 3" xfId="21943"/>
    <cellStyle name="표준 25 3 6 2 2 3 2 3" xfId="21944"/>
    <cellStyle name="표준 25 3 6 2 2 3 2 3 2" xfId="21945"/>
    <cellStyle name="표준 25 3 6 2 2 3 2 4" xfId="21946"/>
    <cellStyle name="표준 25 3 6 2 2 3 3" xfId="21947"/>
    <cellStyle name="표준 25 3 6 2 2 3 3 2" xfId="21948"/>
    <cellStyle name="표준 25 3 6 2 2 3 3 2 2" xfId="21949"/>
    <cellStyle name="표준 25 3 6 2 2 3 3 3" xfId="21950"/>
    <cellStyle name="표준 25 3 6 2 2 3 4" xfId="21951"/>
    <cellStyle name="표준 25 3 6 2 2 3 4 2" xfId="21952"/>
    <cellStyle name="표준 25 3 6 2 2 3 5" xfId="21953"/>
    <cellStyle name="표준 25 3 6 2 2 4" xfId="21954"/>
    <cellStyle name="표준 25 3 6 2 2 4 2" xfId="21955"/>
    <cellStyle name="표준 25 3 6 2 2 4 2 2" xfId="21956"/>
    <cellStyle name="표준 25 3 6 2 2 4 2 2 2" xfId="21957"/>
    <cellStyle name="표준 25 3 6 2 2 4 2 3" xfId="21958"/>
    <cellStyle name="표준 25 3 6 2 2 4 3" xfId="21959"/>
    <cellStyle name="표준 25 3 6 2 2 4 3 2" xfId="21960"/>
    <cellStyle name="표준 25 3 6 2 2 4 4" xfId="21961"/>
    <cellStyle name="표준 25 3 6 2 2 5" xfId="21962"/>
    <cellStyle name="표준 25 3 6 2 2 5 2" xfId="21963"/>
    <cellStyle name="표준 25 3 6 2 2 5 2 2" xfId="21964"/>
    <cellStyle name="표준 25 3 6 2 2 5 3" xfId="21965"/>
    <cellStyle name="표준 25 3 6 2 2 6" xfId="21966"/>
    <cellStyle name="표준 25 3 6 2 2 6 2" xfId="21967"/>
    <cellStyle name="표준 25 3 6 2 2 7" xfId="21968"/>
    <cellStyle name="표준 25 3 6 2 2 8" xfId="21969"/>
    <cellStyle name="표준 25 3 6 2 3" xfId="21970"/>
    <cellStyle name="표준 25 3 6 2 3 2" xfId="21971"/>
    <cellStyle name="표준 25 3 6 2 3 2 2" xfId="21972"/>
    <cellStyle name="표준 25 3 6 2 3 2 2 2" xfId="21973"/>
    <cellStyle name="표준 25 3 6 2 3 2 2 2 2" xfId="21974"/>
    <cellStyle name="표준 25 3 6 2 3 2 2 2 2 2" xfId="21975"/>
    <cellStyle name="표준 25 3 6 2 3 2 2 2 3" xfId="21976"/>
    <cellStyle name="표준 25 3 6 2 3 2 2 3" xfId="21977"/>
    <cellStyle name="표준 25 3 6 2 3 2 2 3 2" xfId="21978"/>
    <cellStyle name="표준 25 3 6 2 3 2 2 4" xfId="21979"/>
    <cellStyle name="표준 25 3 6 2 3 2 3" xfId="21980"/>
    <cellStyle name="표준 25 3 6 2 3 2 3 2" xfId="21981"/>
    <cellStyle name="표준 25 3 6 2 3 2 3 2 2" xfId="21982"/>
    <cellStyle name="표준 25 3 6 2 3 2 3 3" xfId="21983"/>
    <cellStyle name="표준 25 3 6 2 3 2 4" xfId="21984"/>
    <cellStyle name="표준 25 3 6 2 3 2 4 2" xfId="21985"/>
    <cellStyle name="표준 25 3 6 2 3 2 5" xfId="21986"/>
    <cellStyle name="표준 25 3 6 2 3 3" xfId="21987"/>
    <cellStyle name="표준 25 3 6 2 3 3 2" xfId="21988"/>
    <cellStyle name="표준 25 3 6 2 3 3 2 2" xfId="21989"/>
    <cellStyle name="표준 25 3 6 2 3 3 2 2 2" xfId="21990"/>
    <cellStyle name="표준 25 3 6 2 3 3 2 3" xfId="21991"/>
    <cellStyle name="표준 25 3 6 2 3 3 3" xfId="21992"/>
    <cellStyle name="표준 25 3 6 2 3 3 3 2" xfId="21993"/>
    <cellStyle name="표준 25 3 6 2 3 3 4" xfId="21994"/>
    <cellStyle name="표준 25 3 6 2 3 4" xfId="21995"/>
    <cellStyle name="표준 25 3 6 2 3 4 2" xfId="21996"/>
    <cellStyle name="표준 25 3 6 2 3 4 2 2" xfId="21997"/>
    <cellStyle name="표준 25 3 6 2 3 4 3" xfId="21998"/>
    <cellStyle name="표준 25 3 6 2 3 5" xfId="21999"/>
    <cellStyle name="표준 25 3 6 2 3 5 2" xfId="22000"/>
    <cellStyle name="표준 25 3 6 2 3 6" xfId="22001"/>
    <cellStyle name="표준 25 3 6 2 4" xfId="22002"/>
    <cellStyle name="표준 25 3 6 2 4 2" xfId="22003"/>
    <cellStyle name="표준 25 3 6 2 4 2 2" xfId="22004"/>
    <cellStyle name="표준 25 3 6 2 4 2 2 2" xfId="22005"/>
    <cellStyle name="표준 25 3 6 2 4 2 2 2 2" xfId="22006"/>
    <cellStyle name="표준 25 3 6 2 4 2 2 3" xfId="22007"/>
    <cellStyle name="표준 25 3 6 2 4 2 3" xfId="22008"/>
    <cellStyle name="표준 25 3 6 2 4 2 3 2" xfId="22009"/>
    <cellStyle name="표준 25 3 6 2 4 2 4" xfId="22010"/>
    <cellStyle name="표준 25 3 6 2 4 3" xfId="22011"/>
    <cellStyle name="표준 25 3 6 2 4 3 2" xfId="22012"/>
    <cellStyle name="표준 25 3 6 2 4 3 2 2" xfId="22013"/>
    <cellStyle name="표준 25 3 6 2 4 3 3" xfId="22014"/>
    <cellStyle name="표준 25 3 6 2 4 4" xfId="22015"/>
    <cellStyle name="표준 25 3 6 2 4 4 2" xfId="22016"/>
    <cellStyle name="표준 25 3 6 2 4 5" xfId="22017"/>
    <cellStyle name="표준 25 3 6 2 5" xfId="22018"/>
    <cellStyle name="표준 25 3 6 2 5 2" xfId="22019"/>
    <cellStyle name="표준 25 3 6 2 5 2 2" xfId="22020"/>
    <cellStyle name="표준 25 3 6 2 5 2 2 2" xfId="22021"/>
    <cellStyle name="표준 25 3 6 2 5 2 3" xfId="22022"/>
    <cellStyle name="표준 25 3 6 2 5 3" xfId="22023"/>
    <cellStyle name="표준 25 3 6 2 5 3 2" xfId="22024"/>
    <cellStyle name="표준 25 3 6 2 5 4" xfId="22025"/>
    <cellStyle name="표준 25 3 6 2 6" xfId="22026"/>
    <cellStyle name="표준 25 3 6 2 6 2" xfId="22027"/>
    <cellStyle name="표준 25 3 6 2 6 2 2" xfId="22028"/>
    <cellStyle name="표준 25 3 6 2 6 3" xfId="22029"/>
    <cellStyle name="표준 25 3 6 2 7" xfId="22030"/>
    <cellStyle name="표준 25 3 6 2 7 2" xfId="22031"/>
    <cellStyle name="표준 25 3 6 2 8" xfId="22032"/>
    <cellStyle name="표준 25 3 6 2 9" xfId="22033"/>
    <cellStyle name="표준 25 3 6 3" xfId="22034"/>
    <cellStyle name="표준 25 3 6 3 2" xfId="22035"/>
    <cellStyle name="표준 25 3 6 3 2 2" xfId="22036"/>
    <cellStyle name="표준 25 3 6 3 2 2 2" xfId="22037"/>
    <cellStyle name="표준 25 3 6 3 2 2 2 2" xfId="22038"/>
    <cellStyle name="표준 25 3 6 3 2 2 2 2 2" xfId="22039"/>
    <cellStyle name="표준 25 3 6 3 2 2 2 2 2 2" xfId="22040"/>
    <cellStyle name="표준 25 3 6 3 2 2 2 2 3" xfId="22041"/>
    <cellStyle name="표준 25 3 6 3 2 2 2 3" xfId="22042"/>
    <cellStyle name="표준 25 3 6 3 2 2 2 3 2" xfId="22043"/>
    <cellStyle name="표준 25 3 6 3 2 2 2 4" xfId="22044"/>
    <cellStyle name="표준 25 3 6 3 2 2 3" xfId="22045"/>
    <cellStyle name="표준 25 3 6 3 2 2 3 2" xfId="22046"/>
    <cellStyle name="표준 25 3 6 3 2 2 3 2 2" xfId="22047"/>
    <cellStyle name="표준 25 3 6 3 2 2 3 3" xfId="22048"/>
    <cellStyle name="표준 25 3 6 3 2 2 4" xfId="22049"/>
    <cellStyle name="표준 25 3 6 3 2 2 4 2" xfId="22050"/>
    <cellStyle name="표준 25 3 6 3 2 2 5" xfId="22051"/>
    <cellStyle name="표준 25 3 6 3 2 3" xfId="22052"/>
    <cellStyle name="표준 25 3 6 3 2 3 2" xfId="22053"/>
    <cellStyle name="표준 25 3 6 3 2 3 2 2" xfId="22054"/>
    <cellStyle name="표준 25 3 6 3 2 3 2 2 2" xfId="22055"/>
    <cellStyle name="표준 25 3 6 3 2 3 2 3" xfId="22056"/>
    <cellStyle name="표준 25 3 6 3 2 3 3" xfId="22057"/>
    <cellStyle name="표준 25 3 6 3 2 3 3 2" xfId="22058"/>
    <cellStyle name="표준 25 3 6 3 2 3 4" xfId="22059"/>
    <cellStyle name="표준 25 3 6 3 2 4" xfId="22060"/>
    <cellStyle name="표준 25 3 6 3 2 4 2" xfId="22061"/>
    <cellStyle name="표준 25 3 6 3 2 4 2 2" xfId="22062"/>
    <cellStyle name="표준 25 3 6 3 2 4 3" xfId="22063"/>
    <cellStyle name="표준 25 3 6 3 2 5" xfId="22064"/>
    <cellStyle name="표준 25 3 6 3 2 5 2" xfId="22065"/>
    <cellStyle name="표준 25 3 6 3 2 6" xfId="22066"/>
    <cellStyle name="표준 25 3 6 3 3" xfId="22067"/>
    <cellStyle name="표준 25 3 6 3 3 2" xfId="22068"/>
    <cellStyle name="표준 25 3 6 3 3 2 2" xfId="22069"/>
    <cellStyle name="표준 25 3 6 3 3 2 2 2" xfId="22070"/>
    <cellStyle name="표준 25 3 6 3 3 2 2 2 2" xfId="22071"/>
    <cellStyle name="표준 25 3 6 3 3 2 2 3" xfId="22072"/>
    <cellStyle name="표준 25 3 6 3 3 2 3" xfId="22073"/>
    <cellStyle name="표준 25 3 6 3 3 2 3 2" xfId="22074"/>
    <cellStyle name="표준 25 3 6 3 3 2 4" xfId="22075"/>
    <cellStyle name="표준 25 3 6 3 3 3" xfId="22076"/>
    <cellStyle name="표준 25 3 6 3 3 3 2" xfId="22077"/>
    <cellStyle name="표준 25 3 6 3 3 3 2 2" xfId="22078"/>
    <cellStyle name="표준 25 3 6 3 3 3 3" xfId="22079"/>
    <cellStyle name="표준 25 3 6 3 3 4" xfId="22080"/>
    <cellStyle name="표준 25 3 6 3 3 4 2" xfId="22081"/>
    <cellStyle name="표준 25 3 6 3 3 5" xfId="22082"/>
    <cellStyle name="표준 25 3 6 3 4" xfId="22083"/>
    <cellStyle name="표준 25 3 6 3 4 2" xfId="22084"/>
    <cellStyle name="표준 25 3 6 3 4 2 2" xfId="22085"/>
    <cellStyle name="표준 25 3 6 3 4 2 2 2" xfId="22086"/>
    <cellStyle name="표준 25 3 6 3 4 2 3" xfId="22087"/>
    <cellStyle name="표준 25 3 6 3 4 3" xfId="22088"/>
    <cellStyle name="표준 25 3 6 3 4 3 2" xfId="22089"/>
    <cellStyle name="표준 25 3 6 3 4 4" xfId="22090"/>
    <cellStyle name="표준 25 3 6 3 5" xfId="22091"/>
    <cellStyle name="표준 25 3 6 3 5 2" xfId="22092"/>
    <cellStyle name="표준 25 3 6 3 5 2 2" xfId="22093"/>
    <cellStyle name="표준 25 3 6 3 5 3" xfId="22094"/>
    <cellStyle name="표준 25 3 6 3 6" xfId="22095"/>
    <cellStyle name="표준 25 3 6 3 6 2" xfId="22096"/>
    <cellStyle name="표준 25 3 6 3 7" xfId="22097"/>
    <cellStyle name="표준 25 3 6 3 8" xfId="22098"/>
    <cellStyle name="표준 25 3 6 4" xfId="22099"/>
    <cellStyle name="표준 25 3 6 4 2" xfId="22100"/>
    <cellStyle name="표준 25 3 6 4 2 2" xfId="22101"/>
    <cellStyle name="표준 25 3 6 4 2 2 2" xfId="22102"/>
    <cellStyle name="표준 25 3 6 4 2 2 2 2" xfId="22103"/>
    <cellStyle name="표준 25 3 6 4 2 2 2 2 2" xfId="22104"/>
    <cellStyle name="표준 25 3 6 4 2 2 2 3" xfId="22105"/>
    <cellStyle name="표준 25 3 6 4 2 2 3" xfId="22106"/>
    <cellStyle name="표준 25 3 6 4 2 2 3 2" xfId="22107"/>
    <cellStyle name="표준 25 3 6 4 2 2 4" xfId="22108"/>
    <cellStyle name="표준 25 3 6 4 2 3" xfId="22109"/>
    <cellStyle name="표준 25 3 6 4 2 3 2" xfId="22110"/>
    <cellStyle name="표준 25 3 6 4 2 3 2 2" xfId="22111"/>
    <cellStyle name="표준 25 3 6 4 2 3 3" xfId="22112"/>
    <cellStyle name="표준 25 3 6 4 2 4" xfId="22113"/>
    <cellStyle name="표준 25 3 6 4 2 4 2" xfId="22114"/>
    <cellStyle name="표준 25 3 6 4 2 5" xfId="22115"/>
    <cellStyle name="표준 25 3 6 4 3" xfId="22116"/>
    <cellStyle name="표준 25 3 6 4 3 2" xfId="22117"/>
    <cellStyle name="표준 25 3 6 4 3 2 2" xfId="22118"/>
    <cellStyle name="표준 25 3 6 4 3 2 2 2" xfId="22119"/>
    <cellStyle name="표준 25 3 6 4 3 2 3" xfId="22120"/>
    <cellStyle name="표준 25 3 6 4 3 3" xfId="22121"/>
    <cellStyle name="표준 25 3 6 4 3 3 2" xfId="22122"/>
    <cellStyle name="표준 25 3 6 4 3 4" xfId="22123"/>
    <cellStyle name="표준 25 3 6 4 4" xfId="22124"/>
    <cellStyle name="표준 25 3 6 4 4 2" xfId="22125"/>
    <cellStyle name="표준 25 3 6 4 4 2 2" xfId="22126"/>
    <cellStyle name="표준 25 3 6 4 4 3" xfId="22127"/>
    <cellStyle name="표준 25 3 6 4 5" xfId="22128"/>
    <cellStyle name="표준 25 3 6 4 5 2" xfId="22129"/>
    <cellStyle name="표준 25 3 6 4 6" xfId="22130"/>
    <cellStyle name="표준 25 3 6 5" xfId="22131"/>
    <cellStyle name="표준 25 3 6 5 2" xfId="22132"/>
    <cellStyle name="표준 25 3 6 5 2 2" xfId="22133"/>
    <cellStyle name="표준 25 3 6 5 2 2 2" xfId="22134"/>
    <cellStyle name="표준 25 3 6 5 2 2 2 2" xfId="22135"/>
    <cellStyle name="표준 25 3 6 5 2 2 3" xfId="22136"/>
    <cellStyle name="표준 25 3 6 5 2 3" xfId="22137"/>
    <cellStyle name="표준 25 3 6 5 2 3 2" xfId="22138"/>
    <cellStyle name="표준 25 3 6 5 2 4" xfId="22139"/>
    <cellStyle name="표준 25 3 6 5 3" xfId="22140"/>
    <cellStyle name="표준 25 3 6 5 3 2" xfId="22141"/>
    <cellStyle name="표준 25 3 6 5 3 2 2" xfId="22142"/>
    <cellStyle name="표준 25 3 6 5 3 3" xfId="22143"/>
    <cellStyle name="표준 25 3 6 5 4" xfId="22144"/>
    <cellStyle name="표준 25 3 6 5 4 2" xfId="22145"/>
    <cellStyle name="표준 25 3 6 5 5" xfId="22146"/>
    <cellStyle name="표준 25 3 6 6" xfId="22147"/>
    <cellStyle name="표준 25 3 6 6 2" xfId="22148"/>
    <cellStyle name="표준 25 3 6 6 2 2" xfId="22149"/>
    <cellStyle name="표준 25 3 6 6 2 2 2" xfId="22150"/>
    <cellStyle name="표준 25 3 6 6 2 3" xfId="22151"/>
    <cellStyle name="표준 25 3 6 6 3" xfId="22152"/>
    <cellStyle name="표준 25 3 6 6 3 2" xfId="22153"/>
    <cellStyle name="표준 25 3 6 6 4" xfId="22154"/>
    <cellStyle name="표준 25 3 6 7" xfId="22155"/>
    <cellStyle name="표준 25 3 6 7 2" xfId="22156"/>
    <cellStyle name="표준 25 3 6 7 2 2" xfId="22157"/>
    <cellStyle name="표준 25 3 6 7 3" xfId="22158"/>
    <cellStyle name="표준 25 3 6 8" xfId="22159"/>
    <cellStyle name="표준 25 3 6 8 2" xfId="22160"/>
    <cellStyle name="표준 25 3 6 9" xfId="22161"/>
    <cellStyle name="표준 25 3 7" xfId="22162"/>
    <cellStyle name="표준 25 3 7 2" xfId="22163"/>
    <cellStyle name="표준 25 3 7 2 2" xfId="22164"/>
    <cellStyle name="표준 25 3 7 2 2 2" xfId="22165"/>
    <cellStyle name="표준 25 3 7 2 2 2 2" xfId="22166"/>
    <cellStyle name="표준 25 3 7 2 2 2 2 2" xfId="22167"/>
    <cellStyle name="표준 25 3 7 2 2 2 2 2 2" xfId="22168"/>
    <cellStyle name="표준 25 3 7 2 2 2 2 2 2 2" xfId="22169"/>
    <cellStyle name="표준 25 3 7 2 2 2 2 2 3" xfId="22170"/>
    <cellStyle name="표준 25 3 7 2 2 2 2 3" xfId="22171"/>
    <cellStyle name="표준 25 3 7 2 2 2 2 3 2" xfId="22172"/>
    <cellStyle name="표준 25 3 7 2 2 2 2 4" xfId="22173"/>
    <cellStyle name="표준 25 3 7 2 2 2 3" xfId="22174"/>
    <cellStyle name="표준 25 3 7 2 2 2 3 2" xfId="22175"/>
    <cellStyle name="표준 25 3 7 2 2 2 3 2 2" xfId="22176"/>
    <cellStyle name="표준 25 3 7 2 2 2 3 3" xfId="22177"/>
    <cellStyle name="표준 25 3 7 2 2 2 4" xfId="22178"/>
    <cellStyle name="표준 25 3 7 2 2 2 4 2" xfId="22179"/>
    <cellStyle name="표준 25 3 7 2 2 2 5" xfId="22180"/>
    <cellStyle name="표준 25 3 7 2 2 3" xfId="22181"/>
    <cellStyle name="표준 25 3 7 2 2 3 2" xfId="22182"/>
    <cellStyle name="표준 25 3 7 2 2 3 2 2" xfId="22183"/>
    <cellStyle name="표준 25 3 7 2 2 3 2 2 2" xfId="22184"/>
    <cellStyle name="표준 25 3 7 2 2 3 2 3" xfId="22185"/>
    <cellStyle name="표준 25 3 7 2 2 3 3" xfId="22186"/>
    <cellStyle name="표준 25 3 7 2 2 3 3 2" xfId="22187"/>
    <cellStyle name="표준 25 3 7 2 2 3 4" xfId="22188"/>
    <cellStyle name="표준 25 3 7 2 2 4" xfId="22189"/>
    <cellStyle name="표준 25 3 7 2 2 4 2" xfId="22190"/>
    <cellStyle name="표준 25 3 7 2 2 4 2 2" xfId="22191"/>
    <cellStyle name="표준 25 3 7 2 2 4 3" xfId="22192"/>
    <cellStyle name="표준 25 3 7 2 2 5" xfId="22193"/>
    <cellStyle name="표준 25 3 7 2 2 5 2" xfId="22194"/>
    <cellStyle name="표준 25 3 7 2 2 6" xfId="22195"/>
    <cellStyle name="표준 25 3 7 2 3" xfId="22196"/>
    <cellStyle name="표준 25 3 7 2 3 2" xfId="22197"/>
    <cellStyle name="표준 25 3 7 2 3 2 2" xfId="22198"/>
    <cellStyle name="표준 25 3 7 2 3 2 2 2" xfId="22199"/>
    <cellStyle name="표준 25 3 7 2 3 2 2 2 2" xfId="22200"/>
    <cellStyle name="표준 25 3 7 2 3 2 2 3" xfId="22201"/>
    <cellStyle name="표준 25 3 7 2 3 2 3" xfId="22202"/>
    <cellStyle name="표준 25 3 7 2 3 2 3 2" xfId="22203"/>
    <cellStyle name="표준 25 3 7 2 3 2 4" xfId="22204"/>
    <cellStyle name="표준 25 3 7 2 3 3" xfId="22205"/>
    <cellStyle name="표준 25 3 7 2 3 3 2" xfId="22206"/>
    <cellStyle name="표준 25 3 7 2 3 3 2 2" xfId="22207"/>
    <cellStyle name="표준 25 3 7 2 3 3 3" xfId="22208"/>
    <cellStyle name="표준 25 3 7 2 3 4" xfId="22209"/>
    <cellStyle name="표준 25 3 7 2 3 4 2" xfId="22210"/>
    <cellStyle name="표준 25 3 7 2 3 5" xfId="22211"/>
    <cellStyle name="표준 25 3 7 2 4" xfId="22212"/>
    <cellStyle name="표준 25 3 7 2 4 2" xfId="22213"/>
    <cellStyle name="표준 25 3 7 2 4 2 2" xfId="22214"/>
    <cellStyle name="표준 25 3 7 2 4 2 2 2" xfId="22215"/>
    <cellStyle name="표준 25 3 7 2 4 2 3" xfId="22216"/>
    <cellStyle name="표준 25 3 7 2 4 3" xfId="22217"/>
    <cellStyle name="표준 25 3 7 2 4 3 2" xfId="22218"/>
    <cellStyle name="표준 25 3 7 2 4 4" xfId="22219"/>
    <cellStyle name="표준 25 3 7 2 5" xfId="22220"/>
    <cellStyle name="표준 25 3 7 2 5 2" xfId="22221"/>
    <cellStyle name="표준 25 3 7 2 5 2 2" xfId="22222"/>
    <cellStyle name="표준 25 3 7 2 5 3" xfId="22223"/>
    <cellStyle name="표준 25 3 7 2 6" xfId="22224"/>
    <cellStyle name="표준 25 3 7 2 6 2" xfId="22225"/>
    <cellStyle name="표준 25 3 7 2 7" xfId="22226"/>
    <cellStyle name="표준 25 3 7 2 8" xfId="22227"/>
    <cellStyle name="표준 25 3 7 3" xfId="22228"/>
    <cellStyle name="표준 25 3 7 3 2" xfId="22229"/>
    <cellStyle name="표준 25 3 7 3 2 2" xfId="22230"/>
    <cellStyle name="표준 25 3 7 3 2 2 2" xfId="22231"/>
    <cellStyle name="표준 25 3 7 3 2 2 2 2" xfId="22232"/>
    <cellStyle name="표준 25 3 7 3 2 2 2 2 2" xfId="22233"/>
    <cellStyle name="표준 25 3 7 3 2 2 2 3" xfId="22234"/>
    <cellStyle name="표준 25 3 7 3 2 2 3" xfId="22235"/>
    <cellStyle name="표준 25 3 7 3 2 2 3 2" xfId="22236"/>
    <cellStyle name="표준 25 3 7 3 2 2 4" xfId="22237"/>
    <cellStyle name="표준 25 3 7 3 2 3" xfId="22238"/>
    <cellStyle name="표준 25 3 7 3 2 3 2" xfId="22239"/>
    <cellStyle name="표준 25 3 7 3 2 3 2 2" xfId="22240"/>
    <cellStyle name="표준 25 3 7 3 2 3 3" xfId="22241"/>
    <cellStyle name="표준 25 3 7 3 2 4" xfId="22242"/>
    <cellStyle name="표준 25 3 7 3 2 4 2" xfId="22243"/>
    <cellStyle name="표준 25 3 7 3 2 5" xfId="22244"/>
    <cellStyle name="표준 25 3 7 3 3" xfId="22245"/>
    <cellStyle name="표준 25 3 7 3 3 2" xfId="22246"/>
    <cellStyle name="표준 25 3 7 3 3 2 2" xfId="22247"/>
    <cellStyle name="표준 25 3 7 3 3 2 2 2" xfId="22248"/>
    <cellStyle name="표준 25 3 7 3 3 2 3" xfId="22249"/>
    <cellStyle name="표준 25 3 7 3 3 3" xfId="22250"/>
    <cellStyle name="표준 25 3 7 3 3 3 2" xfId="22251"/>
    <cellStyle name="표준 25 3 7 3 3 4" xfId="22252"/>
    <cellStyle name="표준 25 3 7 3 4" xfId="22253"/>
    <cellStyle name="표준 25 3 7 3 4 2" xfId="22254"/>
    <cellStyle name="표준 25 3 7 3 4 2 2" xfId="22255"/>
    <cellStyle name="표준 25 3 7 3 4 3" xfId="22256"/>
    <cellStyle name="표준 25 3 7 3 5" xfId="22257"/>
    <cellStyle name="표준 25 3 7 3 5 2" xfId="22258"/>
    <cellStyle name="표준 25 3 7 3 6" xfId="22259"/>
    <cellStyle name="표준 25 3 7 4" xfId="22260"/>
    <cellStyle name="표준 25 3 7 4 2" xfId="22261"/>
    <cellStyle name="표준 25 3 7 4 2 2" xfId="22262"/>
    <cellStyle name="표준 25 3 7 4 2 2 2" xfId="22263"/>
    <cellStyle name="표준 25 3 7 4 2 2 2 2" xfId="22264"/>
    <cellStyle name="표준 25 3 7 4 2 2 3" xfId="22265"/>
    <cellStyle name="표준 25 3 7 4 2 3" xfId="22266"/>
    <cellStyle name="표준 25 3 7 4 2 3 2" xfId="22267"/>
    <cellStyle name="표준 25 3 7 4 2 4" xfId="22268"/>
    <cellStyle name="표준 25 3 7 4 3" xfId="22269"/>
    <cellStyle name="표준 25 3 7 4 3 2" xfId="22270"/>
    <cellStyle name="표준 25 3 7 4 3 2 2" xfId="22271"/>
    <cellStyle name="표준 25 3 7 4 3 3" xfId="22272"/>
    <cellStyle name="표준 25 3 7 4 4" xfId="22273"/>
    <cellStyle name="표준 25 3 7 4 4 2" xfId="22274"/>
    <cellStyle name="표준 25 3 7 4 5" xfId="22275"/>
    <cellStyle name="표준 25 3 7 5" xfId="22276"/>
    <cellStyle name="표준 25 3 7 5 2" xfId="22277"/>
    <cellStyle name="표준 25 3 7 5 2 2" xfId="22278"/>
    <cellStyle name="표준 25 3 7 5 2 2 2" xfId="22279"/>
    <cellStyle name="표준 25 3 7 5 2 3" xfId="22280"/>
    <cellStyle name="표준 25 3 7 5 3" xfId="22281"/>
    <cellStyle name="표준 25 3 7 5 3 2" xfId="22282"/>
    <cellStyle name="표준 25 3 7 5 4" xfId="22283"/>
    <cellStyle name="표준 25 3 7 6" xfId="22284"/>
    <cellStyle name="표준 25 3 7 6 2" xfId="22285"/>
    <cellStyle name="표준 25 3 7 6 2 2" xfId="22286"/>
    <cellStyle name="표준 25 3 7 6 3" xfId="22287"/>
    <cellStyle name="표준 25 3 7 7" xfId="22288"/>
    <cellStyle name="표준 25 3 7 7 2" xfId="22289"/>
    <cellStyle name="표준 25 3 7 8" xfId="22290"/>
    <cellStyle name="표준 25 3 7 9" xfId="22291"/>
    <cellStyle name="표준 25 3 8" xfId="22292"/>
    <cellStyle name="표준 25 3 8 2" xfId="22293"/>
    <cellStyle name="표준 25 3 8 2 2" xfId="22294"/>
    <cellStyle name="표준 25 3 8 2 2 2" xfId="22295"/>
    <cellStyle name="표준 25 3 8 2 2 2 2" xfId="22296"/>
    <cellStyle name="표준 25 3 8 2 2 2 2 2" xfId="22297"/>
    <cellStyle name="표준 25 3 8 2 2 2 2 2 2" xfId="22298"/>
    <cellStyle name="표준 25 3 8 2 2 2 2 3" xfId="22299"/>
    <cellStyle name="표준 25 3 8 2 2 2 3" xfId="22300"/>
    <cellStyle name="표준 25 3 8 2 2 2 3 2" xfId="22301"/>
    <cellStyle name="표준 25 3 8 2 2 2 4" xfId="22302"/>
    <cellStyle name="표준 25 3 8 2 2 3" xfId="22303"/>
    <cellStyle name="표준 25 3 8 2 2 3 2" xfId="22304"/>
    <cellStyle name="표준 25 3 8 2 2 3 2 2" xfId="22305"/>
    <cellStyle name="표준 25 3 8 2 2 3 3" xfId="22306"/>
    <cellStyle name="표준 25 3 8 2 2 4" xfId="22307"/>
    <cellStyle name="표준 25 3 8 2 2 4 2" xfId="22308"/>
    <cellStyle name="표준 25 3 8 2 2 5" xfId="22309"/>
    <cellStyle name="표준 25 3 8 2 3" xfId="22310"/>
    <cellStyle name="표준 25 3 8 2 3 2" xfId="22311"/>
    <cellStyle name="표준 25 3 8 2 3 2 2" xfId="22312"/>
    <cellStyle name="표준 25 3 8 2 3 2 2 2" xfId="22313"/>
    <cellStyle name="표준 25 3 8 2 3 2 3" xfId="22314"/>
    <cellStyle name="표준 25 3 8 2 3 3" xfId="22315"/>
    <cellStyle name="표준 25 3 8 2 3 3 2" xfId="22316"/>
    <cellStyle name="표준 25 3 8 2 3 4" xfId="22317"/>
    <cellStyle name="표준 25 3 8 2 4" xfId="22318"/>
    <cellStyle name="표준 25 3 8 2 4 2" xfId="22319"/>
    <cellStyle name="표준 25 3 8 2 4 2 2" xfId="22320"/>
    <cellStyle name="표준 25 3 8 2 4 3" xfId="22321"/>
    <cellStyle name="표준 25 3 8 2 5" xfId="22322"/>
    <cellStyle name="표준 25 3 8 2 5 2" xfId="22323"/>
    <cellStyle name="표준 25 3 8 2 6" xfId="22324"/>
    <cellStyle name="표준 25 3 8 3" xfId="22325"/>
    <cellStyle name="표준 25 3 8 3 2" xfId="22326"/>
    <cellStyle name="표준 25 3 8 3 2 2" xfId="22327"/>
    <cellStyle name="표준 25 3 8 3 2 2 2" xfId="22328"/>
    <cellStyle name="표준 25 3 8 3 2 2 2 2" xfId="22329"/>
    <cellStyle name="표준 25 3 8 3 2 2 3" xfId="22330"/>
    <cellStyle name="표준 25 3 8 3 2 3" xfId="22331"/>
    <cellStyle name="표준 25 3 8 3 2 3 2" xfId="22332"/>
    <cellStyle name="표준 25 3 8 3 2 4" xfId="22333"/>
    <cellStyle name="표준 25 3 8 3 3" xfId="22334"/>
    <cellStyle name="표준 25 3 8 3 3 2" xfId="22335"/>
    <cellStyle name="표준 25 3 8 3 3 2 2" xfId="22336"/>
    <cellStyle name="표준 25 3 8 3 3 3" xfId="22337"/>
    <cellStyle name="표준 25 3 8 3 4" xfId="22338"/>
    <cellStyle name="표준 25 3 8 3 4 2" xfId="22339"/>
    <cellStyle name="표준 25 3 8 3 5" xfId="22340"/>
    <cellStyle name="표준 25 3 8 4" xfId="22341"/>
    <cellStyle name="표준 25 3 8 4 2" xfId="22342"/>
    <cellStyle name="표준 25 3 8 4 2 2" xfId="22343"/>
    <cellStyle name="표준 25 3 8 4 2 2 2" xfId="22344"/>
    <cellStyle name="표준 25 3 8 4 2 3" xfId="22345"/>
    <cellStyle name="표준 25 3 8 4 3" xfId="22346"/>
    <cellStyle name="표준 25 3 8 4 3 2" xfId="22347"/>
    <cellStyle name="표준 25 3 8 4 4" xfId="22348"/>
    <cellStyle name="표준 25 3 8 5" xfId="22349"/>
    <cellStyle name="표준 25 3 8 5 2" xfId="22350"/>
    <cellStyle name="표준 25 3 8 5 2 2" xfId="22351"/>
    <cellStyle name="표준 25 3 8 5 3" xfId="22352"/>
    <cellStyle name="표준 25 3 8 6" xfId="22353"/>
    <cellStyle name="표준 25 3 8 6 2" xfId="22354"/>
    <cellStyle name="표준 25 3 8 7" xfId="22355"/>
    <cellStyle name="표준 25 3 8 8" xfId="22356"/>
    <cellStyle name="표준 25 3 9" xfId="22357"/>
    <cellStyle name="표준 25 3 9 2" xfId="22358"/>
    <cellStyle name="표준 25 3 9 2 2" xfId="22359"/>
    <cellStyle name="표준 25 3 9 2 2 2" xfId="22360"/>
    <cellStyle name="표준 25 3 9 2 2 2 2" xfId="22361"/>
    <cellStyle name="표준 25 3 9 2 2 2 2 2" xfId="22362"/>
    <cellStyle name="표준 25 3 9 2 2 2 3" xfId="22363"/>
    <cellStyle name="표준 25 3 9 2 2 3" xfId="22364"/>
    <cellStyle name="표준 25 3 9 2 2 3 2" xfId="22365"/>
    <cellStyle name="표준 25 3 9 2 2 4" xfId="22366"/>
    <cellStyle name="표준 25 3 9 2 3" xfId="22367"/>
    <cellStyle name="표준 25 3 9 2 3 2" xfId="22368"/>
    <cellStyle name="표준 25 3 9 2 3 2 2" xfId="22369"/>
    <cellStyle name="표준 25 3 9 2 3 3" xfId="22370"/>
    <cellStyle name="표준 25 3 9 2 4" xfId="22371"/>
    <cellStyle name="표준 25 3 9 2 4 2" xfId="22372"/>
    <cellStyle name="표준 25 3 9 2 5" xfId="22373"/>
    <cellStyle name="표준 25 3 9 3" xfId="22374"/>
    <cellStyle name="표준 25 3 9 3 2" xfId="22375"/>
    <cellStyle name="표준 25 3 9 3 2 2" xfId="22376"/>
    <cellStyle name="표준 25 3 9 3 2 2 2" xfId="22377"/>
    <cellStyle name="표준 25 3 9 3 2 3" xfId="22378"/>
    <cellStyle name="표준 25 3 9 3 3" xfId="22379"/>
    <cellStyle name="표준 25 3 9 3 3 2" xfId="22380"/>
    <cellStyle name="표준 25 3 9 3 4" xfId="22381"/>
    <cellStyle name="표준 25 3 9 4" xfId="22382"/>
    <cellStyle name="표준 25 3 9 4 2" xfId="22383"/>
    <cellStyle name="표준 25 3 9 4 2 2" xfId="22384"/>
    <cellStyle name="표준 25 3 9 4 3" xfId="22385"/>
    <cellStyle name="표준 25 3 9 5" xfId="22386"/>
    <cellStyle name="표준 25 3 9 5 2" xfId="22387"/>
    <cellStyle name="표준 25 3 9 6" xfId="22388"/>
    <cellStyle name="표준 25 4" xfId="22389"/>
    <cellStyle name="표준 25 4 10" xfId="22390"/>
    <cellStyle name="표준 25 4 11" xfId="22391"/>
    <cellStyle name="표준 25 4 2" xfId="22392"/>
    <cellStyle name="표준 25 4 2 10" xfId="22393"/>
    <cellStyle name="표준 25 4 2 2" xfId="22394"/>
    <cellStyle name="표준 25 4 2 2 2" xfId="22395"/>
    <cellStyle name="표준 25 4 2 2 2 2" xfId="22396"/>
    <cellStyle name="표준 25 4 2 2 2 2 2" xfId="22397"/>
    <cellStyle name="표준 25 4 2 2 2 2 2 2" xfId="22398"/>
    <cellStyle name="표준 25 4 2 2 2 2 2 2 2" xfId="22399"/>
    <cellStyle name="표준 25 4 2 2 2 2 2 2 2 2" xfId="22400"/>
    <cellStyle name="표준 25 4 2 2 2 2 2 2 2 2 2" xfId="22401"/>
    <cellStyle name="표준 25 4 2 2 2 2 2 2 2 3" xfId="22402"/>
    <cellStyle name="표준 25 4 2 2 2 2 2 2 3" xfId="22403"/>
    <cellStyle name="표준 25 4 2 2 2 2 2 2 3 2" xfId="22404"/>
    <cellStyle name="표준 25 4 2 2 2 2 2 2 4" xfId="22405"/>
    <cellStyle name="표준 25 4 2 2 2 2 2 3" xfId="22406"/>
    <cellStyle name="표준 25 4 2 2 2 2 2 3 2" xfId="22407"/>
    <cellStyle name="표준 25 4 2 2 2 2 2 3 2 2" xfId="22408"/>
    <cellStyle name="표준 25 4 2 2 2 2 2 3 3" xfId="22409"/>
    <cellStyle name="표준 25 4 2 2 2 2 2 4" xfId="22410"/>
    <cellStyle name="표준 25 4 2 2 2 2 2 4 2" xfId="22411"/>
    <cellStyle name="표준 25 4 2 2 2 2 2 5" xfId="22412"/>
    <cellStyle name="표준 25 4 2 2 2 2 3" xfId="22413"/>
    <cellStyle name="표준 25 4 2 2 2 2 3 2" xfId="22414"/>
    <cellStyle name="표준 25 4 2 2 2 2 3 2 2" xfId="22415"/>
    <cellStyle name="표준 25 4 2 2 2 2 3 2 2 2" xfId="22416"/>
    <cellStyle name="표준 25 4 2 2 2 2 3 2 3" xfId="22417"/>
    <cellStyle name="표준 25 4 2 2 2 2 3 3" xfId="22418"/>
    <cellStyle name="표준 25 4 2 2 2 2 3 3 2" xfId="22419"/>
    <cellStyle name="표준 25 4 2 2 2 2 3 4" xfId="22420"/>
    <cellStyle name="표준 25 4 2 2 2 2 4" xfId="22421"/>
    <cellStyle name="표준 25 4 2 2 2 2 4 2" xfId="22422"/>
    <cellStyle name="표준 25 4 2 2 2 2 4 2 2" xfId="22423"/>
    <cellStyle name="표준 25 4 2 2 2 2 4 3" xfId="22424"/>
    <cellStyle name="표준 25 4 2 2 2 2 5" xfId="22425"/>
    <cellStyle name="표준 25 4 2 2 2 2 5 2" xfId="22426"/>
    <cellStyle name="표준 25 4 2 2 2 2 6" xfId="22427"/>
    <cellStyle name="표준 25 4 2 2 2 3" xfId="22428"/>
    <cellStyle name="표준 25 4 2 2 2 3 2" xfId="22429"/>
    <cellStyle name="표준 25 4 2 2 2 3 2 2" xfId="22430"/>
    <cellStyle name="표준 25 4 2 2 2 3 2 2 2" xfId="22431"/>
    <cellStyle name="표준 25 4 2 2 2 3 2 2 2 2" xfId="22432"/>
    <cellStyle name="표준 25 4 2 2 2 3 2 2 3" xfId="22433"/>
    <cellStyle name="표준 25 4 2 2 2 3 2 3" xfId="22434"/>
    <cellStyle name="표준 25 4 2 2 2 3 2 3 2" xfId="22435"/>
    <cellStyle name="표준 25 4 2 2 2 3 2 4" xfId="22436"/>
    <cellStyle name="표준 25 4 2 2 2 3 3" xfId="22437"/>
    <cellStyle name="표준 25 4 2 2 2 3 3 2" xfId="22438"/>
    <cellStyle name="표준 25 4 2 2 2 3 3 2 2" xfId="22439"/>
    <cellStyle name="표준 25 4 2 2 2 3 3 3" xfId="22440"/>
    <cellStyle name="표준 25 4 2 2 2 3 4" xfId="22441"/>
    <cellStyle name="표준 25 4 2 2 2 3 4 2" xfId="22442"/>
    <cellStyle name="표준 25 4 2 2 2 3 5" xfId="22443"/>
    <cellStyle name="표준 25 4 2 2 2 4" xfId="22444"/>
    <cellStyle name="표준 25 4 2 2 2 4 2" xfId="22445"/>
    <cellStyle name="표준 25 4 2 2 2 4 2 2" xfId="22446"/>
    <cellStyle name="표준 25 4 2 2 2 4 2 2 2" xfId="22447"/>
    <cellStyle name="표준 25 4 2 2 2 4 2 3" xfId="22448"/>
    <cellStyle name="표준 25 4 2 2 2 4 3" xfId="22449"/>
    <cellStyle name="표준 25 4 2 2 2 4 3 2" xfId="22450"/>
    <cellStyle name="표준 25 4 2 2 2 4 4" xfId="22451"/>
    <cellStyle name="표준 25 4 2 2 2 5" xfId="22452"/>
    <cellStyle name="표준 25 4 2 2 2 5 2" xfId="22453"/>
    <cellStyle name="표준 25 4 2 2 2 5 2 2" xfId="22454"/>
    <cellStyle name="표준 25 4 2 2 2 5 3" xfId="22455"/>
    <cellStyle name="표준 25 4 2 2 2 6" xfId="22456"/>
    <cellStyle name="표준 25 4 2 2 2 6 2" xfId="22457"/>
    <cellStyle name="표준 25 4 2 2 2 7" xfId="22458"/>
    <cellStyle name="표준 25 4 2 2 2 8" xfId="22459"/>
    <cellStyle name="표준 25 4 2 2 3" xfId="22460"/>
    <cellStyle name="표준 25 4 2 2 3 2" xfId="22461"/>
    <cellStyle name="표준 25 4 2 2 3 2 2" xfId="22462"/>
    <cellStyle name="표준 25 4 2 2 3 2 2 2" xfId="22463"/>
    <cellStyle name="표준 25 4 2 2 3 2 2 2 2" xfId="22464"/>
    <cellStyle name="표준 25 4 2 2 3 2 2 2 2 2" xfId="22465"/>
    <cellStyle name="표준 25 4 2 2 3 2 2 2 3" xfId="22466"/>
    <cellStyle name="표준 25 4 2 2 3 2 2 3" xfId="22467"/>
    <cellStyle name="표준 25 4 2 2 3 2 2 3 2" xfId="22468"/>
    <cellStyle name="표준 25 4 2 2 3 2 2 4" xfId="22469"/>
    <cellStyle name="표준 25 4 2 2 3 2 3" xfId="22470"/>
    <cellStyle name="표준 25 4 2 2 3 2 3 2" xfId="22471"/>
    <cellStyle name="표준 25 4 2 2 3 2 3 2 2" xfId="22472"/>
    <cellStyle name="표준 25 4 2 2 3 2 3 3" xfId="22473"/>
    <cellStyle name="표준 25 4 2 2 3 2 4" xfId="22474"/>
    <cellStyle name="표준 25 4 2 2 3 2 4 2" xfId="22475"/>
    <cellStyle name="표준 25 4 2 2 3 2 5" xfId="22476"/>
    <cellStyle name="표준 25 4 2 2 3 3" xfId="22477"/>
    <cellStyle name="표준 25 4 2 2 3 3 2" xfId="22478"/>
    <cellStyle name="표준 25 4 2 2 3 3 2 2" xfId="22479"/>
    <cellStyle name="표준 25 4 2 2 3 3 2 2 2" xfId="22480"/>
    <cellStyle name="표준 25 4 2 2 3 3 2 3" xfId="22481"/>
    <cellStyle name="표준 25 4 2 2 3 3 3" xfId="22482"/>
    <cellStyle name="표준 25 4 2 2 3 3 3 2" xfId="22483"/>
    <cellStyle name="표준 25 4 2 2 3 3 4" xfId="22484"/>
    <cellStyle name="표준 25 4 2 2 3 4" xfId="22485"/>
    <cellStyle name="표준 25 4 2 2 3 4 2" xfId="22486"/>
    <cellStyle name="표준 25 4 2 2 3 4 2 2" xfId="22487"/>
    <cellStyle name="표준 25 4 2 2 3 4 3" xfId="22488"/>
    <cellStyle name="표준 25 4 2 2 3 5" xfId="22489"/>
    <cellStyle name="표준 25 4 2 2 3 5 2" xfId="22490"/>
    <cellStyle name="표준 25 4 2 2 3 6" xfId="22491"/>
    <cellStyle name="표준 25 4 2 2 4" xfId="22492"/>
    <cellStyle name="표준 25 4 2 2 4 2" xfId="22493"/>
    <cellStyle name="표준 25 4 2 2 4 2 2" xfId="22494"/>
    <cellStyle name="표준 25 4 2 2 4 2 2 2" xfId="22495"/>
    <cellStyle name="표준 25 4 2 2 4 2 2 2 2" xfId="22496"/>
    <cellStyle name="표준 25 4 2 2 4 2 2 3" xfId="22497"/>
    <cellStyle name="표준 25 4 2 2 4 2 3" xfId="22498"/>
    <cellStyle name="표준 25 4 2 2 4 2 3 2" xfId="22499"/>
    <cellStyle name="표준 25 4 2 2 4 2 4" xfId="22500"/>
    <cellStyle name="표준 25 4 2 2 4 3" xfId="22501"/>
    <cellStyle name="표준 25 4 2 2 4 3 2" xfId="22502"/>
    <cellStyle name="표준 25 4 2 2 4 3 2 2" xfId="22503"/>
    <cellStyle name="표준 25 4 2 2 4 3 3" xfId="22504"/>
    <cellStyle name="표준 25 4 2 2 4 4" xfId="22505"/>
    <cellStyle name="표준 25 4 2 2 4 4 2" xfId="22506"/>
    <cellStyle name="표준 25 4 2 2 4 5" xfId="22507"/>
    <cellStyle name="표준 25 4 2 2 5" xfId="22508"/>
    <cellStyle name="표준 25 4 2 2 5 2" xfId="22509"/>
    <cellStyle name="표준 25 4 2 2 5 2 2" xfId="22510"/>
    <cellStyle name="표준 25 4 2 2 5 2 2 2" xfId="22511"/>
    <cellStyle name="표준 25 4 2 2 5 2 3" xfId="22512"/>
    <cellStyle name="표준 25 4 2 2 5 3" xfId="22513"/>
    <cellStyle name="표준 25 4 2 2 5 3 2" xfId="22514"/>
    <cellStyle name="표준 25 4 2 2 5 4" xfId="22515"/>
    <cellStyle name="표준 25 4 2 2 6" xfId="22516"/>
    <cellStyle name="표준 25 4 2 2 6 2" xfId="22517"/>
    <cellStyle name="표준 25 4 2 2 6 2 2" xfId="22518"/>
    <cellStyle name="표준 25 4 2 2 6 3" xfId="22519"/>
    <cellStyle name="표준 25 4 2 2 7" xfId="22520"/>
    <cellStyle name="표준 25 4 2 2 7 2" xfId="22521"/>
    <cellStyle name="표준 25 4 2 2 8" xfId="22522"/>
    <cellStyle name="표준 25 4 2 2 9" xfId="22523"/>
    <cellStyle name="표준 25 4 2 3" xfId="22524"/>
    <cellStyle name="표준 25 4 2 3 2" xfId="22525"/>
    <cellStyle name="표준 25 4 2 3 2 2" xfId="22526"/>
    <cellStyle name="표준 25 4 2 3 2 2 2" xfId="22527"/>
    <cellStyle name="표준 25 4 2 3 2 2 2 2" xfId="22528"/>
    <cellStyle name="표준 25 4 2 3 2 2 2 2 2" xfId="22529"/>
    <cellStyle name="표준 25 4 2 3 2 2 2 2 2 2" xfId="22530"/>
    <cellStyle name="표준 25 4 2 3 2 2 2 2 3" xfId="22531"/>
    <cellStyle name="표준 25 4 2 3 2 2 2 3" xfId="22532"/>
    <cellStyle name="표준 25 4 2 3 2 2 2 3 2" xfId="22533"/>
    <cellStyle name="표준 25 4 2 3 2 2 2 4" xfId="22534"/>
    <cellStyle name="표준 25 4 2 3 2 2 3" xfId="22535"/>
    <cellStyle name="표준 25 4 2 3 2 2 3 2" xfId="22536"/>
    <cellStyle name="표준 25 4 2 3 2 2 3 2 2" xfId="22537"/>
    <cellStyle name="표준 25 4 2 3 2 2 3 3" xfId="22538"/>
    <cellStyle name="표준 25 4 2 3 2 2 4" xfId="22539"/>
    <cellStyle name="표준 25 4 2 3 2 2 4 2" xfId="22540"/>
    <cellStyle name="표준 25 4 2 3 2 2 5" xfId="22541"/>
    <cellStyle name="표준 25 4 2 3 2 3" xfId="22542"/>
    <cellStyle name="표준 25 4 2 3 2 3 2" xfId="22543"/>
    <cellStyle name="표준 25 4 2 3 2 3 2 2" xfId="22544"/>
    <cellStyle name="표준 25 4 2 3 2 3 2 2 2" xfId="22545"/>
    <cellStyle name="표준 25 4 2 3 2 3 2 3" xfId="22546"/>
    <cellStyle name="표준 25 4 2 3 2 3 3" xfId="22547"/>
    <cellStyle name="표준 25 4 2 3 2 3 3 2" xfId="22548"/>
    <cellStyle name="표준 25 4 2 3 2 3 4" xfId="22549"/>
    <cellStyle name="표준 25 4 2 3 2 4" xfId="22550"/>
    <cellStyle name="표준 25 4 2 3 2 4 2" xfId="22551"/>
    <cellStyle name="표준 25 4 2 3 2 4 2 2" xfId="22552"/>
    <cellStyle name="표준 25 4 2 3 2 4 3" xfId="22553"/>
    <cellStyle name="표준 25 4 2 3 2 5" xfId="22554"/>
    <cellStyle name="표준 25 4 2 3 2 5 2" xfId="22555"/>
    <cellStyle name="표준 25 4 2 3 2 6" xfId="22556"/>
    <cellStyle name="표준 25 4 2 3 3" xfId="22557"/>
    <cellStyle name="표준 25 4 2 3 3 2" xfId="22558"/>
    <cellStyle name="표준 25 4 2 3 3 2 2" xfId="22559"/>
    <cellStyle name="표준 25 4 2 3 3 2 2 2" xfId="22560"/>
    <cellStyle name="표준 25 4 2 3 3 2 2 2 2" xfId="22561"/>
    <cellStyle name="표준 25 4 2 3 3 2 2 3" xfId="22562"/>
    <cellStyle name="표준 25 4 2 3 3 2 3" xfId="22563"/>
    <cellStyle name="표준 25 4 2 3 3 2 3 2" xfId="22564"/>
    <cellStyle name="표준 25 4 2 3 3 2 4" xfId="22565"/>
    <cellStyle name="표준 25 4 2 3 3 3" xfId="22566"/>
    <cellStyle name="표준 25 4 2 3 3 3 2" xfId="22567"/>
    <cellStyle name="표준 25 4 2 3 3 3 2 2" xfId="22568"/>
    <cellStyle name="표준 25 4 2 3 3 3 3" xfId="22569"/>
    <cellStyle name="표준 25 4 2 3 3 4" xfId="22570"/>
    <cellStyle name="표준 25 4 2 3 3 4 2" xfId="22571"/>
    <cellStyle name="표준 25 4 2 3 3 5" xfId="22572"/>
    <cellStyle name="표준 25 4 2 3 4" xfId="22573"/>
    <cellStyle name="표준 25 4 2 3 4 2" xfId="22574"/>
    <cellStyle name="표준 25 4 2 3 4 2 2" xfId="22575"/>
    <cellStyle name="표준 25 4 2 3 4 2 2 2" xfId="22576"/>
    <cellStyle name="표준 25 4 2 3 4 2 3" xfId="22577"/>
    <cellStyle name="표준 25 4 2 3 4 3" xfId="22578"/>
    <cellStyle name="표준 25 4 2 3 4 3 2" xfId="22579"/>
    <cellStyle name="표준 25 4 2 3 4 4" xfId="22580"/>
    <cellStyle name="표준 25 4 2 3 5" xfId="22581"/>
    <cellStyle name="표준 25 4 2 3 5 2" xfId="22582"/>
    <cellStyle name="표준 25 4 2 3 5 2 2" xfId="22583"/>
    <cellStyle name="표준 25 4 2 3 5 3" xfId="22584"/>
    <cellStyle name="표준 25 4 2 3 6" xfId="22585"/>
    <cellStyle name="표준 25 4 2 3 6 2" xfId="22586"/>
    <cellStyle name="표준 25 4 2 3 7" xfId="22587"/>
    <cellStyle name="표준 25 4 2 3 8" xfId="22588"/>
    <cellStyle name="표준 25 4 2 4" xfId="22589"/>
    <cellStyle name="표준 25 4 2 4 2" xfId="22590"/>
    <cellStyle name="표준 25 4 2 4 2 2" xfId="22591"/>
    <cellStyle name="표준 25 4 2 4 2 2 2" xfId="22592"/>
    <cellStyle name="표준 25 4 2 4 2 2 2 2" xfId="22593"/>
    <cellStyle name="표준 25 4 2 4 2 2 2 2 2" xfId="22594"/>
    <cellStyle name="표준 25 4 2 4 2 2 2 3" xfId="22595"/>
    <cellStyle name="표준 25 4 2 4 2 2 3" xfId="22596"/>
    <cellStyle name="표준 25 4 2 4 2 2 3 2" xfId="22597"/>
    <cellStyle name="표준 25 4 2 4 2 2 4" xfId="22598"/>
    <cellStyle name="표준 25 4 2 4 2 3" xfId="22599"/>
    <cellStyle name="표준 25 4 2 4 2 3 2" xfId="22600"/>
    <cellStyle name="표준 25 4 2 4 2 3 2 2" xfId="22601"/>
    <cellStyle name="표준 25 4 2 4 2 3 3" xfId="22602"/>
    <cellStyle name="표준 25 4 2 4 2 4" xfId="22603"/>
    <cellStyle name="표준 25 4 2 4 2 4 2" xfId="22604"/>
    <cellStyle name="표준 25 4 2 4 2 5" xfId="22605"/>
    <cellStyle name="표준 25 4 2 4 3" xfId="22606"/>
    <cellStyle name="표준 25 4 2 4 3 2" xfId="22607"/>
    <cellStyle name="표준 25 4 2 4 3 2 2" xfId="22608"/>
    <cellStyle name="표준 25 4 2 4 3 2 2 2" xfId="22609"/>
    <cellStyle name="표준 25 4 2 4 3 2 3" xfId="22610"/>
    <cellStyle name="표준 25 4 2 4 3 3" xfId="22611"/>
    <cellStyle name="표준 25 4 2 4 3 3 2" xfId="22612"/>
    <cellStyle name="표준 25 4 2 4 3 4" xfId="22613"/>
    <cellStyle name="표준 25 4 2 4 4" xfId="22614"/>
    <cellStyle name="표준 25 4 2 4 4 2" xfId="22615"/>
    <cellStyle name="표준 25 4 2 4 4 2 2" xfId="22616"/>
    <cellStyle name="표준 25 4 2 4 4 3" xfId="22617"/>
    <cellStyle name="표준 25 4 2 4 5" xfId="22618"/>
    <cellStyle name="표준 25 4 2 4 5 2" xfId="22619"/>
    <cellStyle name="표준 25 4 2 4 6" xfId="22620"/>
    <cellStyle name="표준 25 4 2 5" xfId="22621"/>
    <cellStyle name="표준 25 4 2 5 2" xfId="22622"/>
    <cellStyle name="표준 25 4 2 5 2 2" xfId="22623"/>
    <cellStyle name="표준 25 4 2 5 2 2 2" xfId="22624"/>
    <cellStyle name="표준 25 4 2 5 2 2 2 2" xfId="22625"/>
    <cellStyle name="표준 25 4 2 5 2 2 3" xfId="22626"/>
    <cellStyle name="표준 25 4 2 5 2 3" xfId="22627"/>
    <cellStyle name="표준 25 4 2 5 2 3 2" xfId="22628"/>
    <cellStyle name="표준 25 4 2 5 2 4" xfId="22629"/>
    <cellStyle name="표준 25 4 2 5 3" xfId="22630"/>
    <cellStyle name="표준 25 4 2 5 3 2" xfId="22631"/>
    <cellStyle name="표준 25 4 2 5 3 2 2" xfId="22632"/>
    <cellStyle name="표준 25 4 2 5 3 3" xfId="22633"/>
    <cellStyle name="표준 25 4 2 5 4" xfId="22634"/>
    <cellStyle name="표준 25 4 2 5 4 2" xfId="22635"/>
    <cellStyle name="표준 25 4 2 5 5" xfId="22636"/>
    <cellStyle name="표준 25 4 2 6" xfId="22637"/>
    <cellStyle name="표준 25 4 2 6 2" xfId="22638"/>
    <cellStyle name="표준 25 4 2 6 2 2" xfId="22639"/>
    <cellStyle name="표준 25 4 2 6 2 2 2" xfId="22640"/>
    <cellStyle name="표준 25 4 2 6 2 3" xfId="22641"/>
    <cellStyle name="표준 25 4 2 6 3" xfId="22642"/>
    <cellStyle name="표준 25 4 2 6 3 2" xfId="22643"/>
    <cellStyle name="표준 25 4 2 6 4" xfId="22644"/>
    <cellStyle name="표준 25 4 2 7" xfId="22645"/>
    <cellStyle name="표준 25 4 2 7 2" xfId="22646"/>
    <cellStyle name="표준 25 4 2 7 2 2" xfId="22647"/>
    <cellStyle name="표준 25 4 2 7 3" xfId="22648"/>
    <cellStyle name="표준 25 4 2 8" xfId="22649"/>
    <cellStyle name="표준 25 4 2 8 2" xfId="22650"/>
    <cellStyle name="표준 25 4 2 9" xfId="22651"/>
    <cellStyle name="표준 25 4 3" xfId="22652"/>
    <cellStyle name="표준 25 4 3 2" xfId="22653"/>
    <cellStyle name="표준 25 4 3 2 2" xfId="22654"/>
    <cellStyle name="표준 25 4 3 2 2 2" xfId="22655"/>
    <cellStyle name="표준 25 4 3 2 2 2 2" xfId="22656"/>
    <cellStyle name="표준 25 4 3 2 2 2 2 2" xfId="22657"/>
    <cellStyle name="표준 25 4 3 2 2 2 2 2 2" xfId="22658"/>
    <cellStyle name="표준 25 4 3 2 2 2 2 2 2 2" xfId="22659"/>
    <cellStyle name="표준 25 4 3 2 2 2 2 2 3" xfId="22660"/>
    <cellStyle name="표준 25 4 3 2 2 2 2 3" xfId="22661"/>
    <cellStyle name="표준 25 4 3 2 2 2 2 3 2" xfId="22662"/>
    <cellStyle name="표준 25 4 3 2 2 2 2 4" xfId="22663"/>
    <cellStyle name="표준 25 4 3 2 2 2 3" xfId="22664"/>
    <cellStyle name="표준 25 4 3 2 2 2 3 2" xfId="22665"/>
    <cellStyle name="표준 25 4 3 2 2 2 3 2 2" xfId="22666"/>
    <cellStyle name="표준 25 4 3 2 2 2 3 3" xfId="22667"/>
    <cellStyle name="표준 25 4 3 2 2 2 4" xfId="22668"/>
    <cellStyle name="표준 25 4 3 2 2 2 4 2" xfId="22669"/>
    <cellStyle name="표준 25 4 3 2 2 2 5" xfId="22670"/>
    <cellStyle name="표준 25 4 3 2 2 3" xfId="22671"/>
    <cellStyle name="표준 25 4 3 2 2 3 2" xfId="22672"/>
    <cellStyle name="표준 25 4 3 2 2 3 2 2" xfId="22673"/>
    <cellStyle name="표준 25 4 3 2 2 3 2 2 2" xfId="22674"/>
    <cellStyle name="표준 25 4 3 2 2 3 2 3" xfId="22675"/>
    <cellStyle name="표준 25 4 3 2 2 3 3" xfId="22676"/>
    <cellStyle name="표준 25 4 3 2 2 3 3 2" xfId="22677"/>
    <cellStyle name="표준 25 4 3 2 2 3 4" xfId="22678"/>
    <cellStyle name="표준 25 4 3 2 2 4" xfId="22679"/>
    <cellStyle name="표준 25 4 3 2 2 4 2" xfId="22680"/>
    <cellStyle name="표준 25 4 3 2 2 4 2 2" xfId="22681"/>
    <cellStyle name="표준 25 4 3 2 2 4 3" xfId="22682"/>
    <cellStyle name="표준 25 4 3 2 2 5" xfId="22683"/>
    <cellStyle name="표준 25 4 3 2 2 5 2" xfId="22684"/>
    <cellStyle name="표준 25 4 3 2 2 6" xfId="22685"/>
    <cellStyle name="표준 25 4 3 2 3" xfId="22686"/>
    <cellStyle name="표준 25 4 3 2 3 2" xfId="22687"/>
    <cellStyle name="표준 25 4 3 2 3 2 2" xfId="22688"/>
    <cellStyle name="표준 25 4 3 2 3 2 2 2" xfId="22689"/>
    <cellStyle name="표준 25 4 3 2 3 2 2 2 2" xfId="22690"/>
    <cellStyle name="표준 25 4 3 2 3 2 2 3" xfId="22691"/>
    <cellStyle name="표준 25 4 3 2 3 2 3" xfId="22692"/>
    <cellStyle name="표준 25 4 3 2 3 2 3 2" xfId="22693"/>
    <cellStyle name="표준 25 4 3 2 3 2 4" xfId="22694"/>
    <cellStyle name="표준 25 4 3 2 3 3" xfId="22695"/>
    <cellStyle name="표준 25 4 3 2 3 3 2" xfId="22696"/>
    <cellStyle name="표준 25 4 3 2 3 3 2 2" xfId="22697"/>
    <cellStyle name="표준 25 4 3 2 3 3 3" xfId="22698"/>
    <cellStyle name="표준 25 4 3 2 3 4" xfId="22699"/>
    <cellStyle name="표준 25 4 3 2 3 4 2" xfId="22700"/>
    <cellStyle name="표준 25 4 3 2 3 5" xfId="22701"/>
    <cellStyle name="표준 25 4 3 2 4" xfId="22702"/>
    <cellStyle name="표준 25 4 3 2 4 2" xfId="22703"/>
    <cellStyle name="표준 25 4 3 2 4 2 2" xfId="22704"/>
    <cellStyle name="표준 25 4 3 2 4 2 2 2" xfId="22705"/>
    <cellStyle name="표준 25 4 3 2 4 2 3" xfId="22706"/>
    <cellStyle name="표준 25 4 3 2 4 3" xfId="22707"/>
    <cellStyle name="표준 25 4 3 2 4 3 2" xfId="22708"/>
    <cellStyle name="표준 25 4 3 2 4 4" xfId="22709"/>
    <cellStyle name="표준 25 4 3 2 5" xfId="22710"/>
    <cellStyle name="표준 25 4 3 2 5 2" xfId="22711"/>
    <cellStyle name="표준 25 4 3 2 5 2 2" xfId="22712"/>
    <cellStyle name="표준 25 4 3 2 5 3" xfId="22713"/>
    <cellStyle name="표준 25 4 3 2 6" xfId="22714"/>
    <cellStyle name="표준 25 4 3 2 6 2" xfId="22715"/>
    <cellStyle name="표준 25 4 3 2 7" xfId="22716"/>
    <cellStyle name="표준 25 4 3 2 8" xfId="22717"/>
    <cellStyle name="표준 25 4 3 3" xfId="22718"/>
    <cellStyle name="표준 25 4 3 3 2" xfId="22719"/>
    <cellStyle name="표준 25 4 3 3 2 2" xfId="22720"/>
    <cellStyle name="표준 25 4 3 3 2 2 2" xfId="22721"/>
    <cellStyle name="표준 25 4 3 3 2 2 2 2" xfId="22722"/>
    <cellStyle name="표준 25 4 3 3 2 2 2 2 2" xfId="22723"/>
    <cellStyle name="표준 25 4 3 3 2 2 2 3" xfId="22724"/>
    <cellStyle name="표준 25 4 3 3 2 2 3" xfId="22725"/>
    <cellStyle name="표준 25 4 3 3 2 2 3 2" xfId="22726"/>
    <cellStyle name="표준 25 4 3 3 2 2 4" xfId="22727"/>
    <cellStyle name="표준 25 4 3 3 2 3" xfId="22728"/>
    <cellStyle name="표준 25 4 3 3 2 3 2" xfId="22729"/>
    <cellStyle name="표준 25 4 3 3 2 3 2 2" xfId="22730"/>
    <cellStyle name="표준 25 4 3 3 2 3 3" xfId="22731"/>
    <cellStyle name="표준 25 4 3 3 2 4" xfId="22732"/>
    <cellStyle name="표준 25 4 3 3 2 4 2" xfId="22733"/>
    <cellStyle name="표준 25 4 3 3 2 5" xfId="22734"/>
    <cellStyle name="표준 25 4 3 3 3" xfId="22735"/>
    <cellStyle name="표준 25 4 3 3 3 2" xfId="22736"/>
    <cellStyle name="표준 25 4 3 3 3 2 2" xfId="22737"/>
    <cellStyle name="표준 25 4 3 3 3 2 2 2" xfId="22738"/>
    <cellStyle name="표준 25 4 3 3 3 2 3" xfId="22739"/>
    <cellStyle name="표준 25 4 3 3 3 3" xfId="22740"/>
    <cellStyle name="표준 25 4 3 3 3 3 2" xfId="22741"/>
    <cellStyle name="표준 25 4 3 3 3 4" xfId="22742"/>
    <cellStyle name="표준 25 4 3 3 4" xfId="22743"/>
    <cellStyle name="표준 25 4 3 3 4 2" xfId="22744"/>
    <cellStyle name="표준 25 4 3 3 4 2 2" xfId="22745"/>
    <cellStyle name="표준 25 4 3 3 4 3" xfId="22746"/>
    <cellStyle name="표준 25 4 3 3 5" xfId="22747"/>
    <cellStyle name="표준 25 4 3 3 5 2" xfId="22748"/>
    <cellStyle name="표준 25 4 3 3 6" xfId="22749"/>
    <cellStyle name="표준 25 4 3 4" xfId="22750"/>
    <cellStyle name="표준 25 4 3 4 2" xfId="22751"/>
    <cellStyle name="표준 25 4 3 4 2 2" xfId="22752"/>
    <cellStyle name="표준 25 4 3 4 2 2 2" xfId="22753"/>
    <cellStyle name="표준 25 4 3 4 2 2 2 2" xfId="22754"/>
    <cellStyle name="표준 25 4 3 4 2 2 3" xfId="22755"/>
    <cellStyle name="표준 25 4 3 4 2 3" xfId="22756"/>
    <cellStyle name="표준 25 4 3 4 2 3 2" xfId="22757"/>
    <cellStyle name="표준 25 4 3 4 2 4" xfId="22758"/>
    <cellStyle name="표준 25 4 3 4 3" xfId="22759"/>
    <cellStyle name="표준 25 4 3 4 3 2" xfId="22760"/>
    <cellStyle name="표준 25 4 3 4 3 2 2" xfId="22761"/>
    <cellStyle name="표준 25 4 3 4 3 3" xfId="22762"/>
    <cellStyle name="표준 25 4 3 4 4" xfId="22763"/>
    <cellStyle name="표준 25 4 3 4 4 2" xfId="22764"/>
    <cellStyle name="표준 25 4 3 4 5" xfId="22765"/>
    <cellStyle name="표준 25 4 3 5" xfId="22766"/>
    <cellStyle name="표준 25 4 3 5 2" xfId="22767"/>
    <cellStyle name="표준 25 4 3 5 2 2" xfId="22768"/>
    <cellStyle name="표준 25 4 3 5 2 2 2" xfId="22769"/>
    <cellStyle name="표준 25 4 3 5 2 3" xfId="22770"/>
    <cellStyle name="표준 25 4 3 5 3" xfId="22771"/>
    <cellStyle name="표준 25 4 3 5 3 2" xfId="22772"/>
    <cellStyle name="표준 25 4 3 5 4" xfId="22773"/>
    <cellStyle name="표준 25 4 3 6" xfId="22774"/>
    <cellStyle name="표준 25 4 3 6 2" xfId="22775"/>
    <cellStyle name="표준 25 4 3 6 2 2" xfId="22776"/>
    <cellStyle name="표준 25 4 3 6 3" xfId="22777"/>
    <cellStyle name="표준 25 4 3 7" xfId="22778"/>
    <cellStyle name="표준 25 4 3 7 2" xfId="22779"/>
    <cellStyle name="표준 25 4 3 8" xfId="22780"/>
    <cellStyle name="표준 25 4 3 9" xfId="22781"/>
    <cellStyle name="표준 25 4 4" xfId="22782"/>
    <cellStyle name="표준 25 4 4 2" xfId="22783"/>
    <cellStyle name="표준 25 4 4 2 2" xfId="22784"/>
    <cellStyle name="표준 25 4 4 2 2 2" xfId="22785"/>
    <cellStyle name="표준 25 4 4 2 2 2 2" xfId="22786"/>
    <cellStyle name="표준 25 4 4 2 2 2 2 2" xfId="22787"/>
    <cellStyle name="표준 25 4 4 2 2 2 2 2 2" xfId="22788"/>
    <cellStyle name="표준 25 4 4 2 2 2 2 3" xfId="22789"/>
    <cellStyle name="표준 25 4 4 2 2 2 3" xfId="22790"/>
    <cellStyle name="표준 25 4 4 2 2 2 3 2" xfId="22791"/>
    <cellStyle name="표준 25 4 4 2 2 2 4" xfId="22792"/>
    <cellStyle name="표준 25 4 4 2 2 3" xfId="22793"/>
    <cellStyle name="표준 25 4 4 2 2 3 2" xfId="22794"/>
    <cellStyle name="표준 25 4 4 2 2 3 2 2" xfId="22795"/>
    <cellStyle name="표준 25 4 4 2 2 3 3" xfId="22796"/>
    <cellStyle name="표준 25 4 4 2 2 4" xfId="22797"/>
    <cellStyle name="표준 25 4 4 2 2 4 2" xfId="22798"/>
    <cellStyle name="표준 25 4 4 2 2 5" xfId="22799"/>
    <cellStyle name="표준 25 4 4 2 3" xfId="22800"/>
    <cellStyle name="표준 25 4 4 2 3 2" xfId="22801"/>
    <cellStyle name="표준 25 4 4 2 3 2 2" xfId="22802"/>
    <cellStyle name="표준 25 4 4 2 3 2 2 2" xfId="22803"/>
    <cellStyle name="표준 25 4 4 2 3 2 3" xfId="22804"/>
    <cellStyle name="표준 25 4 4 2 3 3" xfId="22805"/>
    <cellStyle name="표준 25 4 4 2 3 3 2" xfId="22806"/>
    <cellStyle name="표준 25 4 4 2 3 4" xfId="22807"/>
    <cellStyle name="표준 25 4 4 2 4" xfId="22808"/>
    <cellStyle name="표준 25 4 4 2 4 2" xfId="22809"/>
    <cellStyle name="표준 25 4 4 2 4 2 2" xfId="22810"/>
    <cellStyle name="표준 25 4 4 2 4 3" xfId="22811"/>
    <cellStyle name="표준 25 4 4 2 5" xfId="22812"/>
    <cellStyle name="표준 25 4 4 2 5 2" xfId="22813"/>
    <cellStyle name="표준 25 4 4 2 6" xfId="22814"/>
    <cellStyle name="표준 25 4 4 3" xfId="22815"/>
    <cellStyle name="표준 25 4 4 3 2" xfId="22816"/>
    <cellStyle name="표준 25 4 4 3 2 2" xfId="22817"/>
    <cellStyle name="표준 25 4 4 3 2 2 2" xfId="22818"/>
    <cellStyle name="표준 25 4 4 3 2 2 2 2" xfId="22819"/>
    <cellStyle name="표준 25 4 4 3 2 2 3" xfId="22820"/>
    <cellStyle name="표준 25 4 4 3 2 3" xfId="22821"/>
    <cellStyle name="표준 25 4 4 3 2 3 2" xfId="22822"/>
    <cellStyle name="표준 25 4 4 3 2 4" xfId="22823"/>
    <cellStyle name="표준 25 4 4 3 3" xfId="22824"/>
    <cellStyle name="표준 25 4 4 3 3 2" xfId="22825"/>
    <cellStyle name="표준 25 4 4 3 3 2 2" xfId="22826"/>
    <cellStyle name="표준 25 4 4 3 3 3" xfId="22827"/>
    <cellStyle name="표준 25 4 4 3 4" xfId="22828"/>
    <cellStyle name="표준 25 4 4 3 4 2" xfId="22829"/>
    <cellStyle name="표준 25 4 4 3 5" xfId="22830"/>
    <cellStyle name="표준 25 4 4 4" xfId="22831"/>
    <cellStyle name="표준 25 4 4 4 2" xfId="22832"/>
    <cellStyle name="표준 25 4 4 4 2 2" xfId="22833"/>
    <cellStyle name="표준 25 4 4 4 2 2 2" xfId="22834"/>
    <cellStyle name="표준 25 4 4 4 2 3" xfId="22835"/>
    <cellStyle name="표준 25 4 4 4 3" xfId="22836"/>
    <cellStyle name="표준 25 4 4 4 3 2" xfId="22837"/>
    <cellStyle name="표준 25 4 4 4 4" xfId="22838"/>
    <cellStyle name="표준 25 4 4 5" xfId="22839"/>
    <cellStyle name="표준 25 4 4 5 2" xfId="22840"/>
    <cellStyle name="표준 25 4 4 5 2 2" xfId="22841"/>
    <cellStyle name="표준 25 4 4 5 3" xfId="22842"/>
    <cellStyle name="표준 25 4 4 6" xfId="22843"/>
    <cellStyle name="표준 25 4 4 6 2" xfId="22844"/>
    <cellStyle name="표준 25 4 4 7" xfId="22845"/>
    <cellStyle name="표준 25 4 4 8" xfId="22846"/>
    <cellStyle name="표준 25 4 5" xfId="22847"/>
    <cellStyle name="표준 25 4 5 2" xfId="22848"/>
    <cellStyle name="표준 25 4 5 2 2" xfId="22849"/>
    <cellStyle name="표준 25 4 5 2 2 2" xfId="22850"/>
    <cellStyle name="표준 25 4 5 2 2 2 2" xfId="22851"/>
    <cellStyle name="표준 25 4 5 2 2 2 2 2" xfId="22852"/>
    <cellStyle name="표준 25 4 5 2 2 2 3" xfId="22853"/>
    <cellStyle name="표준 25 4 5 2 2 3" xfId="22854"/>
    <cellStyle name="표준 25 4 5 2 2 3 2" xfId="22855"/>
    <cellStyle name="표준 25 4 5 2 2 4" xfId="22856"/>
    <cellStyle name="표준 25 4 5 2 3" xfId="22857"/>
    <cellStyle name="표준 25 4 5 2 3 2" xfId="22858"/>
    <cellStyle name="표준 25 4 5 2 3 2 2" xfId="22859"/>
    <cellStyle name="표준 25 4 5 2 3 3" xfId="22860"/>
    <cellStyle name="표준 25 4 5 2 4" xfId="22861"/>
    <cellStyle name="표준 25 4 5 2 4 2" xfId="22862"/>
    <cellStyle name="표준 25 4 5 2 5" xfId="22863"/>
    <cellStyle name="표준 25 4 5 3" xfId="22864"/>
    <cellStyle name="표준 25 4 5 3 2" xfId="22865"/>
    <cellStyle name="표준 25 4 5 3 2 2" xfId="22866"/>
    <cellStyle name="표준 25 4 5 3 2 2 2" xfId="22867"/>
    <cellStyle name="표준 25 4 5 3 2 3" xfId="22868"/>
    <cellStyle name="표준 25 4 5 3 3" xfId="22869"/>
    <cellStyle name="표준 25 4 5 3 3 2" xfId="22870"/>
    <cellStyle name="표준 25 4 5 3 4" xfId="22871"/>
    <cellStyle name="표준 25 4 5 4" xfId="22872"/>
    <cellStyle name="표준 25 4 5 4 2" xfId="22873"/>
    <cellStyle name="표준 25 4 5 4 2 2" xfId="22874"/>
    <cellStyle name="표준 25 4 5 4 3" xfId="22875"/>
    <cellStyle name="표준 25 4 5 5" xfId="22876"/>
    <cellStyle name="표준 25 4 5 5 2" xfId="22877"/>
    <cellStyle name="표준 25 4 5 6" xfId="22878"/>
    <cellStyle name="표준 25 4 6" xfId="22879"/>
    <cellStyle name="표준 25 4 6 2" xfId="22880"/>
    <cellStyle name="표준 25 4 6 2 2" xfId="22881"/>
    <cellStyle name="표준 25 4 6 2 2 2" xfId="22882"/>
    <cellStyle name="표준 25 4 6 2 2 2 2" xfId="22883"/>
    <cellStyle name="표준 25 4 6 2 2 3" xfId="22884"/>
    <cellStyle name="표준 25 4 6 2 3" xfId="22885"/>
    <cellStyle name="표준 25 4 6 2 3 2" xfId="22886"/>
    <cellStyle name="표준 25 4 6 2 4" xfId="22887"/>
    <cellStyle name="표준 25 4 6 3" xfId="22888"/>
    <cellStyle name="표준 25 4 6 3 2" xfId="22889"/>
    <cellStyle name="표준 25 4 6 3 2 2" xfId="22890"/>
    <cellStyle name="표준 25 4 6 3 3" xfId="22891"/>
    <cellStyle name="표준 25 4 6 4" xfId="22892"/>
    <cellStyle name="표준 25 4 6 4 2" xfId="22893"/>
    <cellStyle name="표준 25 4 6 5" xfId="22894"/>
    <cellStyle name="표준 25 4 7" xfId="22895"/>
    <cellStyle name="표준 25 4 7 2" xfId="22896"/>
    <cellStyle name="표준 25 4 7 2 2" xfId="22897"/>
    <cellStyle name="표준 25 4 7 2 2 2" xfId="22898"/>
    <cellStyle name="표준 25 4 7 2 3" xfId="22899"/>
    <cellStyle name="표준 25 4 7 3" xfId="22900"/>
    <cellStyle name="표준 25 4 7 3 2" xfId="22901"/>
    <cellStyle name="표준 25 4 7 4" xfId="22902"/>
    <cellStyle name="표준 25 4 8" xfId="22903"/>
    <cellStyle name="표준 25 4 8 2" xfId="22904"/>
    <cellStyle name="표준 25 4 8 2 2" xfId="22905"/>
    <cellStyle name="표준 25 4 8 3" xfId="22906"/>
    <cellStyle name="표준 25 4 9" xfId="22907"/>
    <cellStyle name="표준 25 4 9 2" xfId="22908"/>
    <cellStyle name="표준 26" xfId="28"/>
    <cellStyle name="표준 26 2" xfId="50"/>
    <cellStyle name="표준 27" xfId="29"/>
    <cellStyle name="표준 27 2" xfId="51"/>
    <cellStyle name="표준 28" xfId="30"/>
    <cellStyle name="표준 29" xfId="31"/>
    <cellStyle name="표준 3" xfId="32"/>
    <cellStyle name="표준 3 2" xfId="22909"/>
    <cellStyle name="표준 3 3" xfId="22910"/>
    <cellStyle name="표준 3 4" xfId="22911"/>
    <cellStyle name="표준 3 5" xfId="22912"/>
    <cellStyle name="표준 3 6" xfId="22913"/>
    <cellStyle name="표준 3 7" xfId="22914"/>
    <cellStyle name="표준 3 8" xfId="22915"/>
    <cellStyle name="표준 3 9" xfId="22916"/>
    <cellStyle name="표준 30" xfId="33"/>
    <cellStyle name="표준 31" xfId="34"/>
    <cellStyle name="표준 32" xfId="35"/>
    <cellStyle name="표준 33" xfId="36"/>
    <cellStyle name="표준 34" xfId="37"/>
    <cellStyle name="표준 34 2" xfId="65"/>
    <cellStyle name="표준 35" xfId="38"/>
    <cellStyle name="표준 36" xfId="39"/>
    <cellStyle name="표준 37" xfId="40"/>
    <cellStyle name="표준 38" xfId="47"/>
    <cellStyle name="표준 39" xfId="66"/>
    <cellStyle name="표준 4" xfId="41"/>
    <cellStyle name="표준 4 10" xfId="22917"/>
    <cellStyle name="표준 4 10 2" xfId="22918"/>
    <cellStyle name="표준 4 10 2 2" xfId="22919"/>
    <cellStyle name="표준 4 10 2 2 2" xfId="22920"/>
    <cellStyle name="표준 4 10 2 3" xfId="22921"/>
    <cellStyle name="표준 4 10 3" xfId="22922"/>
    <cellStyle name="표준 4 10 3 2" xfId="22923"/>
    <cellStyle name="표준 4 10 4" xfId="22924"/>
    <cellStyle name="표준 4 11" xfId="22925"/>
    <cellStyle name="표준 4 11 2" xfId="22926"/>
    <cellStyle name="표준 4 11 2 2" xfId="22927"/>
    <cellStyle name="표준 4 11 3" xfId="22928"/>
    <cellStyle name="표준 4 12" xfId="22929"/>
    <cellStyle name="표준 4 12 2" xfId="22930"/>
    <cellStyle name="표준 4 13" xfId="22931"/>
    <cellStyle name="표준 4 14" xfId="22932"/>
    <cellStyle name="표준 4 2" xfId="22933"/>
    <cellStyle name="표준 4 3" xfId="22934"/>
    <cellStyle name="표준 4 3 10" xfId="22935"/>
    <cellStyle name="표준 4 3 11" xfId="22936"/>
    <cellStyle name="표준 4 3 2" xfId="22937"/>
    <cellStyle name="표준 4 3 2 10" xfId="22938"/>
    <cellStyle name="표준 4 3 2 2" xfId="22939"/>
    <cellStyle name="표준 4 3 2 2 2" xfId="22940"/>
    <cellStyle name="표준 4 3 2 2 2 2" xfId="22941"/>
    <cellStyle name="표준 4 3 2 2 2 2 2" xfId="22942"/>
    <cellStyle name="표준 4 3 2 2 2 2 2 2" xfId="22943"/>
    <cellStyle name="표준 4 3 2 2 2 2 2 2 2" xfId="22944"/>
    <cellStyle name="표준 4 3 2 2 2 2 2 2 2 2" xfId="22945"/>
    <cellStyle name="표준 4 3 2 2 2 2 2 2 2 2 2" xfId="22946"/>
    <cellStyle name="표준 4 3 2 2 2 2 2 2 2 3" xfId="22947"/>
    <cellStyle name="표준 4 3 2 2 2 2 2 2 3" xfId="22948"/>
    <cellStyle name="표준 4 3 2 2 2 2 2 2 3 2" xfId="22949"/>
    <cellStyle name="표준 4 3 2 2 2 2 2 2 4" xfId="22950"/>
    <cellStyle name="표준 4 3 2 2 2 2 2 3" xfId="22951"/>
    <cellStyle name="표준 4 3 2 2 2 2 2 3 2" xfId="22952"/>
    <cellStyle name="표준 4 3 2 2 2 2 2 3 2 2" xfId="22953"/>
    <cellStyle name="표준 4 3 2 2 2 2 2 3 3" xfId="22954"/>
    <cellStyle name="표준 4 3 2 2 2 2 2 4" xfId="22955"/>
    <cellStyle name="표준 4 3 2 2 2 2 2 4 2" xfId="22956"/>
    <cellStyle name="표준 4 3 2 2 2 2 2 5" xfId="22957"/>
    <cellStyle name="표준 4 3 2 2 2 2 3" xfId="22958"/>
    <cellStyle name="표준 4 3 2 2 2 2 3 2" xfId="22959"/>
    <cellStyle name="표준 4 3 2 2 2 2 3 2 2" xfId="22960"/>
    <cellStyle name="표준 4 3 2 2 2 2 3 2 2 2" xfId="22961"/>
    <cellStyle name="표준 4 3 2 2 2 2 3 2 3" xfId="22962"/>
    <cellStyle name="표준 4 3 2 2 2 2 3 3" xfId="22963"/>
    <cellStyle name="표준 4 3 2 2 2 2 3 3 2" xfId="22964"/>
    <cellStyle name="표준 4 3 2 2 2 2 3 4" xfId="22965"/>
    <cellStyle name="표준 4 3 2 2 2 2 4" xfId="22966"/>
    <cellStyle name="표준 4 3 2 2 2 2 4 2" xfId="22967"/>
    <cellStyle name="표준 4 3 2 2 2 2 4 2 2" xfId="22968"/>
    <cellStyle name="표준 4 3 2 2 2 2 4 3" xfId="22969"/>
    <cellStyle name="표준 4 3 2 2 2 2 5" xfId="22970"/>
    <cellStyle name="표준 4 3 2 2 2 2 5 2" xfId="22971"/>
    <cellStyle name="표준 4 3 2 2 2 2 6" xfId="22972"/>
    <cellStyle name="표준 4 3 2 2 2 3" xfId="22973"/>
    <cellStyle name="표준 4 3 2 2 2 3 2" xfId="22974"/>
    <cellStyle name="표준 4 3 2 2 2 3 2 2" xfId="22975"/>
    <cellStyle name="표준 4 3 2 2 2 3 2 2 2" xfId="22976"/>
    <cellStyle name="표준 4 3 2 2 2 3 2 2 2 2" xfId="22977"/>
    <cellStyle name="표준 4 3 2 2 2 3 2 2 3" xfId="22978"/>
    <cellStyle name="표준 4 3 2 2 2 3 2 3" xfId="22979"/>
    <cellStyle name="표준 4 3 2 2 2 3 2 3 2" xfId="22980"/>
    <cellStyle name="표준 4 3 2 2 2 3 2 4" xfId="22981"/>
    <cellStyle name="표준 4 3 2 2 2 3 3" xfId="22982"/>
    <cellStyle name="표준 4 3 2 2 2 3 3 2" xfId="22983"/>
    <cellStyle name="표준 4 3 2 2 2 3 3 2 2" xfId="22984"/>
    <cellStyle name="표준 4 3 2 2 2 3 3 3" xfId="22985"/>
    <cellStyle name="표준 4 3 2 2 2 3 4" xfId="22986"/>
    <cellStyle name="표준 4 3 2 2 2 3 4 2" xfId="22987"/>
    <cellStyle name="표준 4 3 2 2 2 3 5" xfId="22988"/>
    <cellStyle name="표준 4 3 2 2 2 4" xfId="22989"/>
    <cellStyle name="표준 4 3 2 2 2 4 2" xfId="22990"/>
    <cellStyle name="표준 4 3 2 2 2 4 2 2" xfId="22991"/>
    <cellStyle name="표준 4 3 2 2 2 4 2 2 2" xfId="22992"/>
    <cellStyle name="표준 4 3 2 2 2 4 2 3" xfId="22993"/>
    <cellStyle name="표준 4 3 2 2 2 4 3" xfId="22994"/>
    <cellStyle name="표준 4 3 2 2 2 4 3 2" xfId="22995"/>
    <cellStyle name="표준 4 3 2 2 2 4 4" xfId="22996"/>
    <cellStyle name="표준 4 3 2 2 2 5" xfId="22997"/>
    <cellStyle name="표준 4 3 2 2 2 5 2" xfId="22998"/>
    <cellStyle name="표준 4 3 2 2 2 5 2 2" xfId="22999"/>
    <cellStyle name="표준 4 3 2 2 2 5 3" xfId="23000"/>
    <cellStyle name="표준 4 3 2 2 2 6" xfId="23001"/>
    <cellStyle name="표준 4 3 2 2 2 6 2" xfId="23002"/>
    <cellStyle name="표준 4 3 2 2 2 7" xfId="23003"/>
    <cellStyle name="표준 4 3 2 2 2 8" xfId="23004"/>
    <cellStyle name="표준 4 3 2 2 3" xfId="23005"/>
    <cellStyle name="표준 4 3 2 2 3 2" xfId="23006"/>
    <cellStyle name="표준 4 3 2 2 3 2 2" xfId="23007"/>
    <cellStyle name="표준 4 3 2 2 3 2 2 2" xfId="23008"/>
    <cellStyle name="표준 4 3 2 2 3 2 2 2 2" xfId="23009"/>
    <cellStyle name="표준 4 3 2 2 3 2 2 2 2 2" xfId="23010"/>
    <cellStyle name="표준 4 3 2 2 3 2 2 2 3" xfId="23011"/>
    <cellStyle name="표준 4 3 2 2 3 2 2 3" xfId="23012"/>
    <cellStyle name="표준 4 3 2 2 3 2 2 3 2" xfId="23013"/>
    <cellStyle name="표준 4 3 2 2 3 2 2 4" xfId="23014"/>
    <cellStyle name="표준 4 3 2 2 3 2 3" xfId="23015"/>
    <cellStyle name="표준 4 3 2 2 3 2 3 2" xfId="23016"/>
    <cellStyle name="표준 4 3 2 2 3 2 3 2 2" xfId="23017"/>
    <cellStyle name="표준 4 3 2 2 3 2 3 3" xfId="23018"/>
    <cellStyle name="표준 4 3 2 2 3 2 4" xfId="23019"/>
    <cellStyle name="표준 4 3 2 2 3 2 4 2" xfId="23020"/>
    <cellStyle name="표준 4 3 2 2 3 2 5" xfId="23021"/>
    <cellStyle name="표준 4 3 2 2 3 3" xfId="23022"/>
    <cellStyle name="표준 4 3 2 2 3 3 2" xfId="23023"/>
    <cellStyle name="표준 4 3 2 2 3 3 2 2" xfId="23024"/>
    <cellStyle name="표준 4 3 2 2 3 3 2 2 2" xfId="23025"/>
    <cellStyle name="표준 4 3 2 2 3 3 2 3" xfId="23026"/>
    <cellStyle name="표준 4 3 2 2 3 3 3" xfId="23027"/>
    <cellStyle name="표준 4 3 2 2 3 3 3 2" xfId="23028"/>
    <cellStyle name="표준 4 3 2 2 3 3 4" xfId="23029"/>
    <cellStyle name="표준 4 3 2 2 3 4" xfId="23030"/>
    <cellStyle name="표준 4 3 2 2 3 4 2" xfId="23031"/>
    <cellStyle name="표준 4 3 2 2 3 4 2 2" xfId="23032"/>
    <cellStyle name="표준 4 3 2 2 3 4 3" xfId="23033"/>
    <cellStyle name="표준 4 3 2 2 3 5" xfId="23034"/>
    <cellStyle name="표준 4 3 2 2 3 5 2" xfId="23035"/>
    <cellStyle name="표준 4 3 2 2 3 6" xfId="23036"/>
    <cellStyle name="표준 4 3 2 2 4" xfId="23037"/>
    <cellStyle name="표준 4 3 2 2 4 2" xfId="23038"/>
    <cellStyle name="표준 4 3 2 2 4 2 2" xfId="23039"/>
    <cellStyle name="표준 4 3 2 2 4 2 2 2" xfId="23040"/>
    <cellStyle name="표준 4 3 2 2 4 2 2 2 2" xfId="23041"/>
    <cellStyle name="표준 4 3 2 2 4 2 2 3" xfId="23042"/>
    <cellStyle name="표준 4 3 2 2 4 2 3" xfId="23043"/>
    <cellStyle name="표준 4 3 2 2 4 2 3 2" xfId="23044"/>
    <cellStyle name="표준 4 3 2 2 4 2 4" xfId="23045"/>
    <cellStyle name="표준 4 3 2 2 4 3" xfId="23046"/>
    <cellStyle name="표준 4 3 2 2 4 3 2" xfId="23047"/>
    <cellStyle name="표준 4 3 2 2 4 3 2 2" xfId="23048"/>
    <cellStyle name="표준 4 3 2 2 4 3 3" xfId="23049"/>
    <cellStyle name="표준 4 3 2 2 4 4" xfId="23050"/>
    <cellStyle name="표준 4 3 2 2 4 4 2" xfId="23051"/>
    <cellStyle name="표준 4 3 2 2 4 5" xfId="23052"/>
    <cellStyle name="표준 4 3 2 2 5" xfId="23053"/>
    <cellStyle name="표준 4 3 2 2 5 2" xfId="23054"/>
    <cellStyle name="표준 4 3 2 2 5 2 2" xfId="23055"/>
    <cellStyle name="표준 4 3 2 2 5 2 2 2" xfId="23056"/>
    <cellStyle name="표준 4 3 2 2 5 2 3" xfId="23057"/>
    <cellStyle name="표준 4 3 2 2 5 3" xfId="23058"/>
    <cellStyle name="표준 4 3 2 2 5 3 2" xfId="23059"/>
    <cellStyle name="표준 4 3 2 2 5 4" xfId="23060"/>
    <cellStyle name="표준 4 3 2 2 6" xfId="23061"/>
    <cellStyle name="표준 4 3 2 2 6 2" xfId="23062"/>
    <cellStyle name="표준 4 3 2 2 6 2 2" xfId="23063"/>
    <cellStyle name="표준 4 3 2 2 6 3" xfId="23064"/>
    <cellStyle name="표준 4 3 2 2 7" xfId="23065"/>
    <cellStyle name="표준 4 3 2 2 7 2" xfId="23066"/>
    <cellStyle name="표준 4 3 2 2 8" xfId="23067"/>
    <cellStyle name="표준 4 3 2 2 9" xfId="23068"/>
    <cellStyle name="표준 4 3 2 3" xfId="23069"/>
    <cellStyle name="표준 4 3 2 3 2" xfId="23070"/>
    <cellStyle name="표준 4 3 2 3 2 2" xfId="23071"/>
    <cellStyle name="표준 4 3 2 3 2 2 2" xfId="23072"/>
    <cellStyle name="표준 4 3 2 3 2 2 2 2" xfId="23073"/>
    <cellStyle name="표준 4 3 2 3 2 2 2 2 2" xfId="23074"/>
    <cellStyle name="표준 4 3 2 3 2 2 2 2 2 2" xfId="23075"/>
    <cellStyle name="표준 4 3 2 3 2 2 2 2 3" xfId="23076"/>
    <cellStyle name="표준 4 3 2 3 2 2 2 3" xfId="23077"/>
    <cellStyle name="표준 4 3 2 3 2 2 2 3 2" xfId="23078"/>
    <cellStyle name="표준 4 3 2 3 2 2 2 4" xfId="23079"/>
    <cellStyle name="표준 4 3 2 3 2 2 3" xfId="23080"/>
    <cellStyle name="표준 4 3 2 3 2 2 3 2" xfId="23081"/>
    <cellStyle name="표준 4 3 2 3 2 2 3 2 2" xfId="23082"/>
    <cellStyle name="표준 4 3 2 3 2 2 3 3" xfId="23083"/>
    <cellStyle name="표준 4 3 2 3 2 2 4" xfId="23084"/>
    <cellStyle name="표준 4 3 2 3 2 2 4 2" xfId="23085"/>
    <cellStyle name="표준 4 3 2 3 2 2 5" xfId="23086"/>
    <cellStyle name="표준 4 3 2 3 2 3" xfId="23087"/>
    <cellStyle name="표준 4 3 2 3 2 3 2" xfId="23088"/>
    <cellStyle name="표준 4 3 2 3 2 3 2 2" xfId="23089"/>
    <cellStyle name="표준 4 3 2 3 2 3 2 2 2" xfId="23090"/>
    <cellStyle name="표준 4 3 2 3 2 3 2 3" xfId="23091"/>
    <cellStyle name="표준 4 3 2 3 2 3 3" xfId="23092"/>
    <cellStyle name="표준 4 3 2 3 2 3 3 2" xfId="23093"/>
    <cellStyle name="표준 4 3 2 3 2 3 4" xfId="23094"/>
    <cellStyle name="표준 4 3 2 3 2 4" xfId="23095"/>
    <cellStyle name="표준 4 3 2 3 2 4 2" xfId="23096"/>
    <cellStyle name="표준 4 3 2 3 2 4 2 2" xfId="23097"/>
    <cellStyle name="표준 4 3 2 3 2 4 3" xfId="23098"/>
    <cellStyle name="표준 4 3 2 3 2 5" xfId="23099"/>
    <cellStyle name="표준 4 3 2 3 2 5 2" xfId="23100"/>
    <cellStyle name="표준 4 3 2 3 2 6" xfId="23101"/>
    <cellStyle name="표준 4 3 2 3 3" xfId="23102"/>
    <cellStyle name="표준 4 3 2 3 3 2" xfId="23103"/>
    <cellStyle name="표준 4 3 2 3 3 2 2" xfId="23104"/>
    <cellStyle name="표준 4 3 2 3 3 2 2 2" xfId="23105"/>
    <cellStyle name="표준 4 3 2 3 3 2 2 2 2" xfId="23106"/>
    <cellStyle name="표준 4 3 2 3 3 2 2 3" xfId="23107"/>
    <cellStyle name="표준 4 3 2 3 3 2 3" xfId="23108"/>
    <cellStyle name="표준 4 3 2 3 3 2 3 2" xfId="23109"/>
    <cellStyle name="표준 4 3 2 3 3 2 4" xfId="23110"/>
    <cellStyle name="표준 4 3 2 3 3 3" xfId="23111"/>
    <cellStyle name="표준 4 3 2 3 3 3 2" xfId="23112"/>
    <cellStyle name="표준 4 3 2 3 3 3 2 2" xfId="23113"/>
    <cellStyle name="표준 4 3 2 3 3 3 3" xfId="23114"/>
    <cellStyle name="표준 4 3 2 3 3 4" xfId="23115"/>
    <cellStyle name="표준 4 3 2 3 3 4 2" xfId="23116"/>
    <cellStyle name="표준 4 3 2 3 3 5" xfId="23117"/>
    <cellStyle name="표준 4 3 2 3 4" xfId="23118"/>
    <cellStyle name="표준 4 3 2 3 4 2" xfId="23119"/>
    <cellStyle name="표준 4 3 2 3 4 2 2" xfId="23120"/>
    <cellStyle name="표준 4 3 2 3 4 2 2 2" xfId="23121"/>
    <cellStyle name="표준 4 3 2 3 4 2 3" xfId="23122"/>
    <cellStyle name="표준 4 3 2 3 4 3" xfId="23123"/>
    <cellStyle name="표준 4 3 2 3 4 3 2" xfId="23124"/>
    <cellStyle name="표준 4 3 2 3 4 4" xfId="23125"/>
    <cellStyle name="표준 4 3 2 3 5" xfId="23126"/>
    <cellStyle name="표준 4 3 2 3 5 2" xfId="23127"/>
    <cellStyle name="표준 4 3 2 3 5 2 2" xfId="23128"/>
    <cellStyle name="표준 4 3 2 3 5 3" xfId="23129"/>
    <cellStyle name="표준 4 3 2 3 6" xfId="23130"/>
    <cellStyle name="표준 4 3 2 3 6 2" xfId="23131"/>
    <cellStyle name="표준 4 3 2 3 7" xfId="23132"/>
    <cellStyle name="표준 4 3 2 3 8" xfId="23133"/>
    <cellStyle name="표준 4 3 2 4" xfId="23134"/>
    <cellStyle name="표준 4 3 2 4 2" xfId="23135"/>
    <cellStyle name="표준 4 3 2 4 2 2" xfId="23136"/>
    <cellStyle name="표준 4 3 2 4 2 2 2" xfId="23137"/>
    <cellStyle name="표준 4 3 2 4 2 2 2 2" xfId="23138"/>
    <cellStyle name="표준 4 3 2 4 2 2 2 2 2" xfId="23139"/>
    <cellStyle name="표준 4 3 2 4 2 2 2 3" xfId="23140"/>
    <cellStyle name="표준 4 3 2 4 2 2 3" xfId="23141"/>
    <cellStyle name="표준 4 3 2 4 2 2 3 2" xfId="23142"/>
    <cellStyle name="표준 4 3 2 4 2 2 4" xfId="23143"/>
    <cellStyle name="표준 4 3 2 4 2 3" xfId="23144"/>
    <cellStyle name="표준 4 3 2 4 2 3 2" xfId="23145"/>
    <cellStyle name="표준 4 3 2 4 2 3 2 2" xfId="23146"/>
    <cellStyle name="표준 4 3 2 4 2 3 3" xfId="23147"/>
    <cellStyle name="표준 4 3 2 4 2 4" xfId="23148"/>
    <cellStyle name="표준 4 3 2 4 2 4 2" xfId="23149"/>
    <cellStyle name="표준 4 3 2 4 2 5" xfId="23150"/>
    <cellStyle name="표준 4 3 2 4 3" xfId="23151"/>
    <cellStyle name="표준 4 3 2 4 3 2" xfId="23152"/>
    <cellStyle name="표준 4 3 2 4 3 2 2" xfId="23153"/>
    <cellStyle name="표준 4 3 2 4 3 2 2 2" xfId="23154"/>
    <cellStyle name="표준 4 3 2 4 3 2 3" xfId="23155"/>
    <cellStyle name="표준 4 3 2 4 3 3" xfId="23156"/>
    <cellStyle name="표준 4 3 2 4 3 3 2" xfId="23157"/>
    <cellStyle name="표준 4 3 2 4 3 4" xfId="23158"/>
    <cellStyle name="표준 4 3 2 4 4" xfId="23159"/>
    <cellStyle name="표준 4 3 2 4 4 2" xfId="23160"/>
    <cellStyle name="표준 4 3 2 4 4 2 2" xfId="23161"/>
    <cellStyle name="표준 4 3 2 4 4 3" xfId="23162"/>
    <cellStyle name="표준 4 3 2 4 5" xfId="23163"/>
    <cellStyle name="표준 4 3 2 4 5 2" xfId="23164"/>
    <cellStyle name="표준 4 3 2 4 6" xfId="23165"/>
    <cellStyle name="표준 4 3 2 5" xfId="23166"/>
    <cellStyle name="표준 4 3 2 5 2" xfId="23167"/>
    <cellStyle name="표준 4 3 2 5 2 2" xfId="23168"/>
    <cellStyle name="표준 4 3 2 5 2 2 2" xfId="23169"/>
    <cellStyle name="표준 4 3 2 5 2 2 2 2" xfId="23170"/>
    <cellStyle name="표준 4 3 2 5 2 2 3" xfId="23171"/>
    <cellStyle name="표준 4 3 2 5 2 3" xfId="23172"/>
    <cellStyle name="표준 4 3 2 5 2 3 2" xfId="23173"/>
    <cellStyle name="표준 4 3 2 5 2 4" xfId="23174"/>
    <cellStyle name="표준 4 3 2 5 3" xfId="23175"/>
    <cellStyle name="표준 4 3 2 5 3 2" xfId="23176"/>
    <cellStyle name="표준 4 3 2 5 3 2 2" xfId="23177"/>
    <cellStyle name="표준 4 3 2 5 3 3" xfId="23178"/>
    <cellStyle name="표준 4 3 2 5 4" xfId="23179"/>
    <cellStyle name="표준 4 3 2 5 4 2" xfId="23180"/>
    <cellStyle name="표준 4 3 2 5 5" xfId="23181"/>
    <cellStyle name="표준 4 3 2 6" xfId="23182"/>
    <cellStyle name="표준 4 3 2 6 2" xfId="23183"/>
    <cellStyle name="표준 4 3 2 6 2 2" xfId="23184"/>
    <cellStyle name="표준 4 3 2 6 2 2 2" xfId="23185"/>
    <cellStyle name="표준 4 3 2 6 2 3" xfId="23186"/>
    <cellStyle name="표준 4 3 2 6 3" xfId="23187"/>
    <cellStyle name="표준 4 3 2 6 3 2" xfId="23188"/>
    <cellStyle name="표준 4 3 2 6 4" xfId="23189"/>
    <cellStyle name="표준 4 3 2 7" xfId="23190"/>
    <cellStyle name="표준 4 3 2 7 2" xfId="23191"/>
    <cellStyle name="표준 4 3 2 7 2 2" xfId="23192"/>
    <cellStyle name="표준 4 3 2 7 3" xfId="23193"/>
    <cellStyle name="표준 4 3 2 8" xfId="23194"/>
    <cellStyle name="표준 4 3 2 8 2" xfId="23195"/>
    <cellStyle name="표준 4 3 2 9" xfId="23196"/>
    <cellStyle name="표준 4 3 3" xfId="23197"/>
    <cellStyle name="표준 4 3 3 2" xfId="23198"/>
    <cellStyle name="표준 4 3 3 2 2" xfId="23199"/>
    <cellStyle name="표준 4 3 3 2 2 2" xfId="23200"/>
    <cellStyle name="표준 4 3 3 2 2 2 2" xfId="23201"/>
    <cellStyle name="표준 4 3 3 2 2 2 2 2" xfId="23202"/>
    <cellStyle name="표준 4 3 3 2 2 2 2 2 2" xfId="23203"/>
    <cellStyle name="표준 4 3 3 2 2 2 2 2 2 2" xfId="23204"/>
    <cellStyle name="표준 4 3 3 2 2 2 2 2 3" xfId="23205"/>
    <cellStyle name="표준 4 3 3 2 2 2 2 3" xfId="23206"/>
    <cellStyle name="표준 4 3 3 2 2 2 2 3 2" xfId="23207"/>
    <cellStyle name="표준 4 3 3 2 2 2 2 4" xfId="23208"/>
    <cellStyle name="표준 4 3 3 2 2 2 3" xfId="23209"/>
    <cellStyle name="표준 4 3 3 2 2 2 3 2" xfId="23210"/>
    <cellStyle name="표준 4 3 3 2 2 2 3 2 2" xfId="23211"/>
    <cellStyle name="표준 4 3 3 2 2 2 3 3" xfId="23212"/>
    <cellStyle name="표준 4 3 3 2 2 2 4" xfId="23213"/>
    <cellStyle name="표준 4 3 3 2 2 2 4 2" xfId="23214"/>
    <cellStyle name="표준 4 3 3 2 2 2 5" xfId="23215"/>
    <cellStyle name="표준 4 3 3 2 2 3" xfId="23216"/>
    <cellStyle name="표준 4 3 3 2 2 3 2" xfId="23217"/>
    <cellStyle name="표준 4 3 3 2 2 3 2 2" xfId="23218"/>
    <cellStyle name="표준 4 3 3 2 2 3 2 2 2" xfId="23219"/>
    <cellStyle name="표준 4 3 3 2 2 3 2 3" xfId="23220"/>
    <cellStyle name="표준 4 3 3 2 2 3 3" xfId="23221"/>
    <cellStyle name="표준 4 3 3 2 2 3 3 2" xfId="23222"/>
    <cellStyle name="표준 4 3 3 2 2 3 4" xfId="23223"/>
    <cellStyle name="표준 4 3 3 2 2 4" xfId="23224"/>
    <cellStyle name="표준 4 3 3 2 2 4 2" xfId="23225"/>
    <cellStyle name="표준 4 3 3 2 2 4 2 2" xfId="23226"/>
    <cellStyle name="표준 4 3 3 2 2 4 3" xfId="23227"/>
    <cellStyle name="표준 4 3 3 2 2 5" xfId="23228"/>
    <cellStyle name="표준 4 3 3 2 2 5 2" xfId="23229"/>
    <cellStyle name="표준 4 3 3 2 2 6" xfId="23230"/>
    <cellStyle name="표준 4 3 3 2 3" xfId="23231"/>
    <cellStyle name="표준 4 3 3 2 3 2" xfId="23232"/>
    <cellStyle name="표준 4 3 3 2 3 2 2" xfId="23233"/>
    <cellStyle name="표준 4 3 3 2 3 2 2 2" xfId="23234"/>
    <cellStyle name="표준 4 3 3 2 3 2 2 2 2" xfId="23235"/>
    <cellStyle name="표준 4 3 3 2 3 2 2 3" xfId="23236"/>
    <cellStyle name="표준 4 3 3 2 3 2 3" xfId="23237"/>
    <cellStyle name="표준 4 3 3 2 3 2 3 2" xfId="23238"/>
    <cellStyle name="표준 4 3 3 2 3 2 4" xfId="23239"/>
    <cellStyle name="표준 4 3 3 2 3 3" xfId="23240"/>
    <cellStyle name="표준 4 3 3 2 3 3 2" xfId="23241"/>
    <cellStyle name="표준 4 3 3 2 3 3 2 2" xfId="23242"/>
    <cellStyle name="표준 4 3 3 2 3 3 3" xfId="23243"/>
    <cellStyle name="표준 4 3 3 2 3 4" xfId="23244"/>
    <cellStyle name="표준 4 3 3 2 3 4 2" xfId="23245"/>
    <cellStyle name="표준 4 3 3 2 3 5" xfId="23246"/>
    <cellStyle name="표준 4 3 3 2 4" xfId="23247"/>
    <cellStyle name="표준 4 3 3 2 4 2" xfId="23248"/>
    <cellStyle name="표준 4 3 3 2 4 2 2" xfId="23249"/>
    <cellStyle name="표준 4 3 3 2 4 2 2 2" xfId="23250"/>
    <cellStyle name="표준 4 3 3 2 4 2 3" xfId="23251"/>
    <cellStyle name="표준 4 3 3 2 4 3" xfId="23252"/>
    <cellStyle name="표준 4 3 3 2 4 3 2" xfId="23253"/>
    <cellStyle name="표준 4 3 3 2 4 4" xfId="23254"/>
    <cellStyle name="표준 4 3 3 2 5" xfId="23255"/>
    <cellStyle name="표준 4 3 3 2 5 2" xfId="23256"/>
    <cellStyle name="표준 4 3 3 2 5 2 2" xfId="23257"/>
    <cellStyle name="표준 4 3 3 2 5 3" xfId="23258"/>
    <cellStyle name="표준 4 3 3 2 6" xfId="23259"/>
    <cellStyle name="표준 4 3 3 2 6 2" xfId="23260"/>
    <cellStyle name="표준 4 3 3 2 7" xfId="23261"/>
    <cellStyle name="표준 4 3 3 2 8" xfId="23262"/>
    <cellStyle name="표준 4 3 3 3" xfId="23263"/>
    <cellStyle name="표준 4 3 3 3 2" xfId="23264"/>
    <cellStyle name="표준 4 3 3 3 2 2" xfId="23265"/>
    <cellStyle name="표준 4 3 3 3 2 2 2" xfId="23266"/>
    <cellStyle name="표준 4 3 3 3 2 2 2 2" xfId="23267"/>
    <cellStyle name="표준 4 3 3 3 2 2 2 2 2" xfId="23268"/>
    <cellStyle name="표준 4 3 3 3 2 2 2 3" xfId="23269"/>
    <cellStyle name="표준 4 3 3 3 2 2 3" xfId="23270"/>
    <cellStyle name="표준 4 3 3 3 2 2 3 2" xfId="23271"/>
    <cellStyle name="표준 4 3 3 3 2 2 4" xfId="23272"/>
    <cellStyle name="표준 4 3 3 3 2 3" xfId="23273"/>
    <cellStyle name="표준 4 3 3 3 2 3 2" xfId="23274"/>
    <cellStyle name="표준 4 3 3 3 2 3 2 2" xfId="23275"/>
    <cellStyle name="표준 4 3 3 3 2 3 3" xfId="23276"/>
    <cellStyle name="표준 4 3 3 3 2 4" xfId="23277"/>
    <cellStyle name="표준 4 3 3 3 2 4 2" xfId="23278"/>
    <cellStyle name="표준 4 3 3 3 2 5" xfId="23279"/>
    <cellStyle name="표준 4 3 3 3 3" xfId="23280"/>
    <cellStyle name="표준 4 3 3 3 3 2" xfId="23281"/>
    <cellStyle name="표준 4 3 3 3 3 2 2" xfId="23282"/>
    <cellStyle name="표준 4 3 3 3 3 2 2 2" xfId="23283"/>
    <cellStyle name="표준 4 3 3 3 3 2 3" xfId="23284"/>
    <cellStyle name="표준 4 3 3 3 3 3" xfId="23285"/>
    <cellStyle name="표준 4 3 3 3 3 3 2" xfId="23286"/>
    <cellStyle name="표준 4 3 3 3 3 4" xfId="23287"/>
    <cellStyle name="표준 4 3 3 3 4" xfId="23288"/>
    <cellStyle name="표준 4 3 3 3 4 2" xfId="23289"/>
    <cellStyle name="표준 4 3 3 3 4 2 2" xfId="23290"/>
    <cellStyle name="표준 4 3 3 3 4 3" xfId="23291"/>
    <cellStyle name="표준 4 3 3 3 5" xfId="23292"/>
    <cellStyle name="표준 4 3 3 3 5 2" xfId="23293"/>
    <cellStyle name="표준 4 3 3 3 6" xfId="23294"/>
    <cellStyle name="표준 4 3 3 4" xfId="23295"/>
    <cellStyle name="표준 4 3 3 4 2" xfId="23296"/>
    <cellStyle name="표준 4 3 3 4 2 2" xfId="23297"/>
    <cellStyle name="표준 4 3 3 4 2 2 2" xfId="23298"/>
    <cellStyle name="표준 4 3 3 4 2 2 2 2" xfId="23299"/>
    <cellStyle name="표준 4 3 3 4 2 2 3" xfId="23300"/>
    <cellStyle name="표준 4 3 3 4 2 3" xfId="23301"/>
    <cellStyle name="표준 4 3 3 4 2 3 2" xfId="23302"/>
    <cellStyle name="표준 4 3 3 4 2 4" xfId="23303"/>
    <cellStyle name="표준 4 3 3 4 3" xfId="23304"/>
    <cellStyle name="표준 4 3 3 4 3 2" xfId="23305"/>
    <cellStyle name="표준 4 3 3 4 3 2 2" xfId="23306"/>
    <cellStyle name="표준 4 3 3 4 3 3" xfId="23307"/>
    <cellStyle name="표준 4 3 3 4 4" xfId="23308"/>
    <cellStyle name="표준 4 3 3 4 4 2" xfId="23309"/>
    <cellStyle name="표준 4 3 3 4 5" xfId="23310"/>
    <cellStyle name="표준 4 3 3 5" xfId="23311"/>
    <cellStyle name="표준 4 3 3 5 2" xfId="23312"/>
    <cellStyle name="표준 4 3 3 5 2 2" xfId="23313"/>
    <cellStyle name="표준 4 3 3 5 2 2 2" xfId="23314"/>
    <cellStyle name="표준 4 3 3 5 2 3" xfId="23315"/>
    <cellStyle name="표준 4 3 3 5 3" xfId="23316"/>
    <cellStyle name="표준 4 3 3 5 3 2" xfId="23317"/>
    <cellStyle name="표준 4 3 3 5 4" xfId="23318"/>
    <cellStyle name="표준 4 3 3 6" xfId="23319"/>
    <cellStyle name="표준 4 3 3 6 2" xfId="23320"/>
    <cellStyle name="표준 4 3 3 6 2 2" xfId="23321"/>
    <cellStyle name="표준 4 3 3 6 3" xfId="23322"/>
    <cellStyle name="표준 4 3 3 7" xfId="23323"/>
    <cellStyle name="표준 4 3 3 7 2" xfId="23324"/>
    <cellStyle name="표준 4 3 3 8" xfId="23325"/>
    <cellStyle name="표준 4 3 3 9" xfId="23326"/>
    <cellStyle name="표준 4 3 4" xfId="23327"/>
    <cellStyle name="표준 4 3 4 2" xfId="23328"/>
    <cellStyle name="표준 4 3 4 2 2" xfId="23329"/>
    <cellStyle name="표준 4 3 4 2 2 2" xfId="23330"/>
    <cellStyle name="표준 4 3 4 2 2 2 2" xfId="23331"/>
    <cellStyle name="표준 4 3 4 2 2 2 2 2" xfId="23332"/>
    <cellStyle name="표준 4 3 4 2 2 2 2 2 2" xfId="23333"/>
    <cellStyle name="표준 4 3 4 2 2 2 2 3" xfId="23334"/>
    <cellStyle name="표준 4 3 4 2 2 2 3" xfId="23335"/>
    <cellStyle name="표준 4 3 4 2 2 2 3 2" xfId="23336"/>
    <cellStyle name="표준 4 3 4 2 2 2 4" xfId="23337"/>
    <cellStyle name="표준 4 3 4 2 2 3" xfId="23338"/>
    <cellStyle name="표준 4 3 4 2 2 3 2" xfId="23339"/>
    <cellStyle name="표준 4 3 4 2 2 3 2 2" xfId="23340"/>
    <cellStyle name="표준 4 3 4 2 2 3 3" xfId="23341"/>
    <cellStyle name="표준 4 3 4 2 2 4" xfId="23342"/>
    <cellStyle name="표준 4 3 4 2 2 4 2" xfId="23343"/>
    <cellStyle name="표준 4 3 4 2 2 5" xfId="23344"/>
    <cellStyle name="표준 4 3 4 2 3" xfId="23345"/>
    <cellStyle name="표준 4 3 4 2 3 2" xfId="23346"/>
    <cellStyle name="표준 4 3 4 2 3 2 2" xfId="23347"/>
    <cellStyle name="표준 4 3 4 2 3 2 2 2" xfId="23348"/>
    <cellStyle name="표준 4 3 4 2 3 2 3" xfId="23349"/>
    <cellStyle name="표준 4 3 4 2 3 3" xfId="23350"/>
    <cellStyle name="표준 4 3 4 2 3 3 2" xfId="23351"/>
    <cellStyle name="표준 4 3 4 2 3 4" xfId="23352"/>
    <cellStyle name="표준 4 3 4 2 4" xfId="23353"/>
    <cellStyle name="표준 4 3 4 2 4 2" xfId="23354"/>
    <cellStyle name="표준 4 3 4 2 4 2 2" xfId="23355"/>
    <cellStyle name="표준 4 3 4 2 4 3" xfId="23356"/>
    <cellStyle name="표준 4 3 4 2 5" xfId="23357"/>
    <cellStyle name="표준 4 3 4 2 5 2" xfId="23358"/>
    <cellStyle name="표준 4 3 4 2 6" xfId="23359"/>
    <cellStyle name="표준 4 3 4 3" xfId="23360"/>
    <cellStyle name="표준 4 3 4 3 2" xfId="23361"/>
    <cellStyle name="표준 4 3 4 3 2 2" xfId="23362"/>
    <cellStyle name="표준 4 3 4 3 2 2 2" xfId="23363"/>
    <cellStyle name="표준 4 3 4 3 2 2 2 2" xfId="23364"/>
    <cellStyle name="표준 4 3 4 3 2 2 3" xfId="23365"/>
    <cellStyle name="표준 4 3 4 3 2 3" xfId="23366"/>
    <cellStyle name="표준 4 3 4 3 2 3 2" xfId="23367"/>
    <cellStyle name="표준 4 3 4 3 2 4" xfId="23368"/>
    <cellStyle name="표준 4 3 4 3 3" xfId="23369"/>
    <cellStyle name="표준 4 3 4 3 3 2" xfId="23370"/>
    <cellStyle name="표준 4 3 4 3 3 2 2" xfId="23371"/>
    <cellStyle name="표준 4 3 4 3 3 3" xfId="23372"/>
    <cellStyle name="표준 4 3 4 3 4" xfId="23373"/>
    <cellStyle name="표준 4 3 4 3 4 2" xfId="23374"/>
    <cellStyle name="표준 4 3 4 3 5" xfId="23375"/>
    <cellStyle name="표준 4 3 4 4" xfId="23376"/>
    <cellStyle name="표준 4 3 4 4 2" xfId="23377"/>
    <cellStyle name="표준 4 3 4 4 2 2" xfId="23378"/>
    <cellStyle name="표준 4 3 4 4 2 2 2" xfId="23379"/>
    <cellStyle name="표준 4 3 4 4 2 3" xfId="23380"/>
    <cellStyle name="표준 4 3 4 4 3" xfId="23381"/>
    <cellStyle name="표준 4 3 4 4 3 2" xfId="23382"/>
    <cellStyle name="표준 4 3 4 4 4" xfId="23383"/>
    <cellStyle name="표준 4 3 4 5" xfId="23384"/>
    <cellStyle name="표준 4 3 4 5 2" xfId="23385"/>
    <cellStyle name="표준 4 3 4 5 2 2" xfId="23386"/>
    <cellStyle name="표준 4 3 4 5 3" xfId="23387"/>
    <cellStyle name="표준 4 3 4 6" xfId="23388"/>
    <cellStyle name="표준 4 3 4 6 2" xfId="23389"/>
    <cellStyle name="표준 4 3 4 7" xfId="23390"/>
    <cellStyle name="표준 4 3 4 8" xfId="23391"/>
    <cellStyle name="표준 4 3 5" xfId="23392"/>
    <cellStyle name="표준 4 3 5 2" xfId="23393"/>
    <cellStyle name="표준 4 3 5 2 2" xfId="23394"/>
    <cellStyle name="표준 4 3 5 2 2 2" xfId="23395"/>
    <cellStyle name="표준 4 3 5 2 2 2 2" xfId="23396"/>
    <cellStyle name="표준 4 3 5 2 2 2 2 2" xfId="23397"/>
    <cellStyle name="표준 4 3 5 2 2 2 3" xfId="23398"/>
    <cellStyle name="표준 4 3 5 2 2 3" xfId="23399"/>
    <cellStyle name="표준 4 3 5 2 2 3 2" xfId="23400"/>
    <cellStyle name="표준 4 3 5 2 2 4" xfId="23401"/>
    <cellStyle name="표준 4 3 5 2 3" xfId="23402"/>
    <cellStyle name="표준 4 3 5 2 3 2" xfId="23403"/>
    <cellStyle name="표준 4 3 5 2 3 2 2" xfId="23404"/>
    <cellStyle name="표준 4 3 5 2 3 3" xfId="23405"/>
    <cellStyle name="표준 4 3 5 2 4" xfId="23406"/>
    <cellStyle name="표준 4 3 5 2 4 2" xfId="23407"/>
    <cellStyle name="표준 4 3 5 2 5" xfId="23408"/>
    <cellStyle name="표준 4 3 5 3" xfId="23409"/>
    <cellStyle name="표준 4 3 5 3 2" xfId="23410"/>
    <cellStyle name="표준 4 3 5 3 2 2" xfId="23411"/>
    <cellStyle name="표준 4 3 5 3 2 2 2" xfId="23412"/>
    <cellStyle name="표준 4 3 5 3 2 3" xfId="23413"/>
    <cellStyle name="표준 4 3 5 3 3" xfId="23414"/>
    <cellStyle name="표준 4 3 5 3 3 2" xfId="23415"/>
    <cellStyle name="표준 4 3 5 3 4" xfId="23416"/>
    <cellStyle name="표준 4 3 5 4" xfId="23417"/>
    <cellStyle name="표준 4 3 5 4 2" xfId="23418"/>
    <cellStyle name="표준 4 3 5 4 2 2" xfId="23419"/>
    <cellStyle name="표준 4 3 5 4 3" xfId="23420"/>
    <cellStyle name="표준 4 3 5 5" xfId="23421"/>
    <cellStyle name="표준 4 3 5 5 2" xfId="23422"/>
    <cellStyle name="표준 4 3 5 6" xfId="23423"/>
    <cellStyle name="표준 4 3 6" xfId="23424"/>
    <cellStyle name="표준 4 3 6 2" xfId="23425"/>
    <cellStyle name="표준 4 3 6 2 2" xfId="23426"/>
    <cellStyle name="표준 4 3 6 2 2 2" xfId="23427"/>
    <cellStyle name="표준 4 3 6 2 2 2 2" xfId="23428"/>
    <cellStyle name="표준 4 3 6 2 2 3" xfId="23429"/>
    <cellStyle name="표준 4 3 6 2 3" xfId="23430"/>
    <cellStyle name="표준 4 3 6 2 3 2" xfId="23431"/>
    <cellStyle name="표준 4 3 6 2 4" xfId="23432"/>
    <cellStyle name="표준 4 3 6 3" xfId="23433"/>
    <cellStyle name="표준 4 3 6 3 2" xfId="23434"/>
    <cellStyle name="표준 4 3 6 3 2 2" xfId="23435"/>
    <cellStyle name="표준 4 3 6 3 3" xfId="23436"/>
    <cellStyle name="표준 4 3 6 4" xfId="23437"/>
    <cellStyle name="표준 4 3 6 4 2" xfId="23438"/>
    <cellStyle name="표준 4 3 6 5" xfId="23439"/>
    <cellStyle name="표준 4 3 7" xfId="23440"/>
    <cellStyle name="표준 4 3 7 2" xfId="23441"/>
    <cellStyle name="표준 4 3 7 2 2" xfId="23442"/>
    <cellStyle name="표준 4 3 7 2 2 2" xfId="23443"/>
    <cellStyle name="표준 4 3 7 2 3" xfId="23444"/>
    <cellStyle name="표준 4 3 7 3" xfId="23445"/>
    <cellStyle name="표준 4 3 7 3 2" xfId="23446"/>
    <cellStyle name="표준 4 3 7 4" xfId="23447"/>
    <cellStyle name="표준 4 3 8" xfId="23448"/>
    <cellStyle name="표준 4 3 8 2" xfId="23449"/>
    <cellStyle name="표준 4 3 8 2 2" xfId="23450"/>
    <cellStyle name="표준 4 3 8 3" xfId="23451"/>
    <cellStyle name="표준 4 3 9" xfId="23452"/>
    <cellStyle name="표준 4 3 9 2" xfId="23453"/>
    <cellStyle name="표준 4 4" xfId="23454"/>
    <cellStyle name="표준 4 4 10" xfId="23455"/>
    <cellStyle name="표준 4 4 11" xfId="23456"/>
    <cellStyle name="표준 4 4 2" xfId="23457"/>
    <cellStyle name="표준 4 4 2 10" xfId="23458"/>
    <cellStyle name="표준 4 4 2 2" xfId="23459"/>
    <cellStyle name="표준 4 4 2 2 2" xfId="23460"/>
    <cellStyle name="표준 4 4 2 2 2 2" xfId="23461"/>
    <cellStyle name="표준 4 4 2 2 2 2 2" xfId="23462"/>
    <cellStyle name="표준 4 4 2 2 2 2 2 2" xfId="23463"/>
    <cellStyle name="표준 4 4 2 2 2 2 2 2 2" xfId="23464"/>
    <cellStyle name="표준 4 4 2 2 2 2 2 2 2 2" xfId="23465"/>
    <cellStyle name="표준 4 4 2 2 2 2 2 2 2 2 2" xfId="23466"/>
    <cellStyle name="표준 4 4 2 2 2 2 2 2 2 3" xfId="23467"/>
    <cellStyle name="표준 4 4 2 2 2 2 2 2 3" xfId="23468"/>
    <cellStyle name="표준 4 4 2 2 2 2 2 2 3 2" xfId="23469"/>
    <cellStyle name="표준 4 4 2 2 2 2 2 2 4" xfId="23470"/>
    <cellStyle name="표준 4 4 2 2 2 2 2 3" xfId="23471"/>
    <cellStyle name="표준 4 4 2 2 2 2 2 3 2" xfId="23472"/>
    <cellStyle name="표준 4 4 2 2 2 2 2 3 2 2" xfId="23473"/>
    <cellStyle name="표준 4 4 2 2 2 2 2 3 3" xfId="23474"/>
    <cellStyle name="표준 4 4 2 2 2 2 2 4" xfId="23475"/>
    <cellStyle name="표준 4 4 2 2 2 2 2 4 2" xfId="23476"/>
    <cellStyle name="표준 4 4 2 2 2 2 2 5" xfId="23477"/>
    <cellStyle name="표준 4 4 2 2 2 2 3" xfId="23478"/>
    <cellStyle name="표준 4 4 2 2 2 2 3 2" xfId="23479"/>
    <cellStyle name="표준 4 4 2 2 2 2 3 2 2" xfId="23480"/>
    <cellStyle name="표준 4 4 2 2 2 2 3 2 2 2" xfId="23481"/>
    <cellStyle name="표준 4 4 2 2 2 2 3 2 3" xfId="23482"/>
    <cellStyle name="표준 4 4 2 2 2 2 3 3" xfId="23483"/>
    <cellStyle name="표준 4 4 2 2 2 2 3 3 2" xfId="23484"/>
    <cellStyle name="표준 4 4 2 2 2 2 3 4" xfId="23485"/>
    <cellStyle name="표준 4 4 2 2 2 2 4" xfId="23486"/>
    <cellStyle name="표준 4 4 2 2 2 2 4 2" xfId="23487"/>
    <cellStyle name="표준 4 4 2 2 2 2 4 2 2" xfId="23488"/>
    <cellStyle name="표준 4 4 2 2 2 2 4 3" xfId="23489"/>
    <cellStyle name="표준 4 4 2 2 2 2 5" xfId="23490"/>
    <cellStyle name="표준 4 4 2 2 2 2 5 2" xfId="23491"/>
    <cellStyle name="표준 4 4 2 2 2 2 6" xfId="23492"/>
    <cellStyle name="표준 4 4 2 2 2 3" xfId="23493"/>
    <cellStyle name="표준 4 4 2 2 2 3 2" xfId="23494"/>
    <cellStyle name="표준 4 4 2 2 2 3 2 2" xfId="23495"/>
    <cellStyle name="표준 4 4 2 2 2 3 2 2 2" xfId="23496"/>
    <cellStyle name="표준 4 4 2 2 2 3 2 2 2 2" xfId="23497"/>
    <cellStyle name="표준 4 4 2 2 2 3 2 2 3" xfId="23498"/>
    <cellStyle name="표준 4 4 2 2 2 3 2 3" xfId="23499"/>
    <cellStyle name="표준 4 4 2 2 2 3 2 3 2" xfId="23500"/>
    <cellStyle name="표준 4 4 2 2 2 3 2 4" xfId="23501"/>
    <cellStyle name="표준 4 4 2 2 2 3 3" xfId="23502"/>
    <cellStyle name="표준 4 4 2 2 2 3 3 2" xfId="23503"/>
    <cellStyle name="표준 4 4 2 2 2 3 3 2 2" xfId="23504"/>
    <cellStyle name="표준 4 4 2 2 2 3 3 3" xfId="23505"/>
    <cellStyle name="표준 4 4 2 2 2 3 4" xfId="23506"/>
    <cellStyle name="표준 4 4 2 2 2 3 4 2" xfId="23507"/>
    <cellStyle name="표준 4 4 2 2 2 3 5" xfId="23508"/>
    <cellStyle name="표준 4 4 2 2 2 4" xfId="23509"/>
    <cellStyle name="표준 4 4 2 2 2 4 2" xfId="23510"/>
    <cellStyle name="표준 4 4 2 2 2 4 2 2" xfId="23511"/>
    <cellStyle name="표준 4 4 2 2 2 4 2 2 2" xfId="23512"/>
    <cellStyle name="표준 4 4 2 2 2 4 2 3" xfId="23513"/>
    <cellStyle name="표준 4 4 2 2 2 4 3" xfId="23514"/>
    <cellStyle name="표준 4 4 2 2 2 4 3 2" xfId="23515"/>
    <cellStyle name="표준 4 4 2 2 2 4 4" xfId="23516"/>
    <cellStyle name="표준 4 4 2 2 2 5" xfId="23517"/>
    <cellStyle name="표준 4 4 2 2 2 5 2" xfId="23518"/>
    <cellStyle name="표준 4 4 2 2 2 5 2 2" xfId="23519"/>
    <cellStyle name="표준 4 4 2 2 2 5 3" xfId="23520"/>
    <cellStyle name="표준 4 4 2 2 2 6" xfId="23521"/>
    <cellStyle name="표준 4 4 2 2 2 6 2" xfId="23522"/>
    <cellStyle name="표준 4 4 2 2 2 7" xfId="23523"/>
    <cellStyle name="표준 4 4 2 2 2 8" xfId="23524"/>
    <cellStyle name="표준 4 4 2 2 3" xfId="23525"/>
    <cellStyle name="표준 4 4 2 2 3 2" xfId="23526"/>
    <cellStyle name="표준 4 4 2 2 3 2 2" xfId="23527"/>
    <cellStyle name="표준 4 4 2 2 3 2 2 2" xfId="23528"/>
    <cellStyle name="표준 4 4 2 2 3 2 2 2 2" xfId="23529"/>
    <cellStyle name="표준 4 4 2 2 3 2 2 2 2 2" xfId="23530"/>
    <cellStyle name="표준 4 4 2 2 3 2 2 2 3" xfId="23531"/>
    <cellStyle name="표준 4 4 2 2 3 2 2 3" xfId="23532"/>
    <cellStyle name="표준 4 4 2 2 3 2 2 3 2" xfId="23533"/>
    <cellStyle name="표준 4 4 2 2 3 2 2 4" xfId="23534"/>
    <cellStyle name="표준 4 4 2 2 3 2 3" xfId="23535"/>
    <cellStyle name="표준 4 4 2 2 3 2 3 2" xfId="23536"/>
    <cellStyle name="표준 4 4 2 2 3 2 3 2 2" xfId="23537"/>
    <cellStyle name="표준 4 4 2 2 3 2 3 3" xfId="23538"/>
    <cellStyle name="표준 4 4 2 2 3 2 4" xfId="23539"/>
    <cellStyle name="표준 4 4 2 2 3 2 4 2" xfId="23540"/>
    <cellStyle name="표준 4 4 2 2 3 2 5" xfId="23541"/>
    <cellStyle name="표준 4 4 2 2 3 3" xfId="23542"/>
    <cellStyle name="표준 4 4 2 2 3 3 2" xfId="23543"/>
    <cellStyle name="표준 4 4 2 2 3 3 2 2" xfId="23544"/>
    <cellStyle name="표준 4 4 2 2 3 3 2 2 2" xfId="23545"/>
    <cellStyle name="표준 4 4 2 2 3 3 2 3" xfId="23546"/>
    <cellStyle name="표준 4 4 2 2 3 3 3" xfId="23547"/>
    <cellStyle name="표준 4 4 2 2 3 3 3 2" xfId="23548"/>
    <cellStyle name="표준 4 4 2 2 3 3 4" xfId="23549"/>
    <cellStyle name="표준 4 4 2 2 3 4" xfId="23550"/>
    <cellStyle name="표준 4 4 2 2 3 4 2" xfId="23551"/>
    <cellStyle name="표준 4 4 2 2 3 4 2 2" xfId="23552"/>
    <cellStyle name="표준 4 4 2 2 3 4 3" xfId="23553"/>
    <cellStyle name="표준 4 4 2 2 3 5" xfId="23554"/>
    <cellStyle name="표준 4 4 2 2 3 5 2" xfId="23555"/>
    <cellStyle name="표준 4 4 2 2 3 6" xfId="23556"/>
    <cellStyle name="표준 4 4 2 2 4" xfId="23557"/>
    <cellStyle name="표준 4 4 2 2 4 2" xfId="23558"/>
    <cellStyle name="표준 4 4 2 2 4 2 2" xfId="23559"/>
    <cellStyle name="표준 4 4 2 2 4 2 2 2" xfId="23560"/>
    <cellStyle name="표준 4 4 2 2 4 2 2 2 2" xfId="23561"/>
    <cellStyle name="표준 4 4 2 2 4 2 2 3" xfId="23562"/>
    <cellStyle name="표준 4 4 2 2 4 2 3" xfId="23563"/>
    <cellStyle name="표준 4 4 2 2 4 2 3 2" xfId="23564"/>
    <cellStyle name="표준 4 4 2 2 4 2 4" xfId="23565"/>
    <cellStyle name="표준 4 4 2 2 4 3" xfId="23566"/>
    <cellStyle name="표준 4 4 2 2 4 3 2" xfId="23567"/>
    <cellStyle name="표준 4 4 2 2 4 3 2 2" xfId="23568"/>
    <cellStyle name="표준 4 4 2 2 4 3 3" xfId="23569"/>
    <cellStyle name="표준 4 4 2 2 4 4" xfId="23570"/>
    <cellStyle name="표준 4 4 2 2 4 4 2" xfId="23571"/>
    <cellStyle name="표준 4 4 2 2 4 5" xfId="23572"/>
    <cellStyle name="표준 4 4 2 2 5" xfId="23573"/>
    <cellStyle name="표준 4 4 2 2 5 2" xfId="23574"/>
    <cellStyle name="표준 4 4 2 2 5 2 2" xfId="23575"/>
    <cellStyle name="표준 4 4 2 2 5 2 2 2" xfId="23576"/>
    <cellStyle name="표준 4 4 2 2 5 2 3" xfId="23577"/>
    <cellStyle name="표준 4 4 2 2 5 3" xfId="23578"/>
    <cellStyle name="표준 4 4 2 2 5 3 2" xfId="23579"/>
    <cellStyle name="표준 4 4 2 2 5 4" xfId="23580"/>
    <cellStyle name="표준 4 4 2 2 6" xfId="23581"/>
    <cellStyle name="표준 4 4 2 2 6 2" xfId="23582"/>
    <cellStyle name="표준 4 4 2 2 6 2 2" xfId="23583"/>
    <cellStyle name="표준 4 4 2 2 6 3" xfId="23584"/>
    <cellStyle name="표준 4 4 2 2 7" xfId="23585"/>
    <cellStyle name="표준 4 4 2 2 7 2" xfId="23586"/>
    <cellStyle name="표준 4 4 2 2 8" xfId="23587"/>
    <cellStyle name="표준 4 4 2 2 9" xfId="23588"/>
    <cellStyle name="표준 4 4 2 3" xfId="23589"/>
    <cellStyle name="표준 4 4 2 3 2" xfId="23590"/>
    <cellStyle name="표준 4 4 2 3 2 2" xfId="23591"/>
    <cellStyle name="표준 4 4 2 3 2 2 2" xfId="23592"/>
    <cellStyle name="표준 4 4 2 3 2 2 2 2" xfId="23593"/>
    <cellStyle name="표준 4 4 2 3 2 2 2 2 2" xfId="23594"/>
    <cellStyle name="표준 4 4 2 3 2 2 2 2 2 2" xfId="23595"/>
    <cellStyle name="표준 4 4 2 3 2 2 2 2 3" xfId="23596"/>
    <cellStyle name="표준 4 4 2 3 2 2 2 3" xfId="23597"/>
    <cellStyle name="표준 4 4 2 3 2 2 2 3 2" xfId="23598"/>
    <cellStyle name="표준 4 4 2 3 2 2 2 4" xfId="23599"/>
    <cellStyle name="표준 4 4 2 3 2 2 3" xfId="23600"/>
    <cellStyle name="표준 4 4 2 3 2 2 3 2" xfId="23601"/>
    <cellStyle name="표준 4 4 2 3 2 2 3 2 2" xfId="23602"/>
    <cellStyle name="표준 4 4 2 3 2 2 3 3" xfId="23603"/>
    <cellStyle name="표준 4 4 2 3 2 2 4" xfId="23604"/>
    <cellStyle name="표준 4 4 2 3 2 2 4 2" xfId="23605"/>
    <cellStyle name="표준 4 4 2 3 2 2 5" xfId="23606"/>
    <cellStyle name="표준 4 4 2 3 2 3" xfId="23607"/>
    <cellStyle name="표준 4 4 2 3 2 3 2" xfId="23608"/>
    <cellStyle name="표준 4 4 2 3 2 3 2 2" xfId="23609"/>
    <cellStyle name="표준 4 4 2 3 2 3 2 2 2" xfId="23610"/>
    <cellStyle name="표준 4 4 2 3 2 3 2 3" xfId="23611"/>
    <cellStyle name="표준 4 4 2 3 2 3 3" xfId="23612"/>
    <cellStyle name="표준 4 4 2 3 2 3 3 2" xfId="23613"/>
    <cellStyle name="표준 4 4 2 3 2 3 4" xfId="23614"/>
    <cellStyle name="표준 4 4 2 3 2 4" xfId="23615"/>
    <cellStyle name="표준 4 4 2 3 2 4 2" xfId="23616"/>
    <cellStyle name="표준 4 4 2 3 2 4 2 2" xfId="23617"/>
    <cellStyle name="표준 4 4 2 3 2 4 3" xfId="23618"/>
    <cellStyle name="표준 4 4 2 3 2 5" xfId="23619"/>
    <cellStyle name="표준 4 4 2 3 2 5 2" xfId="23620"/>
    <cellStyle name="표준 4 4 2 3 2 6" xfId="23621"/>
    <cellStyle name="표준 4 4 2 3 3" xfId="23622"/>
    <cellStyle name="표준 4 4 2 3 3 2" xfId="23623"/>
    <cellStyle name="표준 4 4 2 3 3 2 2" xfId="23624"/>
    <cellStyle name="표준 4 4 2 3 3 2 2 2" xfId="23625"/>
    <cellStyle name="표준 4 4 2 3 3 2 2 2 2" xfId="23626"/>
    <cellStyle name="표준 4 4 2 3 3 2 2 3" xfId="23627"/>
    <cellStyle name="표준 4 4 2 3 3 2 3" xfId="23628"/>
    <cellStyle name="표준 4 4 2 3 3 2 3 2" xfId="23629"/>
    <cellStyle name="표준 4 4 2 3 3 2 4" xfId="23630"/>
    <cellStyle name="표준 4 4 2 3 3 3" xfId="23631"/>
    <cellStyle name="표준 4 4 2 3 3 3 2" xfId="23632"/>
    <cellStyle name="표준 4 4 2 3 3 3 2 2" xfId="23633"/>
    <cellStyle name="표준 4 4 2 3 3 3 3" xfId="23634"/>
    <cellStyle name="표준 4 4 2 3 3 4" xfId="23635"/>
    <cellStyle name="표준 4 4 2 3 3 4 2" xfId="23636"/>
    <cellStyle name="표준 4 4 2 3 3 5" xfId="23637"/>
    <cellStyle name="표준 4 4 2 3 4" xfId="23638"/>
    <cellStyle name="표준 4 4 2 3 4 2" xfId="23639"/>
    <cellStyle name="표준 4 4 2 3 4 2 2" xfId="23640"/>
    <cellStyle name="표준 4 4 2 3 4 2 2 2" xfId="23641"/>
    <cellStyle name="표준 4 4 2 3 4 2 3" xfId="23642"/>
    <cellStyle name="표준 4 4 2 3 4 3" xfId="23643"/>
    <cellStyle name="표준 4 4 2 3 4 3 2" xfId="23644"/>
    <cellStyle name="표준 4 4 2 3 4 4" xfId="23645"/>
    <cellStyle name="표준 4 4 2 3 5" xfId="23646"/>
    <cellStyle name="표준 4 4 2 3 5 2" xfId="23647"/>
    <cellStyle name="표준 4 4 2 3 5 2 2" xfId="23648"/>
    <cellStyle name="표준 4 4 2 3 5 3" xfId="23649"/>
    <cellStyle name="표준 4 4 2 3 6" xfId="23650"/>
    <cellStyle name="표준 4 4 2 3 6 2" xfId="23651"/>
    <cellStyle name="표준 4 4 2 3 7" xfId="23652"/>
    <cellStyle name="표준 4 4 2 3 8" xfId="23653"/>
    <cellStyle name="표준 4 4 2 4" xfId="23654"/>
    <cellStyle name="표준 4 4 2 4 2" xfId="23655"/>
    <cellStyle name="표준 4 4 2 4 2 2" xfId="23656"/>
    <cellStyle name="표준 4 4 2 4 2 2 2" xfId="23657"/>
    <cellStyle name="표준 4 4 2 4 2 2 2 2" xfId="23658"/>
    <cellStyle name="표준 4 4 2 4 2 2 2 2 2" xfId="23659"/>
    <cellStyle name="표준 4 4 2 4 2 2 2 3" xfId="23660"/>
    <cellStyle name="표준 4 4 2 4 2 2 3" xfId="23661"/>
    <cellStyle name="표준 4 4 2 4 2 2 3 2" xfId="23662"/>
    <cellStyle name="표준 4 4 2 4 2 2 4" xfId="23663"/>
    <cellStyle name="표준 4 4 2 4 2 3" xfId="23664"/>
    <cellStyle name="표준 4 4 2 4 2 3 2" xfId="23665"/>
    <cellStyle name="표준 4 4 2 4 2 3 2 2" xfId="23666"/>
    <cellStyle name="표준 4 4 2 4 2 3 3" xfId="23667"/>
    <cellStyle name="표준 4 4 2 4 2 4" xfId="23668"/>
    <cellStyle name="표준 4 4 2 4 2 4 2" xfId="23669"/>
    <cellStyle name="표준 4 4 2 4 2 5" xfId="23670"/>
    <cellStyle name="표준 4 4 2 4 3" xfId="23671"/>
    <cellStyle name="표준 4 4 2 4 3 2" xfId="23672"/>
    <cellStyle name="표준 4 4 2 4 3 2 2" xfId="23673"/>
    <cellStyle name="표준 4 4 2 4 3 2 2 2" xfId="23674"/>
    <cellStyle name="표준 4 4 2 4 3 2 3" xfId="23675"/>
    <cellStyle name="표준 4 4 2 4 3 3" xfId="23676"/>
    <cellStyle name="표준 4 4 2 4 3 3 2" xfId="23677"/>
    <cellStyle name="표준 4 4 2 4 3 4" xfId="23678"/>
    <cellStyle name="표준 4 4 2 4 4" xfId="23679"/>
    <cellStyle name="표준 4 4 2 4 4 2" xfId="23680"/>
    <cellStyle name="표준 4 4 2 4 4 2 2" xfId="23681"/>
    <cellStyle name="표준 4 4 2 4 4 3" xfId="23682"/>
    <cellStyle name="표준 4 4 2 4 5" xfId="23683"/>
    <cellStyle name="표준 4 4 2 4 5 2" xfId="23684"/>
    <cellStyle name="표준 4 4 2 4 6" xfId="23685"/>
    <cellStyle name="표준 4 4 2 5" xfId="23686"/>
    <cellStyle name="표준 4 4 2 5 2" xfId="23687"/>
    <cellStyle name="표준 4 4 2 5 2 2" xfId="23688"/>
    <cellStyle name="표준 4 4 2 5 2 2 2" xfId="23689"/>
    <cellStyle name="표준 4 4 2 5 2 2 2 2" xfId="23690"/>
    <cellStyle name="표준 4 4 2 5 2 2 3" xfId="23691"/>
    <cellStyle name="표준 4 4 2 5 2 3" xfId="23692"/>
    <cellStyle name="표준 4 4 2 5 2 3 2" xfId="23693"/>
    <cellStyle name="표준 4 4 2 5 2 4" xfId="23694"/>
    <cellStyle name="표준 4 4 2 5 3" xfId="23695"/>
    <cellStyle name="표준 4 4 2 5 3 2" xfId="23696"/>
    <cellStyle name="표준 4 4 2 5 3 2 2" xfId="23697"/>
    <cellStyle name="표준 4 4 2 5 3 3" xfId="23698"/>
    <cellStyle name="표준 4 4 2 5 4" xfId="23699"/>
    <cellStyle name="표준 4 4 2 5 4 2" xfId="23700"/>
    <cellStyle name="표준 4 4 2 5 5" xfId="23701"/>
    <cellStyle name="표준 4 4 2 6" xfId="23702"/>
    <cellStyle name="표준 4 4 2 6 2" xfId="23703"/>
    <cellStyle name="표준 4 4 2 6 2 2" xfId="23704"/>
    <cellStyle name="표준 4 4 2 6 2 2 2" xfId="23705"/>
    <cellStyle name="표준 4 4 2 6 2 3" xfId="23706"/>
    <cellStyle name="표준 4 4 2 6 3" xfId="23707"/>
    <cellStyle name="표준 4 4 2 6 3 2" xfId="23708"/>
    <cellStyle name="표준 4 4 2 6 4" xfId="23709"/>
    <cellStyle name="표준 4 4 2 7" xfId="23710"/>
    <cellStyle name="표준 4 4 2 7 2" xfId="23711"/>
    <cellStyle name="표준 4 4 2 7 2 2" xfId="23712"/>
    <cellStyle name="표준 4 4 2 7 3" xfId="23713"/>
    <cellStyle name="표준 4 4 2 8" xfId="23714"/>
    <cellStyle name="표준 4 4 2 8 2" xfId="23715"/>
    <cellStyle name="표준 4 4 2 9" xfId="23716"/>
    <cellStyle name="표준 4 4 3" xfId="23717"/>
    <cellStyle name="표준 4 4 3 2" xfId="23718"/>
    <cellStyle name="표준 4 4 3 2 2" xfId="23719"/>
    <cellStyle name="표준 4 4 3 2 2 2" xfId="23720"/>
    <cellStyle name="표준 4 4 3 2 2 2 2" xfId="23721"/>
    <cellStyle name="표준 4 4 3 2 2 2 2 2" xfId="23722"/>
    <cellStyle name="표준 4 4 3 2 2 2 2 2 2" xfId="23723"/>
    <cellStyle name="표준 4 4 3 2 2 2 2 2 2 2" xfId="23724"/>
    <cellStyle name="표준 4 4 3 2 2 2 2 2 3" xfId="23725"/>
    <cellStyle name="표준 4 4 3 2 2 2 2 3" xfId="23726"/>
    <cellStyle name="표준 4 4 3 2 2 2 2 3 2" xfId="23727"/>
    <cellStyle name="표준 4 4 3 2 2 2 2 4" xfId="23728"/>
    <cellStyle name="표준 4 4 3 2 2 2 3" xfId="23729"/>
    <cellStyle name="표준 4 4 3 2 2 2 3 2" xfId="23730"/>
    <cellStyle name="표준 4 4 3 2 2 2 3 2 2" xfId="23731"/>
    <cellStyle name="표준 4 4 3 2 2 2 3 3" xfId="23732"/>
    <cellStyle name="표준 4 4 3 2 2 2 4" xfId="23733"/>
    <cellStyle name="표준 4 4 3 2 2 2 4 2" xfId="23734"/>
    <cellStyle name="표준 4 4 3 2 2 2 5" xfId="23735"/>
    <cellStyle name="표준 4 4 3 2 2 3" xfId="23736"/>
    <cellStyle name="표준 4 4 3 2 2 3 2" xfId="23737"/>
    <cellStyle name="표준 4 4 3 2 2 3 2 2" xfId="23738"/>
    <cellStyle name="표준 4 4 3 2 2 3 2 2 2" xfId="23739"/>
    <cellStyle name="표준 4 4 3 2 2 3 2 3" xfId="23740"/>
    <cellStyle name="표준 4 4 3 2 2 3 3" xfId="23741"/>
    <cellStyle name="표준 4 4 3 2 2 3 3 2" xfId="23742"/>
    <cellStyle name="표준 4 4 3 2 2 3 4" xfId="23743"/>
    <cellStyle name="표준 4 4 3 2 2 4" xfId="23744"/>
    <cellStyle name="표준 4 4 3 2 2 4 2" xfId="23745"/>
    <cellStyle name="표준 4 4 3 2 2 4 2 2" xfId="23746"/>
    <cellStyle name="표준 4 4 3 2 2 4 3" xfId="23747"/>
    <cellStyle name="표준 4 4 3 2 2 5" xfId="23748"/>
    <cellStyle name="표준 4 4 3 2 2 5 2" xfId="23749"/>
    <cellStyle name="표준 4 4 3 2 2 6" xfId="23750"/>
    <cellStyle name="표준 4 4 3 2 3" xfId="23751"/>
    <cellStyle name="표준 4 4 3 2 3 2" xfId="23752"/>
    <cellStyle name="표준 4 4 3 2 3 2 2" xfId="23753"/>
    <cellStyle name="표준 4 4 3 2 3 2 2 2" xfId="23754"/>
    <cellStyle name="표준 4 4 3 2 3 2 2 2 2" xfId="23755"/>
    <cellStyle name="표준 4 4 3 2 3 2 2 3" xfId="23756"/>
    <cellStyle name="표준 4 4 3 2 3 2 3" xfId="23757"/>
    <cellStyle name="표준 4 4 3 2 3 2 3 2" xfId="23758"/>
    <cellStyle name="표준 4 4 3 2 3 2 4" xfId="23759"/>
    <cellStyle name="표준 4 4 3 2 3 3" xfId="23760"/>
    <cellStyle name="표준 4 4 3 2 3 3 2" xfId="23761"/>
    <cellStyle name="표준 4 4 3 2 3 3 2 2" xfId="23762"/>
    <cellStyle name="표준 4 4 3 2 3 3 3" xfId="23763"/>
    <cellStyle name="표준 4 4 3 2 3 4" xfId="23764"/>
    <cellStyle name="표준 4 4 3 2 3 4 2" xfId="23765"/>
    <cellStyle name="표준 4 4 3 2 3 5" xfId="23766"/>
    <cellStyle name="표준 4 4 3 2 4" xfId="23767"/>
    <cellStyle name="표준 4 4 3 2 4 2" xfId="23768"/>
    <cellStyle name="표준 4 4 3 2 4 2 2" xfId="23769"/>
    <cellStyle name="표준 4 4 3 2 4 2 2 2" xfId="23770"/>
    <cellStyle name="표준 4 4 3 2 4 2 3" xfId="23771"/>
    <cellStyle name="표준 4 4 3 2 4 3" xfId="23772"/>
    <cellStyle name="표준 4 4 3 2 4 3 2" xfId="23773"/>
    <cellStyle name="표준 4 4 3 2 4 4" xfId="23774"/>
    <cellStyle name="표준 4 4 3 2 5" xfId="23775"/>
    <cellStyle name="표준 4 4 3 2 5 2" xfId="23776"/>
    <cellStyle name="표준 4 4 3 2 5 2 2" xfId="23777"/>
    <cellStyle name="표준 4 4 3 2 5 3" xfId="23778"/>
    <cellStyle name="표준 4 4 3 2 6" xfId="23779"/>
    <cellStyle name="표준 4 4 3 2 6 2" xfId="23780"/>
    <cellStyle name="표준 4 4 3 2 7" xfId="23781"/>
    <cellStyle name="표준 4 4 3 2 8" xfId="23782"/>
    <cellStyle name="표준 4 4 3 3" xfId="23783"/>
    <cellStyle name="표준 4 4 3 3 2" xfId="23784"/>
    <cellStyle name="표준 4 4 3 3 2 2" xfId="23785"/>
    <cellStyle name="표준 4 4 3 3 2 2 2" xfId="23786"/>
    <cellStyle name="표준 4 4 3 3 2 2 2 2" xfId="23787"/>
    <cellStyle name="표준 4 4 3 3 2 2 2 2 2" xfId="23788"/>
    <cellStyle name="표준 4 4 3 3 2 2 2 3" xfId="23789"/>
    <cellStyle name="표준 4 4 3 3 2 2 3" xfId="23790"/>
    <cellStyle name="표준 4 4 3 3 2 2 3 2" xfId="23791"/>
    <cellStyle name="표준 4 4 3 3 2 2 4" xfId="23792"/>
    <cellStyle name="표준 4 4 3 3 2 3" xfId="23793"/>
    <cellStyle name="표준 4 4 3 3 2 3 2" xfId="23794"/>
    <cellStyle name="표준 4 4 3 3 2 3 2 2" xfId="23795"/>
    <cellStyle name="표준 4 4 3 3 2 3 3" xfId="23796"/>
    <cellStyle name="표준 4 4 3 3 2 4" xfId="23797"/>
    <cellStyle name="표준 4 4 3 3 2 4 2" xfId="23798"/>
    <cellStyle name="표준 4 4 3 3 2 5" xfId="23799"/>
    <cellStyle name="표준 4 4 3 3 3" xfId="23800"/>
    <cellStyle name="표준 4 4 3 3 3 2" xfId="23801"/>
    <cellStyle name="표준 4 4 3 3 3 2 2" xfId="23802"/>
    <cellStyle name="표준 4 4 3 3 3 2 2 2" xfId="23803"/>
    <cellStyle name="표준 4 4 3 3 3 2 3" xfId="23804"/>
    <cellStyle name="표준 4 4 3 3 3 3" xfId="23805"/>
    <cellStyle name="표준 4 4 3 3 3 3 2" xfId="23806"/>
    <cellStyle name="표준 4 4 3 3 3 4" xfId="23807"/>
    <cellStyle name="표준 4 4 3 3 4" xfId="23808"/>
    <cellStyle name="표준 4 4 3 3 4 2" xfId="23809"/>
    <cellStyle name="표준 4 4 3 3 4 2 2" xfId="23810"/>
    <cellStyle name="표준 4 4 3 3 4 3" xfId="23811"/>
    <cellStyle name="표준 4 4 3 3 5" xfId="23812"/>
    <cellStyle name="표준 4 4 3 3 5 2" xfId="23813"/>
    <cellStyle name="표준 4 4 3 3 6" xfId="23814"/>
    <cellStyle name="표준 4 4 3 4" xfId="23815"/>
    <cellStyle name="표준 4 4 3 4 2" xfId="23816"/>
    <cellStyle name="표준 4 4 3 4 2 2" xfId="23817"/>
    <cellStyle name="표준 4 4 3 4 2 2 2" xfId="23818"/>
    <cellStyle name="표준 4 4 3 4 2 2 2 2" xfId="23819"/>
    <cellStyle name="표준 4 4 3 4 2 2 3" xfId="23820"/>
    <cellStyle name="표준 4 4 3 4 2 3" xfId="23821"/>
    <cellStyle name="표준 4 4 3 4 2 3 2" xfId="23822"/>
    <cellStyle name="표준 4 4 3 4 2 4" xfId="23823"/>
    <cellStyle name="표준 4 4 3 4 3" xfId="23824"/>
    <cellStyle name="표준 4 4 3 4 3 2" xfId="23825"/>
    <cellStyle name="표준 4 4 3 4 3 2 2" xfId="23826"/>
    <cellStyle name="표준 4 4 3 4 3 3" xfId="23827"/>
    <cellStyle name="표준 4 4 3 4 4" xfId="23828"/>
    <cellStyle name="표준 4 4 3 4 4 2" xfId="23829"/>
    <cellStyle name="표준 4 4 3 4 5" xfId="23830"/>
    <cellStyle name="표준 4 4 3 5" xfId="23831"/>
    <cellStyle name="표준 4 4 3 5 2" xfId="23832"/>
    <cellStyle name="표준 4 4 3 5 2 2" xfId="23833"/>
    <cellStyle name="표준 4 4 3 5 2 2 2" xfId="23834"/>
    <cellStyle name="표준 4 4 3 5 2 3" xfId="23835"/>
    <cellStyle name="표준 4 4 3 5 3" xfId="23836"/>
    <cellStyle name="표준 4 4 3 5 3 2" xfId="23837"/>
    <cellStyle name="표준 4 4 3 5 4" xfId="23838"/>
    <cellStyle name="표준 4 4 3 6" xfId="23839"/>
    <cellStyle name="표준 4 4 3 6 2" xfId="23840"/>
    <cellStyle name="표준 4 4 3 6 2 2" xfId="23841"/>
    <cellStyle name="표준 4 4 3 6 3" xfId="23842"/>
    <cellStyle name="표준 4 4 3 7" xfId="23843"/>
    <cellStyle name="표준 4 4 3 7 2" xfId="23844"/>
    <cellStyle name="표준 4 4 3 8" xfId="23845"/>
    <cellStyle name="표준 4 4 3 9" xfId="23846"/>
    <cellStyle name="표준 4 4 4" xfId="23847"/>
    <cellStyle name="표준 4 4 4 2" xfId="23848"/>
    <cellStyle name="표준 4 4 4 2 2" xfId="23849"/>
    <cellStyle name="표준 4 4 4 2 2 2" xfId="23850"/>
    <cellStyle name="표준 4 4 4 2 2 2 2" xfId="23851"/>
    <cellStyle name="표준 4 4 4 2 2 2 2 2" xfId="23852"/>
    <cellStyle name="표준 4 4 4 2 2 2 2 2 2" xfId="23853"/>
    <cellStyle name="표준 4 4 4 2 2 2 2 3" xfId="23854"/>
    <cellStyle name="표준 4 4 4 2 2 2 3" xfId="23855"/>
    <cellStyle name="표준 4 4 4 2 2 2 3 2" xfId="23856"/>
    <cellStyle name="표준 4 4 4 2 2 2 4" xfId="23857"/>
    <cellStyle name="표준 4 4 4 2 2 3" xfId="23858"/>
    <cellStyle name="표준 4 4 4 2 2 3 2" xfId="23859"/>
    <cellStyle name="표준 4 4 4 2 2 3 2 2" xfId="23860"/>
    <cellStyle name="표준 4 4 4 2 2 3 3" xfId="23861"/>
    <cellStyle name="표준 4 4 4 2 2 4" xfId="23862"/>
    <cellStyle name="표준 4 4 4 2 2 4 2" xfId="23863"/>
    <cellStyle name="표준 4 4 4 2 2 5" xfId="23864"/>
    <cellStyle name="표준 4 4 4 2 3" xfId="23865"/>
    <cellStyle name="표준 4 4 4 2 3 2" xfId="23866"/>
    <cellStyle name="표준 4 4 4 2 3 2 2" xfId="23867"/>
    <cellStyle name="표준 4 4 4 2 3 2 2 2" xfId="23868"/>
    <cellStyle name="표준 4 4 4 2 3 2 3" xfId="23869"/>
    <cellStyle name="표준 4 4 4 2 3 3" xfId="23870"/>
    <cellStyle name="표준 4 4 4 2 3 3 2" xfId="23871"/>
    <cellStyle name="표준 4 4 4 2 3 4" xfId="23872"/>
    <cellStyle name="표준 4 4 4 2 4" xfId="23873"/>
    <cellStyle name="표준 4 4 4 2 4 2" xfId="23874"/>
    <cellStyle name="표준 4 4 4 2 4 2 2" xfId="23875"/>
    <cellStyle name="표준 4 4 4 2 4 3" xfId="23876"/>
    <cellStyle name="표준 4 4 4 2 5" xfId="23877"/>
    <cellStyle name="표준 4 4 4 2 5 2" xfId="23878"/>
    <cellStyle name="표준 4 4 4 2 6" xfId="23879"/>
    <cellStyle name="표준 4 4 4 3" xfId="23880"/>
    <cellStyle name="표준 4 4 4 3 2" xfId="23881"/>
    <cellStyle name="표준 4 4 4 3 2 2" xfId="23882"/>
    <cellStyle name="표준 4 4 4 3 2 2 2" xfId="23883"/>
    <cellStyle name="표준 4 4 4 3 2 2 2 2" xfId="23884"/>
    <cellStyle name="표준 4 4 4 3 2 2 3" xfId="23885"/>
    <cellStyle name="표준 4 4 4 3 2 3" xfId="23886"/>
    <cellStyle name="표준 4 4 4 3 2 3 2" xfId="23887"/>
    <cellStyle name="표준 4 4 4 3 2 4" xfId="23888"/>
    <cellStyle name="표준 4 4 4 3 3" xfId="23889"/>
    <cellStyle name="표준 4 4 4 3 3 2" xfId="23890"/>
    <cellStyle name="표준 4 4 4 3 3 2 2" xfId="23891"/>
    <cellStyle name="표준 4 4 4 3 3 3" xfId="23892"/>
    <cellStyle name="표준 4 4 4 3 4" xfId="23893"/>
    <cellStyle name="표준 4 4 4 3 4 2" xfId="23894"/>
    <cellStyle name="표준 4 4 4 3 5" xfId="23895"/>
    <cellStyle name="표준 4 4 4 4" xfId="23896"/>
    <cellStyle name="표준 4 4 4 4 2" xfId="23897"/>
    <cellStyle name="표준 4 4 4 4 2 2" xfId="23898"/>
    <cellStyle name="표준 4 4 4 4 2 2 2" xfId="23899"/>
    <cellStyle name="표준 4 4 4 4 2 3" xfId="23900"/>
    <cellStyle name="표준 4 4 4 4 3" xfId="23901"/>
    <cellStyle name="표준 4 4 4 4 3 2" xfId="23902"/>
    <cellStyle name="표준 4 4 4 4 4" xfId="23903"/>
    <cellStyle name="표준 4 4 4 5" xfId="23904"/>
    <cellStyle name="표준 4 4 4 5 2" xfId="23905"/>
    <cellStyle name="표준 4 4 4 5 2 2" xfId="23906"/>
    <cellStyle name="표준 4 4 4 5 3" xfId="23907"/>
    <cellStyle name="표준 4 4 4 6" xfId="23908"/>
    <cellStyle name="표준 4 4 4 6 2" xfId="23909"/>
    <cellStyle name="표준 4 4 4 7" xfId="23910"/>
    <cellStyle name="표준 4 4 4 8" xfId="23911"/>
    <cellStyle name="표준 4 4 5" xfId="23912"/>
    <cellStyle name="표준 4 4 5 2" xfId="23913"/>
    <cellStyle name="표준 4 4 5 2 2" xfId="23914"/>
    <cellStyle name="표준 4 4 5 2 2 2" xfId="23915"/>
    <cellStyle name="표준 4 4 5 2 2 2 2" xfId="23916"/>
    <cellStyle name="표준 4 4 5 2 2 2 2 2" xfId="23917"/>
    <cellStyle name="표준 4 4 5 2 2 2 3" xfId="23918"/>
    <cellStyle name="표준 4 4 5 2 2 3" xfId="23919"/>
    <cellStyle name="표준 4 4 5 2 2 3 2" xfId="23920"/>
    <cellStyle name="표준 4 4 5 2 2 4" xfId="23921"/>
    <cellStyle name="표준 4 4 5 2 3" xfId="23922"/>
    <cellStyle name="표준 4 4 5 2 3 2" xfId="23923"/>
    <cellStyle name="표준 4 4 5 2 3 2 2" xfId="23924"/>
    <cellStyle name="표준 4 4 5 2 3 3" xfId="23925"/>
    <cellStyle name="표준 4 4 5 2 4" xfId="23926"/>
    <cellStyle name="표준 4 4 5 2 4 2" xfId="23927"/>
    <cellStyle name="표준 4 4 5 2 5" xfId="23928"/>
    <cellStyle name="표준 4 4 5 3" xfId="23929"/>
    <cellStyle name="표준 4 4 5 3 2" xfId="23930"/>
    <cellStyle name="표준 4 4 5 3 2 2" xfId="23931"/>
    <cellStyle name="표준 4 4 5 3 2 2 2" xfId="23932"/>
    <cellStyle name="표준 4 4 5 3 2 3" xfId="23933"/>
    <cellStyle name="표준 4 4 5 3 3" xfId="23934"/>
    <cellStyle name="표준 4 4 5 3 3 2" xfId="23935"/>
    <cellStyle name="표준 4 4 5 3 4" xfId="23936"/>
    <cellStyle name="표준 4 4 5 4" xfId="23937"/>
    <cellStyle name="표준 4 4 5 4 2" xfId="23938"/>
    <cellStyle name="표준 4 4 5 4 2 2" xfId="23939"/>
    <cellStyle name="표준 4 4 5 4 3" xfId="23940"/>
    <cellStyle name="표준 4 4 5 5" xfId="23941"/>
    <cellStyle name="표준 4 4 5 5 2" xfId="23942"/>
    <cellStyle name="표준 4 4 5 6" xfId="23943"/>
    <cellStyle name="표준 4 4 6" xfId="23944"/>
    <cellStyle name="표준 4 4 6 2" xfId="23945"/>
    <cellStyle name="표준 4 4 6 2 2" xfId="23946"/>
    <cellStyle name="표준 4 4 6 2 2 2" xfId="23947"/>
    <cellStyle name="표준 4 4 6 2 2 2 2" xfId="23948"/>
    <cellStyle name="표준 4 4 6 2 2 3" xfId="23949"/>
    <cellStyle name="표준 4 4 6 2 3" xfId="23950"/>
    <cellStyle name="표준 4 4 6 2 3 2" xfId="23951"/>
    <cellStyle name="표준 4 4 6 2 4" xfId="23952"/>
    <cellStyle name="표준 4 4 6 3" xfId="23953"/>
    <cellStyle name="표준 4 4 6 3 2" xfId="23954"/>
    <cellStyle name="표준 4 4 6 3 2 2" xfId="23955"/>
    <cellStyle name="표준 4 4 6 3 3" xfId="23956"/>
    <cellStyle name="표준 4 4 6 4" xfId="23957"/>
    <cellStyle name="표준 4 4 6 4 2" xfId="23958"/>
    <cellStyle name="표준 4 4 6 5" xfId="23959"/>
    <cellStyle name="표준 4 4 7" xfId="23960"/>
    <cellStyle name="표준 4 4 7 2" xfId="23961"/>
    <cellStyle name="표준 4 4 7 2 2" xfId="23962"/>
    <cellStyle name="표준 4 4 7 2 2 2" xfId="23963"/>
    <cellStyle name="표준 4 4 7 2 3" xfId="23964"/>
    <cellStyle name="표준 4 4 7 3" xfId="23965"/>
    <cellStyle name="표준 4 4 7 3 2" xfId="23966"/>
    <cellStyle name="표준 4 4 7 4" xfId="23967"/>
    <cellStyle name="표준 4 4 8" xfId="23968"/>
    <cellStyle name="표준 4 4 8 2" xfId="23969"/>
    <cellStyle name="표준 4 4 8 2 2" xfId="23970"/>
    <cellStyle name="표준 4 4 8 3" xfId="23971"/>
    <cellStyle name="표준 4 4 9" xfId="23972"/>
    <cellStyle name="표준 4 4 9 2" xfId="23973"/>
    <cellStyle name="표준 4 5" xfId="23974"/>
    <cellStyle name="표준 4 5 10" xfId="23975"/>
    <cellStyle name="표준 4 5 2" xfId="23976"/>
    <cellStyle name="표준 4 5 2 2" xfId="23977"/>
    <cellStyle name="표준 4 5 2 2 2" xfId="23978"/>
    <cellStyle name="표준 4 5 2 2 2 2" xfId="23979"/>
    <cellStyle name="표준 4 5 2 2 2 2 2" xfId="23980"/>
    <cellStyle name="표준 4 5 2 2 2 2 2 2" xfId="23981"/>
    <cellStyle name="표준 4 5 2 2 2 2 2 2 2" xfId="23982"/>
    <cellStyle name="표준 4 5 2 2 2 2 2 2 2 2" xfId="23983"/>
    <cellStyle name="표준 4 5 2 2 2 2 2 2 3" xfId="23984"/>
    <cellStyle name="표준 4 5 2 2 2 2 2 3" xfId="23985"/>
    <cellStyle name="표준 4 5 2 2 2 2 2 3 2" xfId="23986"/>
    <cellStyle name="표준 4 5 2 2 2 2 2 4" xfId="23987"/>
    <cellStyle name="표준 4 5 2 2 2 2 3" xfId="23988"/>
    <cellStyle name="표준 4 5 2 2 2 2 3 2" xfId="23989"/>
    <cellStyle name="표준 4 5 2 2 2 2 3 2 2" xfId="23990"/>
    <cellStyle name="표준 4 5 2 2 2 2 3 3" xfId="23991"/>
    <cellStyle name="표준 4 5 2 2 2 2 4" xfId="23992"/>
    <cellStyle name="표준 4 5 2 2 2 2 4 2" xfId="23993"/>
    <cellStyle name="표준 4 5 2 2 2 2 5" xfId="23994"/>
    <cellStyle name="표준 4 5 2 2 2 3" xfId="23995"/>
    <cellStyle name="표준 4 5 2 2 2 3 2" xfId="23996"/>
    <cellStyle name="표준 4 5 2 2 2 3 2 2" xfId="23997"/>
    <cellStyle name="표준 4 5 2 2 2 3 2 2 2" xfId="23998"/>
    <cellStyle name="표준 4 5 2 2 2 3 2 3" xfId="23999"/>
    <cellStyle name="표준 4 5 2 2 2 3 3" xfId="24000"/>
    <cellStyle name="표준 4 5 2 2 2 3 3 2" xfId="24001"/>
    <cellStyle name="표준 4 5 2 2 2 3 4" xfId="24002"/>
    <cellStyle name="표준 4 5 2 2 2 4" xfId="24003"/>
    <cellStyle name="표준 4 5 2 2 2 4 2" xfId="24004"/>
    <cellStyle name="표준 4 5 2 2 2 4 2 2" xfId="24005"/>
    <cellStyle name="표준 4 5 2 2 2 4 3" xfId="24006"/>
    <cellStyle name="표준 4 5 2 2 2 5" xfId="24007"/>
    <cellStyle name="표준 4 5 2 2 2 5 2" xfId="24008"/>
    <cellStyle name="표준 4 5 2 2 2 6" xfId="24009"/>
    <cellStyle name="표준 4 5 2 2 3" xfId="24010"/>
    <cellStyle name="표준 4 5 2 2 3 2" xfId="24011"/>
    <cellStyle name="표준 4 5 2 2 3 2 2" xfId="24012"/>
    <cellStyle name="표준 4 5 2 2 3 2 2 2" xfId="24013"/>
    <cellStyle name="표준 4 5 2 2 3 2 2 2 2" xfId="24014"/>
    <cellStyle name="표준 4 5 2 2 3 2 2 3" xfId="24015"/>
    <cellStyle name="표준 4 5 2 2 3 2 3" xfId="24016"/>
    <cellStyle name="표준 4 5 2 2 3 2 3 2" xfId="24017"/>
    <cellStyle name="표준 4 5 2 2 3 2 4" xfId="24018"/>
    <cellStyle name="표준 4 5 2 2 3 3" xfId="24019"/>
    <cellStyle name="표준 4 5 2 2 3 3 2" xfId="24020"/>
    <cellStyle name="표준 4 5 2 2 3 3 2 2" xfId="24021"/>
    <cellStyle name="표준 4 5 2 2 3 3 3" xfId="24022"/>
    <cellStyle name="표준 4 5 2 2 3 4" xfId="24023"/>
    <cellStyle name="표준 4 5 2 2 3 4 2" xfId="24024"/>
    <cellStyle name="표준 4 5 2 2 3 5" xfId="24025"/>
    <cellStyle name="표준 4 5 2 2 4" xfId="24026"/>
    <cellStyle name="표준 4 5 2 2 4 2" xfId="24027"/>
    <cellStyle name="표준 4 5 2 2 4 2 2" xfId="24028"/>
    <cellStyle name="표준 4 5 2 2 4 2 2 2" xfId="24029"/>
    <cellStyle name="표준 4 5 2 2 4 2 3" xfId="24030"/>
    <cellStyle name="표준 4 5 2 2 4 3" xfId="24031"/>
    <cellStyle name="표준 4 5 2 2 4 3 2" xfId="24032"/>
    <cellStyle name="표준 4 5 2 2 4 4" xfId="24033"/>
    <cellStyle name="표준 4 5 2 2 5" xfId="24034"/>
    <cellStyle name="표준 4 5 2 2 5 2" xfId="24035"/>
    <cellStyle name="표준 4 5 2 2 5 2 2" xfId="24036"/>
    <cellStyle name="표준 4 5 2 2 5 3" xfId="24037"/>
    <cellStyle name="표준 4 5 2 2 6" xfId="24038"/>
    <cellStyle name="표준 4 5 2 2 6 2" xfId="24039"/>
    <cellStyle name="표준 4 5 2 2 7" xfId="24040"/>
    <cellStyle name="표준 4 5 2 2 8" xfId="24041"/>
    <cellStyle name="표준 4 5 2 3" xfId="24042"/>
    <cellStyle name="표준 4 5 2 3 2" xfId="24043"/>
    <cellStyle name="표준 4 5 2 3 2 2" xfId="24044"/>
    <cellStyle name="표준 4 5 2 3 2 2 2" xfId="24045"/>
    <cellStyle name="표준 4 5 2 3 2 2 2 2" xfId="24046"/>
    <cellStyle name="표준 4 5 2 3 2 2 2 2 2" xfId="24047"/>
    <cellStyle name="표준 4 5 2 3 2 2 2 3" xfId="24048"/>
    <cellStyle name="표준 4 5 2 3 2 2 3" xfId="24049"/>
    <cellStyle name="표준 4 5 2 3 2 2 3 2" xfId="24050"/>
    <cellStyle name="표준 4 5 2 3 2 2 4" xfId="24051"/>
    <cellStyle name="표준 4 5 2 3 2 3" xfId="24052"/>
    <cellStyle name="표준 4 5 2 3 2 3 2" xfId="24053"/>
    <cellStyle name="표준 4 5 2 3 2 3 2 2" xfId="24054"/>
    <cellStyle name="표준 4 5 2 3 2 3 3" xfId="24055"/>
    <cellStyle name="표준 4 5 2 3 2 4" xfId="24056"/>
    <cellStyle name="표준 4 5 2 3 2 4 2" xfId="24057"/>
    <cellStyle name="표준 4 5 2 3 2 5" xfId="24058"/>
    <cellStyle name="표준 4 5 2 3 3" xfId="24059"/>
    <cellStyle name="표준 4 5 2 3 3 2" xfId="24060"/>
    <cellStyle name="표준 4 5 2 3 3 2 2" xfId="24061"/>
    <cellStyle name="표준 4 5 2 3 3 2 2 2" xfId="24062"/>
    <cellStyle name="표준 4 5 2 3 3 2 3" xfId="24063"/>
    <cellStyle name="표준 4 5 2 3 3 3" xfId="24064"/>
    <cellStyle name="표준 4 5 2 3 3 3 2" xfId="24065"/>
    <cellStyle name="표준 4 5 2 3 3 4" xfId="24066"/>
    <cellStyle name="표준 4 5 2 3 4" xfId="24067"/>
    <cellStyle name="표준 4 5 2 3 4 2" xfId="24068"/>
    <cellStyle name="표준 4 5 2 3 4 2 2" xfId="24069"/>
    <cellStyle name="표준 4 5 2 3 4 3" xfId="24070"/>
    <cellStyle name="표준 4 5 2 3 5" xfId="24071"/>
    <cellStyle name="표준 4 5 2 3 5 2" xfId="24072"/>
    <cellStyle name="표준 4 5 2 3 6" xfId="24073"/>
    <cellStyle name="표준 4 5 2 4" xfId="24074"/>
    <cellStyle name="표준 4 5 2 4 2" xfId="24075"/>
    <cellStyle name="표준 4 5 2 4 2 2" xfId="24076"/>
    <cellStyle name="표준 4 5 2 4 2 2 2" xfId="24077"/>
    <cellStyle name="표준 4 5 2 4 2 2 2 2" xfId="24078"/>
    <cellStyle name="표준 4 5 2 4 2 2 3" xfId="24079"/>
    <cellStyle name="표준 4 5 2 4 2 3" xfId="24080"/>
    <cellStyle name="표준 4 5 2 4 2 3 2" xfId="24081"/>
    <cellStyle name="표준 4 5 2 4 2 4" xfId="24082"/>
    <cellStyle name="표준 4 5 2 4 3" xfId="24083"/>
    <cellStyle name="표준 4 5 2 4 3 2" xfId="24084"/>
    <cellStyle name="표준 4 5 2 4 3 2 2" xfId="24085"/>
    <cellStyle name="표준 4 5 2 4 3 3" xfId="24086"/>
    <cellStyle name="표준 4 5 2 4 4" xfId="24087"/>
    <cellStyle name="표준 4 5 2 4 4 2" xfId="24088"/>
    <cellStyle name="표준 4 5 2 4 5" xfId="24089"/>
    <cellStyle name="표준 4 5 2 5" xfId="24090"/>
    <cellStyle name="표준 4 5 2 5 2" xfId="24091"/>
    <cellStyle name="표준 4 5 2 5 2 2" xfId="24092"/>
    <cellStyle name="표준 4 5 2 5 2 2 2" xfId="24093"/>
    <cellStyle name="표준 4 5 2 5 2 3" xfId="24094"/>
    <cellStyle name="표준 4 5 2 5 3" xfId="24095"/>
    <cellStyle name="표준 4 5 2 5 3 2" xfId="24096"/>
    <cellStyle name="표준 4 5 2 5 4" xfId="24097"/>
    <cellStyle name="표준 4 5 2 6" xfId="24098"/>
    <cellStyle name="표준 4 5 2 6 2" xfId="24099"/>
    <cellStyle name="표준 4 5 2 6 2 2" xfId="24100"/>
    <cellStyle name="표준 4 5 2 6 3" xfId="24101"/>
    <cellStyle name="표준 4 5 2 7" xfId="24102"/>
    <cellStyle name="표준 4 5 2 7 2" xfId="24103"/>
    <cellStyle name="표준 4 5 2 8" xfId="24104"/>
    <cellStyle name="표준 4 5 2 9" xfId="24105"/>
    <cellStyle name="표준 4 5 3" xfId="24106"/>
    <cellStyle name="표준 4 5 3 2" xfId="24107"/>
    <cellStyle name="표준 4 5 3 2 2" xfId="24108"/>
    <cellStyle name="표준 4 5 3 2 2 2" xfId="24109"/>
    <cellStyle name="표준 4 5 3 2 2 2 2" xfId="24110"/>
    <cellStyle name="표준 4 5 3 2 2 2 2 2" xfId="24111"/>
    <cellStyle name="표준 4 5 3 2 2 2 2 2 2" xfId="24112"/>
    <cellStyle name="표준 4 5 3 2 2 2 2 3" xfId="24113"/>
    <cellStyle name="표준 4 5 3 2 2 2 3" xfId="24114"/>
    <cellStyle name="표준 4 5 3 2 2 2 3 2" xfId="24115"/>
    <cellStyle name="표준 4 5 3 2 2 2 4" xfId="24116"/>
    <cellStyle name="표준 4 5 3 2 2 3" xfId="24117"/>
    <cellStyle name="표준 4 5 3 2 2 3 2" xfId="24118"/>
    <cellStyle name="표준 4 5 3 2 2 3 2 2" xfId="24119"/>
    <cellStyle name="표준 4 5 3 2 2 3 3" xfId="24120"/>
    <cellStyle name="표준 4 5 3 2 2 4" xfId="24121"/>
    <cellStyle name="표준 4 5 3 2 2 4 2" xfId="24122"/>
    <cellStyle name="표준 4 5 3 2 2 5" xfId="24123"/>
    <cellStyle name="표준 4 5 3 2 3" xfId="24124"/>
    <cellStyle name="표준 4 5 3 2 3 2" xfId="24125"/>
    <cellStyle name="표준 4 5 3 2 3 2 2" xfId="24126"/>
    <cellStyle name="표준 4 5 3 2 3 2 2 2" xfId="24127"/>
    <cellStyle name="표준 4 5 3 2 3 2 3" xfId="24128"/>
    <cellStyle name="표준 4 5 3 2 3 3" xfId="24129"/>
    <cellStyle name="표준 4 5 3 2 3 3 2" xfId="24130"/>
    <cellStyle name="표준 4 5 3 2 3 4" xfId="24131"/>
    <cellStyle name="표준 4 5 3 2 4" xfId="24132"/>
    <cellStyle name="표준 4 5 3 2 4 2" xfId="24133"/>
    <cellStyle name="표준 4 5 3 2 4 2 2" xfId="24134"/>
    <cellStyle name="표준 4 5 3 2 4 3" xfId="24135"/>
    <cellStyle name="표준 4 5 3 2 5" xfId="24136"/>
    <cellStyle name="표준 4 5 3 2 5 2" xfId="24137"/>
    <cellStyle name="표준 4 5 3 2 6" xfId="24138"/>
    <cellStyle name="표준 4 5 3 3" xfId="24139"/>
    <cellStyle name="표준 4 5 3 3 2" xfId="24140"/>
    <cellStyle name="표준 4 5 3 3 2 2" xfId="24141"/>
    <cellStyle name="표준 4 5 3 3 2 2 2" xfId="24142"/>
    <cellStyle name="표준 4 5 3 3 2 2 2 2" xfId="24143"/>
    <cellStyle name="표준 4 5 3 3 2 2 3" xfId="24144"/>
    <cellStyle name="표준 4 5 3 3 2 3" xfId="24145"/>
    <cellStyle name="표준 4 5 3 3 2 3 2" xfId="24146"/>
    <cellStyle name="표준 4 5 3 3 2 4" xfId="24147"/>
    <cellStyle name="표준 4 5 3 3 3" xfId="24148"/>
    <cellStyle name="표준 4 5 3 3 3 2" xfId="24149"/>
    <cellStyle name="표준 4 5 3 3 3 2 2" xfId="24150"/>
    <cellStyle name="표준 4 5 3 3 3 3" xfId="24151"/>
    <cellStyle name="표준 4 5 3 3 4" xfId="24152"/>
    <cellStyle name="표준 4 5 3 3 4 2" xfId="24153"/>
    <cellStyle name="표준 4 5 3 3 5" xfId="24154"/>
    <cellStyle name="표준 4 5 3 4" xfId="24155"/>
    <cellStyle name="표준 4 5 3 4 2" xfId="24156"/>
    <cellStyle name="표준 4 5 3 4 2 2" xfId="24157"/>
    <cellStyle name="표준 4 5 3 4 2 2 2" xfId="24158"/>
    <cellStyle name="표준 4 5 3 4 2 3" xfId="24159"/>
    <cellStyle name="표준 4 5 3 4 3" xfId="24160"/>
    <cellStyle name="표준 4 5 3 4 3 2" xfId="24161"/>
    <cellStyle name="표준 4 5 3 4 4" xfId="24162"/>
    <cellStyle name="표준 4 5 3 5" xfId="24163"/>
    <cellStyle name="표준 4 5 3 5 2" xfId="24164"/>
    <cellStyle name="표준 4 5 3 5 2 2" xfId="24165"/>
    <cellStyle name="표준 4 5 3 5 3" xfId="24166"/>
    <cellStyle name="표준 4 5 3 6" xfId="24167"/>
    <cellStyle name="표준 4 5 3 6 2" xfId="24168"/>
    <cellStyle name="표준 4 5 3 7" xfId="24169"/>
    <cellStyle name="표준 4 5 3 8" xfId="24170"/>
    <cellStyle name="표준 4 5 4" xfId="24171"/>
    <cellStyle name="표준 4 5 4 2" xfId="24172"/>
    <cellStyle name="표준 4 5 4 2 2" xfId="24173"/>
    <cellStyle name="표준 4 5 4 2 2 2" xfId="24174"/>
    <cellStyle name="표준 4 5 4 2 2 2 2" xfId="24175"/>
    <cellStyle name="표준 4 5 4 2 2 2 2 2" xfId="24176"/>
    <cellStyle name="표준 4 5 4 2 2 2 3" xfId="24177"/>
    <cellStyle name="표준 4 5 4 2 2 3" xfId="24178"/>
    <cellStyle name="표준 4 5 4 2 2 3 2" xfId="24179"/>
    <cellStyle name="표준 4 5 4 2 2 4" xfId="24180"/>
    <cellStyle name="표준 4 5 4 2 3" xfId="24181"/>
    <cellStyle name="표준 4 5 4 2 3 2" xfId="24182"/>
    <cellStyle name="표준 4 5 4 2 3 2 2" xfId="24183"/>
    <cellStyle name="표준 4 5 4 2 3 3" xfId="24184"/>
    <cellStyle name="표준 4 5 4 2 4" xfId="24185"/>
    <cellStyle name="표준 4 5 4 2 4 2" xfId="24186"/>
    <cellStyle name="표준 4 5 4 2 5" xfId="24187"/>
    <cellStyle name="표준 4 5 4 3" xfId="24188"/>
    <cellStyle name="표준 4 5 4 3 2" xfId="24189"/>
    <cellStyle name="표준 4 5 4 3 2 2" xfId="24190"/>
    <cellStyle name="표준 4 5 4 3 2 2 2" xfId="24191"/>
    <cellStyle name="표준 4 5 4 3 2 3" xfId="24192"/>
    <cellStyle name="표준 4 5 4 3 3" xfId="24193"/>
    <cellStyle name="표준 4 5 4 3 3 2" xfId="24194"/>
    <cellStyle name="표준 4 5 4 3 4" xfId="24195"/>
    <cellStyle name="표준 4 5 4 4" xfId="24196"/>
    <cellStyle name="표준 4 5 4 4 2" xfId="24197"/>
    <cellStyle name="표준 4 5 4 4 2 2" xfId="24198"/>
    <cellStyle name="표준 4 5 4 4 3" xfId="24199"/>
    <cellStyle name="표준 4 5 4 5" xfId="24200"/>
    <cellStyle name="표준 4 5 4 5 2" xfId="24201"/>
    <cellStyle name="표준 4 5 4 6" xfId="24202"/>
    <cellStyle name="표준 4 5 5" xfId="24203"/>
    <cellStyle name="표준 4 5 5 2" xfId="24204"/>
    <cellStyle name="표준 4 5 5 2 2" xfId="24205"/>
    <cellStyle name="표준 4 5 5 2 2 2" xfId="24206"/>
    <cellStyle name="표준 4 5 5 2 2 2 2" xfId="24207"/>
    <cellStyle name="표준 4 5 5 2 2 3" xfId="24208"/>
    <cellStyle name="표준 4 5 5 2 3" xfId="24209"/>
    <cellStyle name="표준 4 5 5 2 3 2" xfId="24210"/>
    <cellStyle name="표준 4 5 5 2 4" xfId="24211"/>
    <cellStyle name="표준 4 5 5 3" xfId="24212"/>
    <cellStyle name="표준 4 5 5 3 2" xfId="24213"/>
    <cellStyle name="표준 4 5 5 3 2 2" xfId="24214"/>
    <cellStyle name="표준 4 5 5 3 3" xfId="24215"/>
    <cellStyle name="표준 4 5 5 4" xfId="24216"/>
    <cellStyle name="표준 4 5 5 4 2" xfId="24217"/>
    <cellStyle name="표준 4 5 5 5" xfId="24218"/>
    <cellStyle name="표준 4 5 6" xfId="24219"/>
    <cellStyle name="표준 4 5 6 2" xfId="24220"/>
    <cellStyle name="표준 4 5 6 2 2" xfId="24221"/>
    <cellStyle name="표준 4 5 6 2 2 2" xfId="24222"/>
    <cellStyle name="표준 4 5 6 2 3" xfId="24223"/>
    <cellStyle name="표준 4 5 6 3" xfId="24224"/>
    <cellStyle name="표준 4 5 6 3 2" xfId="24225"/>
    <cellStyle name="표준 4 5 6 4" xfId="24226"/>
    <cellStyle name="표준 4 5 7" xfId="24227"/>
    <cellStyle name="표준 4 5 7 2" xfId="24228"/>
    <cellStyle name="표준 4 5 7 2 2" xfId="24229"/>
    <cellStyle name="표준 4 5 7 3" xfId="24230"/>
    <cellStyle name="표준 4 5 8" xfId="24231"/>
    <cellStyle name="표준 4 5 8 2" xfId="24232"/>
    <cellStyle name="표준 4 5 9" xfId="24233"/>
    <cellStyle name="표준 4 6" xfId="24234"/>
    <cellStyle name="표준 4 6 2" xfId="24235"/>
    <cellStyle name="표준 4 6 2 2" xfId="24236"/>
    <cellStyle name="표준 4 6 2 2 2" xfId="24237"/>
    <cellStyle name="표준 4 6 2 2 2 2" xfId="24238"/>
    <cellStyle name="표준 4 6 2 2 2 2 2" xfId="24239"/>
    <cellStyle name="표준 4 6 2 2 2 2 2 2" xfId="24240"/>
    <cellStyle name="표준 4 6 2 2 2 2 2 2 2" xfId="24241"/>
    <cellStyle name="표준 4 6 2 2 2 2 2 3" xfId="24242"/>
    <cellStyle name="표준 4 6 2 2 2 2 3" xfId="24243"/>
    <cellStyle name="표준 4 6 2 2 2 2 3 2" xfId="24244"/>
    <cellStyle name="표준 4 6 2 2 2 2 4" xfId="24245"/>
    <cellStyle name="표준 4 6 2 2 2 3" xfId="24246"/>
    <cellStyle name="표준 4 6 2 2 2 3 2" xfId="24247"/>
    <cellStyle name="표준 4 6 2 2 2 3 2 2" xfId="24248"/>
    <cellStyle name="표준 4 6 2 2 2 3 3" xfId="24249"/>
    <cellStyle name="표준 4 6 2 2 2 4" xfId="24250"/>
    <cellStyle name="표준 4 6 2 2 2 4 2" xfId="24251"/>
    <cellStyle name="표준 4 6 2 2 2 5" xfId="24252"/>
    <cellStyle name="표준 4 6 2 2 3" xfId="24253"/>
    <cellStyle name="표준 4 6 2 2 3 2" xfId="24254"/>
    <cellStyle name="표준 4 6 2 2 3 2 2" xfId="24255"/>
    <cellStyle name="표준 4 6 2 2 3 2 2 2" xfId="24256"/>
    <cellStyle name="표준 4 6 2 2 3 2 3" xfId="24257"/>
    <cellStyle name="표준 4 6 2 2 3 3" xfId="24258"/>
    <cellStyle name="표준 4 6 2 2 3 3 2" xfId="24259"/>
    <cellStyle name="표준 4 6 2 2 3 4" xfId="24260"/>
    <cellStyle name="표준 4 6 2 2 4" xfId="24261"/>
    <cellStyle name="표준 4 6 2 2 4 2" xfId="24262"/>
    <cellStyle name="표준 4 6 2 2 4 2 2" xfId="24263"/>
    <cellStyle name="표준 4 6 2 2 4 3" xfId="24264"/>
    <cellStyle name="표준 4 6 2 2 5" xfId="24265"/>
    <cellStyle name="표준 4 6 2 2 5 2" xfId="24266"/>
    <cellStyle name="표준 4 6 2 2 6" xfId="24267"/>
    <cellStyle name="표준 4 6 2 3" xfId="24268"/>
    <cellStyle name="표준 4 6 2 3 2" xfId="24269"/>
    <cellStyle name="표준 4 6 2 3 2 2" xfId="24270"/>
    <cellStyle name="표준 4 6 2 3 2 2 2" xfId="24271"/>
    <cellStyle name="표준 4 6 2 3 2 2 2 2" xfId="24272"/>
    <cellStyle name="표준 4 6 2 3 2 2 3" xfId="24273"/>
    <cellStyle name="표준 4 6 2 3 2 3" xfId="24274"/>
    <cellStyle name="표준 4 6 2 3 2 3 2" xfId="24275"/>
    <cellStyle name="표준 4 6 2 3 2 4" xfId="24276"/>
    <cellStyle name="표준 4 6 2 3 3" xfId="24277"/>
    <cellStyle name="표준 4 6 2 3 3 2" xfId="24278"/>
    <cellStyle name="표준 4 6 2 3 3 2 2" xfId="24279"/>
    <cellStyle name="표준 4 6 2 3 3 3" xfId="24280"/>
    <cellStyle name="표준 4 6 2 3 4" xfId="24281"/>
    <cellStyle name="표준 4 6 2 3 4 2" xfId="24282"/>
    <cellStyle name="표준 4 6 2 3 5" xfId="24283"/>
    <cellStyle name="표준 4 6 2 4" xfId="24284"/>
    <cellStyle name="표준 4 6 2 4 2" xfId="24285"/>
    <cellStyle name="표준 4 6 2 4 2 2" xfId="24286"/>
    <cellStyle name="표준 4 6 2 4 2 2 2" xfId="24287"/>
    <cellStyle name="표준 4 6 2 4 2 3" xfId="24288"/>
    <cellStyle name="표준 4 6 2 4 3" xfId="24289"/>
    <cellStyle name="표준 4 6 2 4 3 2" xfId="24290"/>
    <cellStyle name="표준 4 6 2 4 4" xfId="24291"/>
    <cellStyle name="표준 4 6 2 5" xfId="24292"/>
    <cellStyle name="표준 4 6 2 5 2" xfId="24293"/>
    <cellStyle name="표준 4 6 2 5 2 2" xfId="24294"/>
    <cellStyle name="표준 4 6 2 5 3" xfId="24295"/>
    <cellStyle name="표준 4 6 2 6" xfId="24296"/>
    <cellStyle name="표준 4 6 2 6 2" xfId="24297"/>
    <cellStyle name="표준 4 6 2 7" xfId="24298"/>
    <cellStyle name="표준 4 6 2 8" xfId="24299"/>
    <cellStyle name="표준 4 6 3" xfId="24300"/>
    <cellStyle name="표준 4 6 3 2" xfId="24301"/>
    <cellStyle name="표준 4 6 3 2 2" xfId="24302"/>
    <cellStyle name="표준 4 6 3 2 2 2" xfId="24303"/>
    <cellStyle name="표준 4 6 3 2 2 2 2" xfId="24304"/>
    <cellStyle name="표준 4 6 3 2 2 2 2 2" xfId="24305"/>
    <cellStyle name="표준 4 6 3 2 2 2 3" xfId="24306"/>
    <cellStyle name="표준 4 6 3 2 2 3" xfId="24307"/>
    <cellStyle name="표준 4 6 3 2 2 3 2" xfId="24308"/>
    <cellStyle name="표준 4 6 3 2 2 4" xfId="24309"/>
    <cellStyle name="표준 4 6 3 2 3" xfId="24310"/>
    <cellStyle name="표준 4 6 3 2 3 2" xfId="24311"/>
    <cellStyle name="표준 4 6 3 2 3 2 2" xfId="24312"/>
    <cellStyle name="표준 4 6 3 2 3 3" xfId="24313"/>
    <cellStyle name="표준 4 6 3 2 4" xfId="24314"/>
    <cellStyle name="표준 4 6 3 2 4 2" xfId="24315"/>
    <cellStyle name="표준 4 6 3 2 5" xfId="24316"/>
    <cellStyle name="표준 4 6 3 3" xfId="24317"/>
    <cellStyle name="표준 4 6 3 3 2" xfId="24318"/>
    <cellStyle name="표준 4 6 3 3 2 2" xfId="24319"/>
    <cellStyle name="표준 4 6 3 3 2 2 2" xfId="24320"/>
    <cellStyle name="표준 4 6 3 3 2 3" xfId="24321"/>
    <cellStyle name="표준 4 6 3 3 3" xfId="24322"/>
    <cellStyle name="표준 4 6 3 3 3 2" xfId="24323"/>
    <cellStyle name="표준 4 6 3 3 4" xfId="24324"/>
    <cellStyle name="표준 4 6 3 4" xfId="24325"/>
    <cellStyle name="표준 4 6 3 4 2" xfId="24326"/>
    <cellStyle name="표준 4 6 3 4 2 2" xfId="24327"/>
    <cellStyle name="표준 4 6 3 4 3" xfId="24328"/>
    <cellStyle name="표준 4 6 3 5" xfId="24329"/>
    <cellStyle name="표준 4 6 3 5 2" xfId="24330"/>
    <cellStyle name="표준 4 6 3 6" xfId="24331"/>
    <cellStyle name="표준 4 6 4" xfId="24332"/>
    <cellStyle name="표준 4 6 4 2" xfId="24333"/>
    <cellStyle name="표준 4 6 4 2 2" xfId="24334"/>
    <cellStyle name="표준 4 6 4 2 2 2" xfId="24335"/>
    <cellStyle name="표준 4 6 4 2 2 2 2" xfId="24336"/>
    <cellStyle name="표준 4 6 4 2 2 3" xfId="24337"/>
    <cellStyle name="표준 4 6 4 2 3" xfId="24338"/>
    <cellStyle name="표준 4 6 4 2 3 2" xfId="24339"/>
    <cellStyle name="표준 4 6 4 2 4" xfId="24340"/>
    <cellStyle name="표준 4 6 4 3" xfId="24341"/>
    <cellStyle name="표준 4 6 4 3 2" xfId="24342"/>
    <cellStyle name="표준 4 6 4 3 2 2" xfId="24343"/>
    <cellStyle name="표준 4 6 4 3 3" xfId="24344"/>
    <cellStyle name="표준 4 6 4 4" xfId="24345"/>
    <cellStyle name="표준 4 6 4 4 2" xfId="24346"/>
    <cellStyle name="표준 4 6 4 5" xfId="24347"/>
    <cellStyle name="표준 4 6 5" xfId="24348"/>
    <cellStyle name="표준 4 6 5 2" xfId="24349"/>
    <cellStyle name="표준 4 6 5 2 2" xfId="24350"/>
    <cellStyle name="표준 4 6 5 2 2 2" xfId="24351"/>
    <cellStyle name="표준 4 6 5 2 3" xfId="24352"/>
    <cellStyle name="표준 4 6 5 3" xfId="24353"/>
    <cellStyle name="표준 4 6 5 3 2" xfId="24354"/>
    <cellStyle name="표준 4 6 5 4" xfId="24355"/>
    <cellStyle name="표준 4 6 6" xfId="24356"/>
    <cellStyle name="표준 4 6 6 2" xfId="24357"/>
    <cellStyle name="표준 4 6 6 2 2" xfId="24358"/>
    <cellStyle name="표준 4 6 6 3" xfId="24359"/>
    <cellStyle name="표준 4 6 7" xfId="24360"/>
    <cellStyle name="표준 4 6 7 2" xfId="24361"/>
    <cellStyle name="표준 4 6 8" xfId="24362"/>
    <cellStyle name="표준 4 6 9" xfId="24363"/>
    <cellStyle name="표준 4 7" xfId="24364"/>
    <cellStyle name="표준 4 7 2" xfId="24365"/>
    <cellStyle name="표준 4 7 2 2" xfId="24366"/>
    <cellStyle name="표준 4 7 2 2 2" xfId="24367"/>
    <cellStyle name="표준 4 7 2 2 2 2" xfId="24368"/>
    <cellStyle name="표준 4 7 2 2 2 2 2" xfId="24369"/>
    <cellStyle name="표준 4 7 2 2 2 2 2 2" xfId="24370"/>
    <cellStyle name="표준 4 7 2 2 2 2 3" xfId="24371"/>
    <cellStyle name="표준 4 7 2 2 2 3" xfId="24372"/>
    <cellStyle name="표준 4 7 2 2 2 3 2" xfId="24373"/>
    <cellStyle name="표준 4 7 2 2 2 4" xfId="24374"/>
    <cellStyle name="표준 4 7 2 2 3" xfId="24375"/>
    <cellStyle name="표준 4 7 2 2 3 2" xfId="24376"/>
    <cellStyle name="표준 4 7 2 2 3 2 2" xfId="24377"/>
    <cellStyle name="표준 4 7 2 2 3 3" xfId="24378"/>
    <cellStyle name="표준 4 7 2 2 4" xfId="24379"/>
    <cellStyle name="표준 4 7 2 2 4 2" xfId="24380"/>
    <cellStyle name="표준 4 7 2 2 5" xfId="24381"/>
    <cellStyle name="표준 4 7 2 3" xfId="24382"/>
    <cellStyle name="표준 4 7 2 3 2" xfId="24383"/>
    <cellStyle name="표준 4 7 2 3 2 2" xfId="24384"/>
    <cellStyle name="표준 4 7 2 3 2 2 2" xfId="24385"/>
    <cellStyle name="표준 4 7 2 3 2 3" xfId="24386"/>
    <cellStyle name="표준 4 7 2 3 3" xfId="24387"/>
    <cellStyle name="표준 4 7 2 3 3 2" xfId="24388"/>
    <cellStyle name="표준 4 7 2 3 4" xfId="24389"/>
    <cellStyle name="표준 4 7 2 4" xfId="24390"/>
    <cellStyle name="표준 4 7 2 4 2" xfId="24391"/>
    <cellStyle name="표준 4 7 2 4 2 2" xfId="24392"/>
    <cellStyle name="표준 4 7 2 4 3" xfId="24393"/>
    <cellStyle name="표준 4 7 2 5" xfId="24394"/>
    <cellStyle name="표준 4 7 2 5 2" xfId="24395"/>
    <cellStyle name="표준 4 7 2 6" xfId="24396"/>
    <cellStyle name="표준 4 7 3" xfId="24397"/>
    <cellStyle name="표준 4 7 3 2" xfId="24398"/>
    <cellStyle name="표준 4 7 3 2 2" xfId="24399"/>
    <cellStyle name="표준 4 7 3 2 2 2" xfId="24400"/>
    <cellStyle name="표준 4 7 3 2 2 2 2" xfId="24401"/>
    <cellStyle name="표준 4 7 3 2 2 3" xfId="24402"/>
    <cellStyle name="표준 4 7 3 2 3" xfId="24403"/>
    <cellStyle name="표준 4 7 3 2 3 2" xfId="24404"/>
    <cellStyle name="표준 4 7 3 2 4" xfId="24405"/>
    <cellStyle name="표준 4 7 3 3" xfId="24406"/>
    <cellStyle name="표준 4 7 3 3 2" xfId="24407"/>
    <cellStyle name="표준 4 7 3 3 2 2" xfId="24408"/>
    <cellStyle name="표준 4 7 3 3 3" xfId="24409"/>
    <cellStyle name="표준 4 7 3 4" xfId="24410"/>
    <cellStyle name="표준 4 7 3 4 2" xfId="24411"/>
    <cellStyle name="표준 4 7 3 5" xfId="24412"/>
    <cellStyle name="표준 4 7 4" xfId="24413"/>
    <cellStyle name="표준 4 7 4 2" xfId="24414"/>
    <cellStyle name="표준 4 7 4 2 2" xfId="24415"/>
    <cellStyle name="표준 4 7 4 2 2 2" xfId="24416"/>
    <cellStyle name="표준 4 7 4 2 3" xfId="24417"/>
    <cellStyle name="표준 4 7 4 3" xfId="24418"/>
    <cellStyle name="표준 4 7 4 3 2" xfId="24419"/>
    <cellStyle name="표준 4 7 4 4" xfId="24420"/>
    <cellStyle name="표준 4 7 5" xfId="24421"/>
    <cellStyle name="표준 4 7 5 2" xfId="24422"/>
    <cellStyle name="표준 4 7 5 2 2" xfId="24423"/>
    <cellStyle name="표준 4 7 5 3" xfId="24424"/>
    <cellStyle name="표준 4 7 6" xfId="24425"/>
    <cellStyle name="표준 4 7 6 2" xfId="24426"/>
    <cellStyle name="표준 4 7 7" xfId="24427"/>
    <cellStyle name="표준 4 7 8" xfId="24428"/>
    <cellStyle name="표준 4 8" xfId="24429"/>
    <cellStyle name="표준 4 8 2" xfId="24430"/>
    <cellStyle name="표준 4 8 2 2" xfId="24431"/>
    <cellStyle name="표준 4 8 2 2 2" xfId="24432"/>
    <cellStyle name="표준 4 8 2 2 2 2" xfId="24433"/>
    <cellStyle name="표준 4 8 2 2 2 2 2" xfId="24434"/>
    <cellStyle name="표준 4 8 2 2 2 3" xfId="24435"/>
    <cellStyle name="표준 4 8 2 2 3" xfId="24436"/>
    <cellStyle name="표준 4 8 2 2 3 2" xfId="24437"/>
    <cellStyle name="표준 4 8 2 2 4" xfId="24438"/>
    <cellStyle name="표준 4 8 2 3" xfId="24439"/>
    <cellStyle name="표준 4 8 2 3 2" xfId="24440"/>
    <cellStyle name="표준 4 8 2 3 2 2" xfId="24441"/>
    <cellStyle name="표준 4 8 2 3 3" xfId="24442"/>
    <cellStyle name="표준 4 8 2 4" xfId="24443"/>
    <cellStyle name="표준 4 8 2 4 2" xfId="24444"/>
    <cellStyle name="표준 4 8 2 5" xfId="24445"/>
    <cellStyle name="표준 4 8 3" xfId="24446"/>
    <cellStyle name="표준 4 8 3 2" xfId="24447"/>
    <cellStyle name="표준 4 8 3 2 2" xfId="24448"/>
    <cellStyle name="표준 4 8 3 2 2 2" xfId="24449"/>
    <cellStyle name="표준 4 8 3 2 3" xfId="24450"/>
    <cellStyle name="표준 4 8 3 3" xfId="24451"/>
    <cellStyle name="표준 4 8 3 3 2" xfId="24452"/>
    <cellStyle name="표준 4 8 3 4" xfId="24453"/>
    <cellStyle name="표준 4 8 4" xfId="24454"/>
    <cellStyle name="표준 4 8 4 2" xfId="24455"/>
    <cellStyle name="표준 4 8 4 2 2" xfId="24456"/>
    <cellStyle name="표준 4 8 4 3" xfId="24457"/>
    <cellStyle name="표준 4 8 5" xfId="24458"/>
    <cellStyle name="표준 4 8 5 2" xfId="24459"/>
    <cellStyle name="표준 4 8 6" xfId="24460"/>
    <cellStyle name="표준 4 9" xfId="24461"/>
    <cellStyle name="표준 4 9 2" xfId="24462"/>
    <cellStyle name="표준 4 9 2 2" xfId="24463"/>
    <cellStyle name="표준 4 9 2 2 2" xfId="24464"/>
    <cellStyle name="표준 4 9 2 2 2 2" xfId="24465"/>
    <cellStyle name="표준 4 9 2 2 3" xfId="24466"/>
    <cellStyle name="표준 4 9 2 3" xfId="24467"/>
    <cellStyle name="표준 4 9 2 3 2" xfId="24468"/>
    <cellStyle name="표준 4 9 2 4" xfId="24469"/>
    <cellStyle name="표준 4 9 3" xfId="24470"/>
    <cellStyle name="표준 4 9 3 2" xfId="24471"/>
    <cellStyle name="표준 4 9 3 2 2" xfId="24472"/>
    <cellStyle name="표준 4 9 3 3" xfId="24473"/>
    <cellStyle name="표준 4 9 4" xfId="24474"/>
    <cellStyle name="표준 4 9 4 2" xfId="24475"/>
    <cellStyle name="표준 4 9 5" xfId="24476"/>
    <cellStyle name="표준 40" xfId="24477"/>
    <cellStyle name="표준 41" xfId="24478"/>
    <cellStyle name="표준 42" xfId="24479"/>
    <cellStyle name="표준 43" xfId="24480"/>
    <cellStyle name="표준 44" xfId="24481"/>
    <cellStyle name="표준 45" xfId="24482"/>
    <cellStyle name="표준 46" xfId="31249"/>
    <cellStyle name="표준 47" xfId="24483"/>
    <cellStyle name="표준 48" xfId="24484"/>
    <cellStyle name="표준 49" xfId="24485"/>
    <cellStyle name="표준 5" xfId="42"/>
    <cellStyle name="표준 5 10" xfId="24486"/>
    <cellStyle name="표준 5 10 2" xfId="24487"/>
    <cellStyle name="표준 5 10 2 2" xfId="24488"/>
    <cellStyle name="표준 5 10 2 2 2" xfId="24489"/>
    <cellStyle name="표준 5 10 2 2 2 2" xfId="24490"/>
    <cellStyle name="표준 5 10 2 2 3" xfId="24491"/>
    <cellStyle name="표준 5 10 2 3" xfId="24492"/>
    <cellStyle name="표준 5 10 2 3 2" xfId="24493"/>
    <cellStyle name="표준 5 10 2 4" xfId="24494"/>
    <cellStyle name="표준 5 10 3" xfId="24495"/>
    <cellStyle name="표준 5 10 3 2" xfId="24496"/>
    <cellStyle name="표준 5 10 3 2 2" xfId="24497"/>
    <cellStyle name="표준 5 10 3 3" xfId="24498"/>
    <cellStyle name="표준 5 10 4" xfId="24499"/>
    <cellStyle name="표준 5 10 4 2" xfId="24500"/>
    <cellStyle name="표준 5 10 5" xfId="24501"/>
    <cellStyle name="표준 5 11" xfId="24502"/>
    <cellStyle name="표준 5 11 2" xfId="24503"/>
    <cellStyle name="표준 5 11 2 2" xfId="24504"/>
    <cellStyle name="표준 5 11 2 2 2" xfId="24505"/>
    <cellStyle name="표준 5 11 2 3" xfId="24506"/>
    <cellStyle name="표준 5 11 3" xfId="24507"/>
    <cellStyle name="표준 5 11 3 2" xfId="24508"/>
    <cellStyle name="표준 5 11 4" xfId="24509"/>
    <cellStyle name="표준 5 12" xfId="24510"/>
    <cellStyle name="표준 5 12 2" xfId="24511"/>
    <cellStyle name="표준 5 12 2 2" xfId="24512"/>
    <cellStyle name="표준 5 12 3" xfId="24513"/>
    <cellStyle name="표준 5 13" xfId="24514"/>
    <cellStyle name="표준 5 13 2" xfId="24515"/>
    <cellStyle name="표준 5 14" xfId="24516"/>
    <cellStyle name="표준 5 15" xfId="24517"/>
    <cellStyle name="표준 5 2" xfId="24518"/>
    <cellStyle name="표준 5 2 10" xfId="24519"/>
    <cellStyle name="표준 5 2 10 2" xfId="24520"/>
    <cellStyle name="표준 5 2 11" xfId="24521"/>
    <cellStyle name="표준 5 2 12" xfId="24522"/>
    <cellStyle name="표준 5 2 2" xfId="24523"/>
    <cellStyle name="표준 5 2 2 10" xfId="24524"/>
    <cellStyle name="표준 5 2 2 11" xfId="24525"/>
    <cellStyle name="표준 5 2 2 2" xfId="24526"/>
    <cellStyle name="표준 5 2 2 2 10" xfId="24527"/>
    <cellStyle name="표준 5 2 2 2 2" xfId="24528"/>
    <cellStyle name="표준 5 2 2 2 2 2" xfId="24529"/>
    <cellStyle name="표준 5 2 2 2 2 2 2" xfId="24530"/>
    <cellStyle name="표준 5 2 2 2 2 2 2 2" xfId="24531"/>
    <cellStyle name="표준 5 2 2 2 2 2 2 2 2" xfId="24532"/>
    <cellStyle name="표준 5 2 2 2 2 2 2 2 2 2" xfId="24533"/>
    <cellStyle name="표준 5 2 2 2 2 2 2 2 2 2 2" xfId="24534"/>
    <cellStyle name="표준 5 2 2 2 2 2 2 2 2 2 2 2" xfId="24535"/>
    <cellStyle name="표준 5 2 2 2 2 2 2 2 2 2 3" xfId="24536"/>
    <cellStyle name="표준 5 2 2 2 2 2 2 2 2 3" xfId="24537"/>
    <cellStyle name="표준 5 2 2 2 2 2 2 2 2 3 2" xfId="24538"/>
    <cellStyle name="표준 5 2 2 2 2 2 2 2 2 4" xfId="24539"/>
    <cellStyle name="표준 5 2 2 2 2 2 2 2 3" xfId="24540"/>
    <cellStyle name="표준 5 2 2 2 2 2 2 2 3 2" xfId="24541"/>
    <cellStyle name="표준 5 2 2 2 2 2 2 2 3 2 2" xfId="24542"/>
    <cellStyle name="표준 5 2 2 2 2 2 2 2 3 3" xfId="24543"/>
    <cellStyle name="표준 5 2 2 2 2 2 2 2 4" xfId="24544"/>
    <cellStyle name="표준 5 2 2 2 2 2 2 2 4 2" xfId="24545"/>
    <cellStyle name="표준 5 2 2 2 2 2 2 2 5" xfId="24546"/>
    <cellStyle name="표준 5 2 2 2 2 2 2 3" xfId="24547"/>
    <cellStyle name="표준 5 2 2 2 2 2 2 3 2" xfId="24548"/>
    <cellStyle name="표준 5 2 2 2 2 2 2 3 2 2" xfId="24549"/>
    <cellStyle name="표준 5 2 2 2 2 2 2 3 2 2 2" xfId="24550"/>
    <cellStyle name="표준 5 2 2 2 2 2 2 3 2 3" xfId="24551"/>
    <cellStyle name="표준 5 2 2 2 2 2 2 3 3" xfId="24552"/>
    <cellStyle name="표준 5 2 2 2 2 2 2 3 3 2" xfId="24553"/>
    <cellStyle name="표준 5 2 2 2 2 2 2 3 4" xfId="24554"/>
    <cellStyle name="표준 5 2 2 2 2 2 2 4" xfId="24555"/>
    <cellStyle name="표준 5 2 2 2 2 2 2 4 2" xfId="24556"/>
    <cellStyle name="표준 5 2 2 2 2 2 2 4 2 2" xfId="24557"/>
    <cellStyle name="표준 5 2 2 2 2 2 2 4 3" xfId="24558"/>
    <cellStyle name="표준 5 2 2 2 2 2 2 5" xfId="24559"/>
    <cellStyle name="표준 5 2 2 2 2 2 2 5 2" xfId="24560"/>
    <cellStyle name="표준 5 2 2 2 2 2 2 6" xfId="24561"/>
    <cellStyle name="표준 5 2 2 2 2 2 3" xfId="24562"/>
    <cellStyle name="표준 5 2 2 2 2 2 3 2" xfId="24563"/>
    <cellStyle name="표준 5 2 2 2 2 2 3 2 2" xfId="24564"/>
    <cellStyle name="표준 5 2 2 2 2 2 3 2 2 2" xfId="24565"/>
    <cellStyle name="표준 5 2 2 2 2 2 3 2 2 2 2" xfId="24566"/>
    <cellStyle name="표준 5 2 2 2 2 2 3 2 2 3" xfId="24567"/>
    <cellStyle name="표준 5 2 2 2 2 2 3 2 3" xfId="24568"/>
    <cellStyle name="표준 5 2 2 2 2 2 3 2 3 2" xfId="24569"/>
    <cellStyle name="표준 5 2 2 2 2 2 3 2 4" xfId="24570"/>
    <cellStyle name="표준 5 2 2 2 2 2 3 3" xfId="24571"/>
    <cellStyle name="표준 5 2 2 2 2 2 3 3 2" xfId="24572"/>
    <cellStyle name="표준 5 2 2 2 2 2 3 3 2 2" xfId="24573"/>
    <cellStyle name="표준 5 2 2 2 2 2 3 3 3" xfId="24574"/>
    <cellStyle name="표준 5 2 2 2 2 2 3 4" xfId="24575"/>
    <cellStyle name="표준 5 2 2 2 2 2 3 4 2" xfId="24576"/>
    <cellStyle name="표준 5 2 2 2 2 2 3 5" xfId="24577"/>
    <cellStyle name="표준 5 2 2 2 2 2 4" xfId="24578"/>
    <cellStyle name="표준 5 2 2 2 2 2 4 2" xfId="24579"/>
    <cellStyle name="표준 5 2 2 2 2 2 4 2 2" xfId="24580"/>
    <cellStyle name="표준 5 2 2 2 2 2 4 2 2 2" xfId="24581"/>
    <cellStyle name="표준 5 2 2 2 2 2 4 2 3" xfId="24582"/>
    <cellStyle name="표준 5 2 2 2 2 2 4 3" xfId="24583"/>
    <cellStyle name="표준 5 2 2 2 2 2 4 3 2" xfId="24584"/>
    <cellStyle name="표준 5 2 2 2 2 2 4 4" xfId="24585"/>
    <cellStyle name="표준 5 2 2 2 2 2 5" xfId="24586"/>
    <cellStyle name="표준 5 2 2 2 2 2 5 2" xfId="24587"/>
    <cellStyle name="표준 5 2 2 2 2 2 5 2 2" xfId="24588"/>
    <cellStyle name="표준 5 2 2 2 2 2 5 3" xfId="24589"/>
    <cellStyle name="표준 5 2 2 2 2 2 6" xfId="24590"/>
    <cellStyle name="표준 5 2 2 2 2 2 6 2" xfId="24591"/>
    <cellStyle name="표준 5 2 2 2 2 2 7" xfId="24592"/>
    <cellStyle name="표준 5 2 2 2 2 2 8" xfId="24593"/>
    <cellStyle name="표준 5 2 2 2 2 3" xfId="24594"/>
    <cellStyle name="표준 5 2 2 2 2 3 2" xfId="24595"/>
    <cellStyle name="표준 5 2 2 2 2 3 2 2" xfId="24596"/>
    <cellStyle name="표준 5 2 2 2 2 3 2 2 2" xfId="24597"/>
    <cellStyle name="표준 5 2 2 2 2 3 2 2 2 2" xfId="24598"/>
    <cellStyle name="표준 5 2 2 2 2 3 2 2 2 2 2" xfId="24599"/>
    <cellStyle name="표준 5 2 2 2 2 3 2 2 2 3" xfId="24600"/>
    <cellStyle name="표준 5 2 2 2 2 3 2 2 3" xfId="24601"/>
    <cellStyle name="표준 5 2 2 2 2 3 2 2 3 2" xfId="24602"/>
    <cellStyle name="표준 5 2 2 2 2 3 2 2 4" xfId="24603"/>
    <cellStyle name="표준 5 2 2 2 2 3 2 3" xfId="24604"/>
    <cellStyle name="표준 5 2 2 2 2 3 2 3 2" xfId="24605"/>
    <cellStyle name="표준 5 2 2 2 2 3 2 3 2 2" xfId="24606"/>
    <cellStyle name="표준 5 2 2 2 2 3 2 3 3" xfId="24607"/>
    <cellStyle name="표준 5 2 2 2 2 3 2 4" xfId="24608"/>
    <cellStyle name="표준 5 2 2 2 2 3 2 4 2" xfId="24609"/>
    <cellStyle name="표준 5 2 2 2 2 3 2 5" xfId="24610"/>
    <cellStyle name="표준 5 2 2 2 2 3 3" xfId="24611"/>
    <cellStyle name="표준 5 2 2 2 2 3 3 2" xfId="24612"/>
    <cellStyle name="표준 5 2 2 2 2 3 3 2 2" xfId="24613"/>
    <cellStyle name="표준 5 2 2 2 2 3 3 2 2 2" xfId="24614"/>
    <cellStyle name="표준 5 2 2 2 2 3 3 2 3" xfId="24615"/>
    <cellStyle name="표준 5 2 2 2 2 3 3 3" xfId="24616"/>
    <cellStyle name="표준 5 2 2 2 2 3 3 3 2" xfId="24617"/>
    <cellStyle name="표준 5 2 2 2 2 3 3 4" xfId="24618"/>
    <cellStyle name="표준 5 2 2 2 2 3 4" xfId="24619"/>
    <cellStyle name="표준 5 2 2 2 2 3 4 2" xfId="24620"/>
    <cellStyle name="표준 5 2 2 2 2 3 4 2 2" xfId="24621"/>
    <cellStyle name="표준 5 2 2 2 2 3 4 3" xfId="24622"/>
    <cellStyle name="표준 5 2 2 2 2 3 5" xfId="24623"/>
    <cellStyle name="표준 5 2 2 2 2 3 5 2" xfId="24624"/>
    <cellStyle name="표준 5 2 2 2 2 3 6" xfId="24625"/>
    <cellStyle name="표준 5 2 2 2 2 4" xfId="24626"/>
    <cellStyle name="표준 5 2 2 2 2 4 2" xfId="24627"/>
    <cellStyle name="표준 5 2 2 2 2 4 2 2" xfId="24628"/>
    <cellStyle name="표준 5 2 2 2 2 4 2 2 2" xfId="24629"/>
    <cellStyle name="표준 5 2 2 2 2 4 2 2 2 2" xfId="24630"/>
    <cellStyle name="표준 5 2 2 2 2 4 2 2 3" xfId="24631"/>
    <cellStyle name="표준 5 2 2 2 2 4 2 3" xfId="24632"/>
    <cellStyle name="표준 5 2 2 2 2 4 2 3 2" xfId="24633"/>
    <cellStyle name="표준 5 2 2 2 2 4 2 4" xfId="24634"/>
    <cellStyle name="표준 5 2 2 2 2 4 3" xfId="24635"/>
    <cellStyle name="표준 5 2 2 2 2 4 3 2" xfId="24636"/>
    <cellStyle name="표준 5 2 2 2 2 4 3 2 2" xfId="24637"/>
    <cellStyle name="표준 5 2 2 2 2 4 3 3" xfId="24638"/>
    <cellStyle name="표준 5 2 2 2 2 4 4" xfId="24639"/>
    <cellStyle name="표준 5 2 2 2 2 4 4 2" xfId="24640"/>
    <cellStyle name="표준 5 2 2 2 2 4 5" xfId="24641"/>
    <cellStyle name="표준 5 2 2 2 2 5" xfId="24642"/>
    <cellStyle name="표준 5 2 2 2 2 5 2" xfId="24643"/>
    <cellStyle name="표준 5 2 2 2 2 5 2 2" xfId="24644"/>
    <cellStyle name="표준 5 2 2 2 2 5 2 2 2" xfId="24645"/>
    <cellStyle name="표준 5 2 2 2 2 5 2 3" xfId="24646"/>
    <cellStyle name="표준 5 2 2 2 2 5 3" xfId="24647"/>
    <cellStyle name="표준 5 2 2 2 2 5 3 2" xfId="24648"/>
    <cellStyle name="표준 5 2 2 2 2 5 4" xfId="24649"/>
    <cellStyle name="표준 5 2 2 2 2 6" xfId="24650"/>
    <cellStyle name="표준 5 2 2 2 2 6 2" xfId="24651"/>
    <cellStyle name="표준 5 2 2 2 2 6 2 2" xfId="24652"/>
    <cellStyle name="표준 5 2 2 2 2 6 3" xfId="24653"/>
    <cellStyle name="표준 5 2 2 2 2 7" xfId="24654"/>
    <cellStyle name="표준 5 2 2 2 2 7 2" xfId="24655"/>
    <cellStyle name="표준 5 2 2 2 2 8" xfId="24656"/>
    <cellStyle name="표준 5 2 2 2 2 9" xfId="24657"/>
    <cellStyle name="표준 5 2 2 2 3" xfId="24658"/>
    <cellStyle name="표준 5 2 2 2 3 2" xfId="24659"/>
    <cellStyle name="표준 5 2 2 2 3 2 2" xfId="24660"/>
    <cellStyle name="표준 5 2 2 2 3 2 2 2" xfId="24661"/>
    <cellStyle name="표준 5 2 2 2 3 2 2 2 2" xfId="24662"/>
    <cellStyle name="표준 5 2 2 2 3 2 2 2 2 2" xfId="24663"/>
    <cellStyle name="표준 5 2 2 2 3 2 2 2 2 2 2" xfId="24664"/>
    <cellStyle name="표준 5 2 2 2 3 2 2 2 2 3" xfId="24665"/>
    <cellStyle name="표준 5 2 2 2 3 2 2 2 3" xfId="24666"/>
    <cellStyle name="표준 5 2 2 2 3 2 2 2 3 2" xfId="24667"/>
    <cellStyle name="표준 5 2 2 2 3 2 2 2 4" xfId="24668"/>
    <cellStyle name="표준 5 2 2 2 3 2 2 3" xfId="24669"/>
    <cellStyle name="표준 5 2 2 2 3 2 2 3 2" xfId="24670"/>
    <cellStyle name="표준 5 2 2 2 3 2 2 3 2 2" xfId="24671"/>
    <cellStyle name="표준 5 2 2 2 3 2 2 3 3" xfId="24672"/>
    <cellStyle name="표준 5 2 2 2 3 2 2 4" xfId="24673"/>
    <cellStyle name="표준 5 2 2 2 3 2 2 4 2" xfId="24674"/>
    <cellStyle name="표준 5 2 2 2 3 2 2 5" xfId="24675"/>
    <cellStyle name="표준 5 2 2 2 3 2 3" xfId="24676"/>
    <cellStyle name="표준 5 2 2 2 3 2 3 2" xfId="24677"/>
    <cellStyle name="표준 5 2 2 2 3 2 3 2 2" xfId="24678"/>
    <cellStyle name="표준 5 2 2 2 3 2 3 2 2 2" xfId="24679"/>
    <cellStyle name="표준 5 2 2 2 3 2 3 2 3" xfId="24680"/>
    <cellStyle name="표준 5 2 2 2 3 2 3 3" xfId="24681"/>
    <cellStyle name="표준 5 2 2 2 3 2 3 3 2" xfId="24682"/>
    <cellStyle name="표준 5 2 2 2 3 2 3 4" xfId="24683"/>
    <cellStyle name="표준 5 2 2 2 3 2 4" xfId="24684"/>
    <cellStyle name="표준 5 2 2 2 3 2 4 2" xfId="24685"/>
    <cellStyle name="표준 5 2 2 2 3 2 4 2 2" xfId="24686"/>
    <cellStyle name="표준 5 2 2 2 3 2 4 3" xfId="24687"/>
    <cellStyle name="표준 5 2 2 2 3 2 5" xfId="24688"/>
    <cellStyle name="표준 5 2 2 2 3 2 5 2" xfId="24689"/>
    <cellStyle name="표준 5 2 2 2 3 2 6" xfId="24690"/>
    <cellStyle name="표준 5 2 2 2 3 3" xfId="24691"/>
    <cellStyle name="표준 5 2 2 2 3 3 2" xfId="24692"/>
    <cellStyle name="표준 5 2 2 2 3 3 2 2" xfId="24693"/>
    <cellStyle name="표준 5 2 2 2 3 3 2 2 2" xfId="24694"/>
    <cellStyle name="표준 5 2 2 2 3 3 2 2 2 2" xfId="24695"/>
    <cellStyle name="표준 5 2 2 2 3 3 2 2 3" xfId="24696"/>
    <cellStyle name="표준 5 2 2 2 3 3 2 3" xfId="24697"/>
    <cellStyle name="표준 5 2 2 2 3 3 2 3 2" xfId="24698"/>
    <cellStyle name="표준 5 2 2 2 3 3 2 4" xfId="24699"/>
    <cellStyle name="표준 5 2 2 2 3 3 3" xfId="24700"/>
    <cellStyle name="표준 5 2 2 2 3 3 3 2" xfId="24701"/>
    <cellStyle name="표준 5 2 2 2 3 3 3 2 2" xfId="24702"/>
    <cellStyle name="표준 5 2 2 2 3 3 3 3" xfId="24703"/>
    <cellStyle name="표준 5 2 2 2 3 3 4" xfId="24704"/>
    <cellStyle name="표준 5 2 2 2 3 3 4 2" xfId="24705"/>
    <cellStyle name="표준 5 2 2 2 3 3 5" xfId="24706"/>
    <cellStyle name="표준 5 2 2 2 3 4" xfId="24707"/>
    <cellStyle name="표준 5 2 2 2 3 4 2" xfId="24708"/>
    <cellStyle name="표준 5 2 2 2 3 4 2 2" xfId="24709"/>
    <cellStyle name="표준 5 2 2 2 3 4 2 2 2" xfId="24710"/>
    <cellStyle name="표준 5 2 2 2 3 4 2 3" xfId="24711"/>
    <cellStyle name="표준 5 2 2 2 3 4 3" xfId="24712"/>
    <cellStyle name="표준 5 2 2 2 3 4 3 2" xfId="24713"/>
    <cellStyle name="표준 5 2 2 2 3 4 4" xfId="24714"/>
    <cellStyle name="표준 5 2 2 2 3 5" xfId="24715"/>
    <cellStyle name="표준 5 2 2 2 3 5 2" xfId="24716"/>
    <cellStyle name="표준 5 2 2 2 3 5 2 2" xfId="24717"/>
    <cellStyle name="표준 5 2 2 2 3 5 3" xfId="24718"/>
    <cellStyle name="표준 5 2 2 2 3 6" xfId="24719"/>
    <cellStyle name="표준 5 2 2 2 3 6 2" xfId="24720"/>
    <cellStyle name="표준 5 2 2 2 3 7" xfId="24721"/>
    <cellStyle name="표준 5 2 2 2 3 8" xfId="24722"/>
    <cellStyle name="표준 5 2 2 2 4" xfId="24723"/>
    <cellStyle name="표준 5 2 2 2 4 2" xfId="24724"/>
    <cellStyle name="표준 5 2 2 2 4 2 2" xfId="24725"/>
    <cellStyle name="표준 5 2 2 2 4 2 2 2" xfId="24726"/>
    <cellStyle name="표준 5 2 2 2 4 2 2 2 2" xfId="24727"/>
    <cellStyle name="표준 5 2 2 2 4 2 2 2 2 2" xfId="24728"/>
    <cellStyle name="표준 5 2 2 2 4 2 2 2 3" xfId="24729"/>
    <cellStyle name="표준 5 2 2 2 4 2 2 3" xfId="24730"/>
    <cellStyle name="표준 5 2 2 2 4 2 2 3 2" xfId="24731"/>
    <cellStyle name="표준 5 2 2 2 4 2 2 4" xfId="24732"/>
    <cellStyle name="표준 5 2 2 2 4 2 3" xfId="24733"/>
    <cellStyle name="표준 5 2 2 2 4 2 3 2" xfId="24734"/>
    <cellStyle name="표준 5 2 2 2 4 2 3 2 2" xfId="24735"/>
    <cellStyle name="표준 5 2 2 2 4 2 3 3" xfId="24736"/>
    <cellStyle name="표준 5 2 2 2 4 2 4" xfId="24737"/>
    <cellStyle name="표준 5 2 2 2 4 2 4 2" xfId="24738"/>
    <cellStyle name="표준 5 2 2 2 4 2 5" xfId="24739"/>
    <cellStyle name="표준 5 2 2 2 4 3" xfId="24740"/>
    <cellStyle name="표준 5 2 2 2 4 3 2" xfId="24741"/>
    <cellStyle name="표준 5 2 2 2 4 3 2 2" xfId="24742"/>
    <cellStyle name="표준 5 2 2 2 4 3 2 2 2" xfId="24743"/>
    <cellStyle name="표준 5 2 2 2 4 3 2 3" xfId="24744"/>
    <cellStyle name="표준 5 2 2 2 4 3 3" xfId="24745"/>
    <cellStyle name="표준 5 2 2 2 4 3 3 2" xfId="24746"/>
    <cellStyle name="표준 5 2 2 2 4 3 4" xfId="24747"/>
    <cellStyle name="표준 5 2 2 2 4 4" xfId="24748"/>
    <cellStyle name="표준 5 2 2 2 4 4 2" xfId="24749"/>
    <cellStyle name="표준 5 2 2 2 4 4 2 2" xfId="24750"/>
    <cellStyle name="표준 5 2 2 2 4 4 3" xfId="24751"/>
    <cellStyle name="표준 5 2 2 2 4 5" xfId="24752"/>
    <cellStyle name="표준 5 2 2 2 4 5 2" xfId="24753"/>
    <cellStyle name="표준 5 2 2 2 4 6" xfId="24754"/>
    <cellStyle name="표준 5 2 2 2 5" xfId="24755"/>
    <cellStyle name="표준 5 2 2 2 5 2" xfId="24756"/>
    <cellStyle name="표준 5 2 2 2 5 2 2" xfId="24757"/>
    <cellStyle name="표준 5 2 2 2 5 2 2 2" xfId="24758"/>
    <cellStyle name="표준 5 2 2 2 5 2 2 2 2" xfId="24759"/>
    <cellStyle name="표준 5 2 2 2 5 2 2 3" xfId="24760"/>
    <cellStyle name="표준 5 2 2 2 5 2 3" xfId="24761"/>
    <cellStyle name="표준 5 2 2 2 5 2 3 2" xfId="24762"/>
    <cellStyle name="표준 5 2 2 2 5 2 4" xfId="24763"/>
    <cellStyle name="표준 5 2 2 2 5 3" xfId="24764"/>
    <cellStyle name="표준 5 2 2 2 5 3 2" xfId="24765"/>
    <cellStyle name="표준 5 2 2 2 5 3 2 2" xfId="24766"/>
    <cellStyle name="표준 5 2 2 2 5 3 3" xfId="24767"/>
    <cellStyle name="표준 5 2 2 2 5 4" xfId="24768"/>
    <cellStyle name="표준 5 2 2 2 5 4 2" xfId="24769"/>
    <cellStyle name="표준 5 2 2 2 5 5" xfId="24770"/>
    <cellStyle name="표준 5 2 2 2 6" xfId="24771"/>
    <cellStyle name="표준 5 2 2 2 6 2" xfId="24772"/>
    <cellStyle name="표준 5 2 2 2 6 2 2" xfId="24773"/>
    <cellStyle name="표준 5 2 2 2 6 2 2 2" xfId="24774"/>
    <cellStyle name="표준 5 2 2 2 6 2 3" xfId="24775"/>
    <cellStyle name="표준 5 2 2 2 6 3" xfId="24776"/>
    <cellStyle name="표준 5 2 2 2 6 3 2" xfId="24777"/>
    <cellStyle name="표준 5 2 2 2 6 4" xfId="24778"/>
    <cellStyle name="표준 5 2 2 2 7" xfId="24779"/>
    <cellStyle name="표준 5 2 2 2 7 2" xfId="24780"/>
    <cellStyle name="표준 5 2 2 2 7 2 2" xfId="24781"/>
    <cellStyle name="표준 5 2 2 2 7 3" xfId="24782"/>
    <cellStyle name="표준 5 2 2 2 8" xfId="24783"/>
    <cellStyle name="표준 5 2 2 2 8 2" xfId="24784"/>
    <cellStyle name="표준 5 2 2 2 9" xfId="24785"/>
    <cellStyle name="표준 5 2 2 3" xfId="24786"/>
    <cellStyle name="표준 5 2 2 3 2" xfId="24787"/>
    <cellStyle name="표준 5 2 2 3 2 2" xfId="24788"/>
    <cellStyle name="표준 5 2 2 3 2 2 2" xfId="24789"/>
    <cellStyle name="표준 5 2 2 3 2 2 2 2" xfId="24790"/>
    <cellStyle name="표준 5 2 2 3 2 2 2 2 2" xfId="24791"/>
    <cellStyle name="표준 5 2 2 3 2 2 2 2 2 2" xfId="24792"/>
    <cellStyle name="표준 5 2 2 3 2 2 2 2 2 2 2" xfId="24793"/>
    <cellStyle name="표준 5 2 2 3 2 2 2 2 2 3" xfId="24794"/>
    <cellStyle name="표준 5 2 2 3 2 2 2 2 3" xfId="24795"/>
    <cellStyle name="표준 5 2 2 3 2 2 2 2 3 2" xfId="24796"/>
    <cellStyle name="표준 5 2 2 3 2 2 2 2 4" xfId="24797"/>
    <cellStyle name="표준 5 2 2 3 2 2 2 3" xfId="24798"/>
    <cellStyle name="표준 5 2 2 3 2 2 2 3 2" xfId="24799"/>
    <cellStyle name="표준 5 2 2 3 2 2 2 3 2 2" xfId="24800"/>
    <cellStyle name="표준 5 2 2 3 2 2 2 3 3" xfId="24801"/>
    <cellStyle name="표준 5 2 2 3 2 2 2 4" xfId="24802"/>
    <cellStyle name="표준 5 2 2 3 2 2 2 4 2" xfId="24803"/>
    <cellStyle name="표준 5 2 2 3 2 2 2 5" xfId="24804"/>
    <cellStyle name="표준 5 2 2 3 2 2 3" xfId="24805"/>
    <cellStyle name="표준 5 2 2 3 2 2 3 2" xfId="24806"/>
    <cellStyle name="표준 5 2 2 3 2 2 3 2 2" xfId="24807"/>
    <cellStyle name="표준 5 2 2 3 2 2 3 2 2 2" xfId="24808"/>
    <cellStyle name="표준 5 2 2 3 2 2 3 2 3" xfId="24809"/>
    <cellStyle name="표준 5 2 2 3 2 2 3 3" xfId="24810"/>
    <cellStyle name="표준 5 2 2 3 2 2 3 3 2" xfId="24811"/>
    <cellStyle name="표준 5 2 2 3 2 2 3 4" xfId="24812"/>
    <cellStyle name="표준 5 2 2 3 2 2 4" xfId="24813"/>
    <cellStyle name="표준 5 2 2 3 2 2 4 2" xfId="24814"/>
    <cellStyle name="표준 5 2 2 3 2 2 4 2 2" xfId="24815"/>
    <cellStyle name="표준 5 2 2 3 2 2 4 3" xfId="24816"/>
    <cellStyle name="표준 5 2 2 3 2 2 5" xfId="24817"/>
    <cellStyle name="표준 5 2 2 3 2 2 5 2" xfId="24818"/>
    <cellStyle name="표준 5 2 2 3 2 2 6" xfId="24819"/>
    <cellStyle name="표준 5 2 2 3 2 3" xfId="24820"/>
    <cellStyle name="표준 5 2 2 3 2 3 2" xfId="24821"/>
    <cellStyle name="표준 5 2 2 3 2 3 2 2" xfId="24822"/>
    <cellStyle name="표준 5 2 2 3 2 3 2 2 2" xfId="24823"/>
    <cellStyle name="표준 5 2 2 3 2 3 2 2 2 2" xfId="24824"/>
    <cellStyle name="표준 5 2 2 3 2 3 2 2 3" xfId="24825"/>
    <cellStyle name="표준 5 2 2 3 2 3 2 3" xfId="24826"/>
    <cellStyle name="표준 5 2 2 3 2 3 2 3 2" xfId="24827"/>
    <cellStyle name="표준 5 2 2 3 2 3 2 4" xfId="24828"/>
    <cellStyle name="표준 5 2 2 3 2 3 3" xfId="24829"/>
    <cellStyle name="표준 5 2 2 3 2 3 3 2" xfId="24830"/>
    <cellStyle name="표준 5 2 2 3 2 3 3 2 2" xfId="24831"/>
    <cellStyle name="표준 5 2 2 3 2 3 3 3" xfId="24832"/>
    <cellStyle name="표준 5 2 2 3 2 3 4" xfId="24833"/>
    <cellStyle name="표준 5 2 2 3 2 3 4 2" xfId="24834"/>
    <cellStyle name="표준 5 2 2 3 2 3 5" xfId="24835"/>
    <cellStyle name="표준 5 2 2 3 2 4" xfId="24836"/>
    <cellStyle name="표준 5 2 2 3 2 4 2" xfId="24837"/>
    <cellStyle name="표준 5 2 2 3 2 4 2 2" xfId="24838"/>
    <cellStyle name="표준 5 2 2 3 2 4 2 2 2" xfId="24839"/>
    <cellStyle name="표준 5 2 2 3 2 4 2 3" xfId="24840"/>
    <cellStyle name="표준 5 2 2 3 2 4 3" xfId="24841"/>
    <cellStyle name="표준 5 2 2 3 2 4 3 2" xfId="24842"/>
    <cellStyle name="표준 5 2 2 3 2 4 4" xfId="24843"/>
    <cellStyle name="표준 5 2 2 3 2 5" xfId="24844"/>
    <cellStyle name="표준 5 2 2 3 2 5 2" xfId="24845"/>
    <cellStyle name="표준 5 2 2 3 2 5 2 2" xfId="24846"/>
    <cellStyle name="표준 5 2 2 3 2 5 3" xfId="24847"/>
    <cellStyle name="표준 5 2 2 3 2 6" xfId="24848"/>
    <cellStyle name="표준 5 2 2 3 2 6 2" xfId="24849"/>
    <cellStyle name="표준 5 2 2 3 2 7" xfId="24850"/>
    <cellStyle name="표준 5 2 2 3 2 8" xfId="24851"/>
    <cellStyle name="표준 5 2 2 3 3" xfId="24852"/>
    <cellStyle name="표준 5 2 2 3 3 2" xfId="24853"/>
    <cellStyle name="표준 5 2 2 3 3 2 2" xfId="24854"/>
    <cellStyle name="표준 5 2 2 3 3 2 2 2" xfId="24855"/>
    <cellStyle name="표준 5 2 2 3 3 2 2 2 2" xfId="24856"/>
    <cellStyle name="표준 5 2 2 3 3 2 2 2 2 2" xfId="24857"/>
    <cellStyle name="표준 5 2 2 3 3 2 2 2 3" xfId="24858"/>
    <cellStyle name="표준 5 2 2 3 3 2 2 3" xfId="24859"/>
    <cellStyle name="표준 5 2 2 3 3 2 2 3 2" xfId="24860"/>
    <cellStyle name="표준 5 2 2 3 3 2 2 4" xfId="24861"/>
    <cellStyle name="표준 5 2 2 3 3 2 3" xfId="24862"/>
    <cellStyle name="표준 5 2 2 3 3 2 3 2" xfId="24863"/>
    <cellStyle name="표준 5 2 2 3 3 2 3 2 2" xfId="24864"/>
    <cellStyle name="표준 5 2 2 3 3 2 3 3" xfId="24865"/>
    <cellStyle name="표준 5 2 2 3 3 2 4" xfId="24866"/>
    <cellStyle name="표준 5 2 2 3 3 2 4 2" xfId="24867"/>
    <cellStyle name="표준 5 2 2 3 3 2 5" xfId="24868"/>
    <cellStyle name="표준 5 2 2 3 3 3" xfId="24869"/>
    <cellStyle name="표준 5 2 2 3 3 3 2" xfId="24870"/>
    <cellStyle name="표준 5 2 2 3 3 3 2 2" xfId="24871"/>
    <cellStyle name="표준 5 2 2 3 3 3 2 2 2" xfId="24872"/>
    <cellStyle name="표준 5 2 2 3 3 3 2 3" xfId="24873"/>
    <cellStyle name="표준 5 2 2 3 3 3 3" xfId="24874"/>
    <cellStyle name="표준 5 2 2 3 3 3 3 2" xfId="24875"/>
    <cellStyle name="표준 5 2 2 3 3 3 4" xfId="24876"/>
    <cellStyle name="표준 5 2 2 3 3 4" xfId="24877"/>
    <cellStyle name="표준 5 2 2 3 3 4 2" xfId="24878"/>
    <cellStyle name="표준 5 2 2 3 3 4 2 2" xfId="24879"/>
    <cellStyle name="표준 5 2 2 3 3 4 3" xfId="24880"/>
    <cellStyle name="표준 5 2 2 3 3 5" xfId="24881"/>
    <cellStyle name="표준 5 2 2 3 3 5 2" xfId="24882"/>
    <cellStyle name="표준 5 2 2 3 3 6" xfId="24883"/>
    <cellStyle name="표준 5 2 2 3 4" xfId="24884"/>
    <cellStyle name="표준 5 2 2 3 4 2" xfId="24885"/>
    <cellStyle name="표준 5 2 2 3 4 2 2" xfId="24886"/>
    <cellStyle name="표준 5 2 2 3 4 2 2 2" xfId="24887"/>
    <cellStyle name="표준 5 2 2 3 4 2 2 2 2" xfId="24888"/>
    <cellStyle name="표준 5 2 2 3 4 2 2 3" xfId="24889"/>
    <cellStyle name="표준 5 2 2 3 4 2 3" xfId="24890"/>
    <cellStyle name="표준 5 2 2 3 4 2 3 2" xfId="24891"/>
    <cellStyle name="표준 5 2 2 3 4 2 4" xfId="24892"/>
    <cellStyle name="표준 5 2 2 3 4 3" xfId="24893"/>
    <cellStyle name="표준 5 2 2 3 4 3 2" xfId="24894"/>
    <cellStyle name="표준 5 2 2 3 4 3 2 2" xfId="24895"/>
    <cellStyle name="표준 5 2 2 3 4 3 3" xfId="24896"/>
    <cellStyle name="표준 5 2 2 3 4 4" xfId="24897"/>
    <cellStyle name="표준 5 2 2 3 4 4 2" xfId="24898"/>
    <cellStyle name="표준 5 2 2 3 4 5" xfId="24899"/>
    <cellStyle name="표준 5 2 2 3 5" xfId="24900"/>
    <cellStyle name="표준 5 2 2 3 5 2" xfId="24901"/>
    <cellStyle name="표준 5 2 2 3 5 2 2" xfId="24902"/>
    <cellStyle name="표준 5 2 2 3 5 2 2 2" xfId="24903"/>
    <cellStyle name="표준 5 2 2 3 5 2 3" xfId="24904"/>
    <cellStyle name="표준 5 2 2 3 5 3" xfId="24905"/>
    <cellStyle name="표준 5 2 2 3 5 3 2" xfId="24906"/>
    <cellStyle name="표준 5 2 2 3 5 4" xfId="24907"/>
    <cellStyle name="표준 5 2 2 3 6" xfId="24908"/>
    <cellStyle name="표준 5 2 2 3 6 2" xfId="24909"/>
    <cellStyle name="표준 5 2 2 3 6 2 2" xfId="24910"/>
    <cellStyle name="표준 5 2 2 3 6 3" xfId="24911"/>
    <cellStyle name="표준 5 2 2 3 7" xfId="24912"/>
    <cellStyle name="표준 5 2 2 3 7 2" xfId="24913"/>
    <cellStyle name="표준 5 2 2 3 8" xfId="24914"/>
    <cellStyle name="표준 5 2 2 3 9" xfId="24915"/>
    <cellStyle name="표준 5 2 2 4" xfId="24916"/>
    <cellStyle name="표준 5 2 2 4 2" xfId="24917"/>
    <cellStyle name="표준 5 2 2 4 2 2" xfId="24918"/>
    <cellStyle name="표준 5 2 2 4 2 2 2" xfId="24919"/>
    <cellStyle name="표준 5 2 2 4 2 2 2 2" xfId="24920"/>
    <cellStyle name="표준 5 2 2 4 2 2 2 2 2" xfId="24921"/>
    <cellStyle name="표준 5 2 2 4 2 2 2 2 2 2" xfId="24922"/>
    <cellStyle name="표준 5 2 2 4 2 2 2 2 3" xfId="24923"/>
    <cellStyle name="표준 5 2 2 4 2 2 2 3" xfId="24924"/>
    <cellStyle name="표준 5 2 2 4 2 2 2 3 2" xfId="24925"/>
    <cellStyle name="표준 5 2 2 4 2 2 2 4" xfId="24926"/>
    <cellStyle name="표준 5 2 2 4 2 2 3" xfId="24927"/>
    <cellStyle name="표준 5 2 2 4 2 2 3 2" xfId="24928"/>
    <cellStyle name="표준 5 2 2 4 2 2 3 2 2" xfId="24929"/>
    <cellStyle name="표준 5 2 2 4 2 2 3 3" xfId="24930"/>
    <cellStyle name="표준 5 2 2 4 2 2 4" xfId="24931"/>
    <cellStyle name="표준 5 2 2 4 2 2 4 2" xfId="24932"/>
    <cellStyle name="표준 5 2 2 4 2 2 5" xfId="24933"/>
    <cellStyle name="표준 5 2 2 4 2 3" xfId="24934"/>
    <cellStyle name="표준 5 2 2 4 2 3 2" xfId="24935"/>
    <cellStyle name="표준 5 2 2 4 2 3 2 2" xfId="24936"/>
    <cellStyle name="표준 5 2 2 4 2 3 2 2 2" xfId="24937"/>
    <cellStyle name="표준 5 2 2 4 2 3 2 3" xfId="24938"/>
    <cellStyle name="표준 5 2 2 4 2 3 3" xfId="24939"/>
    <cellStyle name="표준 5 2 2 4 2 3 3 2" xfId="24940"/>
    <cellStyle name="표준 5 2 2 4 2 3 4" xfId="24941"/>
    <cellStyle name="표준 5 2 2 4 2 4" xfId="24942"/>
    <cellStyle name="표준 5 2 2 4 2 4 2" xfId="24943"/>
    <cellStyle name="표준 5 2 2 4 2 4 2 2" xfId="24944"/>
    <cellStyle name="표준 5 2 2 4 2 4 3" xfId="24945"/>
    <cellStyle name="표준 5 2 2 4 2 5" xfId="24946"/>
    <cellStyle name="표준 5 2 2 4 2 5 2" xfId="24947"/>
    <cellStyle name="표준 5 2 2 4 2 6" xfId="24948"/>
    <cellStyle name="표준 5 2 2 4 3" xfId="24949"/>
    <cellStyle name="표준 5 2 2 4 3 2" xfId="24950"/>
    <cellStyle name="표준 5 2 2 4 3 2 2" xfId="24951"/>
    <cellStyle name="표준 5 2 2 4 3 2 2 2" xfId="24952"/>
    <cellStyle name="표준 5 2 2 4 3 2 2 2 2" xfId="24953"/>
    <cellStyle name="표준 5 2 2 4 3 2 2 3" xfId="24954"/>
    <cellStyle name="표준 5 2 2 4 3 2 3" xfId="24955"/>
    <cellStyle name="표준 5 2 2 4 3 2 3 2" xfId="24956"/>
    <cellStyle name="표준 5 2 2 4 3 2 4" xfId="24957"/>
    <cellStyle name="표준 5 2 2 4 3 3" xfId="24958"/>
    <cellStyle name="표준 5 2 2 4 3 3 2" xfId="24959"/>
    <cellStyle name="표준 5 2 2 4 3 3 2 2" xfId="24960"/>
    <cellStyle name="표준 5 2 2 4 3 3 3" xfId="24961"/>
    <cellStyle name="표준 5 2 2 4 3 4" xfId="24962"/>
    <cellStyle name="표준 5 2 2 4 3 4 2" xfId="24963"/>
    <cellStyle name="표준 5 2 2 4 3 5" xfId="24964"/>
    <cellStyle name="표준 5 2 2 4 4" xfId="24965"/>
    <cellStyle name="표준 5 2 2 4 4 2" xfId="24966"/>
    <cellStyle name="표준 5 2 2 4 4 2 2" xfId="24967"/>
    <cellStyle name="표준 5 2 2 4 4 2 2 2" xfId="24968"/>
    <cellStyle name="표준 5 2 2 4 4 2 3" xfId="24969"/>
    <cellStyle name="표준 5 2 2 4 4 3" xfId="24970"/>
    <cellStyle name="표준 5 2 2 4 4 3 2" xfId="24971"/>
    <cellStyle name="표준 5 2 2 4 4 4" xfId="24972"/>
    <cellStyle name="표준 5 2 2 4 5" xfId="24973"/>
    <cellStyle name="표준 5 2 2 4 5 2" xfId="24974"/>
    <cellStyle name="표준 5 2 2 4 5 2 2" xfId="24975"/>
    <cellStyle name="표준 5 2 2 4 5 3" xfId="24976"/>
    <cellStyle name="표준 5 2 2 4 6" xfId="24977"/>
    <cellStyle name="표준 5 2 2 4 6 2" xfId="24978"/>
    <cellStyle name="표준 5 2 2 4 7" xfId="24979"/>
    <cellStyle name="표준 5 2 2 4 8" xfId="24980"/>
    <cellStyle name="표준 5 2 2 5" xfId="24981"/>
    <cellStyle name="표준 5 2 2 5 2" xfId="24982"/>
    <cellStyle name="표준 5 2 2 5 2 2" xfId="24983"/>
    <cellStyle name="표준 5 2 2 5 2 2 2" xfId="24984"/>
    <cellStyle name="표준 5 2 2 5 2 2 2 2" xfId="24985"/>
    <cellStyle name="표준 5 2 2 5 2 2 2 2 2" xfId="24986"/>
    <cellStyle name="표준 5 2 2 5 2 2 2 3" xfId="24987"/>
    <cellStyle name="표준 5 2 2 5 2 2 3" xfId="24988"/>
    <cellStyle name="표준 5 2 2 5 2 2 3 2" xfId="24989"/>
    <cellStyle name="표준 5 2 2 5 2 2 4" xfId="24990"/>
    <cellStyle name="표준 5 2 2 5 2 3" xfId="24991"/>
    <cellStyle name="표준 5 2 2 5 2 3 2" xfId="24992"/>
    <cellStyle name="표준 5 2 2 5 2 3 2 2" xfId="24993"/>
    <cellStyle name="표준 5 2 2 5 2 3 3" xfId="24994"/>
    <cellStyle name="표준 5 2 2 5 2 4" xfId="24995"/>
    <cellStyle name="표준 5 2 2 5 2 4 2" xfId="24996"/>
    <cellStyle name="표준 5 2 2 5 2 5" xfId="24997"/>
    <cellStyle name="표준 5 2 2 5 3" xfId="24998"/>
    <cellStyle name="표준 5 2 2 5 3 2" xfId="24999"/>
    <cellStyle name="표준 5 2 2 5 3 2 2" xfId="25000"/>
    <cellStyle name="표준 5 2 2 5 3 2 2 2" xfId="25001"/>
    <cellStyle name="표준 5 2 2 5 3 2 3" xfId="25002"/>
    <cellStyle name="표준 5 2 2 5 3 3" xfId="25003"/>
    <cellStyle name="표준 5 2 2 5 3 3 2" xfId="25004"/>
    <cellStyle name="표준 5 2 2 5 3 4" xfId="25005"/>
    <cellStyle name="표준 5 2 2 5 4" xfId="25006"/>
    <cellStyle name="표준 5 2 2 5 4 2" xfId="25007"/>
    <cellStyle name="표준 5 2 2 5 4 2 2" xfId="25008"/>
    <cellStyle name="표준 5 2 2 5 4 3" xfId="25009"/>
    <cellStyle name="표준 5 2 2 5 5" xfId="25010"/>
    <cellStyle name="표준 5 2 2 5 5 2" xfId="25011"/>
    <cellStyle name="표준 5 2 2 5 6" xfId="25012"/>
    <cellStyle name="표준 5 2 2 6" xfId="25013"/>
    <cellStyle name="표준 5 2 2 6 2" xfId="25014"/>
    <cellStyle name="표준 5 2 2 6 2 2" xfId="25015"/>
    <cellStyle name="표준 5 2 2 6 2 2 2" xfId="25016"/>
    <cellStyle name="표준 5 2 2 6 2 2 2 2" xfId="25017"/>
    <cellStyle name="표준 5 2 2 6 2 2 3" xfId="25018"/>
    <cellStyle name="표준 5 2 2 6 2 3" xfId="25019"/>
    <cellStyle name="표준 5 2 2 6 2 3 2" xfId="25020"/>
    <cellStyle name="표준 5 2 2 6 2 4" xfId="25021"/>
    <cellStyle name="표준 5 2 2 6 3" xfId="25022"/>
    <cellStyle name="표준 5 2 2 6 3 2" xfId="25023"/>
    <cellStyle name="표준 5 2 2 6 3 2 2" xfId="25024"/>
    <cellStyle name="표준 5 2 2 6 3 3" xfId="25025"/>
    <cellStyle name="표준 5 2 2 6 4" xfId="25026"/>
    <cellStyle name="표준 5 2 2 6 4 2" xfId="25027"/>
    <cellStyle name="표준 5 2 2 6 5" xfId="25028"/>
    <cellStyle name="표준 5 2 2 7" xfId="25029"/>
    <cellStyle name="표준 5 2 2 7 2" xfId="25030"/>
    <cellStyle name="표준 5 2 2 7 2 2" xfId="25031"/>
    <cellStyle name="표준 5 2 2 7 2 2 2" xfId="25032"/>
    <cellStyle name="표준 5 2 2 7 2 3" xfId="25033"/>
    <cellStyle name="표준 5 2 2 7 3" xfId="25034"/>
    <cellStyle name="표준 5 2 2 7 3 2" xfId="25035"/>
    <cellStyle name="표준 5 2 2 7 4" xfId="25036"/>
    <cellStyle name="표준 5 2 2 8" xfId="25037"/>
    <cellStyle name="표준 5 2 2 8 2" xfId="25038"/>
    <cellStyle name="표준 5 2 2 8 2 2" xfId="25039"/>
    <cellStyle name="표준 5 2 2 8 3" xfId="25040"/>
    <cellStyle name="표준 5 2 2 9" xfId="25041"/>
    <cellStyle name="표준 5 2 2 9 2" xfId="25042"/>
    <cellStyle name="표준 5 2 3" xfId="25043"/>
    <cellStyle name="표준 5 2 3 10" xfId="25044"/>
    <cellStyle name="표준 5 2 3 2" xfId="25045"/>
    <cellStyle name="표준 5 2 3 2 2" xfId="25046"/>
    <cellStyle name="표준 5 2 3 2 2 2" xfId="25047"/>
    <cellStyle name="표준 5 2 3 2 2 2 2" xfId="25048"/>
    <cellStyle name="표준 5 2 3 2 2 2 2 2" xfId="25049"/>
    <cellStyle name="표준 5 2 3 2 2 2 2 2 2" xfId="25050"/>
    <cellStyle name="표준 5 2 3 2 2 2 2 2 2 2" xfId="25051"/>
    <cellStyle name="표준 5 2 3 2 2 2 2 2 2 2 2" xfId="25052"/>
    <cellStyle name="표준 5 2 3 2 2 2 2 2 2 3" xfId="25053"/>
    <cellStyle name="표준 5 2 3 2 2 2 2 2 3" xfId="25054"/>
    <cellStyle name="표준 5 2 3 2 2 2 2 2 3 2" xfId="25055"/>
    <cellStyle name="표준 5 2 3 2 2 2 2 2 4" xfId="25056"/>
    <cellStyle name="표준 5 2 3 2 2 2 2 3" xfId="25057"/>
    <cellStyle name="표준 5 2 3 2 2 2 2 3 2" xfId="25058"/>
    <cellStyle name="표준 5 2 3 2 2 2 2 3 2 2" xfId="25059"/>
    <cellStyle name="표준 5 2 3 2 2 2 2 3 3" xfId="25060"/>
    <cellStyle name="표준 5 2 3 2 2 2 2 4" xfId="25061"/>
    <cellStyle name="표준 5 2 3 2 2 2 2 4 2" xfId="25062"/>
    <cellStyle name="표준 5 2 3 2 2 2 2 5" xfId="25063"/>
    <cellStyle name="표준 5 2 3 2 2 2 3" xfId="25064"/>
    <cellStyle name="표준 5 2 3 2 2 2 3 2" xfId="25065"/>
    <cellStyle name="표준 5 2 3 2 2 2 3 2 2" xfId="25066"/>
    <cellStyle name="표준 5 2 3 2 2 2 3 2 2 2" xfId="25067"/>
    <cellStyle name="표준 5 2 3 2 2 2 3 2 3" xfId="25068"/>
    <cellStyle name="표준 5 2 3 2 2 2 3 3" xfId="25069"/>
    <cellStyle name="표준 5 2 3 2 2 2 3 3 2" xfId="25070"/>
    <cellStyle name="표준 5 2 3 2 2 2 3 4" xfId="25071"/>
    <cellStyle name="표준 5 2 3 2 2 2 4" xfId="25072"/>
    <cellStyle name="표준 5 2 3 2 2 2 4 2" xfId="25073"/>
    <cellStyle name="표준 5 2 3 2 2 2 4 2 2" xfId="25074"/>
    <cellStyle name="표준 5 2 3 2 2 2 4 3" xfId="25075"/>
    <cellStyle name="표준 5 2 3 2 2 2 5" xfId="25076"/>
    <cellStyle name="표준 5 2 3 2 2 2 5 2" xfId="25077"/>
    <cellStyle name="표준 5 2 3 2 2 2 6" xfId="25078"/>
    <cellStyle name="표준 5 2 3 2 2 3" xfId="25079"/>
    <cellStyle name="표준 5 2 3 2 2 3 2" xfId="25080"/>
    <cellStyle name="표준 5 2 3 2 2 3 2 2" xfId="25081"/>
    <cellStyle name="표준 5 2 3 2 2 3 2 2 2" xfId="25082"/>
    <cellStyle name="표준 5 2 3 2 2 3 2 2 2 2" xfId="25083"/>
    <cellStyle name="표준 5 2 3 2 2 3 2 2 3" xfId="25084"/>
    <cellStyle name="표준 5 2 3 2 2 3 2 3" xfId="25085"/>
    <cellStyle name="표준 5 2 3 2 2 3 2 3 2" xfId="25086"/>
    <cellStyle name="표준 5 2 3 2 2 3 2 4" xfId="25087"/>
    <cellStyle name="표준 5 2 3 2 2 3 3" xfId="25088"/>
    <cellStyle name="표준 5 2 3 2 2 3 3 2" xfId="25089"/>
    <cellStyle name="표준 5 2 3 2 2 3 3 2 2" xfId="25090"/>
    <cellStyle name="표준 5 2 3 2 2 3 3 3" xfId="25091"/>
    <cellStyle name="표준 5 2 3 2 2 3 4" xfId="25092"/>
    <cellStyle name="표준 5 2 3 2 2 3 4 2" xfId="25093"/>
    <cellStyle name="표준 5 2 3 2 2 3 5" xfId="25094"/>
    <cellStyle name="표준 5 2 3 2 2 4" xfId="25095"/>
    <cellStyle name="표준 5 2 3 2 2 4 2" xfId="25096"/>
    <cellStyle name="표준 5 2 3 2 2 4 2 2" xfId="25097"/>
    <cellStyle name="표준 5 2 3 2 2 4 2 2 2" xfId="25098"/>
    <cellStyle name="표준 5 2 3 2 2 4 2 3" xfId="25099"/>
    <cellStyle name="표준 5 2 3 2 2 4 3" xfId="25100"/>
    <cellStyle name="표준 5 2 3 2 2 4 3 2" xfId="25101"/>
    <cellStyle name="표준 5 2 3 2 2 4 4" xfId="25102"/>
    <cellStyle name="표준 5 2 3 2 2 5" xfId="25103"/>
    <cellStyle name="표준 5 2 3 2 2 5 2" xfId="25104"/>
    <cellStyle name="표준 5 2 3 2 2 5 2 2" xfId="25105"/>
    <cellStyle name="표준 5 2 3 2 2 5 3" xfId="25106"/>
    <cellStyle name="표준 5 2 3 2 2 6" xfId="25107"/>
    <cellStyle name="표준 5 2 3 2 2 6 2" xfId="25108"/>
    <cellStyle name="표준 5 2 3 2 2 7" xfId="25109"/>
    <cellStyle name="표준 5 2 3 2 2 8" xfId="25110"/>
    <cellStyle name="표준 5 2 3 2 3" xfId="25111"/>
    <cellStyle name="표준 5 2 3 2 3 2" xfId="25112"/>
    <cellStyle name="표준 5 2 3 2 3 2 2" xfId="25113"/>
    <cellStyle name="표준 5 2 3 2 3 2 2 2" xfId="25114"/>
    <cellStyle name="표준 5 2 3 2 3 2 2 2 2" xfId="25115"/>
    <cellStyle name="표준 5 2 3 2 3 2 2 2 2 2" xfId="25116"/>
    <cellStyle name="표준 5 2 3 2 3 2 2 2 3" xfId="25117"/>
    <cellStyle name="표준 5 2 3 2 3 2 2 3" xfId="25118"/>
    <cellStyle name="표준 5 2 3 2 3 2 2 3 2" xfId="25119"/>
    <cellStyle name="표준 5 2 3 2 3 2 2 4" xfId="25120"/>
    <cellStyle name="표준 5 2 3 2 3 2 3" xfId="25121"/>
    <cellStyle name="표준 5 2 3 2 3 2 3 2" xfId="25122"/>
    <cellStyle name="표준 5 2 3 2 3 2 3 2 2" xfId="25123"/>
    <cellStyle name="표준 5 2 3 2 3 2 3 3" xfId="25124"/>
    <cellStyle name="표준 5 2 3 2 3 2 4" xfId="25125"/>
    <cellStyle name="표준 5 2 3 2 3 2 4 2" xfId="25126"/>
    <cellStyle name="표준 5 2 3 2 3 2 5" xfId="25127"/>
    <cellStyle name="표준 5 2 3 2 3 3" xfId="25128"/>
    <cellStyle name="표준 5 2 3 2 3 3 2" xfId="25129"/>
    <cellStyle name="표준 5 2 3 2 3 3 2 2" xfId="25130"/>
    <cellStyle name="표준 5 2 3 2 3 3 2 2 2" xfId="25131"/>
    <cellStyle name="표준 5 2 3 2 3 3 2 3" xfId="25132"/>
    <cellStyle name="표준 5 2 3 2 3 3 3" xfId="25133"/>
    <cellStyle name="표준 5 2 3 2 3 3 3 2" xfId="25134"/>
    <cellStyle name="표준 5 2 3 2 3 3 4" xfId="25135"/>
    <cellStyle name="표준 5 2 3 2 3 4" xfId="25136"/>
    <cellStyle name="표준 5 2 3 2 3 4 2" xfId="25137"/>
    <cellStyle name="표준 5 2 3 2 3 4 2 2" xfId="25138"/>
    <cellStyle name="표준 5 2 3 2 3 4 3" xfId="25139"/>
    <cellStyle name="표준 5 2 3 2 3 5" xfId="25140"/>
    <cellStyle name="표준 5 2 3 2 3 5 2" xfId="25141"/>
    <cellStyle name="표준 5 2 3 2 3 6" xfId="25142"/>
    <cellStyle name="표준 5 2 3 2 4" xfId="25143"/>
    <cellStyle name="표준 5 2 3 2 4 2" xfId="25144"/>
    <cellStyle name="표준 5 2 3 2 4 2 2" xfId="25145"/>
    <cellStyle name="표준 5 2 3 2 4 2 2 2" xfId="25146"/>
    <cellStyle name="표준 5 2 3 2 4 2 2 2 2" xfId="25147"/>
    <cellStyle name="표준 5 2 3 2 4 2 2 3" xfId="25148"/>
    <cellStyle name="표준 5 2 3 2 4 2 3" xfId="25149"/>
    <cellStyle name="표준 5 2 3 2 4 2 3 2" xfId="25150"/>
    <cellStyle name="표준 5 2 3 2 4 2 4" xfId="25151"/>
    <cellStyle name="표준 5 2 3 2 4 3" xfId="25152"/>
    <cellStyle name="표준 5 2 3 2 4 3 2" xfId="25153"/>
    <cellStyle name="표준 5 2 3 2 4 3 2 2" xfId="25154"/>
    <cellStyle name="표준 5 2 3 2 4 3 3" xfId="25155"/>
    <cellStyle name="표준 5 2 3 2 4 4" xfId="25156"/>
    <cellStyle name="표준 5 2 3 2 4 4 2" xfId="25157"/>
    <cellStyle name="표준 5 2 3 2 4 5" xfId="25158"/>
    <cellStyle name="표준 5 2 3 2 5" xfId="25159"/>
    <cellStyle name="표준 5 2 3 2 5 2" xfId="25160"/>
    <cellStyle name="표준 5 2 3 2 5 2 2" xfId="25161"/>
    <cellStyle name="표준 5 2 3 2 5 2 2 2" xfId="25162"/>
    <cellStyle name="표준 5 2 3 2 5 2 3" xfId="25163"/>
    <cellStyle name="표준 5 2 3 2 5 3" xfId="25164"/>
    <cellStyle name="표준 5 2 3 2 5 3 2" xfId="25165"/>
    <cellStyle name="표준 5 2 3 2 5 4" xfId="25166"/>
    <cellStyle name="표준 5 2 3 2 6" xfId="25167"/>
    <cellStyle name="표준 5 2 3 2 6 2" xfId="25168"/>
    <cellStyle name="표준 5 2 3 2 6 2 2" xfId="25169"/>
    <cellStyle name="표준 5 2 3 2 6 3" xfId="25170"/>
    <cellStyle name="표준 5 2 3 2 7" xfId="25171"/>
    <cellStyle name="표준 5 2 3 2 7 2" xfId="25172"/>
    <cellStyle name="표준 5 2 3 2 8" xfId="25173"/>
    <cellStyle name="표준 5 2 3 2 9" xfId="25174"/>
    <cellStyle name="표준 5 2 3 3" xfId="25175"/>
    <cellStyle name="표준 5 2 3 3 2" xfId="25176"/>
    <cellStyle name="표준 5 2 3 3 2 2" xfId="25177"/>
    <cellStyle name="표준 5 2 3 3 2 2 2" xfId="25178"/>
    <cellStyle name="표준 5 2 3 3 2 2 2 2" xfId="25179"/>
    <cellStyle name="표준 5 2 3 3 2 2 2 2 2" xfId="25180"/>
    <cellStyle name="표준 5 2 3 3 2 2 2 2 2 2" xfId="25181"/>
    <cellStyle name="표준 5 2 3 3 2 2 2 2 3" xfId="25182"/>
    <cellStyle name="표준 5 2 3 3 2 2 2 3" xfId="25183"/>
    <cellStyle name="표준 5 2 3 3 2 2 2 3 2" xfId="25184"/>
    <cellStyle name="표준 5 2 3 3 2 2 2 4" xfId="25185"/>
    <cellStyle name="표준 5 2 3 3 2 2 3" xfId="25186"/>
    <cellStyle name="표준 5 2 3 3 2 2 3 2" xfId="25187"/>
    <cellStyle name="표준 5 2 3 3 2 2 3 2 2" xfId="25188"/>
    <cellStyle name="표준 5 2 3 3 2 2 3 3" xfId="25189"/>
    <cellStyle name="표준 5 2 3 3 2 2 4" xfId="25190"/>
    <cellStyle name="표준 5 2 3 3 2 2 4 2" xfId="25191"/>
    <cellStyle name="표준 5 2 3 3 2 2 5" xfId="25192"/>
    <cellStyle name="표준 5 2 3 3 2 3" xfId="25193"/>
    <cellStyle name="표준 5 2 3 3 2 3 2" xfId="25194"/>
    <cellStyle name="표준 5 2 3 3 2 3 2 2" xfId="25195"/>
    <cellStyle name="표준 5 2 3 3 2 3 2 2 2" xfId="25196"/>
    <cellStyle name="표준 5 2 3 3 2 3 2 3" xfId="25197"/>
    <cellStyle name="표준 5 2 3 3 2 3 3" xfId="25198"/>
    <cellStyle name="표준 5 2 3 3 2 3 3 2" xfId="25199"/>
    <cellStyle name="표준 5 2 3 3 2 3 4" xfId="25200"/>
    <cellStyle name="표준 5 2 3 3 2 4" xfId="25201"/>
    <cellStyle name="표준 5 2 3 3 2 4 2" xfId="25202"/>
    <cellStyle name="표준 5 2 3 3 2 4 2 2" xfId="25203"/>
    <cellStyle name="표준 5 2 3 3 2 4 3" xfId="25204"/>
    <cellStyle name="표준 5 2 3 3 2 5" xfId="25205"/>
    <cellStyle name="표준 5 2 3 3 2 5 2" xfId="25206"/>
    <cellStyle name="표준 5 2 3 3 2 6" xfId="25207"/>
    <cellStyle name="표준 5 2 3 3 3" xfId="25208"/>
    <cellStyle name="표준 5 2 3 3 3 2" xfId="25209"/>
    <cellStyle name="표준 5 2 3 3 3 2 2" xfId="25210"/>
    <cellStyle name="표준 5 2 3 3 3 2 2 2" xfId="25211"/>
    <cellStyle name="표준 5 2 3 3 3 2 2 2 2" xfId="25212"/>
    <cellStyle name="표준 5 2 3 3 3 2 2 3" xfId="25213"/>
    <cellStyle name="표준 5 2 3 3 3 2 3" xfId="25214"/>
    <cellStyle name="표준 5 2 3 3 3 2 3 2" xfId="25215"/>
    <cellStyle name="표준 5 2 3 3 3 2 4" xfId="25216"/>
    <cellStyle name="표준 5 2 3 3 3 3" xfId="25217"/>
    <cellStyle name="표준 5 2 3 3 3 3 2" xfId="25218"/>
    <cellStyle name="표준 5 2 3 3 3 3 2 2" xfId="25219"/>
    <cellStyle name="표준 5 2 3 3 3 3 3" xfId="25220"/>
    <cellStyle name="표준 5 2 3 3 3 4" xfId="25221"/>
    <cellStyle name="표준 5 2 3 3 3 4 2" xfId="25222"/>
    <cellStyle name="표준 5 2 3 3 3 5" xfId="25223"/>
    <cellStyle name="표준 5 2 3 3 4" xfId="25224"/>
    <cellStyle name="표준 5 2 3 3 4 2" xfId="25225"/>
    <cellStyle name="표준 5 2 3 3 4 2 2" xfId="25226"/>
    <cellStyle name="표준 5 2 3 3 4 2 2 2" xfId="25227"/>
    <cellStyle name="표준 5 2 3 3 4 2 3" xfId="25228"/>
    <cellStyle name="표준 5 2 3 3 4 3" xfId="25229"/>
    <cellStyle name="표준 5 2 3 3 4 3 2" xfId="25230"/>
    <cellStyle name="표준 5 2 3 3 4 4" xfId="25231"/>
    <cellStyle name="표준 5 2 3 3 5" xfId="25232"/>
    <cellStyle name="표준 5 2 3 3 5 2" xfId="25233"/>
    <cellStyle name="표준 5 2 3 3 5 2 2" xfId="25234"/>
    <cellStyle name="표준 5 2 3 3 5 3" xfId="25235"/>
    <cellStyle name="표준 5 2 3 3 6" xfId="25236"/>
    <cellStyle name="표준 5 2 3 3 6 2" xfId="25237"/>
    <cellStyle name="표준 5 2 3 3 7" xfId="25238"/>
    <cellStyle name="표준 5 2 3 3 8" xfId="25239"/>
    <cellStyle name="표준 5 2 3 4" xfId="25240"/>
    <cellStyle name="표준 5 2 3 4 2" xfId="25241"/>
    <cellStyle name="표준 5 2 3 4 2 2" xfId="25242"/>
    <cellStyle name="표준 5 2 3 4 2 2 2" xfId="25243"/>
    <cellStyle name="표준 5 2 3 4 2 2 2 2" xfId="25244"/>
    <cellStyle name="표준 5 2 3 4 2 2 2 2 2" xfId="25245"/>
    <cellStyle name="표준 5 2 3 4 2 2 2 3" xfId="25246"/>
    <cellStyle name="표준 5 2 3 4 2 2 3" xfId="25247"/>
    <cellStyle name="표준 5 2 3 4 2 2 3 2" xfId="25248"/>
    <cellStyle name="표준 5 2 3 4 2 2 4" xfId="25249"/>
    <cellStyle name="표준 5 2 3 4 2 3" xfId="25250"/>
    <cellStyle name="표준 5 2 3 4 2 3 2" xfId="25251"/>
    <cellStyle name="표준 5 2 3 4 2 3 2 2" xfId="25252"/>
    <cellStyle name="표준 5 2 3 4 2 3 3" xfId="25253"/>
    <cellStyle name="표준 5 2 3 4 2 4" xfId="25254"/>
    <cellStyle name="표준 5 2 3 4 2 4 2" xfId="25255"/>
    <cellStyle name="표준 5 2 3 4 2 5" xfId="25256"/>
    <cellStyle name="표준 5 2 3 4 3" xfId="25257"/>
    <cellStyle name="표준 5 2 3 4 3 2" xfId="25258"/>
    <cellStyle name="표준 5 2 3 4 3 2 2" xfId="25259"/>
    <cellStyle name="표준 5 2 3 4 3 2 2 2" xfId="25260"/>
    <cellStyle name="표준 5 2 3 4 3 2 3" xfId="25261"/>
    <cellStyle name="표준 5 2 3 4 3 3" xfId="25262"/>
    <cellStyle name="표준 5 2 3 4 3 3 2" xfId="25263"/>
    <cellStyle name="표준 5 2 3 4 3 4" xfId="25264"/>
    <cellStyle name="표준 5 2 3 4 4" xfId="25265"/>
    <cellStyle name="표준 5 2 3 4 4 2" xfId="25266"/>
    <cellStyle name="표준 5 2 3 4 4 2 2" xfId="25267"/>
    <cellStyle name="표준 5 2 3 4 4 3" xfId="25268"/>
    <cellStyle name="표준 5 2 3 4 5" xfId="25269"/>
    <cellStyle name="표준 5 2 3 4 5 2" xfId="25270"/>
    <cellStyle name="표준 5 2 3 4 6" xfId="25271"/>
    <cellStyle name="표준 5 2 3 5" xfId="25272"/>
    <cellStyle name="표준 5 2 3 5 2" xfId="25273"/>
    <cellStyle name="표준 5 2 3 5 2 2" xfId="25274"/>
    <cellStyle name="표준 5 2 3 5 2 2 2" xfId="25275"/>
    <cellStyle name="표준 5 2 3 5 2 2 2 2" xfId="25276"/>
    <cellStyle name="표준 5 2 3 5 2 2 3" xfId="25277"/>
    <cellStyle name="표준 5 2 3 5 2 3" xfId="25278"/>
    <cellStyle name="표준 5 2 3 5 2 3 2" xfId="25279"/>
    <cellStyle name="표준 5 2 3 5 2 4" xfId="25280"/>
    <cellStyle name="표준 5 2 3 5 3" xfId="25281"/>
    <cellStyle name="표준 5 2 3 5 3 2" xfId="25282"/>
    <cellStyle name="표준 5 2 3 5 3 2 2" xfId="25283"/>
    <cellStyle name="표준 5 2 3 5 3 3" xfId="25284"/>
    <cellStyle name="표준 5 2 3 5 4" xfId="25285"/>
    <cellStyle name="표준 5 2 3 5 4 2" xfId="25286"/>
    <cellStyle name="표준 5 2 3 5 5" xfId="25287"/>
    <cellStyle name="표준 5 2 3 6" xfId="25288"/>
    <cellStyle name="표준 5 2 3 6 2" xfId="25289"/>
    <cellStyle name="표준 5 2 3 6 2 2" xfId="25290"/>
    <cellStyle name="표준 5 2 3 6 2 2 2" xfId="25291"/>
    <cellStyle name="표준 5 2 3 6 2 3" xfId="25292"/>
    <cellStyle name="표준 5 2 3 6 3" xfId="25293"/>
    <cellStyle name="표준 5 2 3 6 3 2" xfId="25294"/>
    <cellStyle name="표준 5 2 3 6 4" xfId="25295"/>
    <cellStyle name="표준 5 2 3 7" xfId="25296"/>
    <cellStyle name="표준 5 2 3 7 2" xfId="25297"/>
    <cellStyle name="표준 5 2 3 7 2 2" xfId="25298"/>
    <cellStyle name="표준 5 2 3 7 3" xfId="25299"/>
    <cellStyle name="표준 5 2 3 8" xfId="25300"/>
    <cellStyle name="표준 5 2 3 8 2" xfId="25301"/>
    <cellStyle name="표준 5 2 3 9" xfId="25302"/>
    <cellStyle name="표준 5 2 4" xfId="25303"/>
    <cellStyle name="표준 5 2 4 2" xfId="25304"/>
    <cellStyle name="표준 5 2 4 2 2" xfId="25305"/>
    <cellStyle name="표준 5 2 4 2 2 2" xfId="25306"/>
    <cellStyle name="표준 5 2 4 2 2 2 2" xfId="25307"/>
    <cellStyle name="표준 5 2 4 2 2 2 2 2" xfId="25308"/>
    <cellStyle name="표준 5 2 4 2 2 2 2 2 2" xfId="25309"/>
    <cellStyle name="표준 5 2 4 2 2 2 2 2 2 2" xfId="25310"/>
    <cellStyle name="표준 5 2 4 2 2 2 2 2 3" xfId="25311"/>
    <cellStyle name="표준 5 2 4 2 2 2 2 3" xfId="25312"/>
    <cellStyle name="표준 5 2 4 2 2 2 2 3 2" xfId="25313"/>
    <cellStyle name="표준 5 2 4 2 2 2 2 4" xfId="25314"/>
    <cellStyle name="표준 5 2 4 2 2 2 3" xfId="25315"/>
    <cellStyle name="표준 5 2 4 2 2 2 3 2" xfId="25316"/>
    <cellStyle name="표준 5 2 4 2 2 2 3 2 2" xfId="25317"/>
    <cellStyle name="표준 5 2 4 2 2 2 3 3" xfId="25318"/>
    <cellStyle name="표준 5 2 4 2 2 2 4" xfId="25319"/>
    <cellStyle name="표준 5 2 4 2 2 2 4 2" xfId="25320"/>
    <cellStyle name="표준 5 2 4 2 2 2 5" xfId="25321"/>
    <cellStyle name="표준 5 2 4 2 2 3" xfId="25322"/>
    <cellStyle name="표준 5 2 4 2 2 3 2" xfId="25323"/>
    <cellStyle name="표준 5 2 4 2 2 3 2 2" xfId="25324"/>
    <cellStyle name="표준 5 2 4 2 2 3 2 2 2" xfId="25325"/>
    <cellStyle name="표준 5 2 4 2 2 3 2 3" xfId="25326"/>
    <cellStyle name="표준 5 2 4 2 2 3 3" xfId="25327"/>
    <cellStyle name="표준 5 2 4 2 2 3 3 2" xfId="25328"/>
    <cellStyle name="표준 5 2 4 2 2 3 4" xfId="25329"/>
    <cellStyle name="표준 5 2 4 2 2 4" xfId="25330"/>
    <cellStyle name="표준 5 2 4 2 2 4 2" xfId="25331"/>
    <cellStyle name="표준 5 2 4 2 2 4 2 2" xfId="25332"/>
    <cellStyle name="표준 5 2 4 2 2 4 3" xfId="25333"/>
    <cellStyle name="표준 5 2 4 2 2 5" xfId="25334"/>
    <cellStyle name="표준 5 2 4 2 2 5 2" xfId="25335"/>
    <cellStyle name="표준 5 2 4 2 2 6" xfId="25336"/>
    <cellStyle name="표준 5 2 4 2 3" xfId="25337"/>
    <cellStyle name="표준 5 2 4 2 3 2" xfId="25338"/>
    <cellStyle name="표준 5 2 4 2 3 2 2" xfId="25339"/>
    <cellStyle name="표준 5 2 4 2 3 2 2 2" xfId="25340"/>
    <cellStyle name="표준 5 2 4 2 3 2 2 2 2" xfId="25341"/>
    <cellStyle name="표준 5 2 4 2 3 2 2 3" xfId="25342"/>
    <cellStyle name="표준 5 2 4 2 3 2 3" xfId="25343"/>
    <cellStyle name="표준 5 2 4 2 3 2 3 2" xfId="25344"/>
    <cellStyle name="표준 5 2 4 2 3 2 4" xfId="25345"/>
    <cellStyle name="표준 5 2 4 2 3 3" xfId="25346"/>
    <cellStyle name="표준 5 2 4 2 3 3 2" xfId="25347"/>
    <cellStyle name="표준 5 2 4 2 3 3 2 2" xfId="25348"/>
    <cellStyle name="표준 5 2 4 2 3 3 3" xfId="25349"/>
    <cellStyle name="표준 5 2 4 2 3 4" xfId="25350"/>
    <cellStyle name="표준 5 2 4 2 3 4 2" xfId="25351"/>
    <cellStyle name="표준 5 2 4 2 3 5" xfId="25352"/>
    <cellStyle name="표준 5 2 4 2 4" xfId="25353"/>
    <cellStyle name="표준 5 2 4 2 4 2" xfId="25354"/>
    <cellStyle name="표준 5 2 4 2 4 2 2" xfId="25355"/>
    <cellStyle name="표준 5 2 4 2 4 2 2 2" xfId="25356"/>
    <cellStyle name="표준 5 2 4 2 4 2 3" xfId="25357"/>
    <cellStyle name="표준 5 2 4 2 4 3" xfId="25358"/>
    <cellStyle name="표준 5 2 4 2 4 3 2" xfId="25359"/>
    <cellStyle name="표준 5 2 4 2 4 4" xfId="25360"/>
    <cellStyle name="표준 5 2 4 2 5" xfId="25361"/>
    <cellStyle name="표준 5 2 4 2 5 2" xfId="25362"/>
    <cellStyle name="표준 5 2 4 2 5 2 2" xfId="25363"/>
    <cellStyle name="표준 5 2 4 2 5 3" xfId="25364"/>
    <cellStyle name="표준 5 2 4 2 6" xfId="25365"/>
    <cellStyle name="표준 5 2 4 2 6 2" xfId="25366"/>
    <cellStyle name="표준 5 2 4 2 7" xfId="25367"/>
    <cellStyle name="표준 5 2 4 2 8" xfId="25368"/>
    <cellStyle name="표준 5 2 4 3" xfId="25369"/>
    <cellStyle name="표준 5 2 4 3 2" xfId="25370"/>
    <cellStyle name="표준 5 2 4 3 2 2" xfId="25371"/>
    <cellStyle name="표준 5 2 4 3 2 2 2" xfId="25372"/>
    <cellStyle name="표준 5 2 4 3 2 2 2 2" xfId="25373"/>
    <cellStyle name="표준 5 2 4 3 2 2 2 2 2" xfId="25374"/>
    <cellStyle name="표준 5 2 4 3 2 2 2 3" xfId="25375"/>
    <cellStyle name="표준 5 2 4 3 2 2 3" xfId="25376"/>
    <cellStyle name="표준 5 2 4 3 2 2 3 2" xfId="25377"/>
    <cellStyle name="표준 5 2 4 3 2 2 4" xfId="25378"/>
    <cellStyle name="표준 5 2 4 3 2 3" xfId="25379"/>
    <cellStyle name="표준 5 2 4 3 2 3 2" xfId="25380"/>
    <cellStyle name="표준 5 2 4 3 2 3 2 2" xfId="25381"/>
    <cellStyle name="표준 5 2 4 3 2 3 3" xfId="25382"/>
    <cellStyle name="표준 5 2 4 3 2 4" xfId="25383"/>
    <cellStyle name="표준 5 2 4 3 2 4 2" xfId="25384"/>
    <cellStyle name="표준 5 2 4 3 2 5" xfId="25385"/>
    <cellStyle name="표준 5 2 4 3 3" xfId="25386"/>
    <cellStyle name="표준 5 2 4 3 3 2" xfId="25387"/>
    <cellStyle name="표준 5 2 4 3 3 2 2" xfId="25388"/>
    <cellStyle name="표준 5 2 4 3 3 2 2 2" xfId="25389"/>
    <cellStyle name="표준 5 2 4 3 3 2 3" xfId="25390"/>
    <cellStyle name="표준 5 2 4 3 3 3" xfId="25391"/>
    <cellStyle name="표준 5 2 4 3 3 3 2" xfId="25392"/>
    <cellStyle name="표준 5 2 4 3 3 4" xfId="25393"/>
    <cellStyle name="표준 5 2 4 3 4" xfId="25394"/>
    <cellStyle name="표준 5 2 4 3 4 2" xfId="25395"/>
    <cellStyle name="표준 5 2 4 3 4 2 2" xfId="25396"/>
    <cellStyle name="표준 5 2 4 3 4 3" xfId="25397"/>
    <cellStyle name="표준 5 2 4 3 5" xfId="25398"/>
    <cellStyle name="표준 5 2 4 3 5 2" xfId="25399"/>
    <cellStyle name="표준 5 2 4 3 6" xfId="25400"/>
    <cellStyle name="표준 5 2 4 4" xfId="25401"/>
    <cellStyle name="표준 5 2 4 4 2" xfId="25402"/>
    <cellStyle name="표준 5 2 4 4 2 2" xfId="25403"/>
    <cellStyle name="표준 5 2 4 4 2 2 2" xfId="25404"/>
    <cellStyle name="표준 5 2 4 4 2 2 2 2" xfId="25405"/>
    <cellStyle name="표준 5 2 4 4 2 2 3" xfId="25406"/>
    <cellStyle name="표준 5 2 4 4 2 3" xfId="25407"/>
    <cellStyle name="표준 5 2 4 4 2 3 2" xfId="25408"/>
    <cellStyle name="표준 5 2 4 4 2 4" xfId="25409"/>
    <cellStyle name="표준 5 2 4 4 3" xfId="25410"/>
    <cellStyle name="표준 5 2 4 4 3 2" xfId="25411"/>
    <cellStyle name="표준 5 2 4 4 3 2 2" xfId="25412"/>
    <cellStyle name="표준 5 2 4 4 3 3" xfId="25413"/>
    <cellStyle name="표준 5 2 4 4 4" xfId="25414"/>
    <cellStyle name="표준 5 2 4 4 4 2" xfId="25415"/>
    <cellStyle name="표준 5 2 4 4 5" xfId="25416"/>
    <cellStyle name="표준 5 2 4 5" xfId="25417"/>
    <cellStyle name="표준 5 2 4 5 2" xfId="25418"/>
    <cellStyle name="표준 5 2 4 5 2 2" xfId="25419"/>
    <cellStyle name="표준 5 2 4 5 2 2 2" xfId="25420"/>
    <cellStyle name="표준 5 2 4 5 2 3" xfId="25421"/>
    <cellStyle name="표준 5 2 4 5 3" xfId="25422"/>
    <cellStyle name="표준 5 2 4 5 3 2" xfId="25423"/>
    <cellStyle name="표준 5 2 4 5 4" xfId="25424"/>
    <cellStyle name="표준 5 2 4 6" xfId="25425"/>
    <cellStyle name="표준 5 2 4 6 2" xfId="25426"/>
    <cellStyle name="표준 5 2 4 6 2 2" xfId="25427"/>
    <cellStyle name="표준 5 2 4 6 3" xfId="25428"/>
    <cellStyle name="표준 5 2 4 7" xfId="25429"/>
    <cellStyle name="표준 5 2 4 7 2" xfId="25430"/>
    <cellStyle name="표준 5 2 4 8" xfId="25431"/>
    <cellStyle name="표준 5 2 4 9" xfId="25432"/>
    <cellStyle name="표준 5 2 5" xfId="25433"/>
    <cellStyle name="표준 5 2 5 2" xfId="25434"/>
    <cellStyle name="표준 5 2 5 2 2" xfId="25435"/>
    <cellStyle name="표준 5 2 5 2 2 2" xfId="25436"/>
    <cellStyle name="표준 5 2 5 2 2 2 2" xfId="25437"/>
    <cellStyle name="표준 5 2 5 2 2 2 2 2" xfId="25438"/>
    <cellStyle name="표준 5 2 5 2 2 2 2 2 2" xfId="25439"/>
    <cellStyle name="표준 5 2 5 2 2 2 2 3" xfId="25440"/>
    <cellStyle name="표준 5 2 5 2 2 2 3" xfId="25441"/>
    <cellStyle name="표준 5 2 5 2 2 2 3 2" xfId="25442"/>
    <cellStyle name="표준 5 2 5 2 2 2 4" xfId="25443"/>
    <cellStyle name="표준 5 2 5 2 2 3" xfId="25444"/>
    <cellStyle name="표준 5 2 5 2 2 3 2" xfId="25445"/>
    <cellStyle name="표준 5 2 5 2 2 3 2 2" xfId="25446"/>
    <cellStyle name="표준 5 2 5 2 2 3 3" xfId="25447"/>
    <cellStyle name="표준 5 2 5 2 2 4" xfId="25448"/>
    <cellStyle name="표준 5 2 5 2 2 4 2" xfId="25449"/>
    <cellStyle name="표준 5 2 5 2 2 5" xfId="25450"/>
    <cellStyle name="표준 5 2 5 2 3" xfId="25451"/>
    <cellStyle name="표준 5 2 5 2 3 2" xfId="25452"/>
    <cellStyle name="표준 5 2 5 2 3 2 2" xfId="25453"/>
    <cellStyle name="표준 5 2 5 2 3 2 2 2" xfId="25454"/>
    <cellStyle name="표준 5 2 5 2 3 2 3" xfId="25455"/>
    <cellStyle name="표준 5 2 5 2 3 3" xfId="25456"/>
    <cellStyle name="표준 5 2 5 2 3 3 2" xfId="25457"/>
    <cellStyle name="표준 5 2 5 2 3 4" xfId="25458"/>
    <cellStyle name="표준 5 2 5 2 4" xfId="25459"/>
    <cellStyle name="표준 5 2 5 2 4 2" xfId="25460"/>
    <cellStyle name="표준 5 2 5 2 4 2 2" xfId="25461"/>
    <cellStyle name="표준 5 2 5 2 4 3" xfId="25462"/>
    <cellStyle name="표준 5 2 5 2 5" xfId="25463"/>
    <cellStyle name="표준 5 2 5 2 5 2" xfId="25464"/>
    <cellStyle name="표준 5 2 5 2 6" xfId="25465"/>
    <cellStyle name="표준 5 2 5 3" xfId="25466"/>
    <cellStyle name="표준 5 2 5 3 2" xfId="25467"/>
    <cellStyle name="표준 5 2 5 3 2 2" xfId="25468"/>
    <cellStyle name="표준 5 2 5 3 2 2 2" xfId="25469"/>
    <cellStyle name="표준 5 2 5 3 2 2 2 2" xfId="25470"/>
    <cellStyle name="표준 5 2 5 3 2 2 3" xfId="25471"/>
    <cellStyle name="표준 5 2 5 3 2 3" xfId="25472"/>
    <cellStyle name="표준 5 2 5 3 2 3 2" xfId="25473"/>
    <cellStyle name="표준 5 2 5 3 2 4" xfId="25474"/>
    <cellStyle name="표준 5 2 5 3 3" xfId="25475"/>
    <cellStyle name="표준 5 2 5 3 3 2" xfId="25476"/>
    <cellStyle name="표준 5 2 5 3 3 2 2" xfId="25477"/>
    <cellStyle name="표준 5 2 5 3 3 3" xfId="25478"/>
    <cellStyle name="표준 5 2 5 3 4" xfId="25479"/>
    <cellStyle name="표준 5 2 5 3 4 2" xfId="25480"/>
    <cellStyle name="표준 5 2 5 3 5" xfId="25481"/>
    <cellStyle name="표준 5 2 5 4" xfId="25482"/>
    <cellStyle name="표준 5 2 5 4 2" xfId="25483"/>
    <cellStyle name="표준 5 2 5 4 2 2" xfId="25484"/>
    <cellStyle name="표준 5 2 5 4 2 2 2" xfId="25485"/>
    <cellStyle name="표준 5 2 5 4 2 3" xfId="25486"/>
    <cellStyle name="표준 5 2 5 4 3" xfId="25487"/>
    <cellStyle name="표준 5 2 5 4 3 2" xfId="25488"/>
    <cellStyle name="표준 5 2 5 4 4" xfId="25489"/>
    <cellStyle name="표준 5 2 5 5" xfId="25490"/>
    <cellStyle name="표준 5 2 5 5 2" xfId="25491"/>
    <cellStyle name="표준 5 2 5 5 2 2" xfId="25492"/>
    <cellStyle name="표준 5 2 5 5 3" xfId="25493"/>
    <cellStyle name="표준 5 2 5 6" xfId="25494"/>
    <cellStyle name="표준 5 2 5 6 2" xfId="25495"/>
    <cellStyle name="표준 5 2 5 7" xfId="25496"/>
    <cellStyle name="표준 5 2 5 8" xfId="25497"/>
    <cellStyle name="표준 5 2 6" xfId="25498"/>
    <cellStyle name="표준 5 2 6 2" xfId="25499"/>
    <cellStyle name="표준 5 2 6 2 2" xfId="25500"/>
    <cellStyle name="표준 5 2 6 2 2 2" xfId="25501"/>
    <cellStyle name="표준 5 2 6 2 2 2 2" xfId="25502"/>
    <cellStyle name="표준 5 2 6 2 2 2 2 2" xfId="25503"/>
    <cellStyle name="표준 5 2 6 2 2 2 3" xfId="25504"/>
    <cellStyle name="표준 5 2 6 2 2 3" xfId="25505"/>
    <cellStyle name="표준 5 2 6 2 2 3 2" xfId="25506"/>
    <cellStyle name="표준 5 2 6 2 2 4" xfId="25507"/>
    <cellStyle name="표준 5 2 6 2 3" xfId="25508"/>
    <cellStyle name="표준 5 2 6 2 3 2" xfId="25509"/>
    <cellStyle name="표준 5 2 6 2 3 2 2" xfId="25510"/>
    <cellStyle name="표준 5 2 6 2 3 3" xfId="25511"/>
    <cellStyle name="표준 5 2 6 2 4" xfId="25512"/>
    <cellStyle name="표준 5 2 6 2 4 2" xfId="25513"/>
    <cellStyle name="표준 5 2 6 2 5" xfId="25514"/>
    <cellStyle name="표준 5 2 6 3" xfId="25515"/>
    <cellStyle name="표준 5 2 6 3 2" xfId="25516"/>
    <cellStyle name="표준 5 2 6 3 2 2" xfId="25517"/>
    <cellStyle name="표준 5 2 6 3 2 2 2" xfId="25518"/>
    <cellStyle name="표준 5 2 6 3 2 3" xfId="25519"/>
    <cellStyle name="표준 5 2 6 3 3" xfId="25520"/>
    <cellStyle name="표준 5 2 6 3 3 2" xfId="25521"/>
    <cellStyle name="표준 5 2 6 3 4" xfId="25522"/>
    <cellStyle name="표준 5 2 6 4" xfId="25523"/>
    <cellStyle name="표준 5 2 6 4 2" xfId="25524"/>
    <cellStyle name="표준 5 2 6 4 2 2" xfId="25525"/>
    <cellStyle name="표준 5 2 6 4 3" xfId="25526"/>
    <cellStyle name="표준 5 2 6 5" xfId="25527"/>
    <cellStyle name="표준 5 2 6 5 2" xfId="25528"/>
    <cellStyle name="표준 5 2 6 6" xfId="25529"/>
    <cellStyle name="표준 5 2 7" xfId="25530"/>
    <cellStyle name="표준 5 2 7 2" xfId="25531"/>
    <cellStyle name="표준 5 2 7 2 2" xfId="25532"/>
    <cellStyle name="표준 5 2 7 2 2 2" xfId="25533"/>
    <cellStyle name="표준 5 2 7 2 2 2 2" xfId="25534"/>
    <cellStyle name="표준 5 2 7 2 2 3" xfId="25535"/>
    <cellStyle name="표준 5 2 7 2 3" xfId="25536"/>
    <cellStyle name="표준 5 2 7 2 3 2" xfId="25537"/>
    <cellStyle name="표준 5 2 7 2 4" xfId="25538"/>
    <cellStyle name="표준 5 2 7 3" xfId="25539"/>
    <cellStyle name="표준 5 2 7 3 2" xfId="25540"/>
    <cellStyle name="표준 5 2 7 3 2 2" xfId="25541"/>
    <cellStyle name="표준 5 2 7 3 3" xfId="25542"/>
    <cellStyle name="표준 5 2 7 4" xfId="25543"/>
    <cellStyle name="표준 5 2 7 4 2" xfId="25544"/>
    <cellStyle name="표준 5 2 7 5" xfId="25545"/>
    <cellStyle name="표준 5 2 8" xfId="25546"/>
    <cellStyle name="표준 5 2 8 2" xfId="25547"/>
    <cellStyle name="표준 5 2 8 2 2" xfId="25548"/>
    <cellStyle name="표준 5 2 8 2 2 2" xfId="25549"/>
    <cellStyle name="표준 5 2 8 2 3" xfId="25550"/>
    <cellStyle name="표준 5 2 8 3" xfId="25551"/>
    <cellStyle name="표준 5 2 8 3 2" xfId="25552"/>
    <cellStyle name="표준 5 2 8 4" xfId="25553"/>
    <cellStyle name="표준 5 2 9" xfId="25554"/>
    <cellStyle name="표준 5 2 9 2" xfId="25555"/>
    <cellStyle name="표준 5 2 9 2 2" xfId="25556"/>
    <cellStyle name="표준 5 2 9 3" xfId="25557"/>
    <cellStyle name="표준 5 3" xfId="25558"/>
    <cellStyle name="표준 5 3 10" xfId="25559"/>
    <cellStyle name="표준 5 3 11" xfId="25560"/>
    <cellStyle name="표준 5 3 2" xfId="25561"/>
    <cellStyle name="표준 5 3 2 10" xfId="25562"/>
    <cellStyle name="표준 5 3 2 2" xfId="25563"/>
    <cellStyle name="표준 5 3 2 2 2" xfId="25564"/>
    <cellStyle name="표준 5 3 2 2 2 2" xfId="25565"/>
    <cellStyle name="표준 5 3 2 2 2 2 2" xfId="25566"/>
    <cellStyle name="표준 5 3 2 2 2 2 2 2" xfId="25567"/>
    <cellStyle name="표준 5 3 2 2 2 2 2 2 2" xfId="25568"/>
    <cellStyle name="표준 5 3 2 2 2 2 2 2 2 2" xfId="25569"/>
    <cellStyle name="표준 5 3 2 2 2 2 2 2 2 2 2" xfId="25570"/>
    <cellStyle name="표준 5 3 2 2 2 2 2 2 2 3" xfId="25571"/>
    <cellStyle name="표준 5 3 2 2 2 2 2 2 3" xfId="25572"/>
    <cellStyle name="표준 5 3 2 2 2 2 2 2 3 2" xfId="25573"/>
    <cellStyle name="표준 5 3 2 2 2 2 2 2 4" xfId="25574"/>
    <cellStyle name="표준 5 3 2 2 2 2 2 3" xfId="25575"/>
    <cellStyle name="표준 5 3 2 2 2 2 2 3 2" xfId="25576"/>
    <cellStyle name="표준 5 3 2 2 2 2 2 3 2 2" xfId="25577"/>
    <cellStyle name="표준 5 3 2 2 2 2 2 3 3" xfId="25578"/>
    <cellStyle name="표준 5 3 2 2 2 2 2 4" xfId="25579"/>
    <cellStyle name="표준 5 3 2 2 2 2 2 4 2" xfId="25580"/>
    <cellStyle name="표준 5 3 2 2 2 2 2 5" xfId="25581"/>
    <cellStyle name="표준 5 3 2 2 2 2 3" xfId="25582"/>
    <cellStyle name="표준 5 3 2 2 2 2 3 2" xfId="25583"/>
    <cellStyle name="표준 5 3 2 2 2 2 3 2 2" xfId="25584"/>
    <cellStyle name="표준 5 3 2 2 2 2 3 2 2 2" xfId="25585"/>
    <cellStyle name="표준 5 3 2 2 2 2 3 2 3" xfId="25586"/>
    <cellStyle name="표준 5 3 2 2 2 2 3 3" xfId="25587"/>
    <cellStyle name="표준 5 3 2 2 2 2 3 3 2" xfId="25588"/>
    <cellStyle name="표준 5 3 2 2 2 2 3 4" xfId="25589"/>
    <cellStyle name="표준 5 3 2 2 2 2 4" xfId="25590"/>
    <cellStyle name="표준 5 3 2 2 2 2 4 2" xfId="25591"/>
    <cellStyle name="표준 5 3 2 2 2 2 4 2 2" xfId="25592"/>
    <cellStyle name="표준 5 3 2 2 2 2 4 3" xfId="25593"/>
    <cellStyle name="표준 5 3 2 2 2 2 5" xfId="25594"/>
    <cellStyle name="표준 5 3 2 2 2 2 5 2" xfId="25595"/>
    <cellStyle name="표준 5 3 2 2 2 2 6" xfId="25596"/>
    <cellStyle name="표준 5 3 2 2 2 3" xfId="25597"/>
    <cellStyle name="표준 5 3 2 2 2 3 2" xfId="25598"/>
    <cellStyle name="표준 5 3 2 2 2 3 2 2" xfId="25599"/>
    <cellStyle name="표준 5 3 2 2 2 3 2 2 2" xfId="25600"/>
    <cellStyle name="표준 5 3 2 2 2 3 2 2 2 2" xfId="25601"/>
    <cellStyle name="표준 5 3 2 2 2 3 2 2 3" xfId="25602"/>
    <cellStyle name="표준 5 3 2 2 2 3 2 3" xfId="25603"/>
    <cellStyle name="표준 5 3 2 2 2 3 2 3 2" xfId="25604"/>
    <cellStyle name="표준 5 3 2 2 2 3 2 4" xfId="25605"/>
    <cellStyle name="표준 5 3 2 2 2 3 3" xfId="25606"/>
    <cellStyle name="표준 5 3 2 2 2 3 3 2" xfId="25607"/>
    <cellStyle name="표준 5 3 2 2 2 3 3 2 2" xfId="25608"/>
    <cellStyle name="표준 5 3 2 2 2 3 3 3" xfId="25609"/>
    <cellStyle name="표준 5 3 2 2 2 3 4" xfId="25610"/>
    <cellStyle name="표준 5 3 2 2 2 3 4 2" xfId="25611"/>
    <cellStyle name="표준 5 3 2 2 2 3 5" xfId="25612"/>
    <cellStyle name="표준 5 3 2 2 2 4" xfId="25613"/>
    <cellStyle name="표준 5 3 2 2 2 4 2" xfId="25614"/>
    <cellStyle name="표준 5 3 2 2 2 4 2 2" xfId="25615"/>
    <cellStyle name="표준 5 3 2 2 2 4 2 2 2" xfId="25616"/>
    <cellStyle name="표준 5 3 2 2 2 4 2 3" xfId="25617"/>
    <cellStyle name="표준 5 3 2 2 2 4 3" xfId="25618"/>
    <cellStyle name="표준 5 3 2 2 2 4 3 2" xfId="25619"/>
    <cellStyle name="표준 5 3 2 2 2 4 4" xfId="25620"/>
    <cellStyle name="표준 5 3 2 2 2 5" xfId="25621"/>
    <cellStyle name="표준 5 3 2 2 2 5 2" xfId="25622"/>
    <cellStyle name="표준 5 3 2 2 2 5 2 2" xfId="25623"/>
    <cellStyle name="표준 5 3 2 2 2 5 3" xfId="25624"/>
    <cellStyle name="표준 5 3 2 2 2 6" xfId="25625"/>
    <cellStyle name="표준 5 3 2 2 2 6 2" xfId="25626"/>
    <cellStyle name="표준 5 3 2 2 2 7" xfId="25627"/>
    <cellStyle name="표준 5 3 2 2 2 8" xfId="25628"/>
    <cellStyle name="표준 5 3 2 2 3" xfId="25629"/>
    <cellStyle name="표준 5 3 2 2 3 2" xfId="25630"/>
    <cellStyle name="표준 5 3 2 2 3 2 2" xfId="25631"/>
    <cellStyle name="표준 5 3 2 2 3 2 2 2" xfId="25632"/>
    <cellStyle name="표준 5 3 2 2 3 2 2 2 2" xfId="25633"/>
    <cellStyle name="표준 5 3 2 2 3 2 2 2 2 2" xfId="25634"/>
    <cellStyle name="표준 5 3 2 2 3 2 2 2 3" xfId="25635"/>
    <cellStyle name="표준 5 3 2 2 3 2 2 3" xfId="25636"/>
    <cellStyle name="표준 5 3 2 2 3 2 2 3 2" xfId="25637"/>
    <cellStyle name="표준 5 3 2 2 3 2 2 4" xfId="25638"/>
    <cellStyle name="표준 5 3 2 2 3 2 3" xfId="25639"/>
    <cellStyle name="표준 5 3 2 2 3 2 3 2" xfId="25640"/>
    <cellStyle name="표준 5 3 2 2 3 2 3 2 2" xfId="25641"/>
    <cellStyle name="표준 5 3 2 2 3 2 3 3" xfId="25642"/>
    <cellStyle name="표준 5 3 2 2 3 2 4" xfId="25643"/>
    <cellStyle name="표준 5 3 2 2 3 2 4 2" xfId="25644"/>
    <cellStyle name="표준 5 3 2 2 3 2 5" xfId="25645"/>
    <cellStyle name="표준 5 3 2 2 3 3" xfId="25646"/>
    <cellStyle name="표준 5 3 2 2 3 3 2" xfId="25647"/>
    <cellStyle name="표준 5 3 2 2 3 3 2 2" xfId="25648"/>
    <cellStyle name="표준 5 3 2 2 3 3 2 2 2" xfId="25649"/>
    <cellStyle name="표준 5 3 2 2 3 3 2 3" xfId="25650"/>
    <cellStyle name="표준 5 3 2 2 3 3 3" xfId="25651"/>
    <cellStyle name="표준 5 3 2 2 3 3 3 2" xfId="25652"/>
    <cellStyle name="표준 5 3 2 2 3 3 4" xfId="25653"/>
    <cellStyle name="표준 5 3 2 2 3 4" xfId="25654"/>
    <cellStyle name="표준 5 3 2 2 3 4 2" xfId="25655"/>
    <cellStyle name="표준 5 3 2 2 3 4 2 2" xfId="25656"/>
    <cellStyle name="표준 5 3 2 2 3 4 3" xfId="25657"/>
    <cellStyle name="표준 5 3 2 2 3 5" xfId="25658"/>
    <cellStyle name="표준 5 3 2 2 3 5 2" xfId="25659"/>
    <cellStyle name="표준 5 3 2 2 3 6" xfId="25660"/>
    <cellStyle name="표준 5 3 2 2 4" xfId="25661"/>
    <cellStyle name="표준 5 3 2 2 4 2" xfId="25662"/>
    <cellStyle name="표준 5 3 2 2 4 2 2" xfId="25663"/>
    <cellStyle name="표준 5 3 2 2 4 2 2 2" xfId="25664"/>
    <cellStyle name="표준 5 3 2 2 4 2 2 2 2" xfId="25665"/>
    <cellStyle name="표준 5 3 2 2 4 2 2 3" xfId="25666"/>
    <cellStyle name="표준 5 3 2 2 4 2 3" xfId="25667"/>
    <cellStyle name="표준 5 3 2 2 4 2 3 2" xfId="25668"/>
    <cellStyle name="표준 5 3 2 2 4 2 4" xfId="25669"/>
    <cellStyle name="표준 5 3 2 2 4 3" xfId="25670"/>
    <cellStyle name="표준 5 3 2 2 4 3 2" xfId="25671"/>
    <cellStyle name="표준 5 3 2 2 4 3 2 2" xfId="25672"/>
    <cellStyle name="표준 5 3 2 2 4 3 3" xfId="25673"/>
    <cellStyle name="표준 5 3 2 2 4 4" xfId="25674"/>
    <cellStyle name="표준 5 3 2 2 4 4 2" xfId="25675"/>
    <cellStyle name="표준 5 3 2 2 4 5" xfId="25676"/>
    <cellStyle name="표준 5 3 2 2 5" xfId="25677"/>
    <cellStyle name="표준 5 3 2 2 5 2" xfId="25678"/>
    <cellStyle name="표준 5 3 2 2 5 2 2" xfId="25679"/>
    <cellStyle name="표준 5 3 2 2 5 2 2 2" xfId="25680"/>
    <cellStyle name="표준 5 3 2 2 5 2 3" xfId="25681"/>
    <cellStyle name="표준 5 3 2 2 5 3" xfId="25682"/>
    <cellStyle name="표준 5 3 2 2 5 3 2" xfId="25683"/>
    <cellStyle name="표준 5 3 2 2 5 4" xfId="25684"/>
    <cellStyle name="표준 5 3 2 2 6" xfId="25685"/>
    <cellStyle name="표준 5 3 2 2 6 2" xfId="25686"/>
    <cellStyle name="표준 5 3 2 2 6 2 2" xfId="25687"/>
    <cellStyle name="표준 5 3 2 2 6 3" xfId="25688"/>
    <cellStyle name="표준 5 3 2 2 7" xfId="25689"/>
    <cellStyle name="표준 5 3 2 2 7 2" xfId="25690"/>
    <cellStyle name="표준 5 3 2 2 8" xfId="25691"/>
    <cellStyle name="표준 5 3 2 2 9" xfId="25692"/>
    <cellStyle name="표준 5 3 2 3" xfId="25693"/>
    <cellStyle name="표준 5 3 2 3 2" xfId="25694"/>
    <cellStyle name="표준 5 3 2 3 2 2" xfId="25695"/>
    <cellStyle name="표준 5 3 2 3 2 2 2" xfId="25696"/>
    <cellStyle name="표준 5 3 2 3 2 2 2 2" xfId="25697"/>
    <cellStyle name="표준 5 3 2 3 2 2 2 2 2" xfId="25698"/>
    <cellStyle name="표준 5 3 2 3 2 2 2 2 2 2" xfId="25699"/>
    <cellStyle name="표준 5 3 2 3 2 2 2 2 3" xfId="25700"/>
    <cellStyle name="표준 5 3 2 3 2 2 2 3" xfId="25701"/>
    <cellStyle name="표준 5 3 2 3 2 2 2 3 2" xfId="25702"/>
    <cellStyle name="표준 5 3 2 3 2 2 2 4" xfId="25703"/>
    <cellStyle name="표준 5 3 2 3 2 2 3" xfId="25704"/>
    <cellStyle name="표준 5 3 2 3 2 2 3 2" xfId="25705"/>
    <cellStyle name="표준 5 3 2 3 2 2 3 2 2" xfId="25706"/>
    <cellStyle name="표준 5 3 2 3 2 2 3 3" xfId="25707"/>
    <cellStyle name="표준 5 3 2 3 2 2 4" xfId="25708"/>
    <cellStyle name="표준 5 3 2 3 2 2 4 2" xfId="25709"/>
    <cellStyle name="표준 5 3 2 3 2 2 5" xfId="25710"/>
    <cellStyle name="표준 5 3 2 3 2 3" xfId="25711"/>
    <cellStyle name="표준 5 3 2 3 2 3 2" xfId="25712"/>
    <cellStyle name="표준 5 3 2 3 2 3 2 2" xfId="25713"/>
    <cellStyle name="표준 5 3 2 3 2 3 2 2 2" xfId="25714"/>
    <cellStyle name="표준 5 3 2 3 2 3 2 3" xfId="25715"/>
    <cellStyle name="표준 5 3 2 3 2 3 3" xfId="25716"/>
    <cellStyle name="표준 5 3 2 3 2 3 3 2" xfId="25717"/>
    <cellStyle name="표준 5 3 2 3 2 3 4" xfId="25718"/>
    <cellStyle name="표준 5 3 2 3 2 4" xfId="25719"/>
    <cellStyle name="표준 5 3 2 3 2 4 2" xfId="25720"/>
    <cellStyle name="표준 5 3 2 3 2 4 2 2" xfId="25721"/>
    <cellStyle name="표준 5 3 2 3 2 4 3" xfId="25722"/>
    <cellStyle name="표준 5 3 2 3 2 5" xfId="25723"/>
    <cellStyle name="표준 5 3 2 3 2 5 2" xfId="25724"/>
    <cellStyle name="표준 5 3 2 3 2 6" xfId="25725"/>
    <cellStyle name="표준 5 3 2 3 3" xfId="25726"/>
    <cellStyle name="표준 5 3 2 3 3 2" xfId="25727"/>
    <cellStyle name="표준 5 3 2 3 3 2 2" xfId="25728"/>
    <cellStyle name="표준 5 3 2 3 3 2 2 2" xfId="25729"/>
    <cellStyle name="표준 5 3 2 3 3 2 2 2 2" xfId="25730"/>
    <cellStyle name="표준 5 3 2 3 3 2 2 3" xfId="25731"/>
    <cellStyle name="표준 5 3 2 3 3 2 3" xfId="25732"/>
    <cellStyle name="표준 5 3 2 3 3 2 3 2" xfId="25733"/>
    <cellStyle name="표준 5 3 2 3 3 2 4" xfId="25734"/>
    <cellStyle name="표준 5 3 2 3 3 3" xfId="25735"/>
    <cellStyle name="표준 5 3 2 3 3 3 2" xfId="25736"/>
    <cellStyle name="표준 5 3 2 3 3 3 2 2" xfId="25737"/>
    <cellStyle name="표준 5 3 2 3 3 3 3" xfId="25738"/>
    <cellStyle name="표준 5 3 2 3 3 4" xfId="25739"/>
    <cellStyle name="표준 5 3 2 3 3 4 2" xfId="25740"/>
    <cellStyle name="표준 5 3 2 3 3 5" xfId="25741"/>
    <cellStyle name="표준 5 3 2 3 4" xfId="25742"/>
    <cellStyle name="표준 5 3 2 3 4 2" xfId="25743"/>
    <cellStyle name="표준 5 3 2 3 4 2 2" xfId="25744"/>
    <cellStyle name="표준 5 3 2 3 4 2 2 2" xfId="25745"/>
    <cellStyle name="표준 5 3 2 3 4 2 3" xfId="25746"/>
    <cellStyle name="표준 5 3 2 3 4 3" xfId="25747"/>
    <cellStyle name="표준 5 3 2 3 4 3 2" xfId="25748"/>
    <cellStyle name="표준 5 3 2 3 4 4" xfId="25749"/>
    <cellStyle name="표준 5 3 2 3 5" xfId="25750"/>
    <cellStyle name="표준 5 3 2 3 5 2" xfId="25751"/>
    <cellStyle name="표준 5 3 2 3 5 2 2" xfId="25752"/>
    <cellStyle name="표준 5 3 2 3 5 3" xfId="25753"/>
    <cellStyle name="표준 5 3 2 3 6" xfId="25754"/>
    <cellStyle name="표준 5 3 2 3 6 2" xfId="25755"/>
    <cellStyle name="표준 5 3 2 3 7" xfId="25756"/>
    <cellStyle name="표준 5 3 2 3 8" xfId="25757"/>
    <cellStyle name="표준 5 3 2 4" xfId="25758"/>
    <cellStyle name="표준 5 3 2 4 2" xfId="25759"/>
    <cellStyle name="표준 5 3 2 4 2 2" xfId="25760"/>
    <cellStyle name="표준 5 3 2 4 2 2 2" xfId="25761"/>
    <cellStyle name="표준 5 3 2 4 2 2 2 2" xfId="25762"/>
    <cellStyle name="표준 5 3 2 4 2 2 2 2 2" xfId="25763"/>
    <cellStyle name="표준 5 3 2 4 2 2 2 3" xfId="25764"/>
    <cellStyle name="표준 5 3 2 4 2 2 3" xfId="25765"/>
    <cellStyle name="표준 5 3 2 4 2 2 3 2" xfId="25766"/>
    <cellStyle name="표준 5 3 2 4 2 2 4" xfId="25767"/>
    <cellStyle name="표준 5 3 2 4 2 3" xfId="25768"/>
    <cellStyle name="표준 5 3 2 4 2 3 2" xfId="25769"/>
    <cellStyle name="표준 5 3 2 4 2 3 2 2" xfId="25770"/>
    <cellStyle name="표준 5 3 2 4 2 3 3" xfId="25771"/>
    <cellStyle name="표준 5 3 2 4 2 4" xfId="25772"/>
    <cellStyle name="표준 5 3 2 4 2 4 2" xfId="25773"/>
    <cellStyle name="표준 5 3 2 4 2 5" xfId="25774"/>
    <cellStyle name="표준 5 3 2 4 3" xfId="25775"/>
    <cellStyle name="표준 5 3 2 4 3 2" xfId="25776"/>
    <cellStyle name="표준 5 3 2 4 3 2 2" xfId="25777"/>
    <cellStyle name="표준 5 3 2 4 3 2 2 2" xfId="25778"/>
    <cellStyle name="표준 5 3 2 4 3 2 3" xfId="25779"/>
    <cellStyle name="표준 5 3 2 4 3 3" xfId="25780"/>
    <cellStyle name="표준 5 3 2 4 3 3 2" xfId="25781"/>
    <cellStyle name="표준 5 3 2 4 3 4" xfId="25782"/>
    <cellStyle name="표준 5 3 2 4 4" xfId="25783"/>
    <cellStyle name="표준 5 3 2 4 4 2" xfId="25784"/>
    <cellStyle name="표준 5 3 2 4 4 2 2" xfId="25785"/>
    <cellStyle name="표준 5 3 2 4 4 3" xfId="25786"/>
    <cellStyle name="표준 5 3 2 4 5" xfId="25787"/>
    <cellStyle name="표준 5 3 2 4 5 2" xfId="25788"/>
    <cellStyle name="표준 5 3 2 4 6" xfId="25789"/>
    <cellStyle name="표준 5 3 2 5" xfId="25790"/>
    <cellStyle name="표준 5 3 2 5 2" xfId="25791"/>
    <cellStyle name="표준 5 3 2 5 2 2" xfId="25792"/>
    <cellStyle name="표준 5 3 2 5 2 2 2" xfId="25793"/>
    <cellStyle name="표준 5 3 2 5 2 2 2 2" xfId="25794"/>
    <cellStyle name="표준 5 3 2 5 2 2 3" xfId="25795"/>
    <cellStyle name="표준 5 3 2 5 2 3" xfId="25796"/>
    <cellStyle name="표준 5 3 2 5 2 3 2" xfId="25797"/>
    <cellStyle name="표준 5 3 2 5 2 4" xfId="25798"/>
    <cellStyle name="표준 5 3 2 5 3" xfId="25799"/>
    <cellStyle name="표준 5 3 2 5 3 2" xfId="25800"/>
    <cellStyle name="표준 5 3 2 5 3 2 2" xfId="25801"/>
    <cellStyle name="표준 5 3 2 5 3 3" xfId="25802"/>
    <cellStyle name="표준 5 3 2 5 4" xfId="25803"/>
    <cellStyle name="표준 5 3 2 5 4 2" xfId="25804"/>
    <cellStyle name="표준 5 3 2 5 5" xfId="25805"/>
    <cellStyle name="표준 5 3 2 6" xfId="25806"/>
    <cellStyle name="표준 5 3 2 6 2" xfId="25807"/>
    <cellStyle name="표준 5 3 2 6 2 2" xfId="25808"/>
    <cellStyle name="표준 5 3 2 6 2 2 2" xfId="25809"/>
    <cellStyle name="표준 5 3 2 6 2 3" xfId="25810"/>
    <cellStyle name="표준 5 3 2 6 3" xfId="25811"/>
    <cellStyle name="표준 5 3 2 6 3 2" xfId="25812"/>
    <cellStyle name="표준 5 3 2 6 4" xfId="25813"/>
    <cellStyle name="표준 5 3 2 7" xfId="25814"/>
    <cellStyle name="표준 5 3 2 7 2" xfId="25815"/>
    <cellStyle name="표준 5 3 2 7 2 2" xfId="25816"/>
    <cellStyle name="표준 5 3 2 7 3" xfId="25817"/>
    <cellStyle name="표준 5 3 2 8" xfId="25818"/>
    <cellStyle name="표준 5 3 2 8 2" xfId="25819"/>
    <cellStyle name="표준 5 3 2 9" xfId="25820"/>
    <cellStyle name="표준 5 3 3" xfId="25821"/>
    <cellStyle name="표준 5 3 3 2" xfId="25822"/>
    <cellStyle name="표준 5 3 3 2 2" xfId="25823"/>
    <cellStyle name="표준 5 3 3 2 2 2" xfId="25824"/>
    <cellStyle name="표준 5 3 3 2 2 2 2" xfId="25825"/>
    <cellStyle name="표준 5 3 3 2 2 2 2 2" xfId="25826"/>
    <cellStyle name="표준 5 3 3 2 2 2 2 2 2" xfId="25827"/>
    <cellStyle name="표준 5 3 3 2 2 2 2 2 2 2" xfId="25828"/>
    <cellStyle name="표준 5 3 3 2 2 2 2 2 3" xfId="25829"/>
    <cellStyle name="표준 5 3 3 2 2 2 2 3" xfId="25830"/>
    <cellStyle name="표준 5 3 3 2 2 2 2 3 2" xfId="25831"/>
    <cellStyle name="표준 5 3 3 2 2 2 2 4" xfId="25832"/>
    <cellStyle name="표준 5 3 3 2 2 2 3" xfId="25833"/>
    <cellStyle name="표준 5 3 3 2 2 2 3 2" xfId="25834"/>
    <cellStyle name="표준 5 3 3 2 2 2 3 2 2" xfId="25835"/>
    <cellStyle name="표준 5 3 3 2 2 2 3 3" xfId="25836"/>
    <cellStyle name="표준 5 3 3 2 2 2 4" xfId="25837"/>
    <cellStyle name="표준 5 3 3 2 2 2 4 2" xfId="25838"/>
    <cellStyle name="표준 5 3 3 2 2 2 5" xfId="25839"/>
    <cellStyle name="표준 5 3 3 2 2 3" xfId="25840"/>
    <cellStyle name="표준 5 3 3 2 2 3 2" xfId="25841"/>
    <cellStyle name="표준 5 3 3 2 2 3 2 2" xfId="25842"/>
    <cellStyle name="표준 5 3 3 2 2 3 2 2 2" xfId="25843"/>
    <cellStyle name="표준 5 3 3 2 2 3 2 3" xfId="25844"/>
    <cellStyle name="표준 5 3 3 2 2 3 3" xfId="25845"/>
    <cellStyle name="표준 5 3 3 2 2 3 3 2" xfId="25846"/>
    <cellStyle name="표준 5 3 3 2 2 3 4" xfId="25847"/>
    <cellStyle name="표준 5 3 3 2 2 4" xfId="25848"/>
    <cellStyle name="표준 5 3 3 2 2 4 2" xfId="25849"/>
    <cellStyle name="표준 5 3 3 2 2 4 2 2" xfId="25850"/>
    <cellStyle name="표준 5 3 3 2 2 4 3" xfId="25851"/>
    <cellStyle name="표준 5 3 3 2 2 5" xfId="25852"/>
    <cellStyle name="표준 5 3 3 2 2 5 2" xfId="25853"/>
    <cellStyle name="표준 5 3 3 2 2 6" xfId="25854"/>
    <cellStyle name="표준 5 3 3 2 3" xfId="25855"/>
    <cellStyle name="표준 5 3 3 2 3 2" xfId="25856"/>
    <cellStyle name="표준 5 3 3 2 3 2 2" xfId="25857"/>
    <cellStyle name="표준 5 3 3 2 3 2 2 2" xfId="25858"/>
    <cellStyle name="표준 5 3 3 2 3 2 2 2 2" xfId="25859"/>
    <cellStyle name="표준 5 3 3 2 3 2 2 3" xfId="25860"/>
    <cellStyle name="표준 5 3 3 2 3 2 3" xfId="25861"/>
    <cellStyle name="표준 5 3 3 2 3 2 3 2" xfId="25862"/>
    <cellStyle name="표준 5 3 3 2 3 2 4" xfId="25863"/>
    <cellStyle name="표준 5 3 3 2 3 3" xfId="25864"/>
    <cellStyle name="표준 5 3 3 2 3 3 2" xfId="25865"/>
    <cellStyle name="표준 5 3 3 2 3 3 2 2" xfId="25866"/>
    <cellStyle name="표준 5 3 3 2 3 3 3" xfId="25867"/>
    <cellStyle name="표준 5 3 3 2 3 4" xfId="25868"/>
    <cellStyle name="표준 5 3 3 2 3 4 2" xfId="25869"/>
    <cellStyle name="표준 5 3 3 2 3 5" xfId="25870"/>
    <cellStyle name="표준 5 3 3 2 4" xfId="25871"/>
    <cellStyle name="표준 5 3 3 2 4 2" xfId="25872"/>
    <cellStyle name="표준 5 3 3 2 4 2 2" xfId="25873"/>
    <cellStyle name="표준 5 3 3 2 4 2 2 2" xfId="25874"/>
    <cellStyle name="표준 5 3 3 2 4 2 3" xfId="25875"/>
    <cellStyle name="표준 5 3 3 2 4 3" xfId="25876"/>
    <cellStyle name="표준 5 3 3 2 4 3 2" xfId="25877"/>
    <cellStyle name="표준 5 3 3 2 4 4" xfId="25878"/>
    <cellStyle name="표준 5 3 3 2 5" xfId="25879"/>
    <cellStyle name="표준 5 3 3 2 5 2" xfId="25880"/>
    <cellStyle name="표준 5 3 3 2 5 2 2" xfId="25881"/>
    <cellStyle name="표준 5 3 3 2 5 3" xfId="25882"/>
    <cellStyle name="표준 5 3 3 2 6" xfId="25883"/>
    <cellStyle name="표준 5 3 3 2 6 2" xfId="25884"/>
    <cellStyle name="표준 5 3 3 2 7" xfId="25885"/>
    <cellStyle name="표준 5 3 3 2 8" xfId="25886"/>
    <cellStyle name="표준 5 3 3 3" xfId="25887"/>
    <cellStyle name="표준 5 3 3 3 2" xfId="25888"/>
    <cellStyle name="표준 5 3 3 3 2 2" xfId="25889"/>
    <cellStyle name="표준 5 3 3 3 2 2 2" xfId="25890"/>
    <cellStyle name="표준 5 3 3 3 2 2 2 2" xfId="25891"/>
    <cellStyle name="표준 5 3 3 3 2 2 2 2 2" xfId="25892"/>
    <cellStyle name="표준 5 3 3 3 2 2 2 3" xfId="25893"/>
    <cellStyle name="표준 5 3 3 3 2 2 3" xfId="25894"/>
    <cellStyle name="표준 5 3 3 3 2 2 3 2" xfId="25895"/>
    <cellStyle name="표준 5 3 3 3 2 2 4" xfId="25896"/>
    <cellStyle name="표준 5 3 3 3 2 3" xfId="25897"/>
    <cellStyle name="표준 5 3 3 3 2 3 2" xfId="25898"/>
    <cellStyle name="표준 5 3 3 3 2 3 2 2" xfId="25899"/>
    <cellStyle name="표준 5 3 3 3 2 3 3" xfId="25900"/>
    <cellStyle name="표준 5 3 3 3 2 4" xfId="25901"/>
    <cellStyle name="표준 5 3 3 3 2 4 2" xfId="25902"/>
    <cellStyle name="표준 5 3 3 3 2 5" xfId="25903"/>
    <cellStyle name="표준 5 3 3 3 3" xfId="25904"/>
    <cellStyle name="표준 5 3 3 3 3 2" xfId="25905"/>
    <cellStyle name="표준 5 3 3 3 3 2 2" xfId="25906"/>
    <cellStyle name="표준 5 3 3 3 3 2 2 2" xfId="25907"/>
    <cellStyle name="표준 5 3 3 3 3 2 3" xfId="25908"/>
    <cellStyle name="표준 5 3 3 3 3 3" xfId="25909"/>
    <cellStyle name="표준 5 3 3 3 3 3 2" xfId="25910"/>
    <cellStyle name="표준 5 3 3 3 3 4" xfId="25911"/>
    <cellStyle name="표준 5 3 3 3 4" xfId="25912"/>
    <cellStyle name="표준 5 3 3 3 4 2" xfId="25913"/>
    <cellStyle name="표준 5 3 3 3 4 2 2" xfId="25914"/>
    <cellStyle name="표준 5 3 3 3 4 3" xfId="25915"/>
    <cellStyle name="표준 5 3 3 3 5" xfId="25916"/>
    <cellStyle name="표준 5 3 3 3 5 2" xfId="25917"/>
    <cellStyle name="표준 5 3 3 3 6" xfId="25918"/>
    <cellStyle name="표준 5 3 3 4" xfId="25919"/>
    <cellStyle name="표준 5 3 3 4 2" xfId="25920"/>
    <cellStyle name="표준 5 3 3 4 2 2" xfId="25921"/>
    <cellStyle name="표준 5 3 3 4 2 2 2" xfId="25922"/>
    <cellStyle name="표준 5 3 3 4 2 2 2 2" xfId="25923"/>
    <cellStyle name="표준 5 3 3 4 2 2 3" xfId="25924"/>
    <cellStyle name="표준 5 3 3 4 2 3" xfId="25925"/>
    <cellStyle name="표준 5 3 3 4 2 3 2" xfId="25926"/>
    <cellStyle name="표준 5 3 3 4 2 4" xfId="25927"/>
    <cellStyle name="표준 5 3 3 4 3" xfId="25928"/>
    <cellStyle name="표준 5 3 3 4 3 2" xfId="25929"/>
    <cellStyle name="표준 5 3 3 4 3 2 2" xfId="25930"/>
    <cellStyle name="표준 5 3 3 4 3 3" xfId="25931"/>
    <cellStyle name="표준 5 3 3 4 4" xfId="25932"/>
    <cellStyle name="표준 5 3 3 4 4 2" xfId="25933"/>
    <cellStyle name="표준 5 3 3 4 5" xfId="25934"/>
    <cellStyle name="표준 5 3 3 5" xfId="25935"/>
    <cellStyle name="표준 5 3 3 5 2" xfId="25936"/>
    <cellStyle name="표준 5 3 3 5 2 2" xfId="25937"/>
    <cellStyle name="표준 5 3 3 5 2 2 2" xfId="25938"/>
    <cellStyle name="표준 5 3 3 5 2 3" xfId="25939"/>
    <cellStyle name="표준 5 3 3 5 3" xfId="25940"/>
    <cellStyle name="표준 5 3 3 5 3 2" xfId="25941"/>
    <cellStyle name="표준 5 3 3 5 4" xfId="25942"/>
    <cellStyle name="표준 5 3 3 6" xfId="25943"/>
    <cellStyle name="표준 5 3 3 6 2" xfId="25944"/>
    <cellStyle name="표준 5 3 3 6 2 2" xfId="25945"/>
    <cellStyle name="표준 5 3 3 6 3" xfId="25946"/>
    <cellStyle name="표준 5 3 3 7" xfId="25947"/>
    <cellStyle name="표준 5 3 3 7 2" xfId="25948"/>
    <cellStyle name="표준 5 3 3 8" xfId="25949"/>
    <cellStyle name="표준 5 3 3 9" xfId="25950"/>
    <cellStyle name="표준 5 3 4" xfId="25951"/>
    <cellStyle name="표준 5 3 4 2" xfId="25952"/>
    <cellStyle name="표준 5 3 4 2 2" xfId="25953"/>
    <cellStyle name="표준 5 3 4 2 2 2" xfId="25954"/>
    <cellStyle name="표준 5 3 4 2 2 2 2" xfId="25955"/>
    <cellStyle name="표준 5 3 4 2 2 2 2 2" xfId="25956"/>
    <cellStyle name="표준 5 3 4 2 2 2 2 2 2" xfId="25957"/>
    <cellStyle name="표준 5 3 4 2 2 2 2 3" xfId="25958"/>
    <cellStyle name="표준 5 3 4 2 2 2 3" xfId="25959"/>
    <cellStyle name="표준 5 3 4 2 2 2 3 2" xfId="25960"/>
    <cellStyle name="표준 5 3 4 2 2 2 4" xfId="25961"/>
    <cellStyle name="표준 5 3 4 2 2 3" xfId="25962"/>
    <cellStyle name="표준 5 3 4 2 2 3 2" xfId="25963"/>
    <cellStyle name="표준 5 3 4 2 2 3 2 2" xfId="25964"/>
    <cellStyle name="표준 5 3 4 2 2 3 3" xfId="25965"/>
    <cellStyle name="표준 5 3 4 2 2 4" xfId="25966"/>
    <cellStyle name="표준 5 3 4 2 2 4 2" xfId="25967"/>
    <cellStyle name="표준 5 3 4 2 2 5" xfId="25968"/>
    <cellStyle name="표준 5 3 4 2 3" xfId="25969"/>
    <cellStyle name="표준 5 3 4 2 3 2" xfId="25970"/>
    <cellStyle name="표준 5 3 4 2 3 2 2" xfId="25971"/>
    <cellStyle name="표준 5 3 4 2 3 2 2 2" xfId="25972"/>
    <cellStyle name="표준 5 3 4 2 3 2 3" xfId="25973"/>
    <cellStyle name="표준 5 3 4 2 3 3" xfId="25974"/>
    <cellStyle name="표준 5 3 4 2 3 3 2" xfId="25975"/>
    <cellStyle name="표준 5 3 4 2 3 4" xfId="25976"/>
    <cellStyle name="표준 5 3 4 2 4" xfId="25977"/>
    <cellStyle name="표준 5 3 4 2 4 2" xfId="25978"/>
    <cellStyle name="표준 5 3 4 2 4 2 2" xfId="25979"/>
    <cellStyle name="표준 5 3 4 2 4 3" xfId="25980"/>
    <cellStyle name="표준 5 3 4 2 5" xfId="25981"/>
    <cellStyle name="표준 5 3 4 2 5 2" xfId="25982"/>
    <cellStyle name="표준 5 3 4 2 6" xfId="25983"/>
    <cellStyle name="표준 5 3 4 3" xfId="25984"/>
    <cellStyle name="표준 5 3 4 3 2" xfId="25985"/>
    <cellStyle name="표준 5 3 4 3 2 2" xfId="25986"/>
    <cellStyle name="표준 5 3 4 3 2 2 2" xfId="25987"/>
    <cellStyle name="표준 5 3 4 3 2 2 2 2" xfId="25988"/>
    <cellStyle name="표준 5 3 4 3 2 2 3" xfId="25989"/>
    <cellStyle name="표준 5 3 4 3 2 3" xfId="25990"/>
    <cellStyle name="표준 5 3 4 3 2 3 2" xfId="25991"/>
    <cellStyle name="표준 5 3 4 3 2 4" xfId="25992"/>
    <cellStyle name="표준 5 3 4 3 3" xfId="25993"/>
    <cellStyle name="표준 5 3 4 3 3 2" xfId="25994"/>
    <cellStyle name="표준 5 3 4 3 3 2 2" xfId="25995"/>
    <cellStyle name="표준 5 3 4 3 3 3" xfId="25996"/>
    <cellStyle name="표준 5 3 4 3 4" xfId="25997"/>
    <cellStyle name="표준 5 3 4 3 4 2" xfId="25998"/>
    <cellStyle name="표준 5 3 4 3 5" xfId="25999"/>
    <cellStyle name="표준 5 3 4 4" xfId="26000"/>
    <cellStyle name="표준 5 3 4 4 2" xfId="26001"/>
    <cellStyle name="표준 5 3 4 4 2 2" xfId="26002"/>
    <cellStyle name="표준 5 3 4 4 2 2 2" xfId="26003"/>
    <cellStyle name="표준 5 3 4 4 2 3" xfId="26004"/>
    <cellStyle name="표준 5 3 4 4 3" xfId="26005"/>
    <cellStyle name="표준 5 3 4 4 3 2" xfId="26006"/>
    <cellStyle name="표준 5 3 4 4 4" xfId="26007"/>
    <cellStyle name="표준 5 3 4 5" xfId="26008"/>
    <cellStyle name="표준 5 3 4 5 2" xfId="26009"/>
    <cellStyle name="표준 5 3 4 5 2 2" xfId="26010"/>
    <cellStyle name="표준 5 3 4 5 3" xfId="26011"/>
    <cellStyle name="표준 5 3 4 6" xfId="26012"/>
    <cellStyle name="표준 5 3 4 6 2" xfId="26013"/>
    <cellStyle name="표준 5 3 4 7" xfId="26014"/>
    <cellStyle name="표준 5 3 4 8" xfId="26015"/>
    <cellStyle name="표준 5 3 5" xfId="26016"/>
    <cellStyle name="표준 5 3 5 2" xfId="26017"/>
    <cellStyle name="표준 5 3 5 2 2" xfId="26018"/>
    <cellStyle name="표준 5 3 5 2 2 2" xfId="26019"/>
    <cellStyle name="표준 5 3 5 2 2 2 2" xfId="26020"/>
    <cellStyle name="표준 5 3 5 2 2 2 2 2" xfId="26021"/>
    <cellStyle name="표준 5 3 5 2 2 2 3" xfId="26022"/>
    <cellStyle name="표준 5 3 5 2 2 3" xfId="26023"/>
    <cellStyle name="표준 5 3 5 2 2 3 2" xfId="26024"/>
    <cellStyle name="표준 5 3 5 2 2 4" xfId="26025"/>
    <cellStyle name="표준 5 3 5 2 3" xfId="26026"/>
    <cellStyle name="표준 5 3 5 2 3 2" xfId="26027"/>
    <cellStyle name="표준 5 3 5 2 3 2 2" xfId="26028"/>
    <cellStyle name="표준 5 3 5 2 3 3" xfId="26029"/>
    <cellStyle name="표준 5 3 5 2 4" xfId="26030"/>
    <cellStyle name="표준 5 3 5 2 4 2" xfId="26031"/>
    <cellStyle name="표준 5 3 5 2 5" xfId="26032"/>
    <cellStyle name="표준 5 3 5 3" xfId="26033"/>
    <cellStyle name="표준 5 3 5 3 2" xfId="26034"/>
    <cellStyle name="표준 5 3 5 3 2 2" xfId="26035"/>
    <cellStyle name="표준 5 3 5 3 2 2 2" xfId="26036"/>
    <cellStyle name="표준 5 3 5 3 2 3" xfId="26037"/>
    <cellStyle name="표준 5 3 5 3 3" xfId="26038"/>
    <cellStyle name="표준 5 3 5 3 3 2" xfId="26039"/>
    <cellStyle name="표준 5 3 5 3 4" xfId="26040"/>
    <cellStyle name="표준 5 3 5 4" xfId="26041"/>
    <cellStyle name="표준 5 3 5 4 2" xfId="26042"/>
    <cellStyle name="표준 5 3 5 4 2 2" xfId="26043"/>
    <cellStyle name="표준 5 3 5 4 3" xfId="26044"/>
    <cellStyle name="표준 5 3 5 5" xfId="26045"/>
    <cellStyle name="표준 5 3 5 5 2" xfId="26046"/>
    <cellStyle name="표준 5 3 5 6" xfId="26047"/>
    <cellStyle name="표준 5 3 6" xfId="26048"/>
    <cellStyle name="표준 5 3 6 2" xfId="26049"/>
    <cellStyle name="표준 5 3 6 2 2" xfId="26050"/>
    <cellStyle name="표준 5 3 6 2 2 2" xfId="26051"/>
    <cellStyle name="표준 5 3 6 2 2 2 2" xfId="26052"/>
    <cellStyle name="표준 5 3 6 2 2 3" xfId="26053"/>
    <cellStyle name="표준 5 3 6 2 3" xfId="26054"/>
    <cellStyle name="표준 5 3 6 2 3 2" xfId="26055"/>
    <cellStyle name="표준 5 3 6 2 4" xfId="26056"/>
    <cellStyle name="표준 5 3 6 3" xfId="26057"/>
    <cellStyle name="표준 5 3 6 3 2" xfId="26058"/>
    <cellStyle name="표준 5 3 6 3 2 2" xfId="26059"/>
    <cellStyle name="표준 5 3 6 3 3" xfId="26060"/>
    <cellStyle name="표준 5 3 6 4" xfId="26061"/>
    <cellStyle name="표준 5 3 6 4 2" xfId="26062"/>
    <cellStyle name="표준 5 3 6 5" xfId="26063"/>
    <cellStyle name="표준 5 3 7" xfId="26064"/>
    <cellStyle name="표준 5 3 7 2" xfId="26065"/>
    <cellStyle name="표준 5 3 7 2 2" xfId="26066"/>
    <cellStyle name="표준 5 3 7 2 2 2" xfId="26067"/>
    <cellStyle name="표준 5 3 7 2 3" xfId="26068"/>
    <cellStyle name="표준 5 3 7 3" xfId="26069"/>
    <cellStyle name="표준 5 3 7 3 2" xfId="26070"/>
    <cellStyle name="표준 5 3 7 4" xfId="26071"/>
    <cellStyle name="표준 5 3 8" xfId="26072"/>
    <cellStyle name="표준 5 3 8 2" xfId="26073"/>
    <cellStyle name="표준 5 3 8 2 2" xfId="26074"/>
    <cellStyle name="표준 5 3 8 3" xfId="26075"/>
    <cellStyle name="표준 5 3 9" xfId="26076"/>
    <cellStyle name="표준 5 3 9 2" xfId="26077"/>
    <cellStyle name="표준 5 4" xfId="26078"/>
    <cellStyle name="표준 5 4 10" xfId="26079"/>
    <cellStyle name="표준 5 4 11" xfId="26080"/>
    <cellStyle name="표준 5 4 2" xfId="26081"/>
    <cellStyle name="표준 5 4 2 10" xfId="26082"/>
    <cellStyle name="표준 5 4 2 2" xfId="26083"/>
    <cellStyle name="표준 5 4 2 2 2" xfId="26084"/>
    <cellStyle name="표준 5 4 2 2 2 2" xfId="26085"/>
    <cellStyle name="표준 5 4 2 2 2 2 2" xfId="26086"/>
    <cellStyle name="표준 5 4 2 2 2 2 2 2" xfId="26087"/>
    <cellStyle name="표준 5 4 2 2 2 2 2 2 2" xfId="26088"/>
    <cellStyle name="표준 5 4 2 2 2 2 2 2 2 2" xfId="26089"/>
    <cellStyle name="표준 5 4 2 2 2 2 2 2 2 2 2" xfId="26090"/>
    <cellStyle name="표준 5 4 2 2 2 2 2 2 2 3" xfId="26091"/>
    <cellStyle name="표준 5 4 2 2 2 2 2 2 3" xfId="26092"/>
    <cellStyle name="표준 5 4 2 2 2 2 2 2 3 2" xfId="26093"/>
    <cellStyle name="표준 5 4 2 2 2 2 2 2 4" xfId="26094"/>
    <cellStyle name="표준 5 4 2 2 2 2 2 3" xfId="26095"/>
    <cellStyle name="표준 5 4 2 2 2 2 2 3 2" xfId="26096"/>
    <cellStyle name="표준 5 4 2 2 2 2 2 3 2 2" xfId="26097"/>
    <cellStyle name="표준 5 4 2 2 2 2 2 3 3" xfId="26098"/>
    <cellStyle name="표준 5 4 2 2 2 2 2 4" xfId="26099"/>
    <cellStyle name="표준 5 4 2 2 2 2 2 4 2" xfId="26100"/>
    <cellStyle name="표준 5 4 2 2 2 2 2 5" xfId="26101"/>
    <cellStyle name="표준 5 4 2 2 2 2 3" xfId="26102"/>
    <cellStyle name="표준 5 4 2 2 2 2 3 2" xfId="26103"/>
    <cellStyle name="표준 5 4 2 2 2 2 3 2 2" xfId="26104"/>
    <cellStyle name="표준 5 4 2 2 2 2 3 2 2 2" xfId="26105"/>
    <cellStyle name="표준 5 4 2 2 2 2 3 2 3" xfId="26106"/>
    <cellStyle name="표준 5 4 2 2 2 2 3 3" xfId="26107"/>
    <cellStyle name="표준 5 4 2 2 2 2 3 3 2" xfId="26108"/>
    <cellStyle name="표준 5 4 2 2 2 2 3 4" xfId="26109"/>
    <cellStyle name="표준 5 4 2 2 2 2 4" xfId="26110"/>
    <cellStyle name="표준 5 4 2 2 2 2 4 2" xfId="26111"/>
    <cellStyle name="표준 5 4 2 2 2 2 4 2 2" xfId="26112"/>
    <cellStyle name="표준 5 4 2 2 2 2 4 3" xfId="26113"/>
    <cellStyle name="표준 5 4 2 2 2 2 5" xfId="26114"/>
    <cellStyle name="표준 5 4 2 2 2 2 5 2" xfId="26115"/>
    <cellStyle name="표준 5 4 2 2 2 2 6" xfId="26116"/>
    <cellStyle name="표준 5 4 2 2 2 3" xfId="26117"/>
    <cellStyle name="표준 5 4 2 2 2 3 2" xfId="26118"/>
    <cellStyle name="표준 5 4 2 2 2 3 2 2" xfId="26119"/>
    <cellStyle name="표준 5 4 2 2 2 3 2 2 2" xfId="26120"/>
    <cellStyle name="표준 5 4 2 2 2 3 2 2 2 2" xfId="26121"/>
    <cellStyle name="표준 5 4 2 2 2 3 2 2 3" xfId="26122"/>
    <cellStyle name="표준 5 4 2 2 2 3 2 3" xfId="26123"/>
    <cellStyle name="표준 5 4 2 2 2 3 2 3 2" xfId="26124"/>
    <cellStyle name="표준 5 4 2 2 2 3 2 4" xfId="26125"/>
    <cellStyle name="표준 5 4 2 2 2 3 3" xfId="26126"/>
    <cellStyle name="표준 5 4 2 2 2 3 3 2" xfId="26127"/>
    <cellStyle name="표준 5 4 2 2 2 3 3 2 2" xfId="26128"/>
    <cellStyle name="표준 5 4 2 2 2 3 3 3" xfId="26129"/>
    <cellStyle name="표준 5 4 2 2 2 3 4" xfId="26130"/>
    <cellStyle name="표준 5 4 2 2 2 3 4 2" xfId="26131"/>
    <cellStyle name="표준 5 4 2 2 2 3 5" xfId="26132"/>
    <cellStyle name="표준 5 4 2 2 2 4" xfId="26133"/>
    <cellStyle name="표준 5 4 2 2 2 4 2" xfId="26134"/>
    <cellStyle name="표준 5 4 2 2 2 4 2 2" xfId="26135"/>
    <cellStyle name="표준 5 4 2 2 2 4 2 2 2" xfId="26136"/>
    <cellStyle name="표준 5 4 2 2 2 4 2 3" xfId="26137"/>
    <cellStyle name="표준 5 4 2 2 2 4 3" xfId="26138"/>
    <cellStyle name="표준 5 4 2 2 2 4 3 2" xfId="26139"/>
    <cellStyle name="표준 5 4 2 2 2 4 4" xfId="26140"/>
    <cellStyle name="표준 5 4 2 2 2 5" xfId="26141"/>
    <cellStyle name="표준 5 4 2 2 2 5 2" xfId="26142"/>
    <cellStyle name="표준 5 4 2 2 2 5 2 2" xfId="26143"/>
    <cellStyle name="표준 5 4 2 2 2 5 3" xfId="26144"/>
    <cellStyle name="표준 5 4 2 2 2 6" xfId="26145"/>
    <cellStyle name="표준 5 4 2 2 2 6 2" xfId="26146"/>
    <cellStyle name="표준 5 4 2 2 2 7" xfId="26147"/>
    <cellStyle name="표준 5 4 2 2 2 8" xfId="26148"/>
    <cellStyle name="표준 5 4 2 2 3" xfId="26149"/>
    <cellStyle name="표준 5 4 2 2 3 2" xfId="26150"/>
    <cellStyle name="표준 5 4 2 2 3 2 2" xfId="26151"/>
    <cellStyle name="표준 5 4 2 2 3 2 2 2" xfId="26152"/>
    <cellStyle name="표준 5 4 2 2 3 2 2 2 2" xfId="26153"/>
    <cellStyle name="표준 5 4 2 2 3 2 2 2 2 2" xfId="26154"/>
    <cellStyle name="표준 5 4 2 2 3 2 2 2 3" xfId="26155"/>
    <cellStyle name="표준 5 4 2 2 3 2 2 3" xfId="26156"/>
    <cellStyle name="표준 5 4 2 2 3 2 2 3 2" xfId="26157"/>
    <cellStyle name="표준 5 4 2 2 3 2 2 4" xfId="26158"/>
    <cellStyle name="표준 5 4 2 2 3 2 3" xfId="26159"/>
    <cellStyle name="표준 5 4 2 2 3 2 3 2" xfId="26160"/>
    <cellStyle name="표준 5 4 2 2 3 2 3 2 2" xfId="26161"/>
    <cellStyle name="표준 5 4 2 2 3 2 3 3" xfId="26162"/>
    <cellStyle name="표준 5 4 2 2 3 2 4" xfId="26163"/>
    <cellStyle name="표준 5 4 2 2 3 2 4 2" xfId="26164"/>
    <cellStyle name="표준 5 4 2 2 3 2 5" xfId="26165"/>
    <cellStyle name="표준 5 4 2 2 3 3" xfId="26166"/>
    <cellStyle name="표준 5 4 2 2 3 3 2" xfId="26167"/>
    <cellStyle name="표준 5 4 2 2 3 3 2 2" xfId="26168"/>
    <cellStyle name="표준 5 4 2 2 3 3 2 2 2" xfId="26169"/>
    <cellStyle name="표준 5 4 2 2 3 3 2 3" xfId="26170"/>
    <cellStyle name="표준 5 4 2 2 3 3 3" xfId="26171"/>
    <cellStyle name="표준 5 4 2 2 3 3 3 2" xfId="26172"/>
    <cellStyle name="표준 5 4 2 2 3 3 4" xfId="26173"/>
    <cellStyle name="표준 5 4 2 2 3 4" xfId="26174"/>
    <cellStyle name="표준 5 4 2 2 3 4 2" xfId="26175"/>
    <cellStyle name="표준 5 4 2 2 3 4 2 2" xfId="26176"/>
    <cellStyle name="표준 5 4 2 2 3 4 3" xfId="26177"/>
    <cellStyle name="표준 5 4 2 2 3 5" xfId="26178"/>
    <cellStyle name="표준 5 4 2 2 3 5 2" xfId="26179"/>
    <cellStyle name="표준 5 4 2 2 3 6" xfId="26180"/>
    <cellStyle name="표준 5 4 2 2 4" xfId="26181"/>
    <cellStyle name="표준 5 4 2 2 4 2" xfId="26182"/>
    <cellStyle name="표준 5 4 2 2 4 2 2" xfId="26183"/>
    <cellStyle name="표준 5 4 2 2 4 2 2 2" xfId="26184"/>
    <cellStyle name="표준 5 4 2 2 4 2 2 2 2" xfId="26185"/>
    <cellStyle name="표준 5 4 2 2 4 2 2 3" xfId="26186"/>
    <cellStyle name="표준 5 4 2 2 4 2 3" xfId="26187"/>
    <cellStyle name="표준 5 4 2 2 4 2 3 2" xfId="26188"/>
    <cellStyle name="표준 5 4 2 2 4 2 4" xfId="26189"/>
    <cellStyle name="표준 5 4 2 2 4 3" xfId="26190"/>
    <cellStyle name="표준 5 4 2 2 4 3 2" xfId="26191"/>
    <cellStyle name="표준 5 4 2 2 4 3 2 2" xfId="26192"/>
    <cellStyle name="표준 5 4 2 2 4 3 3" xfId="26193"/>
    <cellStyle name="표준 5 4 2 2 4 4" xfId="26194"/>
    <cellStyle name="표준 5 4 2 2 4 4 2" xfId="26195"/>
    <cellStyle name="표준 5 4 2 2 4 5" xfId="26196"/>
    <cellStyle name="표준 5 4 2 2 5" xfId="26197"/>
    <cellStyle name="표준 5 4 2 2 5 2" xfId="26198"/>
    <cellStyle name="표준 5 4 2 2 5 2 2" xfId="26199"/>
    <cellStyle name="표준 5 4 2 2 5 2 2 2" xfId="26200"/>
    <cellStyle name="표준 5 4 2 2 5 2 3" xfId="26201"/>
    <cellStyle name="표준 5 4 2 2 5 3" xfId="26202"/>
    <cellStyle name="표준 5 4 2 2 5 3 2" xfId="26203"/>
    <cellStyle name="표준 5 4 2 2 5 4" xfId="26204"/>
    <cellStyle name="표준 5 4 2 2 6" xfId="26205"/>
    <cellStyle name="표준 5 4 2 2 6 2" xfId="26206"/>
    <cellStyle name="표준 5 4 2 2 6 2 2" xfId="26207"/>
    <cellStyle name="표준 5 4 2 2 6 3" xfId="26208"/>
    <cellStyle name="표준 5 4 2 2 7" xfId="26209"/>
    <cellStyle name="표준 5 4 2 2 7 2" xfId="26210"/>
    <cellStyle name="표준 5 4 2 2 8" xfId="26211"/>
    <cellStyle name="표준 5 4 2 2 9" xfId="26212"/>
    <cellStyle name="표준 5 4 2 3" xfId="26213"/>
    <cellStyle name="표준 5 4 2 3 2" xfId="26214"/>
    <cellStyle name="표준 5 4 2 3 2 2" xfId="26215"/>
    <cellStyle name="표준 5 4 2 3 2 2 2" xfId="26216"/>
    <cellStyle name="표준 5 4 2 3 2 2 2 2" xfId="26217"/>
    <cellStyle name="표준 5 4 2 3 2 2 2 2 2" xfId="26218"/>
    <cellStyle name="표준 5 4 2 3 2 2 2 2 2 2" xfId="26219"/>
    <cellStyle name="표준 5 4 2 3 2 2 2 2 3" xfId="26220"/>
    <cellStyle name="표준 5 4 2 3 2 2 2 3" xfId="26221"/>
    <cellStyle name="표준 5 4 2 3 2 2 2 3 2" xfId="26222"/>
    <cellStyle name="표준 5 4 2 3 2 2 2 4" xfId="26223"/>
    <cellStyle name="표준 5 4 2 3 2 2 3" xfId="26224"/>
    <cellStyle name="표준 5 4 2 3 2 2 3 2" xfId="26225"/>
    <cellStyle name="표준 5 4 2 3 2 2 3 2 2" xfId="26226"/>
    <cellStyle name="표준 5 4 2 3 2 2 3 3" xfId="26227"/>
    <cellStyle name="표준 5 4 2 3 2 2 4" xfId="26228"/>
    <cellStyle name="표준 5 4 2 3 2 2 4 2" xfId="26229"/>
    <cellStyle name="표준 5 4 2 3 2 2 5" xfId="26230"/>
    <cellStyle name="표준 5 4 2 3 2 3" xfId="26231"/>
    <cellStyle name="표준 5 4 2 3 2 3 2" xfId="26232"/>
    <cellStyle name="표준 5 4 2 3 2 3 2 2" xfId="26233"/>
    <cellStyle name="표준 5 4 2 3 2 3 2 2 2" xfId="26234"/>
    <cellStyle name="표준 5 4 2 3 2 3 2 3" xfId="26235"/>
    <cellStyle name="표준 5 4 2 3 2 3 3" xfId="26236"/>
    <cellStyle name="표준 5 4 2 3 2 3 3 2" xfId="26237"/>
    <cellStyle name="표준 5 4 2 3 2 3 4" xfId="26238"/>
    <cellStyle name="표준 5 4 2 3 2 4" xfId="26239"/>
    <cellStyle name="표준 5 4 2 3 2 4 2" xfId="26240"/>
    <cellStyle name="표준 5 4 2 3 2 4 2 2" xfId="26241"/>
    <cellStyle name="표준 5 4 2 3 2 4 3" xfId="26242"/>
    <cellStyle name="표준 5 4 2 3 2 5" xfId="26243"/>
    <cellStyle name="표준 5 4 2 3 2 5 2" xfId="26244"/>
    <cellStyle name="표준 5 4 2 3 2 6" xfId="26245"/>
    <cellStyle name="표준 5 4 2 3 3" xfId="26246"/>
    <cellStyle name="표준 5 4 2 3 3 2" xfId="26247"/>
    <cellStyle name="표준 5 4 2 3 3 2 2" xfId="26248"/>
    <cellStyle name="표준 5 4 2 3 3 2 2 2" xfId="26249"/>
    <cellStyle name="표준 5 4 2 3 3 2 2 2 2" xfId="26250"/>
    <cellStyle name="표준 5 4 2 3 3 2 2 3" xfId="26251"/>
    <cellStyle name="표준 5 4 2 3 3 2 3" xfId="26252"/>
    <cellStyle name="표준 5 4 2 3 3 2 3 2" xfId="26253"/>
    <cellStyle name="표준 5 4 2 3 3 2 4" xfId="26254"/>
    <cellStyle name="표준 5 4 2 3 3 3" xfId="26255"/>
    <cellStyle name="표준 5 4 2 3 3 3 2" xfId="26256"/>
    <cellStyle name="표준 5 4 2 3 3 3 2 2" xfId="26257"/>
    <cellStyle name="표준 5 4 2 3 3 3 3" xfId="26258"/>
    <cellStyle name="표준 5 4 2 3 3 4" xfId="26259"/>
    <cellStyle name="표준 5 4 2 3 3 4 2" xfId="26260"/>
    <cellStyle name="표준 5 4 2 3 3 5" xfId="26261"/>
    <cellStyle name="표준 5 4 2 3 4" xfId="26262"/>
    <cellStyle name="표준 5 4 2 3 4 2" xfId="26263"/>
    <cellStyle name="표준 5 4 2 3 4 2 2" xfId="26264"/>
    <cellStyle name="표준 5 4 2 3 4 2 2 2" xfId="26265"/>
    <cellStyle name="표준 5 4 2 3 4 2 3" xfId="26266"/>
    <cellStyle name="표준 5 4 2 3 4 3" xfId="26267"/>
    <cellStyle name="표준 5 4 2 3 4 3 2" xfId="26268"/>
    <cellStyle name="표준 5 4 2 3 4 4" xfId="26269"/>
    <cellStyle name="표준 5 4 2 3 5" xfId="26270"/>
    <cellStyle name="표준 5 4 2 3 5 2" xfId="26271"/>
    <cellStyle name="표준 5 4 2 3 5 2 2" xfId="26272"/>
    <cellStyle name="표준 5 4 2 3 5 3" xfId="26273"/>
    <cellStyle name="표준 5 4 2 3 6" xfId="26274"/>
    <cellStyle name="표준 5 4 2 3 6 2" xfId="26275"/>
    <cellStyle name="표준 5 4 2 3 7" xfId="26276"/>
    <cellStyle name="표준 5 4 2 3 8" xfId="26277"/>
    <cellStyle name="표준 5 4 2 4" xfId="26278"/>
    <cellStyle name="표준 5 4 2 4 2" xfId="26279"/>
    <cellStyle name="표준 5 4 2 4 2 2" xfId="26280"/>
    <cellStyle name="표준 5 4 2 4 2 2 2" xfId="26281"/>
    <cellStyle name="표준 5 4 2 4 2 2 2 2" xfId="26282"/>
    <cellStyle name="표준 5 4 2 4 2 2 2 2 2" xfId="26283"/>
    <cellStyle name="표준 5 4 2 4 2 2 2 3" xfId="26284"/>
    <cellStyle name="표준 5 4 2 4 2 2 3" xfId="26285"/>
    <cellStyle name="표준 5 4 2 4 2 2 3 2" xfId="26286"/>
    <cellStyle name="표준 5 4 2 4 2 2 4" xfId="26287"/>
    <cellStyle name="표준 5 4 2 4 2 3" xfId="26288"/>
    <cellStyle name="표준 5 4 2 4 2 3 2" xfId="26289"/>
    <cellStyle name="표준 5 4 2 4 2 3 2 2" xfId="26290"/>
    <cellStyle name="표준 5 4 2 4 2 3 3" xfId="26291"/>
    <cellStyle name="표준 5 4 2 4 2 4" xfId="26292"/>
    <cellStyle name="표준 5 4 2 4 2 4 2" xfId="26293"/>
    <cellStyle name="표준 5 4 2 4 2 5" xfId="26294"/>
    <cellStyle name="표준 5 4 2 4 3" xfId="26295"/>
    <cellStyle name="표준 5 4 2 4 3 2" xfId="26296"/>
    <cellStyle name="표준 5 4 2 4 3 2 2" xfId="26297"/>
    <cellStyle name="표준 5 4 2 4 3 2 2 2" xfId="26298"/>
    <cellStyle name="표준 5 4 2 4 3 2 3" xfId="26299"/>
    <cellStyle name="표준 5 4 2 4 3 3" xfId="26300"/>
    <cellStyle name="표준 5 4 2 4 3 3 2" xfId="26301"/>
    <cellStyle name="표준 5 4 2 4 3 4" xfId="26302"/>
    <cellStyle name="표준 5 4 2 4 4" xfId="26303"/>
    <cellStyle name="표준 5 4 2 4 4 2" xfId="26304"/>
    <cellStyle name="표준 5 4 2 4 4 2 2" xfId="26305"/>
    <cellStyle name="표준 5 4 2 4 4 3" xfId="26306"/>
    <cellStyle name="표준 5 4 2 4 5" xfId="26307"/>
    <cellStyle name="표준 5 4 2 4 5 2" xfId="26308"/>
    <cellStyle name="표준 5 4 2 4 6" xfId="26309"/>
    <cellStyle name="표준 5 4 2 5" xfId="26310"/>
    <cellStyle name="표준 5 4 2 5 2" xfId="26311"/>
    <cellStyle name="표준 5 4 2 5 2 2" xfId="26312"/>
    <cellStyle name="표준 5 4 2 5 2 2 2" xfId="26313"/>
    <cellStyle name="표준 5 4 2 5 2 2 2 2" xfId="26314"/>
    <cellStyle name="표준 5 4 2 5 2 2 3" xfId="26315"/>
    <cellStyle name="표준 5 4 2 5 2 3" xfId="26316"/>
    <cellStyle name="표준 5 4 2 5 2 3 2" xfId="26317"/>
    <cellStyle name="표준 5 4 2 5 2 4" xfId="26318"/>
    <cellStyle name="표준 5 4 2 5 3" xfId="26319"/>
    <cellStyle name="표준 5 4 2 5 3 2" xfId="26320"/>
    <cellStyle name="표준 5 4 2 5 3 2 2" xfId="26321"/>
    <cellStyle name="표준 5 4 2 5 3 3" xfId="26322"/>
    <cellStyle name="표준 5 4 2 5 4" xfId="26323"/>
    <cellStyle name="표준 5 4 2 5 4 2" xfId="26324"/>
    <cellStyle name="표준 5 4 2 5 5" xfId="26325"/>
    <cellStyle name="표준 5 4 2 6" xfId="26326"/>
    <cellStyle name="표준 5 4 2 6 2" xfId="26327"/>
    <cellStyle name="표준 5 4 2 6 2 2" xfId="26328"/>
    <cellStyle name="표준 5 4 2 6 2 2 2" xfId="26329"/>
    <cellStyle name="표준 5 4 2 6 2 3" xfId="26330"/>
    <cellStyle name="표준 5 4 2 6 3" xfId="26331"/>
    <cellStyle name="표준 5 4 2 6 3 2" xfId="26332"/>
    <cellStyle name="표준 5 4 2 6 4" xfId="26333"/>
    <cellStyle name="표준 5 4 2 7" xfId="26334"/>
    <cellStyle name="표준 5 4 2 7 2" xfId="26335"/>
    <cellStyle name="표준 5 4 2 7 2 2" xfId="26336"/>
    <cellStyle name="표준 5 4 2 7 3" xfId="26337"/>
    <cellStyle name="표준 5 4 2 8" xfId="26338"/>
    <cellStyle name="표준 5 4 2 8 2" xfId="26339"/>
    <cellStyle name="표준 5 4 2 9" xfId="26340"/>
    <cellStyle name="표준 5 4 3" xfId="26341"/>
    <cellStyle name="표준 5 4 3 2" xfId="26342"/>
    <cellStyle name="표준 5 4 3 2 2" xfId="26343"/>
    <cellStyle name="표준 5 4 3 2 2 2" xfId="26344"/>
    <cellStyle name="표준 5 4 3 2 2 2 2" xfId="26345"/>
    <cellStyle name="표준 5 4 3 2 2 2 2 2" xfId="26346"/>
    <cellStyle name="표준 5 4 3 2 2 2 2 2 2" xfId="26347"/>
    <cellStyle name="표준 5 4 3 2 2 2 2 2 2 2" xfId="26348"/>
    <cellStyle name="표준 5 4 3 2 2 2 2 2 3" xfId="26349"/>
    <cellStyle name="표준 5 4 3 2 2 2 2 3" xfId="26350"/>
    <cellStyle name="표준 5 4 3 2 2 2 2 3 2" xfId="26351"/>
    <cellStyle name="표준 5 4 3 2 2 2 2 4" xfId="26352"/>
    <cellStyle name="표준 5 4 3 2 2 2 3" xfId="26353"/>
    <cellStyle name="표준 5 4 3 2 2 2 3 2" xfId="26354"/>
    <cellStyle name="표준 5 4 3 2 2 2 3 2 2" xfId="26355"/>
    <cellStyle name="표준 5 4 3 2 2 2 3 3" xfId="26356"/>
    <cellStyle name="표준 5 4 3 2 2 2 4" xfId="26357"/>
    <cellStyle name="표준 5 4 3 2 2 2 4 2" xfId="26358"/>
    <cellStyle name="표준 5 4 3 2 2 2 5" xfId="26359"/>
    <cellStyle name="표준 5 4 3 2 2 3" xfId="26360"/>
    <cellStyle name="표준 5 4 3 2 2 3 2" xfId="26361"/>
    <cellStyle name="표준 5 4 3 2 2 3 2 2" xfId="26362"/>
    <cellStyle name="표준 5 4 3 2 2 3 2 2 2" xfId="26363"/>
    <cellStyle name="표준 5 4 3 2 2 3 2 3" xfId="26364"/>
    <cellStyle name="표준 5 4 3 2 2 3 3" xfId="26365"/>
    <cellStyle name="표준 5 4 3 2 2 3 3 2" xfId="26366"/>
    <cellStyle name="표준 5 4 3 2 2 3 4" xfId="26367"/>
    <cellStyle name="표준 5 4 3 2 2 4" xfId="26368"/>
    <cellStyle name="표준 5 4 3 2 2 4 2" xfId="26369"/>
    <cellStyle name="표준 5 4 3 2 2 4 2 2" xfId="26370"/>
    <cellStyle name="표준 5 4 3 2 2 4 3" xfId="26371"/>
    <cellStyle name="표준 5 4 3 2 2 5" xfId="26372"/>
    <cellStyle name="표준 5 4 3 2 2 5 2" xfId="26373"/>
    <cellStyle name="표준 5 4 3 2 2 6" xfId="26374"/>
    <cellStyle name="표준 5 4 3 2 3" xfId="26375"/>
    <cellStyle name="표준 5 4 3 2 3 2" xfId="26376"/>
    <cellStyle name="표준 5 4 3 2 3 2 2" xfId="26377"/>
    <cellStyle name="표준 5 4 3 2 3 2 2 2" xfId="26378"/>
    <cellStyle name="표준 5 4 3 2 3 2 2 2 2" xfId="26379"/>
    <cellStyle name="표준 5 4 3 2 3 2 2 3" xfId="26380"/>
    <cellStyle name="표준 5 4 3 2 3 2 3" xfId="26381"/>
    <cellStyle name="표준 5 4 3 2 3 2 3 2" xfId="26382"/>
    <cellStyle name="표준 5 4 3 2 3 2 4" xfId="26383"/>
    <cellStyle name="표준 5 4 3 2 3 3" xfId="26384"/>
    <cellStyle name="표준 5 4 3 2 3 3 2" xfId="26385"/>
    <cellStyle name="표준 5 4 3 2 3 3 2 2" xfId="26386"/>
    <cellStyle name="표준 5 4 3 2 3 3 3" xfId="26387"/>
    <cellStyle name="표준 5 4 3 2 3 4" xfId="26388"/>
    <cellStyle name="표준 5 4 3 2 3 4 2" xfId="26389"/>
    <cellStyle name="표준 5 4 3 2 3 5" xfId="26390"/>
    <cellStyle name="표준 5 4 3 2 4" xfId="26391"/>
    <cellStyle name="표준 5 4 3 2 4 2" xfId="26392"/>
    <cellStyle name="표준 5 4 3 2 4 2 2" xfId="26393"/>
    <cellStyle name="표준 5 4 3 2 4 2 2 2" xfId="26394"/>
    <cellStyle name="표준 5 4 3 2 4 2 3" xfId="26395"/>
    <cellStyle name="표준 5 4 3 2 4 3" xfId="26396"/>
    <cellStyle name="표준 5 4 3 2 4 3 2" xfId="26397"/>
    <cellStyle name="표준 5 4 3 2 4 4" xfId="26398"/>
    <cellStyle name="표준 5 4 3 2 5" xfId="26399"/>
    <cellStyle name="표준 5 4 3 2 5 2" xfId="26400"/>
    <cellStyle name="표준 5 4 3 2 5 2 2" xfId="26401"/>
    <cellStyle name="표준 5 4 3 2 5 3" xfId="26402"/>
    <cellStyle name="표준 5 4 3 2 6" xfId="26403"/>
    <cellStyle name="표준 5 4 3 2 6 2" xfId="26404"/>
    <cellStyle name="표준 5 4 3 2 7" xfId="26405"/>
    <cellStyle name="표준 5 4 3 2 8" xfId="26406"/>
    <cellStyle name="표준 5 4 3 3" xfId="26407"/>
    <cellStyle name="표준 5 4 3 3 2" xfId="26408"/>
    <cellStyle name="표준 5 4 3 3 2 2" xfId="26409"/>
    <cellStyle name="표준 5 4 3 3 2 2 2" xfId="26410"/>
    <cellStyle name="표준 5 4 3 3 2 2 2 2" xfId="26411"/>
    <cellStyle name="표준 5 4 3 3 2 2 2 2 2" xfId="26412"/>
    <cellStyle name="표준 5 4 3 3 2 2 2 3" xfId="26413"/>
    <cellStyle name="표준 5 4 3 3 2 2 3" xfId="26414"/>
    <cellStyle name="표준 5 4 3 3 2 2 3 2" xfId="26415"/>
    <cellStyle name="표준 5 4 3 3 2 2 4" xfId="26416"/>
    <cellStyle name="표준 5 4 3 3 2 3" xfId="26417"/>
    <cellStyle name="표준 5 4 3 3 2 3 2" xfId="26418"/>
    <cellStyle name="표준 5 4 3 3 2 3 2 2" xfId="26419"/>
    <cellStyle name="표준 5 4 3 3 2 3 3" xfId="26420"/>
    <cellStyle name="표준 5 4 3 3 2 4" xfId="26421"/>
    <cellStyle name="표준 5 4 3 3 2 4 2" xfId="26422"/>
    <cellStyle name="표준 5 4 3 3 2 5" xfId="26423"/>
    <cellStyle name="표준 5 4 3 3 3" xfId="26424"/>
    <cellStyle name="표준 5 4 3 3 3 2" xfId="26425"/>
    <cellStyle name="표준 5 4 3 3 3 2 2" xfId="26426"/>
    <cellStyle name="표준 5 4 3 3 3 2 2 2" xfId="26427"/>
    <cellStyle name="표준 5 4 3 3 3 2 3" xfId="26428"/>
    <cellStyle name="표준 5 4 3 3 3 3" xfId="26429"/>
    <cellStyle name="표준 5 4 3 3 3 3 2" xfId="26430"/>
    <cellStyle name="표준 5 4 3 3 3 4" xfId="26431"/>
    <cellStyle name="표준 5 4 3 3 4" xfId="26432"/>
    <cellStyle name="표준 5 4 3 3 4 2" xfId="26433"/>
    <cellStyle name="표준 5 4 3 3 4 2 2" xfId="26434"/>
    <cellStyle name="표준 5 4 3 3 4 3" xfId="26435"/>
    <cellStyle name="표준 5 4 3 3 5" xfId="26436"/>
    <cellStyle name="표준 5 4 3 3 5 2" xfId="26437"/>
    <cellStyle name="표준 5 4 3 3 6" xfId="26438"/>
    <cellStyle name="표준 5 4 3 4" xfId="26439"/>
    <cellStyle name="표준 5 4 3 4 2" xfId="26440"/>
    <cellStyle name="표준 5 4 3 4 2 2" xfId="26441"/>
    <cellStyle name="표준 5 4 3 4 2 2 2" xfId="26442"/>
    <cellStyle name="표준 5 4 3 4 2 2 2 2" xfId="26443"/>
    <cellStyle name="표준 5 4 3 4 2 2 3" xfId="26444"/>
    <cellStyle name="표준 5 4 3 4 2 3" xfId="26445"/>
    <cellStyle name="표준 5 4 3 4 2 3 2" xfId="26446"/>
    <cellStyle name="표준 5 4 3 4 2 4" xfId="26447"/>
    <cellStyle name="표준 5 4 3 4 3" xfId="26448"/>
    <cellStyle name="표준 5 4 3 4 3 2" xfId="26449"/>
    <cellStyle name="표준 5 4 3 4 3 2 2" xfId="26450"/>
    <cellStyle name="표준 5 4 3 4 3 3" xfId="26451"/>
    <cellStyle name="표준 5 4 3 4 4" xfId="26452"/>
    <cellStyle name="표준 5 4 3 4 4 2" xfId="26453"/>
    <cellStyle name="표준 5 4 3 4 5" xfId="26454"/>
    <cellStyle name="표준 5 4 3 5" xfId="26455"/>
    <cellStyle name="표준 5 4 3 5 2" xfId="26456"/>
    <cellStyle name="표준 5 4 3 5 2 2" xfId="26457"/>
    <cellStyle name="표준 5 4 3 5 2 2 2" xfId="26458"/>
    <cellStyle name="표준 5 4 3 5 2 3" xfId="26459"/>
    <cellStyle name="표준 5 4 3 5 3" xfId="26460"/>
    <cellStyle name="표준 5 4 3 5 3 2" xfId="26461"/>
    <cellStyle name="표준 5 4 3 5 4" xfId="26462"/>
    <cellStyle name="표준 5 4 3 6" xfId="26463"/>
    <cellStyle name="표준 5 4 3 6 2" xfId="26464"/>
    <cellStyle name="표준 5 4 3 6 2 2" xfId="26465"/>
    <cellStyle name="표준 5 4 3 6 3" xfId="26466"/>
    <cellStyle name="표준 5 4 3 7" xfId="26467"/>
    <cellStyle name="표준 5 4 3 7 2" xfId="26468"/>
    <cellStyle name="표준 5 4 3 8" xfId="26469"/>
    <cellStyle name="표준 5 4 3 9" xfId="26470"/>
    <cellStyle name="표준 5 4 4" xfId="26471"/>
    <cellStyle name="표준 5 4 4 2" xfId="26472"/>
    <cellStyle name="표준 5 4 4 2 2" xfId="26473"/>
    <cellStyle name="표준 5 4 4 2 2 2" xfId="26474"/>
    <cellStyle name="표준 5 4 4 2 2 2 2" xfId="26475"/>
    <cellStyle name="표준 5 4 4 2 2 2 2 2" xfId="26476"/>
    <cellStyle name="표준 5 4 4 2 2 2 2 2 2" xfId="26477"/>
    <cellStyle name="표준 5 4 4 2 2 2 2 3" xfId="26478"/>
    <cellStyle name="표준 5 4 4 2 2 2 3" xfId="26479"/>
    <cellStyle name="표준 5 4 4 2 2 2 3 2" xfId="26480"/>
    <cellStyle name="표준 5 4 4 2 2 2 4" xfId="26481"/>
    <cellStyle name="표준 5 4 4 2 2 3" xfId="26482"/>
    <cellStyle name="표준 5 4 4 2 2 3 2" xfId="26483"/>
    <cellStyle name="표준 5 4 4 2 2 3 2 2" xfId="26484"/>
    <cellStyle name="표준 5 4 4 2 2 3 3" xfId="26485"/>
    <cellStyle name="표준 5 4 4 2 2 4" xfId="26486"/>
    <cellStyle name="표준 5 4 4 2 2 4 2" xfId="26487"/>
    <cellStyle name="표준 5 4 4 2 2 5" xfId="26488"/>
    <cellStyle name="표준 5 4 4 2 3" xfId="26489"/>
    <cellStyle name="표준 5 4 4 2 3 2" xfId="26490"/>
    <cellStyle name="표준 5 4 4 2 3 2 2" xfId="26491"/>
    <cellStyle name="표준 5 4 4 2 3 2 2 2" xfId="26492"/>
    <cellStyle name="표준 5 4 4 2 3 2 3" xfId="26493"/>
    <cellStyle name="표준 5 4 4 2 3 3" xfId="26494"/>
    <cellStyle name="표준 5 4 4 2 3 3 2" xfId="26495"/>
    <cellStyle name="표준 5 4 4 2 3 4" xfId="26496"/>
    <cellStyle name="표준 5 4 4 2 4" xfId="26497"/>
    <cellStyle name="표준 5 4 4 2 4 2" xfId="26498"/>
    <cellStyle name="표준 5 4 4 2 4 2 2" xfId="26499"/>
    <cellStyle name="표준 5 4 4 2 4 3" xfId="26500"/>
    <cellStyle name="표준 5 4 4 2 5" xfId="26501"/>
    <cellStyle name="표준 5 4 4 2 5 2" xfId="26502"/>
    <cellStyle name="표준 5 4 4 2 6" xfId="26503"/>
    <cellStyle name="표준 5 4 4 3" xfId="26504"/>
    <cellStyle name="표준 5 4 4 3 2" xfId="26505"/>
    <cellStyle name="표준 5 4 4 3 2 2" xfId="26506"/>
    <cellStyle name="표준 5 4 4 3 2 2 2" xfId="26507"/>
    <cellStyle name="표준 5 4 4 3 2 2 2 2" xfId="26508"/>
    <cellStyle name="표준 5 4 4 3 2 2 3" xfId="26509"/>
    <cellStyle name="표준 5 4 4 3 2 3" xfId="26510"/>
    <cellStyle name="표준 5 4 4 3 2 3 2" xfId="26511"/>
    <cellStyle name="표준 5 4 4 3 2 4" xfId="26512"/>
    <cellStyle name="표준 5 4 4 3 3" xfId="26513"/>
    <cellStyle name="표준 5 4 4 3 3 2" xfId="26514"/>
    <cellStyle name="표준 5 4 4 3 3 2 2" xfId="26515"/>
    <cellStyle name="표준 5 4 4 3 3 3" xfId="26516"/>
    <cellStyle name="표준 5 4 4 3 4" xfId="26517"/>
    <cellStyle name="표준 5 4 4 3 4 2" xfId="26518"/>
    <cellStyle name="표준 5 4 4 3 5" xfId="26519"/>
    <cellStyle name="표준 5 4 4 4" xfId="26520"/>
    <cellStyle name="표준 5 4 4 4 2" xfId="26521"/>
    <cellStyle name="표준 5 4 4 4 2 2" xfId="26522"/>
    <cellStyle name="표준 5 4 4 4 2 2 2" xfId="26523"/>
    <cellStyle name="표준 5 4 4 4 2 3" xfId="26524"/>
    <cellStyle name="표준 5 4 4 4 3" xfId="26525"/>
    <cellStyle name="표준 5 4 4 4 3 2" xfId="26526"/>
    <cellStyle name="표준 5 4 4 4 4" xfId="26527"/>
    <cellStyle name="표준 5 4 4 5" xfId="26528"/>
    <cellStyle name="표준 5 4 4 5 2" xfId="26529"/>
    <cellStyle name="표준 5 4 4 5 2 2" xfId="26530"/>
    <cellStyle name="표준 5 4 4 5 3" xfId="26531"/>
    <cellStyle name="표준 5 4 4 6" xfId="26532"/>
    <cellStyle name="표준 5 4 4 6 2" xfId="26533"/>
    <cellStyle name="표준 5 4 4 7" xfId="26534"/>
    <cellStyle name="표준 5 4 4 8" xfId="26535"/>
    <cellStyle name="표준 5 4 5" xfId="26536"/>
    <cellStyle name="표준 5 4 5 2" xfId="26537"/>
    <cellStyle name="표준 5 4 5 2 2" xfId="26538"/>
    <cellStyle name="표준 5 4 5 2 2 2" xfId="26539"/>
    <cellStyle name="표준 5 4 5 2 2 2 2" xfId="26540"/>
    <cellStyle name="표준 5 4 5 2 2 2 2 2" xfId="26541"/>
    <cellStyle name="표준 5 4 5 2 2 2 3" xfId="26542"/>
    <cellStyle name="표준 5 4 5 2 2 3" xfId="26543"/>
    <cellStyle name="표준 5 4 5 2 2 3 2" xfId="26544"/>
    <cellStyle name="표준 5 4 5 2 2 4" xfId="26545"/>
    <cellStyle name="표준 5 4 5 2 3" xfId="26546"/>
    <cellStyle name="표준 5 4 5 2 3 2" xfId="26547"/>
    <cellStyle name="표준 5 4 5 2 3 2 2" xfId="26548"/>
    <cellStyle name="표준 5 4 5 2 3 3" xfId="26549"/>
    <cellStyle name="표준 5 4 5 2 4" xfId="26550"/>
    <cellStyle name="표준 5 4 5 2 4 2" xfId="26551"/>
    <cellStyle name="표준 5 4 5 2 5" xfId="26552"/>
    <cellStyle name="표준 5 4 5 3" xfId="26553"/>
    <cellStyle name="표준 5 4 5 3 2" xfId="26554"/>
    <cellStyle name="표준 5 4 5 3 2 2" xfId="26555"/>
    <cellStyle name="표준 5 4 5 3 2 2 2" xfId="26556"/>
    <cellStyle name="표준 5 4 5 3 2 3" xfId="26557"/>
    <cellStyle name="표준 5 4 5 3 3" xfId="26558"/>
    <cellStyle name="표준 5 4 5 3 3 2" xfId="26559"/>
    <cellStyle name="표준 5 4 5 3 4" xfId="26560"/>
    <cellStyle name="표준 5 4 5 4" xfId="26561"/>
    <cellStyle name="표준 5 4 5 4 2" xfId="26562"/>
    <cellStyle name="표준 5 4 5 4 2 2" xfId="26563"/>
    <cellStyle name="표준 5 4 5 4 3" xfId="26564"/>
    <cellStyle name="표준 5 4 5 5" xfId="26565"/>
    <cellStyle name="표준 5 4 5 5 2" xfId="26566"/>
    <cellStyle name="표준 5 4 5 6" xfId="26567"/>
    <cellStyle name="표준 5 4 6" xfId="26568"/>
    <cellStyle name="표준 5 4 6 2" xfId="26569"/>
    <cellStyle name="표준 5 4 6 2 2" xfId="26570"/>
    <cellStyle name="표준 5 4 6 2 2 2" xfId="26571"/>
    <cellStyle name="표준 5 4 6 2 2 2 2" xfId="26572"/>
    <cellStyle name="표준 5 4 6 2 2 3" xfId="26573"/>
    <cellStyle name="표준 5 4 6 2 3" xfId="26574"/>
    <cellStyle name="표준 5 4 6 2 3 2" xfId="26575"/>
    <cellStyle name="표준 5 4 6 2 4" xfId="26576"/>
    <cellStyle name="표준 5 4 6 3" xfId="26577"/>
    <cellStyle name="표준 5 4 6 3 2" xfId="26578"/>
    <cellStyle name="표준 5 4 6 3 2 2" xfId="26579"/>
    <cellStyle name="표준 5 4 6 3 3" xfId="26580"/>
    <cellStyle name="표준 5 4 6 4" xfId="26581"/>
    <cellStyle name="표준 5 4 6 4 2" xfId="26582"/>
    <cellStyle name="표준 5 4 6 5" xfId="26583"/>
    <cellStyle name="표준 5 4 7" xfId="26584"/>
    <cellStyle name="표준 5 4 7 2" xfId="26585"/>
    <cellStyle name="표준 5 4 7 2 2" xfId="26586"/>
    <cellStyle name="표준 5 4 7 2 2 2" xfId="26587"/>
    <cellStyle name="표준 5 4 7 2 3" xfId="26588"/>
    <cellStyle name="표준 5 4 7 3" xfId="26589"/>
    <cellStyle name="표준 5 4 7 3 2" xfId="26590"/>
    <cellStyle name="표준 5 4 7 4" xfId="26591"/>
    <cellStyle name="표준 5 4 8" xfId="26592"/>
    <cellStyle name="표준 5 4 8 2" xfId="26593"/>
    <cellStyle name="표준 5 4 8 2 2" xfId="26594"/>
    <cellStyle name="표준 5 4 8 3" xfId="26595"/>
    <cellStyle name="표준 5 4 9" xfId="26596"/>
    <cellStyle name="표준 5 4 9 2" xfId="26597"/>
    <cellStyle name="표준 5 5" xfId="26598"/>
    <cellStyle name="표준 5 5 10" xfId="26599"/>
    <cellStyle name="표준 5 5 11" xfId="26600"/>
    <cellStyle name="표준 5 5 2" xfId="26601"/>
    <cellStyle name="표준 5 5 2 10" xfId="26602"/>
    <cellStyle name="표준 5 5 2 2" xfId="26603"/>
    <cellStyle name="표준 5 5 2 2 2" xfId="26604"/>
    <cellStyle name="표준 5 5 2 2 2 2" xfId="26605"/>
    <cellStyle name="표준 5 5 2 2 2 2 2" xfId="26606"/>
    <cellStyle name="표준 5 5 2 2 2 2 2 2" xfId="26607"/>
    <cellStyle name="표준 5 5 2 2 2 2 2 2 2" xfId="26608"/>
    <cellStyle name="표준 5 5 2 2 2 2 2 2 2 2" xfId="26609"/>
    <cellStyle name="표준 5 5 2 2 2 2 2 2 2 2 2" xfId="26610"/>
    <cellStyle name="표준 5 5 2 2 2 2 2 2 2 3" xfId="26611"/>
    <cellStyle name="표준 5 5 2 2 2 2 2 2 3" xfId="26612"/>
    <cellStyle name="표준 5 5 2 2 2 2 2 2 3 2" xfId="26613"/>
    <cellStyle name="표준 5 5 2 2 2 2 2 2 4" xfId="26614"/>
    <cellStyle name="표준 5 5 2 2 2 2 2 3" xfId="26615"/>
    <cellStyle name="표준 5 5 2 2 2 2 2 3 2" xfId="26616"/>
    <cellStyle name="표준 5 5 2 2 2 2 2 3 2 2" xfId="26617"/>
    <cellStyle name="표준 5 5 2 2 2 2 2 3 3" xfId="26618"/>
    <cellStyle name="표준 5 5 2 2 2 2 2 4" xfId="26619"/>
    <cellStyle name="표준 5 5 2 2 2 2 2 4 2" xfId="26620"/>
    <cellStyle name="표준 5 5 2 2 2 2 2 5" xfId="26621"/>
    <cellStyle name="표준 5 5 2 2 2 2 3" xfId="26622"/>
    <cellStyle name="표준 5 5 2 2 2 2 3 2" xfId="26623"/>
    <cellStyle name="표준 5 5 2 2 2 2 3 2 2" xfId="26624"/>
    <cellStyle name="표준 5 5 2 2 2 2 3 2 2 2" xfId="26625"/>
    <cellStyle name="표준 5 5 2 2 2 2 3 2 3" xfId="26626"/>
    <cellStyle name="표준 5 5 2 2 2 2 3 3" xfId="26627"/>
    <cellStyle name="표준 5 5 2 2 2 2 3 3 2" xfId="26628"/>
    <cellStyle name="표준 5 5 2 2 2 2 3 4" xfId="26629"/>
    <cellStyle name="표준 5 5 2 2 2 2 4" xfId="26630"/>
    <cellStyle name="표준 5 5 2 2 2 2 4 2" xfId="26631"/>
    <cellStyle name="표준 5 5 2 2 2 2 4 2 2" xfId="26632"/>
    <cellStyle name="표준 5 5 2 2 2 2 4 3" xfId="26633"/>
    <cellStyle name="표준 5 5 2 2 2 2 5" xfId="26634"/>
    <cellStyle name="표준 5 5 2 2 2 2 5 2" xfId="26635"/>
    <cellStyle name="표준 5 5 2 2 2 2 6" xfId="26636"/>
    <cellStyle name="표준 5 5 2 2 2 3" xfId="26637"/>
    <cellStyle name="표준 5 5 2 2 2 3 2" xfId="26638"/>
    <cellStyle name="표준 5 5 2 2 2 3 2 2" xfId="26639"/>
    <cellStyle name="표준 5 5 2 2 2 3 2 2 2" xfId="26640"/>
    <cellStyle name="표준 5 5 2 2 2 3 2 2 2 2" xfId="26641"/>
    <cellStyle name="표준 5 5 2 2 2 3 2 2 3" xfId="26642"/>
    <cellStyle name="표준 5 5 2 2 2 3 2 3" xfId="26643"/>
    <cellStyle name="표준 5 5 2 2 2 3 2 3 2" xfId="26644"/>
    <cellStyle name="표준 5 5 2 2 2 3 2 4" xfId="26645"/>
    <cellStyle name="표준 5 5 2 2 2 3 3" xfId="26646"/>
    <cellStyle name="표준 5 5 2 2 2 3 3 2" xfId="26647"/>
    <cellStyle name="표준 5 5 2 2 2 3 3 2 2" xfId="26648"/>
    <cellStyle name="표준 5 5 2 2 2 3 3 3" xfId="26649"/>
    <cellStyle name="표준 5 5 2 2 2 3 4" xfId="26650"/>
    <cellStyle name="표준 5 5 2 2 2 3 4 2" xfId="26651"/>
    <cellStyle name="표준 5 5 2 2 2 3 5" xfId="26652"/>
    <cellStyle name="표준 5 5 2 2 2 4" xfId="26653"/>
    <cellStyle name="표준 5 5 2 2 2 4 2" xfId="26654"/>
    <cellStyle name="표준 5 5 2 2 2 4 2 2" xfId="26655"/>
    <cellStyle name="표준 5 5 2 2 2 4 2 2 2" xfId="26656"/>
    <cellStyle name="표준 5 5 2 2 2 4 2 3" xfId="26657"/>
    <cellStyle name="표준 5 5 2 2 2 4 3" xfId="26658"/>
    <cellStyle name="표준 5 5 2 2 2 4 3 2" xfId="26659"/>
    <cellStyle name="표준 5 5 2 2 2 4 4" xfId="26660"/>
    <cellStyle name="표준 5 5 2 2 2 5" xfId="26661"/>
    <cellStyle name="표준 5 5 2 2 2 5 2" xfId="26662"/>
    <cellStyle name="표준 5 5 2 2 2 5 2 2" xfId="26663"/>
    <cellStyle name="표준 5 5 2 2 2 5 3" xfId="26664"/>
    <cellStyle name="표준 5 5 2 2 2 6" xfId="26665"/>
    <cellStyle name="표준 5 5 2 2 2 6 2" xfId="26666"/>
    <cellStyle name="표준 5 5 2 2 2 7" xfId="26667"/>
    <cellStyle name="표준 5 5 2 2 2 8" xfId="26668"/>
    <cellStyle name="표준 5 5 2 2 3" xfId="26669"/>
    <cellStyle name="표준 5 5 2 2 3 2" xfId="26670"/>
    <cellStyle name="표준 5 5 2 2 3 2 2" xfId="26671"/>
    <cellStyle name="표준 5 5 2 2 3 2 2 2" xfId="26672"/>
    <cellStyle name="표준 5 5 2 2 3 2 2 2 2" xfId="26673"/>
    <cellStyle name="표준 5 5 2 2 3 2 2 2 2 2" xfId="26674"/>
    <cellStyle name="표준 5 5 2 2 3 2 2 2 3" xfId="26675"/>
    <cellStyle name="표준 5 5 2 2 3 2 2 3" xfId="26676"/>
    <cellStyle name="표준 5 5 2 2 3 2 2 3 2" xfId="26677"/>
    <cellStyle name="표준 5 5 2 2 3 2 2 4" xfId="26678"/>
    <cellStyle name="표준 5 5 2 2 3 2 3" xfId="26679"/>
    <cellStyle name="표준 5 5 2 2 3 2 3 2" xfId="26680"/>
    <cellStyle name="표준 5 5 2 2 3 2 3 2 2" xfId="26681"/>
    <cellStyle name="표준 5 5 2 2 3 2 3 3" xfId="26682"/>
    <cellStyle name="표준 5 5 2 2 3 2 4" xfId="26683"/>
    <cellStyle name="표준 5 5 2 2 3 2 4 2" xfId="26684"/>
    <cellStyle name="표준 5 5 2 2 3 2 5" xfId="26685"/>
    <cellStyle name="표준 5 5 2 2 3 3" xfId="26686"/>
    <cellStyle name="표준 5 5 2 2 3 3 2" xfId="26687"/>
    <cellStyle name="표준 5 5 2 2 3 3 2 2" xfId="26688"/>
    <cellStyle name="표준 5 5 2 2 3 3 2 2 2" xfId="26689"/>
    <cellStyle name="표준 5 5 2 2 3 3 2 3" xfId="26690"/>
    <cellStyle name="표준 5 5 2 2 3 3 3" xfId="26691"/>
    <cellStyle name="표준 5 5 2 2 3 3 3 2" xfId="26692"/>
    <cellStyle name="표준 5 5 2 2 3 3 4" xfId="26693"/>
    <cellStyle name="표준 5 5 2 2 3 4" xfId="26694"/>
    <cellStyle name="표준 5 5 2 2 3 4 2" xfId="26695"/>
    <cellStyle name="표준 5 5 2 2 3 4 2 2" xfId="26696"/>
    <cellStyle name="표준 5 5 2 2 3 4 3" xfId="26697"/>
    <cellStyle name="표준 5 5 2 2 3 5" xfId="26698"/>
    <cellStyle name="표준 5 5 2 2 3 5 2" xfId="26699"/>
    <cellStyle name="표준 5 5 2 2 3 6" xfId="26700"/>
    <cellStyle name="표준 5 5 2 2 4" xfId="26701"/>
    <cellStyle name="표준 5 5 2 2 4 2" xfId="26702"/>
    <cellStyle name="표준 5 5 2 2 4 2 2" xfId="26703"/>
    <cellStyle name="표준 5 5 2 2 4 2 2 2" xfId="26704"/>
    <cellStyle name="표준 5 5 2 2 4 2 2 2 2" xfId="26705"/>
    <cellStyle name="표준 5 5 2 2 4 2 2 3" xfId="26706"/>
    <cellStyle name="표준 5 5 2 2 4 2 3" xfId="26707"/>
    <cellStyle name="표준 5 5 2 2 4 2 3 2" xfId="26708"/>
    <cellStyle name="표준 5 5 2 2 4 2 4" xfId="26709"/>
    <cellStyle name="표준 5 5 2 2 4 3" xfId="26710"/>
    <cellStyle name="표준 5 5 2 2 4 3 2" xfId="26711"/>
    <cellStyle name="표준 5 5 2 2 4 3 2 2" xfId="26712"/>
    <cellStyle name="표준 5 5 2 2 4 3 3" xfId="26713"/>
    <cellStyle name="표준 5 5 2 2 4 4" xfId="26714"/>
    <cellStyle name="표준 5 5 2 2 4 4 2" xfId="26715"/>
    <cellStyle name="표준 5 5 2 2 4 5" xfId="26716"/>
    <cellStyle name="표준 5 5 2 2 5" xfId="26717"/>
    <cellStyle name="표준 5 5 2 2 5 2" xfId="26718"/>
    <cellStyle name="표준 5 5 2 2 5 2 2" xfId="26719"/>
    <cellStyle name="표준 5 5 2 2 5 2 2 2" xfId="26720"/>
    <cellStyle name="표준 5 5 2 2 5 2 3" xfId="26721"/>
    <cellStyle name="표준 5 5 2 2 5 3" xfId="26722"/>
    <cellStyle name="표준 5 5 2 2 5 3 2" xfId="26723"/>
    <cellStyle name="표준 5 5 2 2 5 4" xfId="26724"/>
    <cellStyle name="표준 5 5 2 2 6" xfId="26725"/>
    <cellStyle name="표준 5 5 2 2 6 2" xfId="26726"/>
    <cellStyle name="표준 5 5 2 2 6 2 2" xfId="26727"/>
    <cellStyle name="표준 5 5 2 2 6 3" xfId="26728"/>
    <cellStyle name="표준 5 5 2 2 7" xfId="26729"/>
    <cellStyle name="표준 5 5 2 2 7 2" xfId="26730"/>
    <cellStyle name="표준 5 5 2 2 8" xfId="26731"/>
    <cellStyle name="표준 5 5 2 2 9" xfId="26732"/>
    <cellStyle name="표준 5 5 2 3" xfId="26733"/>
    <cellStyle name="표준 5 5 2 3 2" xfId="26734"/>
    <cellStyle name="표준 5 5 2 3 2 2" xfId="26735"/>
    <cellStyle name="표준 5 5 2 3 2 2 2" xfId="26736"/>
    <cellStyle name="표준 5 5 2 3 2 2 2 2" xfId="26737"/>
    <cellStyle name="표준 5 5 2 3 2 2 2 2 2" xfId="26738"/>
    <cellStyle name="표준 5 5 2 3 2 2 2 2 2 2" xfId="26739"/>
    <cellStyle name="표준 5 5 2 3 2 2 2 2 3" xfId="26740"/>
    <cellStyle name="표준 5 5 2 3 2 2 2 3" xfId="26741"/>
    <cellStyle name="표준 5 5 2 3 2 2 2 3 2" xfId="26742"/>
    <cellStyle name="표준 5 5 2 3 2 2 2 4" xfId="26743"/>
    <cellStyle name="표준 5 5 2 3 2 2 3" xfId="26744"/>
    <cellStyle name="표준 5 5 2 3 2 2 3 2" xfId="26745"/>
    <cellStyle name="표준 5 5 2 3 2 2 3 2 2" xfId="26746"/>
    <cellStyle name="표준 5 5 2 3 2 2 3 3" xfId="26747"/>
    <cellStyle name="표준 5 5 2 3 2 2 4" xfId="26748"/>
    <cellStyle name="표준 5 5 2 3 2 2 4 2" xfId="26749"/>
    <cellStyle name="표준 5 5 2 3 2 2 5" xfId="26750"/>
    <cellStyle name="표준 5 5 2 3 2 3" xfId="26751"/>
    <cellStyle name="표준 5 5 2 3 2 3 2" xfId="26752"/>
    <cellStyle name="표준 5 5 2 3 2 3 2 2" xfId="26753"/>
    <cellStyle name="표준 5 5 2 3 2 3 2 2 2" xfId="26754"/>
    <cellStyle name="표준 5 5 2 3 2 3 2 3" xfId="26755"/>
    <cellStyle name="표준 5 5 2 3 2 3 3" xfId="26756"/>
    <cellStyle name="표준 5 5 2 3 2 3 3 2" xfId="26757"/>
    <cellStyle name="표준 5 5 2 3 2 3 4" xfId="26758"/>
    <cellStyle name="표준 5 5 2 3 2 4" xfId="26759"/>
    <cellStyle name="표준 5 5 2 3 2 4 2" xfId="26760"/>
    <cellStyle name="표준 5 5 2 3 2 4 2 2" xfId="26761"/>
    <cellStyle name="표준 5 5 2 3 2 4 3" xfId="26762"/>
    <cellStyle name="표준 5 5 2 3 2 5" xfId="26763"/>
    <cellStyle name="표준 5 5 2 3 2 5 2" xfId="26764"/>
    <cellStyle name="표준 5 5 2 3 2 6" xfId="26765"/>
    <cellStyle name="표준 5 5 2 3 3" xfId="26766"/>
    <cellStyle name="표준 5 5 2 3 3 2" xfId="26767"/>
    <cellStyle name="표준 5 5 2 3 3 2 2" xfId="26768"/>
    <cellStyle name="표준 5 5 2 3 3 2 2 2" xfId="26769"/>
    <cellStyle name="표준 5 5 2 3 3 2 2 2 2" xfId="26770"/>
    <cellStyle name="표준 5 5 2 3 3 2 2 3" xfId="26771"/>
    <cellStyle name="표준 5 5 2 3 3 2 3" xfId="26772"/>
    <cellStyle name="표준 5 5 2 3 3 2 3 2" xfId="26773"/>
    <cellStyle name="표준 5 5 2 3 3 2 4" xfId="26774"/>
    <cellStyle name="표준 5 5 2 3 3 3" xfId="26775"/>
    <cellStyle name="표준 5 5 2 3 3 3 2" xfId="26776"/>
    <cellStyle name="표준 5 5 2 3 3 3 2 2" xfId="26777"/>
    <cellStyle name="표준 5 5 2 3 3 3 3" xfId="26778"/>
    <cellStyle name="표준 5 5 2 3 3 4" xfId="26779"/>
    <cellStyle name="표준 5 5 2 3 3 4 2" xfId="26780"/>
    <cellStyle name="표준 5 5 2 3 3 5" xfId="26781"/>
    <cellStyle name="표준 5 5 2 3 4" xfId="26782"/>
    <cellStyle name="표준 5 5 2 3 4 2" xfId="26783"/>
    <cellStyle name="표준 5 5 2 3 4 2 2" xfId="26784"/>
    <cellStyle name="표준 5 5 2 3 4 2 2 2" xfId="26785"/>
    <cellStyle name="표준 5 5 2 3 4 2 3" xfId="26786"/>
    <cellStyle name="표준 5 5 2 3 4 3" xfId="26787"/>
    <cellStyle name="표준 5 5 2 3 4 3 2" xfId="26788"/>
    <cellStyle name="표준 5 5 2 3 4 4" xfId="26789"/>
    <cellStyle name="표준 5 5 2 3 5" xfId="26790"/>
    <cellStyle name="표준 5 5 2 3 5 2" xfId="26791"/>
    <cellStyle name="표준 5 5 2 3 5 2 2" xfId="26792"/>
    <cellStyle name="표준 5 5 2 3 5 3" xfId="26793"/>
    <cellStyle name="표준 5 5 2 3 6" xfId="26794"/>
    <cellStyle name="표준 5 5 2 3 6 2" xfId="26795"/>
    <cellStyle name="표준 5 5 2 3 7" xfId="26796"/>
    <cellStyle name="표준 5 5 2 3 8" xfId="26797"/>
    <cellStyle name="표준 5 5 2 4" xfId="26798"/>
    <cellStyle name="표준 5 5 2 4 2" xfId="26799"/>
    <cellStyle name="표준 5 5 2 4 2 2" xfId="26800"/>
    <cellStyle name="표준 5 5 2 4 2 2 2" xfId="26801"/>
    <cellStyle name="표준 5 5 2 4 2 2 2 2" xfId="26802"/>
    <cellStyle name="표준 5 5 2 4 2 2 2 2 2" xfId="26803"/>
    <cellStyle name="표준 5 5 2 4 2 2 2 3" xfId="26804"/>
    <cellStyle name="표준 5 5 2 4 2 2 3" xfId="26805"/>
    <cellStyle name="표준 5 5 2 4 2 2 3 2" xfId="26806"/>
    <cellStyle name="표준 5 5 2 4 2 2 4" xfId="26807"/>
    <cellStyle name="표준 5 5 2 4 2 3" xfId="26808"/>
    <cellStyle name="표준 5 5 2 4 2 3 2" xfId="26809"/>
    <cellStyle name="표준 5 5 2 4 2 3 2 2" xfId="26810"/>
    <cellStyle name="표준 5 5 2 4 2 3 3" xfId="26811"/>
    <cellStyle name="표준 5 5 2 4 2 4" xfId="26812"/>
    <cellStyle name="표준 5 5 2 4 2 4 2" xfId="26813"/>
    <cellStyle name="표준 5 5 2 4 2 5" xfId="26814"/>
    <cellStyle name="표준 5 5 2 4 3" xfId="26815"/>
    <cellStyle name="표준 5 5 2 4 3 2" xfId="26816"/>
    <cellStyle name="표준 5 5 2 4 3 2 2" xfId="26817"/>
    <cellStyle name="표준 5 5 2 4 3 2 2 2" xfId="26818"/>
    <cellStyle name="표준 5 5 2 4 3 2 3" xfId="26819"/>
    <cellStyle name="표준 5 5 2 4 3 3" xfId="26820"/>
    <cellStyle name="표준 5 5 2 4 3 3 2" xfId="26821"/>
    <cellStyle name="표준 5 5 2 4 3 4" xfId="26822"/>
    <cellStyle name="표준 5 5 2 4 4" xfId="26823"/>
    <cellStyle name="표준 5 5 2 4 4 2" xfId="26824"/>
    <cellStyle name="표준 5 5 2 4 4 2 2" xfId="26825"/>
    <cellStyle name="표준 5 5 2 4 4 3" xfId="26826"/>
    <cellStyle name="표준 5 5 2 4 5" xfId="26827"/>
    <cellStyle name="표준 5 5 2 4 5 2" xfId="26828"/>
    <cellStyle name="표준 5 5 2 4 6" xfId="26829"/>
    <cellStyle name="표준 5 5 2 5" xfId="26830"/>
    <cellStyle name="표준 5 5 2 5 2" xfId="26831"/>
    <cellStyle name="표준 5 5 2 5 2 2" xfId="26832"/>
    <cellStyle name="표준 5 5 2 5 2 2 2" xfId="26833"/>
    <cellStyle name="표준 5 5 2 5 2 2 2 2" xfId="26834"/>
    <cellStyle name="표준 5 5 2 5 2 2 3" xfId="26835"/>
    <cellStyle name="표준 5 5 2 5 2 3" xfId="26836"/>
    <cellStyle name="표준 5 5 2 5 2 3 2" xfId="26837"/>
    <cellStyle name="표준 5 5 2 5 2 4" xfId="26838"/>
    <cellStyle name="표준 5 5 2 5 3" xfId="26839"/>
    <cellStyle name="표준 5 5 2 5 3 2" xfId="26840"/>
    <cellStyle name="표준 5 5 2 5 3 2 2" xfId="26841"/>
    <cellStyle name="표준 5 5 2 5 3 3" xfId="26842"/>
    <cellStyle name="표준 5 5 2 5 4" xfId="26843"/>
    <cellStyle name="표준 5 5 2 5 4 2" xfId="26844"/>
    <cellStyle name="표준 5 5 2 5 5" xfId="26845"/>
    <cellStyle name="표준 5 5 2 6" xfId="26846"/>
    <cellStyle name="표준 5 5 2 6 2" xfId="26847"/>
    <cellStyle name="표준 5 5 2 6 2 2" xfId="26848"/>
    <cellStyle name="표준 5 5 2 6 2 2 2" xfId="26849"/>
    <cellStyle name="표준 5 5 2 6 2 3" xfId="26850"/>
    <cellStyle name="표준 5 5 2 6 3" xfId="26851"/>
    <cellStyle name="표준 5 5 2 6 3 2" xfId="26852"/>
    <cellStyle name="표준 5 5 2 6 4" xfId="26853"/>
    <cellStyle name="표준 5 5 2 7" xfId="26854"/>
    <cellStyle name="표준 5 5 2 7 2" xfId="26855"/>
    <cellStyle name="표준 5 5 2 7 2 2" xfId="26856"/>
    <cellStyle name="표준 5 5 2 7 3" xfId="26857"/>
    <cellStyle name="표준 5 5 2 8" xfId="26858"/>
    <cellStyle name="표준 5 5 2 8 2" xfId="26859"/>
    <cellStyle name="표준 5 5 2 9" xfId="26860"/>
    <cellStyle name="표준 5 5 3" xfId="26861"/>
    <cellStyle name="표준 5 5 3 2" xfId="26862"/>
    <cellStyle name="표준 5 5 3 2 2" xfId="26863"/>
    <cellStyle name="표준 5 5 3 2 2 2" xfId="26864"/>
    <cellStyle name="표준 5 5 3 2 2 2 2" xfId="26865"/>
    <cellStyle name="표준 5 5 3 2 2 2 2 2" xfId="26866"/>
    <cellStyle name="표준 5 5 3 2 2 2 2 2 2" xfId="26867"/>
    <cellStyle name="표준 5 5 3 2 2 2 2 2 2 2" xfId="26868"/>
    <cellStyle name="표준 5 5 3 2 2 2 2 2 3" xfId="26869"/>
    <cellStyle name="표준 5 5 3 2 2 2 2 3" xfId="26870"/>
    <cellStyle name="표준 5 5 3 2 2 2 2 3 2" xfId="26871"/>
    <cellStyle name="표준 5 5 3 2 2 2 2 4" xfId="26872"/>
    <cellStyle name="표준 5 5 3 2 2 2 3" xfId="26873"/>
    <cellStyle name="표준 5 5 3 2 2 2 3 2" xfId="26874"/>
    <cellStyle name="표준 5 5 3 2 2 2 3 2 2" xfId="26875"/>
    <cellStyle name="표준 5 5 3 2 2 2 3 3" xfId="26876"/>
    <cellStyle name="표준 5 5 3 2 2 2 4" xfId="26877"/>
    <cellStyle name="표준 5 5 3 2 2 2 4 2" xfId="26878"/>
    <cellStyle name="표준 5 5 3 2 2 2 5" xfId="26879"/>
    <cellStyle name="표준 5 5 3 2 2 3" xfId="26880"/>
    <cellStyle name="표준 5 5 3 2 2 3 2" xfId="26881"/>
    <cellStyle name="표준 5 5 3 2 2 3 2 2" xfId="26882"/>
    <cellStyle name="표준 5 5 3 2 2 3 2 2 2" xfId="26883"/>
    <cellStyle name="표준 5 5 3 2 2 3 2 3" xfId="26884"/>
    <cellStyle name="표준 5 5 3 2 2 3 3" xfId="26885"/>
    <cellStyle name="표준 5 5 3 2 2 3 3 2" xfId="26886"/>
    <cellStyle name="표준 5 5 3 2 2 3 4" xfId="26887"/>
    <cellStyle name="표준 5 5 3 2 2 4" xfId="26888"/>
    <cellStyle name="표준 5 5 3 2 2 4 2" xfId="26889"/>
    <cellStyle name="표준 5 5 3 2 2 4 2 2" xfId="26890"/>
    <cellStyle name="표준 5 5 3 2 2 4 3" xfId="26891"/>
    <cellStyle name="표준 5 5 3 2 2 5" xfId="26892"/>
    <cellStyle name="표준 5 5 3 2 2 5 2" xfId="26893"/>
    <cellStyle name="표준 5 5 3 2 2 6" xfId="26894"/>
    <cellStyle name="표준 5 5 3 2 3" xfId="26895"/>
    <cellStyle name="표준 5 5 3 2 3 2" xfId="26896"/>
    <cellStyle name="표준 5 5 3 2 3 2 2" xfId="26897"/>
    <cellStyle name="표준 5 5 3 2 3 2 2 2" xfId="26898"/>
    <cellStyle name="표준 5 5 3 2 3 2 2 2 2" xfId="26899"/>
    <cellStyle name="표준 5 5 3 2 3 2 2 3" xfId="26900"/>
    <cellStyle name="표준 5 5 3 2 3 2 3" xfId="26901"/>
    <cellStyle name="표준 5 5 3 2 3 2 3 2" xfId="26902"/>
    <cellStyle name="표준 5 5 3 2 3 2 4" xfId="26903"/>
    <cellStyle name="표준 5 5 3 2 3 3" xfId="26904"/>
    <cellStyle name="표준 5 5 3 2 3 3 2" xfId="26905"/>
    <cellStyle name="표준 5 5 3 2 3 3 2 2" xfId="26906"/>
    <cellStyle name="표준 5 5 3 2 3 3 3" xfId="26907"/>
    <cellStyle name="표준 5 5 3 2 3 4" xfId="26908"/>
    <cellStyle name="표준 5 5 3 2 3 4 2" xfId="26909"/>
    <cellStyle name="표준 5 5 3 2 3 5" xfId="26910"/>
    <cellStyle name="표준 5 5 3 2 4" xfId="26911"/>
    <cellStyle name="표준 5 5 3 2 4 2" xfId="26912"/>
    <cellStyle name="표준 5 5 3 2 4 2 2" xfId="26913"/>
    <cellStyle name="표준 5 5 3 2 4 2 2 2" xfId="26914"/>
    <cellStyle name="표준 5 5 3 2 4 2 3" xfId="26915"/>
    <cellStyle name="표준 5 5 3 2 4 3" xfId="26916"/>
    <cellStyle name="표준 5 5 3 2 4 3 2" xfId="26917"/>
    <cellStyle name="표준 5 5 3 2 4 4" xfId="26918"/>
    <cellStyle name="표준 5 5 3 2 5" xfId="26919"/>
    <cellStyle name="표준 5 5 3 2 5 2" xfId="26920"/>
    <cellStyle name="표준 5 5 3 2 5 2 2" xfId="26921"/>
    <cellStyle name="표준 5 5 3 2 5 3" xfId="26922"/>
    <cellStyle name="표준 5 5 3 2 6" xfId="26923"/>
    <cellStyle name="표준 5 5 3 2 6 2" xfId="26924"/>
    <cellStyle name="표준 5 5 3 2 7" xfId="26925"/>
    <cellStyle name="표준 5 5 3 2 8" xfId="26926"/>
    <cellStyle name="표준 5 5 3 3" xfId="26927"/>
    <cellStyle name="표준 5 5 3 3 2" xfId="26928"/>
    <cellStyle name="표준 5 5 3 3 2 2" xfId="26929"/>
    <cellStyle name="표준 5 5 3 3 2 2 2" xfId="26930"/>
    <cellStyle name="표준 5 5 3 3 2 2 2 2" xfId="26931"/>
    <cellStyle name="표준 5 5 3 3 2 2 2 2 2" xfId="26932"/>
    <cellStyle name="표준 5 5 3 3 2 2 2 3" xfId="26933"/>
    <cellStyle name="표준 5 5 3 3 2 2 3" xfId="26934"/>
    <cellStyle name="표준 5 5 3 3 2 2 3 2" xfId="26935"/>
    <cellStyle name="표준 5 5 3 3 2 2 4" xfId="26936"/>
    <cellStyle name="표준 5 5 3 3 2 3" xfId="26937"/>
    <cellStyle name="표준 5 5 3 3 2 3 2" xfId="26938"/>
    <cellStyle name="표준 5 5 3 3 2 3 2 2" xfId="26939"/>
    <cellStyle name="표준 5 5 3 3 2 3 3" xfId="26940"/>
    <cellStyle name="표준 5 5 3 3 2 4" xfId="26941"/>
    <cellStyle name="표준 5 5 3 3 2 4 2" xfId="26942"/>
    <cellStyle name="표준 5 5 3 3 2 5" xfId="26943"/>
    <cellStyle name="표준 5 5 3 3 3" xfId="26944"/>
    <cellStyle name="표준 5 5 3 3 3 2" xfId="26945"/>
    <cellStyle name="표준 5 5 3 3 3 2 2" xfId="26946"/>
    <cellStyle name="표준 5 5 3 3 3 2 2 2" xfId="26947"/>
    <cellStyle name="표준 5 5 3 3 3 2 3" xfId="26948"/>
    <cellStyle name="표준 5 5 3 3 3 3" xfId="26949"/>
    <cellStyle name="표준 5 5 3 3 3 3 2" xfId="26950"/>
    <cellStyle name="표준 5 5 3 3 3 4" xfId="26951"/>
    <cellStyle name="표준 5 5 3 3 4" xfId="26952"/>
    <cellStyle name="표준 5 5 3 3 4 2" xfId="26953"/>
    <cellStyle name="표준 5 5 3 3 4 2 2" xfId="26954"/>
    <cellStyle name="표준 5 5 3 3 4 3" xfId="26955"/>
    <cellStyle name="표준 5 5 3 3 5" xfId="26956"/>
    <cellStyle name="표준 5 5 3 3 5 2" xfId="26957"/>
    <cellStyle name="표준 5 5 3 3 6" xfId="26958"/>
    <cellStyle name="표준 5 5 3 4" xfId="26959"/>
    <cellStyle name="표준 5 5 3 4 2" xfId="26960"/>
    <cellStyle name="표준 5 5 3 4 2 2" xfId="26961"/>
    <cellStyle name="표준 5 5 3 4 2 2 2" xfId="26962"/>
    <cellStyle name="표준 5 5 3 4 2 2 2 2" xfId="26963"/>
    <cellStyle name="표준 5 5 3 4 2 2 3" xfId="26964"/>
    <cellStyle name="표준 5 5 3 4 2 3" xfId="26965"/>
    <cellStyle name="표준 5 5 3 4 2 3 2" xfId="26966"/>
    <cellStyle name="표준 5 5 3 4 2 4" xfId="26967"/>
    <cellStyle name="표준 5 5 3 4 3" xfId="26968"/>
    <cellStyle name="표준 5 5 3 4 3 2" xfId="26969"/>
    <cellStyle name="표준 5 5 3 4 3 2 2" xfId="26970"/>
    <cellStyle name="표준 5 5 3 4 3 3" xfId="26971"/>
    <cellStyle name="표준 5 5 3 4 4" xfId="26972"/>
    <cellStyle name="표준 5 5 3 4 4 2" xfId="26973"/>
    <cellStyle name="표준 5 5 3 4 5" xfId="26974"/>
    <cellStyle name="표준 5 5 3 5" xfId="26975"/>
    <cellStyle name="표준 5 5 3 5 2" xfId="26976"/>
    <cellStyle name="표준 5 5 3 5 2 2" xfId="26977"/>
    <cellStyle name="표준 5 5 3 5 2 2 2" xfId="26978"/>
    <cellStyle name="표준 5 5 3 5 2 3" xfId="26979"/>
    <cellStyle name="표준 5 5 3 5 3" xfId="26980"/>
    <cellStyle name="표준 5 5 3 5 3 2" xfId="26981"/>
    <cellStyle name="표준 5 5 3 5 4" xfId="26982"/>
    <cellStyle name="표준 5 5 3 6" xfId="26983"/>
    <cellStyle name="표준 5 5 3 6 2" xfId="26984"/>
    <cellStyle name="표준 5 5 3 6 2 2" xfId="26985"/>
    <cellStyle name="표준 5 5 3 6 3" xfId="26986"/>
    <cellStyle name="표준 5 5 3 7" xfId="26987"/>
    <cellStyle name="표준 5 5 3 7 2" xfId="26988"/>
    <cellStyle name="표준 5 5 3 8" xfId="26989"/>
    <cellStyle name="표준 5 5 3 9" xfId="26990"/>
    <cellStyle name="표준 5 5 4" xfId="26991"/>
    <cellStyle name="표준 5 5 4 2" xfId="26992"/>
    <cellStyle name="표준 5 5 4 2 2" xfId="26993"/>
    <cellStyle name="표준 5 5 4 2 2 2" xfId="26994"/>
    <cellStyle name="표준 5 5 4 2 2 2 2" xfId="26995"/>
    <cellStyle name="표준 5 5 4 2 2 2 2 2" xfId="26996"/>
    <cellStyle name="표준 5 5 4 2 2 2 2 2 2" xfId="26997"/>
    <cellStyle name="표준 5 5 4 2 2 2 2 3" xfId="26998"/>
    <cellStyle name="표준 5 5 4 2 2 2 3" xfId="26999"/>
    <cellStyle name="표준 5 5 4 2 2 2 3 2" xfId="27000"/>
    <cellStyle name="표준 5 5 4 2 2 2 4" xfId="27001"/>
    <cellStyle name="표준 5 5 4 2 2 3" xfId="27002"/>
    <cellStyle name="표준 5 5 4 2 2 3 2" xfId="27003"/>
    <cellStyle name="표준 5 5 4 2 2 3 2 2" xfId="27004"/>
    <cellStyle name="표준 5 5 4 2 2 3 3" xfId="27005"/>
    <cellStyle name="표준 5 5 4 2 2 4" xfId="27006"/>
    <cellStyle name="표준 5 5 4 2 2 4 2" xfId="27007"/>
    <cellStyle name="표준 5 5 4 2 2 5" xfId="27008"/>
    <cellStyle name="표준 5 5 4 2 3" xfId="27009"/>
    <cellStyle name="표준 5 5 4 2 3 2" xfId="27010"/>
    <cellStyle name="표준 5 5 4 2 3 2 2" xfId="27011"/>
    <cellStyle name="표준 5 5 4 2 3 2 2 2" xfId="27012"/>
    <cellStyle name="표준 5 5 4 2 3 2 3" xfId="27013"/>
    <cellStyle name="표준 5 5 4 2 3 3" xfId="27014"/>
    <cellStyle name="표준 5 5 4 2 3 3 2" xfId="27015"/>
    <cellStyle name="표준 5 5 4 2 3 4" xfId="27016"/>
    <cellStyle name="표준 5 5 4 2 4" xfId="27017"/>
    <cellStyle name="표준 5 5 4 2 4 2" xfId="27018"/>
    <cellStyle name="표준 5 5 4 2 4 2 2" xfId="27019"/>
    <cellStyle name="표준 5 5 4 2 4 3" xfId="27020"/>
    <cellStyle name="표준 5 5 4 2 5" xfId="27021"/>
    <cellStyle name="표준 5 5 4 2 5 2" xfId="27022"/>
    <cellStyle name="표준 5 5 4 2 6" xfId="27023"/>
    <cellStyle name="표준 5 5 4 3" xfId="27024"/>
    <cellStyle name="표준 5 5 4 3 2" xfId="27025"/>
    <cellStyle name="표준 5 5 4 3 2 2" xfId="27026"/>
    <cellStyle name="표준 5 5 4 3 2 2 2" xfId="27027"/>
    <cellStyle name="표준 5 5 4 3 2 2 2 2" xfId="27028"/>
    <cellStyle name="표준 5 5 4 3 2 2 3" xfId="27029"/>
    <cellStyle name="표준 5 5 4 3 2 3" xfId="27030"/>
    <cellStyle name="표준 5 5 4 3 2 3 2" xfId="27031"/>
    <cellStyle name="표준 5 5 4 3 2 4" xfId="27032"/>
    <cellStyle name="표준 5 5 4 3 3" xfId="27033"/>
    <cellStyle name="표준 5 5 4 3 3 2" xfId="27034"/>
    <cellStyle name="표준 5 5 4 3 3 2 2" xfId="27035"/>
    <cellStyle name="표준 5 5 4 3 3 3" xfId="27036"/>
    <cellStyle name="표준 5 5 4 3 4" xfId="27037"/>
    <cellStyle name="표준 5 5 4 3 4 2" xfId="27038"/>
    <cellStyle name="표준 5 5 4 3 5" xfId="27039"/>
    <cellStyle name="표준 5 5 4 4" xfId="27040"/>
    <cellStyle name="표준 5 5 4 4 2" xfId="27041"/>
    <cellStyle name="표준 5 5 4 4 2 2" xfId="27042"/>
    <cellStyle name="표준 5 5 4 4 2 2 2" xfId="27043"/>
    <cellStyle name="표준 5 5 4 4 2 3" xfId="27044"/>
    <cellStyle name="표준 5 5 4 4 3" xfId="27045"/>
    <cellStyle name="표준 5 5 4 4 3 2" xfId="27046"/>
    <cellStyle name="표준 5 5 4 4 4" xfId="27047"/>
    <cellStyle name="표준 5 5 4 5" xfId="27048"/>
    <cellStyle name="표준 5 5 4 5 2" xfId="27049"/>
    <cellStyle name="표준 5 5 4 5 2 2" xfId="27050"/>
    <cellStyle name="표준 5 5 4 5 3" xfId="27051"/>
    <cellStyle name="표준 5 5 4 6" xfId="27052"/>
    <cellStyle name="표준 5 5 4 6 2" xfId="27053"/>
    <cellStyle name="표준 5 5 4 7" xfId="27054"/>
    <cellStyle name="표준 5 5 4 8" xfId="27055"/>
    <cellStyle name="표준 5 5 5" xfId="27056"/>
    <cellStyle name="표준 5 5 5 2" xfId="27057"/>
    <cellStyle name="표준 5 5 5 2 2" xfId="27058"/>
    <cellStyle name="표준 5 5 5 2 2 2" xfId="27059"/>
    <cellStyle name="표준 5 5 5 2 2 2 2" xfId="27060"/>
    <cellStyle name="표준 5 5 5 2 2 2 2 2" xfId="27061"/>
    <cellStyle name="표준 5 5 5 2 2 2 3" xfId="27062"/>
    <cellStyle name="표준 5 5 5 2 2 3" xfId="27063"/>
    <cellStyle name="표준 5 5 5 2 2 3 2" xfId="27064"/>
    <cellStyle name="표준 5 5 5 2 2 4" xfId="27065"/>
    <cellStyle name="표준 5 5 5 2 3" xfId="27066"/>
    <cellStyle name="표준 5 5 5 2 3 2" xfId="27067"/>
    <cellStyle name="표준 5 5 5 2 3 2 2" xfId="27068"/>
    <cellStyle name="표준 5 5 5 2 3 3" xfId="27069"/>
    <cellStyle name="표준 5 5 5 2 4" xfId="27070"/>
    <cellStyle name="표준 5 5 5 2 4 2" xfId="27071"/>
    <cellStyle name="표준 5 5 5 2 5" xfId="27072"/>
    <cellStyle name="표준 5 5 5 3" xfId="27073"/>
    <cellStyle name="표준 5 5 5 3 2" xfId="27074"/>
    <cellStyle name="표준 5 5 5 3 2 2" xfId="27075"/>
    <cellStyle name="표준 5 5 5 3 2 2 2" xfId="27076"/>
    <cellStyle name="표준 5 5 5 3 2 3" xfId="27077"/>
    <cellStyle name="표준 5 5 5 3 3" xfId="27078"/>
    <cellStyle name="표준 5 5 5 3 3 2" xfId="27079"/>
    <cellStyle name="표준 5 5 5 3 4" xfId="27080"/>
    <cellStyle name="표준 5 5 5 4" xfId="27081"/>
    <cellStyle name="표준 5 5 5 4 2" xfId="27082"/>
    <cellStyle name="표준 5 5 5 4 2 2" xfId="27083"/>
    <cellStyle name="표준 5 5 5 4 3" xfId="27084"/>
    <cellStyle name="표준 5 5 5 5" xfId="27085"/>
    <cellStyle name="표준 5 5 5 5 2" xfId="27086"/>
    <cellStyle name="표준 5 5 5 6" xfId="27087"/>
    <cellStyle name="표준 5 5 6" xfId="27088"/>
    <cellStyle name="표준 5 5 6 2" xfId="27089"/>
    <cellStyle name="표준 5 5 6 2 2" xfId="27090"/>
    <cellStyle name="표준 5 5 6 2 2 2" xfId="27091"/>
    <cellStyle name="표준 5 5 6 2 2 2 2" xfId="27092"/>
    <cellStyle name="표준 5 5 6 2 2 3" xfId="27093"/>
    <cellStyle name="표준 5 5 6 2 3" xfId="27094"/>
    <cellStyle name="표준 5 5 6 2 3 2" xfId="27095"/>
    <cellStyle name="표준 5 5 6 2 4" xfId="27096"/>
    <cellStyle name="표준 5 5 6 3" xfId="27097"/>
    <cellStyle name="표준 5 5 6 3 2" xfId="27098"/>
    <cellStyle name="표준 5 5 6 3 2 2" xfId="27099"/>
    <cellStyle name="표준 5 5 6 3 3" xfId="27100"/>
    <cellStyle name="표준 5 5 6 4" xfId="27101"/>
    <cellStyle name="표준 5 5 6 4 2" xfId="27102"/>
    <cellStyle name="표준 5 5 6 5" xfId="27103"/>
    <cellStyle name="표준 5 5 7" xfId="27104"/>
    <cellStyle name="표준 5 5 7 2" xfId="27105"/>
    <cellStyle name="표준 5 5 7 2 2" xfId="27106"/>
    <cellStyle name="표준 5 5 7 2 2 2" xfId="27107"/>
    <cellStyle name="표준 5 5 7 2 3" xfId="27108"/>
    <cellStyle name="표준 5 5 7 3" xfId="27109"/>
    <cellStyle name="표준 5 5 7 3 2" xfId="27110"/>
    <cellStyle name="표준 5 5 7 4" xfId="27111"/>
    <cellStyle name="표준 5 5 8" xfId="27112"/>
    <cellStyle name="표준 5 5 8 2" xfId="27113"/>
    <cellStyle name="표준 5 5 8 2 2" xfId="27114"/>
    <cellStyle name="표준 5 5 8 3" xfId="27115"/>
    <cellStyle name="표준 5 5 9" xfId="27116"/>
    <cellStyle name="표준 5 5 9 2" xfId="27117"/>
    <cellStyle name="표준 5 6" xfId="27118"/>
    <cellStyle name="표준 5 6 10" xfId="27119"/>
    <cellStyle name="표준 5 6 2" xfId="27120"/>
    <cellStyle name="표준 5 6 2 2" xfId="27121"/>
    <cellStyle name="표준 5 6 2 2 2" xfId="27122"/>
    <cellStyle name="표준 5 6 2 2 2 2" xfId="27123"/>
    <cellStyle name="표준 5 6 2 2 2 2 2" xfId="27124"/>
    <cellStyle name="표준 5 6 2 2 2 2 2 2" xfId="27125"/>
    <cellStyle name="표준 5 6 2 2 2 2 2 2 2" xfId="27126"/>
    <cellStyle name="표준 5 6 2 2 2 2 2 2 2 2" xfId="27127"/>
    <cellStyle name="표준 5 6 2 2 2 2 2 2 3" xfId="27128"/>
    <cellStyle name="표준 5 6 2 2 2 2 2 3" xfId="27129"/>
    <cellStyle name="표준 5 6 2 2 2 2 2 3 2" xfId="27130"/>
    <cellStyle name="표준 5 6 2 2 2 2 2 4" xfId="27131"/>
    <cellStyle name="표준 5 6 2 2 2 2 3" xfId="27132"/>
    <cellStyle name="표준 5 6 2 2 2 2 3 2" xfId="27133"/>
    <cellStyle name="표준 5 6 2 2 2 2 3 2 2" xfId="27134"/>
    <cellStyle name="표준 5 6 2 2 2 2 3 3" xfId="27135"/>
    <cellStyle name="표준 5 6 2 2 2 2 4" xfId="27136"/>
    <cellStyle name="표준 5 6 2 2 2 2 4 2" xfId="27137"/>
    <cellStyle name="표준 5 6 2 2 2 2 5" xfId="27138"/>
    <cellStyle name="표준 5 6 2 2 2 3" xfId="27139"/>
    <cellStyle name="표준 5 6 2 2 2 3 2" xfId="27140"/>
    <cellStyle name="표준 5 6 2 2 2 3 2 2" xfId="27141"/>
    <cellStyle name="표준 5 6 2 2 2 3 2 2 2" xfId="27142"/>
    <cellStyle name="표준 5 6 2 2 2 3 2 3" xfId="27143"/>
    <cellStyle name="표준 5 6 2 2 2 3 3" xfId="27144"/>
    <cellStyle name="표준 5 6 2 2 2 3 3 2" xfId="27145"/>
    <cellStyle name="표준 5 6 2 2 2 3 4" xfId="27146"/>
    <cellStyle name="표준 5 6 2 2 2 4" xfId="27147"/>
    <cellStyle name="표준 5 6 2 2 2 4 2" xfId="27148"/>
    <cellStyle name="표준 5 6 2 2 2 4 2 2" xfId="27149"/>
    <cellStyle name="표준 5 6 2 2 2 4 3" xfId="27150"/>
    <cellStyle name="표준 5 6 2 2 2 5" xfId="27151"/>
    <cellStyle name="표준 5 6 2 2 2 5 2" xfId="27152"/>
    <cellStyle name="표준 5 6 2 2 2 6" xfId="27153"/>
    <cellStyle name="표준 5 6 2 2 3" xfId="27154"/>
    <cellStyle name="표준 5 6 2 2 3 2" xfId="27155"/>
    <cellStyle name="표준 5 6 2 2 3 2 2" xfId="27156"/>
    <cellStyle name="표준 5 6 2 2 3 2 2 2" xfId="27157"/>
    <cellStyle name="표준 5 6 2 2 3 2 2 2 2" xfId="27158"/>
    <cellStyle name="표준 5 6 2 2 3 2 2 3" xfId="27159"/>
    <cellStyle name="표준 5 6 2 2 3 2 3" xfId="27160"/>
    <cellStyle name="표준 5 6 2 2 3 2 3 2" xfId="27161"/>
    <cellStyle name="표준 5 6 2 2 3 2 4" xfId="27162"/>
    <cellStyle name="표준 5 6 2 2 3 3" xfId="27163"/>
    <cellStyle name="표준 5 6 2 2 3 3 2" xfId="27164"/>
    <cellStyle name="표준 5 6 2 2 3 3 2 2" xfId="27165"/>
    <cellStyle name="표준 5 6 2 2 3 3 3" xfId="27166"/>
    <cellStyle name="표준 5 6 2 2 3 4" xfId="27167"/>
    <cellStyle name="표준 5 6 2 2 3 4 2" xfId="27168"/>
    <cellStyle name="표준 5 6 2 2 3 5" xfId="27169"/>
    <cellStyle name="표준 5 6 2 2 4" xfId="27170"/>
    <cellStyle name="표준 5 6 2 2 4 2" xfId="27171"/>
    <cellStyle name="표준 5 6 2 2 4 2 2" xfId="27172"/>
    <cellStyle name="표준 5 6 2 2 4 2 2 2" xfId="27173"/>
    <cellStyle name="표준 5 6 2 2 4 2 3" xfId="27174"/>
    <cellStyle name="표준 5 6 2 2 4 3" xfId="27175"/>
    <cellStyle name="표준 5 6 2 2 4 3 2" xfId="27176"/>
    <cellStyle name="표준 5 6 2 2 4 4" xfId="27177"/>
    <cellStyle name="표준 5 6 2 2 5" xfId="27178"/>
    <cellStyle name="표준 5 6 2 2 5 2" xfId="27179"/>
    <cellStyle name="표준 5 6 2 2 5 2 2" xfId="27180"/>
    <cellStyle name="표준 5 6 2 2 5 3" xfId="27181"/>
    <cellStyle name="표준 5 6 2 2 6" xfId="27182"/>
    <cellStyle name="표준 5 6 2 2 6 2" xfId="27183"/>
    <cellStyle name="표준 5 6 2 2 7" xfId="27184"/>
    <cellStyle name="표준 5 6 2 2 8" xfId="27185"/>
    <cellStyle name="표준 5 6 2 3" xfId="27186"/>
    <cellStyle name="표준 5 6 2 3 2" xfId="27187"/>
    <cellStyle name="표준 5 6 2 3 2 2" xfId="27188"/>
    <cellStyle name="표준 5 6 2 3 2 2 2" xfId="27189"/>
    <cellStyle name="표준 5 6 2 3 2 2 2 2" xfId="27190"/>
    <cellStyle name="표준 5 6 2 3 2 2 2 2 2" xfId="27191"/>
    <cellStyle name="표준 5 6 2 3 2 2 2 3" xfId="27192"/>
    <cellStyle name="표준 5 6 2 3 2 2 3" xfId="27193"/>
    <cellStyle name="표준 5 6 2 3 2 2 3 2" xfId="27194"/>
    <cellStyle name="표준 5 6 2 3 2 2 4" xfId="27195"/>
    <cellStyle name="표준 5 6 2 3 2 3" xfId="27196"/>
    <cellStyle name="표준 5 6 2 3 2 3 2" xfId="27197"/>
    <cellStyle name="표준 5 6 2 3 2 3 2 2" xfId="27198"/>
    <cellStyle name="표준 5 6 2 3 2 3 3" xfId="27199"/>
    <cellStyle name="표준 5 6 2 3 2 4" xfId="27200"/>
    <cellStyle name="표준 5 6 2 3 2 4 2" xfId="27201"/>
    <cellStyle name="표준 5 6 2 3 2 5" xfId="27202"/>
    <cellStyle name="표준 5 6 2 3 3" xfId="27203"/>
    <cellStyle name="표준 5 6 2 3 3 2" xfId="27204"/>
    <cellStyle name="표준 5 6 2 3 3 2 2" xfId="27205"/>
    <cellStyle name="표준 5 6 2 3 3 2 2 2" xfId="27206"/>
    <cellStyle name="표준 5 6 2 3 3 2 3" xfId="27207"/>
    <cellStyle name="표준 5 6 2 3 3 3" xfId="27208"/>
    <cellStyle name="표준 5 6 2 3 3 3 2" xfId="27209"/>
    <cellStyle name="표준 5 6 2 3 3 4" xfId="27210"/>
    <cellStyle name="표준 5 6 2 3 4" xfId="27211"/>
    <cellStyle name="표준 5 6 2 3 4 2" xfId="27212"/>
    <cellStyle name="표준 5 6 2 3 4 2 2" xfId="27213"/>
    <cellStyle name="표준 5 6 2 3 4 3" xfId="27214"/>
    <cellStyle name="표준 5 6 2 3 5" xfId="27215"/>
    <cellStyle name="표준 5 6 2 3 5 2" xfId="27216"/>
    <cellStyle name="표준 5 6 2 3 6" xfId="27217"/>
    <cellStyle name="표준 5 6 2 4" xfId="27218"/>
    <cellStyle name="표준 5 6 2 4 2" xfId="27219"/>
    <cellStyle name="표준 5 6 2 4 2 2" xfId="27220"/>
    <cellStyle name="표준 5 6 2 4 2 2 2" xfId="27221"/>
    <cellStyle name="표준 5 6 2 4 2 2 2 2" xfId="27222"/>
    <cellStyle name="표준 5 6 2 4 2 2 3" xfId="27223"/>
    <cellStyle name="표준 5 6 2 4 2 3" xfId="27224"/>
    <cellStyle name="표준 5 6 2 4 2 3 2" xfId="27225"/>
    <cellStyle name="표준 5 6 2 4 2 4" xfId="27226"/>
    <cellStyle name="표준 5 6 2 4 3" xfId="27227"/>
    <cellStyle name="표준 5 6 2 4 3 2" xfId="27228"/>
    <cellStyle name="표준 5 6 2 4 3 2 2" xfId="27229"/>
    <cellStyle name="표준 5 6 2 4 3 3" xfId="27230"/>
    <cellStyle name="표준 5 6 2 4 4" xfId="27231"/>
    <cellStyle name="표준 5 6 2 4 4 2" xfId="27232"/>
    <cellStyle name="표준 5 6 2 4 5" xfId="27233"/>
    <cellStyle name="표준 5 6 2 5" xfId="27234"/>
    <cellStyle name="표준 5 6 2 5 2" xfId="27235"/>
    <cellStyle name="표준 5 6 2 5 2 2" xfId="27236"/>
    <cellStyle name="표준 5 6 2 5 2 2 2" xfId="27237"/>
    <cellStyle name="표준 5 6 2 5 2 3" xfId="27238"/>
    <cellStyle name="표준 5 6 2 5 3" xfId="27239"/>
    <cellStyle name="표준 5 6 2 5 3 2" xfId="27240"/>
    <cellStyle name="표준 5 6 2 5 4" xfId="27241"/>
    <cellStyle name="표준 5 6 2 6" xfId="27242"/>
    <cellStyle name="표준 5 6 2 6 2" xfId="27243"/>
    <cellStyle name="표준 5 6 2 6 2 2" xfId="27244"/>
    <cellStyle name="표준 5 6 2 6 3" xfId="27245"/>
    <cellStyle name="표준 5 6 2 7" xfId="27246"/>
    <cellStyle name="표준 5 6 2 7 2" xfId="27247"/>
    <cellStyle name="표준 5 6 2 8" xfId="27248"/>
    <cellStyle name="표준 5 6 2 9" xfId="27249"/>
    <cellStyle name="표준 5 6 3" xfId="27250"/>
    <cellStyle name="표준 5 6 3 2" xfId="27251"/>
    <cellStyle name="표준 5 6 3 2 2" xfId="27252"/>
    <cellStyle name="표준 5 6 3 2 2 2" xfId="27253"/>
    <cellStyle name="표준 5 6 3 2 2 2 2" xfId="27254"/>
    <cellStyle name="표준 5 6 3 2 2 2 2 2" xfId="27255"/>
    <cellStyle name="표준 5 6 3 2 2 2 2 2 2" xfId="27256"/>
    <cellStyle name="표준 5 6 3 2 2 2 2 3" xfId="27257"/>
    <cellStyle name="표준 5 6 3 2 2 2 3" xfId="27258"/>
    <cellStyle name="표준 5 6 3 2 2 2 3 2" xfId="27259"/>
    <cellStyle name="표준 5 6 3 2 2 2 4" xfId="27260"/>
    <cellStyle name="표준 5 6 3 2 2 3" xfId="27261"/>
    <cellStyle name="표준 5 6 3 2 2 3 2" xfId="27262"/>
    <cellStyle name="표준 5 6 3 2 2 3 2 2" xfId="27263"/>
    <cellStyle name="표준 5 6 3 2 2 3 3" xfId="27264"/>
    <cellStyle name="표준 5 6 3 2 2 4" xfId="27265"/>
    <cellStyle name="표준 5 6 3 2 2 4 2" xfId="27266"/>
    <cellStyle name="표준 5 6 3 2 2 5" xfId="27267"/>
    <cellStyle name="표준 5 6 3 2 3" xfId="27268"/>
    <cellStyle name="표준 5 6 3 2 3 2" xfId="27269"/>
    <cellStyle name="표준 5 6 3 2 3 2 2" xfId="27270"/>
    <cellStyle name="표준 5 6 3 2 3 2 2 2" xfId="27271"/>
    <cellStyle name="표준 5 6 3 2 3 2 3" xfId="27272"/>
    <cellStyle name="표준 5 6 3 2 3 3" xfId="27273"/>
    <cellStyle name="표준 5 6 3 2 3 3 2" xfId="27274"/>
    <cellStyle name="표준 5 6 3 2 3 4" xfId="27275"/>
    <cellStyle name="표준 5 6 3 2 4" xfId="27276"/>
    <cellStyle name="표준 5 6 3 2 4 2" xfId="27277"/>
    <cellStyle name="표준 5 6 3 2 4 2 2" xfId="27278"/>
    <cellStyle name="표준 5 6 3 2 4 3" xfId="27279"/>
    <cellStyle name="표준 5 6 3 2 5" xfId="27280"/>
    <cellStyle name="표준 5 6 3 2 5 2" xfId="27281"/>
    <cellStyle name="표준 5 6 3 2 6" xfId="27282"/>
    <cellStyle name="표준 5 6 3 3" xfId="27283"/>
    <cellStyle name="표준 5 6 3 3 2" xfId="27284"/>
    <cellStyle name="표준 5 6 3 3 2 2" xfId="27285"/>
    <cellStyle name="표준 5 6 3 3 2 2 2" xfId="27286"/>
    <cellStyle name="표준 5 6 3 3 2 2 2 2" xfId="27287"/>
    <cellStyle name="표준 5 6 3 3 2 2 3" xfId="27288"/>
    <cellStyle name="표준 5 6 3 3 2 3" xfId="27289"/>
    <cellStyle name="표준 5 6 3 3 2 3 2" xfId="27290"/>
    <cellStyle name="표준 5 6 3 3 2 4" xfId="27291"/>
    <cellStyle name="표준 5 6 3 3 3" xfId="27292"/>
    <cellStyle name="표준 5 6 3 3 3 2" xfId="27293"/>
    <cellStyle name="표준 5 6 3 3 3 2 2" xfId="27294"/>
    <cellStyle name="표준 5 6 3 3 3 3" xfId="27295"/>
    <cellStyle name="표준 5 6 3 3 4" xfId="27296"/>
    <cellStyle name="표준 5 6 3 3 4 2" xfId="27297"/>
    <cellStyle name="표준 5 6 3 3 5" xfId="27298"/>
    <cellStyle name="표준 5 6 3 4" xfId="27299"/>
    <cellStyle name="표준 5 6 3 4 2" xfId="27300"/>
    <cellStyle name="표준 5 6 3 4 2 2" xfId="27301"/>
    <cellStyle name="표준 5 6 3 4 2 2 2" xfId="27302"/>
    <cellStyle name="표준 5 6 3 4 2 3" xfId="27303"/>
    <cellStyle name="표준 5 6 3 4 3" xfId="27304"/>
    <cellStyle name="표준 5 6 3 4 3 2" xfId="27305"/>
    <cellStyle name="표준 5 6 3 4 4" xfId="27306"/>
    <cellStyle name="표준 5 6 3 5" xfId="27307"/>
    <cellStyle name="표준 5 6 3 5 2" xfId="27308"/>
    <cellStyle name="표준 5 6 3 5 2 2" xfId="27309"/>
    <cellStyle name="표준 5 6 3 5 3" xfId="27310"/>
    <cellStyle name="표준 5 6 3 6" xfId="27311"/>
    <cellStyle name="표준 5 6 3 6 2" xfId="27312"/>
    <cellStyle name="표준 5 6 3 7" xfId="27313"/>
    <cellStyle name="표준 5 6 3 8" xfId="27314"/>
    <cellStyle name="표준 5 6 4" xfId="27315"/>
    <cellStyle name="표준 5 6 4 2" xfId="27316"/>
    <cellStyle name="표준 5 6 4 2 2" xfId="27317"/>
    <cellStyle name="표준 5 6 4 2 2 2" xfId="27318"/>
    <cellStyle name="표준 5 6 4 2 2 2 2" xfId="27319"/>
    <cellStyle name="표준 5 6 4 2 2 2 2 2" xfId="27320"/>
    <cellStyle name="표준 5 6 4 2 2 2 3" xfId="27321"/>
    <cellStyle name="표준 5 6 4 2 2 3" xfId="27322"/>
    <cellStyle name="표준 5 6 4 2 2 3 2" xfId="27323"/>
    <cellStyle name="표준 5 6 4 2 2 4" xfId="27324"/>
    <cellStyle name="표준 5 6 4 2 3" xfId="27325"/>
    <cellStyle name="표준 5 6 4 2 3 2" xfId="27326"/>
    <cellStyle name="표준 5 6 4 2 3 2 2" xfId="27327"/>
    <cellStyle name="표준 5 6 4 2 3 3" xfId="27328"/>
    <cellStyle name="표준 5 6 4 2 4" xfId="27329"/>
    <cellStyle name="표준 5 6 4 2 4 2" xfId="27330"/>
    <cellStyle name="표준 5 6 4 2 5" xfId="27331"/>
    <cellStyle name="표준 5 6 4 3" xfId="27332"/>
    <cellStyle name="표준 5 6 4 3 2" xfId="27333"/>
    <cellStyle name="표준 5 6 4 3 2 2" xfId="27334"/>
    <cellStyle name="표준 5 6 4 3 2 2 2" xfId="27335"/>
    <cellStyle name="표준 5 6 4 3 2 3" xfId="27336"/>
    <cellStyle name="표준 5 6 4 3 3" xfId="27337"/>
    <cellStyle name="표준 5 6 4 3 3 2" xfId="27338"/>
    <cellStyle name="표준 5 6 4 3 4" xfId="27339"/>
    <cellStyle name="표준 5 6 4 4" xfId="27340"/>
    <cellStyle name="표준 5 6 4 4 2" xfId="27341"/>
    <cellStyle name="표준 5 6 4 4 2 2" xfId="27342"/>
    <cellStyle name="표준 5 6 4 4 3" xfId="27343"/>
    <cellStyle name="표준 5 6 4 5" xfId="27344"/>
    <cellStyle name="표준 5 6 4 5 2" xfId="27345"/>
    <cellStyle name="표준 5 6 4 6" xfId="27346"/>
    <cellStyle name="표준 5 6 5" xfId="27347"/>
    <cellStyle name="표준 5 6 5 2" xfId="27348"/>
    <cellStyle name="표준 5 6 5 2 2" xfId="27349"/>
    <cellStyle name="표준 5 6 5 2 2 2" xfId="27350"/>
    <cellStyle name="표준 5 6 5 2 2 2 2" xfId="27351"/>
    <cellStyle name="표준 5 6 5 2 2 3" xfId="27352"/>
    <cellStyle name="표준 5 6 5 2 3" xfId="27353"/>
    <cellStyle name="표준 5 6 5 2 3 2" xfId="27354"/>
    <cellStyle name="표준 5 6 5 2 4" xfId="27355"/>
    <cellStyle name="표준 5 6 5 3" xfId="27356"/>
    <cellStyle name="표준 5 6 5 3 2" xfId="27357"/>
    <cellStyle name="표준 5 6 5 3 2 2" xfId="27358"/>
    <cellStyle name="표준 5 6 5 3 3" xfId="27359"/>
    <cellStyle name="표준 5 6 5 4" xfId="27360"/>
    <cellStyle name="표준 5 6 5 4 2" xfId="27361"/>
    <cellStyle name="표준 5 6 5 5" xfId="27362"/>
    <cellStyle name="표준 5 6 6" xfId="27363"/>
    <cellStyle name="표준 5 6 6 2" xfId="27364"/>
    <cellStyle name="표준 5 6 6 2 2" xfId="27365"/>
    <cellStyle name="표준 5 6 6 2 2 2" xfId="27366"/>
    <cellStyle name="표준 5 6 6 2 3" xfId="27367"/>
    <cellStyle name="표준 5 6 6 3" xfId="27368"/>
    <cellStyle name="표준 5 6 6 3 2" xfId="27369"/>
    <cellStyle name="표준 5 6 6 4" xfId="27370"/>
    <cellStyle name="표준 5 6 7" xfId="27371"/>
    <cellStyle name="표준 5 6 7 2" xfId="27372"/>
    <cellStyle name="표준 5 6 7 2 2" xfId="27373"/>
    <cellStyle name="표준 5 6 7 3" xfId="27374"/>
    <cellStyle name="표준 5 6 8" xfId="27375"/>
    <cellStyle name="표준 5 6 8 2" xfId="27376"/>
    <cellStyle name="표준 5 6 9" xfId="27377"/>
    <cellStyle name="표준 5 7" xfId="27378"/>
    <cellStyle name="표준 5 7 2" xfId="27379"/>
    <cellStyle name="표준 5 7 2 2" xfId="27380"/>
    <cellStyle name="표준 5 7 2 2 2" xfId="27381"/>
    <cellStyle name="표준 5 7 2 2 2 2" xfId="27382"/>
    <cellStyle name="표준 5 7 2 2 2 2 2" xfId="27383"/>
    <cellStyle name="표준 5 7 2 2 2 2 2 2" xfId="27384"/>
    <cellStyle name="표준 5 7 2 2 2 2 2 2 2" xfId="27385"/>
    <cellStyle name="표준 5 7 2 2 2 2 2 3" xfId="27386"/>
    <cellStyle name="표준 5 7 2 2 2 2 3" xfId="27387"/>
    <cellStyle name="표준 5 7 2 2 2 2 3 2" xfId="27388"/>
    <cellStyle name="표준 5 7 2 2 2 2 4" xfId="27389"/>
    <cellStyle name="표준 5 7 2 2 2 3" xfId="27390"/>
    <cellStyle name="표준 5 7 2 2 2 3 2" xfId="27391"/>
    <cellStyle name="표준 5 7 2 2 2 3 2 2" xfId="27392"/>
    <cellStyle name="표준 5 7 2 2 2 3 3" xfId="27393"/>
    <cellStyle name="표준 5 7 2 2 2 4" xfId="27394"/>
    <cellStyle name="표준 5 7 2 2 2 4 2" xfId="27395"/>
    <cellStyle name="표준 5 7 2 2 2 5" xfId="27396"/>
    <cellStyle name="표준 5 7 2 2 3" xfId="27397"/>
    <cellStyle name="표준 5 7 2 2 3 2" xfId="27398"/>
    <cellStyle name="표준 5 7 2 2 3 2 2" xfId="27399"/>
    <cellStyle name="표준 5 7 2 2 3 2 2 2" xfId="27400"/>
    <cellStyle name="표준 5 7 2 2 3 2 3" xfId="27401"/>
    <cellStyle name="표준 5 7 2 2 3 3" xfId="27402"/>
    <cellStyle name="표준 5 7 2 2 3 3 2" xfId="27403"/>
    <cellStyle name="표준 5 7 2 2 3 4" xfId="27404"/>
    <cellStyle name="표준 5 7 2 2 4" xfId="27405"/>
    <cellStyle name="표준 5 7 2 2 4 2" xfId="27406"/>
    <cellStyle name="표준 5 7 2 2 4 2 2" xfId="27407"/>
    <cellStyle name="표준 5 7 2 2 4 3" xfId="27408"/>
    <cellStyle name="표준 5 7 2 2 5" xfId="27409"/>
    <cellStyle name="표준 5 7 2 2 5 2" xfId="27410"/>
    <cellStyle name="표준 5 7 2 2 6" xfId="27411"/>
    <cellStyle name="표준 5 7 2 3" xfId="27412"/>
    <cellStyle name="표준 5 7 2 3 2" xfId="27413"/>
    <cellStyle name="표준 5 7 2 3 2 2" xfId="27414"/>
    <cellStyle name="표준 5 7 2 3 2 2 2" xfId="27415"/>
    <cellStyle name="표준 5 7 2 3 2 2 2 2" xfId="27416"/>
    <cellStyle name="표준 5 7 2 3 2 2 3" xfId="27417"/>
    <cellStyle name="표준 5 7 2 3 2 3" xfId="27418"/>
    <cellStyle name="표준 5 7 2 3 2 3 2" xfId="27419"/>
    <cellStyle name="표준 5 7 2 3 2 4" xfId="27420"/>
    <cellStyle name="표준 5 7 2 3 3" xfId="27421"/>
    <cellStyle name="표준 5 7 2 3 3 2" xfId="27422"/>
    <cellStyle name="표준 5 7 2 3 3 2 2" xfId="27423"/>
    <cellStyle name="표준 5 7 2 3 3 3" xfId="27424"/>
    <cellStyle name="표준 5 7 2 3 4" xfId="27425"/>
    <cellStyle name="표준 5 7 2 3 4 2" xfId="27426"/>
    <cellStyle name="표준 5 7 2 3 5" xfId="27427"/>
    <cellStyle name="표준 5 7 2 4" xfId="27428"/>
    <cellStyle name="표준 5 7 2 4 2" xfId="27429"/>
    <cellStyle name="표준 5 7 2 4 2 2" xfId="27430"/>
    <cellStyle name="표준 5 7 2 4 2 2 2" xfId="27431"/>
    <cellStyle name="표준 5 7 2 4 2 3" xfId="27432"/>
    <cellStyle name="표준 5 7 2 4 3" xfId="27433"/>
    <cellStyle name="표준 5 7 2 4 3 2" xfId="27434"/>
    <cellStyle name="표준 5 7 2 4 4" xfId="27435"/>
    <cellStyle name="표준 5 7 2 5" xfId="27436"/>
    <cellStyle name="표준 5 7 2 5 2" xfId="27437"/>
    <cellStyle name="표준 5 7 2 5 2 2" xfId="27438"/>
    <cellStyle name="표준 5 7 2 5 3" xfId="27439"/>
    <cellStyle name="표준 5 7 2 6" xfId="27440"/>
    <cellStyle name="표준 5 7 2 6 2" xfId="27441"/>
    <cellStyle name="표준 5 7 2 7" xfId="27442"/>
    <cellStyle name="표준 5 7 2 8" xfId="27443"/>
    <cellStyle name="표준 5 7 3" xfId="27444"/>
    <cellStyle name="표준 5 7 3 2" xfId="27445"/>
    <cellStyle name="표준 5 7 3 2 2" xfId="27446"/>
    <cellStyle name="표준 5 7 3 2 2 2" xfId="27447"/>
    <cellStyle name="표준 5 7 3 2 2 2 2" xfId="27448"/>
    <cellStyle name="표준 5 7 3 2 2 2 2 2" xfId="27449"/>
    <cellStyle name="표준 5 7 3 2 2 2 3" xfId="27450"/>
    <cellStyle name="표준 5 7 3 2 2 3" xfId="27451"/>
    <cellStyle name="표준 5 7 3 2 2 3 2" xfId="27452"/>
    <cellStyle name="표준 5 7 3 2 2 4" xfId="27453"/>
    <cellStyle name="표준 5 7 3 2 3" xfId="27454"/>
    <cellStyle name="표준 5 7 3 2 3 2" xfId="27455"/>
    <cellStyle name="표준 5 7 3 2 3 2 2" xfId="27456"/>
    <cellStyle name="표준 5 7 3 2 3 3" xfId="27457"/>
    <cellStyle name="표준 5 7 3 2 4" xfId="27458"/>
    <cellStyle name="표준 5 7 3 2 4 2" xfId="27459"/>
    <cellStyle name="표준 5 7 3 2 5" xfId="27460"/>
    <cellStyle name="표준 5 7 3 3" xfId="27461"/>
    <cellStyle name="표준 5 7 3 3 2" xfId="27462"/>
    <cellStyle name="표준 5 7 3 3 2 2" xfId="27463"/>
    <cellStyle name="표준 5 7 3 3 2 2 2" xfId="27464"/>
    <cellStyle name="표준 5 7 3 3 2 3" xfId="27465"/>
    <cellStyle name="표준 5 7 3 3 3" xfId="27466"/>
    <cellStyle name="표준 5 7 3 3 3 2" xfId="27467"/>
    <cellStyle name="표준 5 7 3 3 4" xfId="27468"/>
    <cellStyle name="표준 5 7 3 4" xfId="27469"/>
    <cellStyle name="표준 5 7 3 4 2" xfId="27470"/>
    <cellStyle name="표준 5 7 3 4 2 2" xfId="27471"/>
    <cellStyle name="표준 5 7 3 4 3" xfId="27472"/>
    <cellStyle name="표준 5 7 3 5" xfId="27473"/>
    <cellStyle name="표준 5 7 3 5 2" xfId="27474"/>
    <cellStyle name="표준 5 7 3 6" xfId="27475"/>
    <cellStyle name="표준 5 7 4" xfId="27476"/>
    <cellStyle name="표준 5 7 4 2" xfId="27477"/>
    <cellStyle name="표준 5 7 4 2 2" xfId="27478"/>
    <cellStyle name="표준 5 7 4 2 2 2" xfId="27479"/>
    <cellStyle name="표준 5 7 4 2 2 2 2" xfId="27480"/>
    <cellStyle name="표준 5 7 4 2 2 3" xfId="27481"/>
    <cellStyle name="표준 5 7 4 2 3" xfId="27482"/>
    <cellStyle name="표준 5 7 4 2 3 2" xfId="27483"/>
    <cellStyle name="표준 5 7 4 2 4" xfId="27484"/>
    <cellStyle name="표준 5 7 4 3" xfId="27485"/>
    <cellStyle name="표준 5 7 4 3 2" xfId="27486"/>
    <cellStyle name="표준 5 7 4 3 2 2" xfId="27487"/>
    <cellStyle name="표준 5 7 4 3 3" xfId="27488"/>
    <cellStyle name="표준 5 7 4 4" xfId="27489"/>
    <cellStyle name="표준 5 7 4 4 2" xfId="27490"/>
    <cellStyle name="표준 5 7 4 5" xfId="27491"/>
    <cellStyle name="표준 5 7 5" xfId="27492"/>
    <cellStyle name="표준 5 7 5 2" xfId="27493"/>
    <cellStyle name="표준 5 7 5 2 2" xfId="27494"/>
    <cellStyle name="표준 5 7 5 2 2 2" xfId="27495"/>
    <cellStyle name="표준 5 7 5 2 3" xfId="27496"/>
    <cellStyle name="표준 5 7 5 3" xfId="27497"/>
    <cellStyle name="표준 5 7 5 3 2" xfId="27498"/>
    <cellStyle name="표준 5 7 5 4" xfId="27499"/>
    <cellStyle name="표준 5 7 6" xfId="27500"/>
    <cellStyle name="표준 5 7 6 2" xfId="27501"/>
    <cellStyle name="표준 5 7 6 2 2" xfId="27502"/>
    <cellStyle name="표준 5 7 6 3" xfId="27503"/>
    <cellStyle name="표준 5 7 7" xfId="27504"/>
    <cellStyle name="표준 5 7 7 2" xfId="27505"/>
    <cellStyle name="표준 5 7 8" xfId="27506"/>
    <cellStyle name="표준 5 7 9" xfId="27507"/>
    <cellStyle name="표준 5 8" xfId="27508"/>
    <cellStyle name="표준 5 8 2" xfId="27509"/>
    <cellStyle name="표준 5 8 2 2" xfId="27510"/>
    <cellStyle name="표준 5 8 2 2 2" xfId="27511"/>
    <cellStyle name="표준 5 8 2 2 2 2" xfId="27512"/>
    <cellStyle name="표준 5 8 2 2 2 2 2" xfId="27513"/>
    <cellStyle name="표준 5 8 2 2 2 2 2 2" xfId="27514"/>
    <cellStyle name="표준 5 8 2 2 2 2 3" xfId="27515"/>
    <cellStyle name="표준 5 8 2 2 2 3" xfId="27516"/>
    <cellStyle name="표준 5 8 2 2 2 3 2" xfId="27517"/>
    <cellStyle name="표준 5 8 2 2 2 4" xfId="27518"/>
    <cellStyle name="표준 5 8 2 2 3" xfId="27519"/>
    <cellStyle name="표준 5 8 2 2 3 2" xfId="27520"/>
    <cellStyle name="표준 5 8 2 2 3 2 2" xfId="27521"/>
    <cellStyle name="표준 5 8 2 2 3 3" xfId="27522"/>
    <cellStyle name="표준 5 8 2 2 4" xfId="27523"/>
    <cellStyle name="표준 5 8 2 2 4 2" xfId="27524"/>
    <cellStyle name="표준 5 8 2 2 5" xfId="27525"/>
    <cellStyle name="표준 5 8 2 3" xfId="27526"/>
    <cellStyle name="표준 5 8 2 3 2" xfId="27527"/>
    <cellStyle name="표준 5 8 2 3 2 2" xfId="27528"/>
    <cellStyle name="표준 5 8 2 3 2 2 2" xfId="27529"/>
    <cellStyle name="표준 5 8 2 3 2 3" xfId="27530"/>
    <cellStyle name="표준 5 8 2 3 3" xfId="27531"/>
    <cellStyle name="표준 5 8 2 3 3 2" xfId="27532"/>
    <cellStyle name="표준 5 8 2 3 4" xfId="27533"/>
    <cellStyle name="표준 5 8 2 4" xfId="27534"/>
    <cellStyle name="표준 5 8 2 4 2" xfId="27535"/>
    <cellStyle name="표준 5 8 2 4 2 2" xfId="27536"/>
    <cellStyle name="표준 5 8 2 4 3" xfId="27537"/>
    <cellStyle name="표준 5 8 2 5" xfId="27538"/>
    <cellStyle name="표준 5 8 2 5 2" xfId="27539"/>
    <cellStyle name="표준 5 8 2 6" xfId="27540"/>
    <cellStyle name="표준 5 8 3" xfId="27541"/>
    <cellStyle name="표준 5 8 3 2" xfId="27542"/>
    <cellStyle name="표준 5 8 3 2 2" xfId="27543"/>
    <cellStyle name="표준 5 8 3 2 2 2" xfId="27544"/>
    <cellStyle name="표준 5 8 3 2 2 2 2" xfId="27545"/>
    <cellStyle name="표준 5 8 3 2 2 3" xfId="27546"/>
    <cellStyle name="표준 5 8 3 2 3" xfId="27547"/>
    <cellStyle name="표준 5 8 3 2 3 2" xfId="27548"/>
    <cellStyle name="표준 5 8 3 2 4" xfId="27549"/>
    <cellStyle name="표준 5 8 3 3" xfId="27550"/>
    <cellStyle name="표준 5 8 3 3 2" xfId="27551"/>
    <cellStyle name="표준 5 8 3 3 2 2" xfId="27552"/>
    <cellStyle name="표준 5 8 3 3 3" xfId="27553"/>
    <cellStyle name="표준 5 8 3 4" xfId="27554"/>
    <cellStyle name="표준 5 8 3 4 2" xfId="27555"/>
    <cellStyle name="표준 5 8 3 5" xfId="27556"/>
    <cellStyle name="표준 5 8 4" xfId="27557"/>
    <cellStyle name="표준 5 8 4 2" xfId="27558"/>
    <cellStyle name="표준 5 8 4 2 2" xfId="27559"/>
    <cellStyle name="표준 5 8 4 2 2 2" xfId="27560"/>
    <cellStyle name="표준 5 8 4 2 3" xfId="27561"/>
    <cellStyle name="표준 5 8 4 3" xfId="27562"/>
    <cellStyle name="표준 5 8 4 3 2" xfId="27563"/>
    <cellStyle name="표준 5 8 4 4" xfId="27564"/>
    <cellStyle name="표준 5 8 5" xfId="27565"/>
    <cellStyle name="표준 5 8 5 2" xfId="27566"/>
    <cellStyle name="표준 5 8 5 2 2" xfId="27567"/>
    <cellStyle name="표준 5 8 5 3" xfId="27568"/>
    <cellStyle name="표준 5 8 6" xfId="27569"/>
    <cellStyle name="표준 5 8 6 2" xfId="27570"/>
    <cellStyle name="표준 5 8 7" xfId="27571"/>
    <cellStyle name="표준 5 8 8" xfId="27572"/>
    <cellStyle name="표준 5 9" xfId="27573"/>
    <cellStyle name="표준 5 9 2" xfId="27574"/>
    <cellStyle name="표준 5 9 2 2" xfId="27575"/>
    <cellStyle name="표준 5 9 2 2 2" xfId="27576"/>
    <cellStyle name="표준 5 9 2 2 2 2" xfId="27577"/>
    <cellStyle name="표준 5 9 2 2 2 2 2" xfId="27578"/>
    <cellStyle name="표준 5 9 2 2 2 3" xfId="27579"/>
    <cellStyle name="표준 5 9 2 2 3" xfId="27580"/>
    <cellStyle name="표준 5 9 2 2 3 2" xfId="27581"/>
    <cellStyle name="표준 5 9 2 2 4" xfId="27582"/>
    <cellStyle name="표준 5 9 2 3" xfId="27583"/>
    <cellStyle name="표준 5 9 2 3 2" xfId="27584"/>
    <cellStyle name="표준 5 9 2 3 2 2" xfId="27585"/>
    <cellStyle name="표준 5 9 2 3 3" xfId="27586"/>
    <cellStyle name="표준 5 9 2 4" xfId="27587"/>
    <cellStyle name="표준 5 9 2 4 2" xfId="27588"/>
    <cellStyle name="표준 5 9 2 5" xfId="27589"/>
    <cellStyle name="표준 5 9 3" xfId="27590"/>
    <cellStyle name="표준 5 9 3 2" xfId="27591"/>
    <cellStyle name="표준 5 9 3 2 2" xfId="27592"/>
    <cellStyle name="표준 5 9 3 2 2 2" xfId="27593"/>
    <cellStyle name="표준 5 9 3 2 3" xfId="27594"/>
    <cellStyle name="표준 5 9 3 3" xfId="27595"/>
    <cellStyle name="표준 5 9 3 3 2" xfId="27596"/>
    <cellStyle name="표준 5 9 3 4" xfId="27597"/>
    <cellStyle name="표준 5 9 4" xfId="27598"/>
    <cellStyle name="표준 5 9 4 2" xfId="27599"/>
    <cellStyle name="표준 5 9 4 2 2" xfId="27600"/>
    <cellStyle name="표준 5 9 4 3" xfId="27601"/>
    <cellStyle name="표준 5 9 5" xfId="27602"/>
    <cellStyle name="표준 5 9 5 2" xfId="27603"/>
    <cellStyle name="표준 5 9 6" xfId="27604"/>
    <cellStyle name="표준 51" xfId="27605"/>
    <cellStyle name="표준 52" xfId="27606"/>
    <cellStyle name="표준 53" xfId="27607"/>
    <cellStyle name="표준 54" xfId="27608"/>
    <cellStyle name="표준 55" xfId="27609"/>
    <cellStyle name="표준 56" xfId="27610"/>
    <cellStyle name="표준 57" xfId="27611"/>
    <cellStyle name="표준 58" xfId="27612"/>
    <cellStyle name="표준 6" xfId="43"/>
    <cellStyle name="표준 6 10" xfId="27613"/>
    <cellStyle name="표준 6 10 2" xfId="27614"/>
    <cellStyle name="표준 6 10 2 2" xfId="27615"/>
    <cellStyle name="표준 6 10 3" xfId="27616"/>
    <cellStyle name="표준 6 11" xfId="27617"/>
    <cellStyle name="표준 6 11 2" xfId="27618"/>
    <cellStyle name="표준 6 12" xfId="27619"/>
    <cellStyle name="표준 6 13" xfId="27620"/>
    <cellStyle name="표준 6 2" xfId="27621"/>
    <cellStyle name="표준 6 2 10" xfId="27622"/>
    <cellStyle name="표준 6 2 10 2" xfId="27623"/>
    <cellStyle name="표준 6 2 11" xfId="27624"/>
    <cellStyle name="표준 6 2 12" xfId="27625"/>
    <cellStyle name="표준 6 2 2" xfId="27626"/>
    <cellStyle name="표준 6 2 2 10" xfId="27627"/>
    <cellStyle name="표준 6 2 2 11" xfId="27628"/>
    <cellStyle name="표준 6 2 2 2" xfId="27629"/>
    <cellStyle name="표준 6 2 2 2 10" xfId="27630"/>
    <cellStyle name="표준 6 2 2 2 2" xfId="27631"/>
    <cellStyle name="표준 6 2 2 2 2 2" xfId="27632"/>
    <cellStyle name="표준 6 2 2 2 2 2 2" xfId="27633"/>
    <cellStyle name="표준 6 2 2 2 2 2 2 2" xfId="27634"/>
    <cellStyle name="표준 6 2 2 2 2 2 2 2 2" xfId="27635"/>
    <cellStyle name="표준 6 2 2 2 2 2 2 2 2 2" xfId="27636"/>
    <cellStyle name="표준 6 2 2 2 2 2 2 2 2 2 2" xfId="27637"/>
    <cellStyle name="표준 6 2 2 2 2 2 2 2 2 2 2 2" xfId="27638"/>
    <cellStyle name="표준 6 2 2 2 2 2 2 2 2 2 3" xfId="27639"/>
    <cellStyle name="표준 6 2 2 2 2 2 2 2 2 3" xfId="27640"/>
    <cellStyle name="표준 6 2 2 2 2 2 2 2 2 3 2" xfId="27641"/>
    <cellStyle name="표준 6 2 2 2 2 2 2 2 2 4" xfId="27642"/>
    <cellStyle name="표준 6 2 2 2 2 2 2 2 3" xfId="27643"/>
    <cellStyle name="표준 6 2 2 2 2 2 2 2 3 2" xfId="27644"/>
    <cellStyle name="표준 6 2 2 2 2 2 2 2 3 2 2" xfId="27645"/>
    <cellStyle name="표준 6 2 2 2 2 2 2 2 3 3" xfId="27646"/>
    <cellStyle name="표준 6 2 2 2 2 2 2 2 4" xfId="27647"/>
    <cellStyle name="표준 6 2 2 2 2 2 2 2 4 2" xfId="27648"/>
    <cellStyle name="표준 6 2 2 2 2 2 2 2 5" xfId="27649"/>
    <cellStyle name="표준 6 2 2 2 2 2 2 3" xfId="27650"/>
    <cellStyle name="표준 6 2 2 2 2 2 2 3 2" xfId="27651"/>
    <cellStyle name="표준 6 2 2 2 2 2 2 3 2 2" xfId="27652"/>
    <cellStyle name="표준 6 2 2 2 2 2 2 3 2 2 2" xfId="27653"/>
    <cellStyle name="표준 6 2 2 2 2 2 2 3 2 3" xfId="27654"/>
    <cellStyle name="표준 6 2 2 2 2 2 2 3 3" xfId="27655"/>
    <cellStyle name="표준 6 2 2 2 2 2 2 3 3 2" xfId="27656"/>
    <cellStyle name="표준 6 2 2 2 2 2 2 3 4" xfId="27657"/>
    <cellStyle name="표준 6 2 2 2 2 2 2 4" xfId="27658"/>
    <cellStyle name="표준 6 2 2 2 2 2 2 4 2" xfId="27659"/>
    <cellStyle name="표준 6 2 2 2 2 2 2 4 2 2" xfId="27660"/>
    <cellStyle name="표준 6 2 2 2 2 2 2 4 3" xfId="27661"/>
    <cellStyle name="표준 6 2 2 2 2 2 2 5" xfId="27662"/>
    <cellStyle name="표준 6 2 2 2 2 2 2 5 2" xfId="27663"/>
    <cellStyle name="표준 6 2 2 2 2 2 2 6" xfId="27664"/>
    <cellStyle name="표준 6 2 2 2 2 2 3" xfId="27665"/>
    <cellStyle name="표준 6 2 2 2 2 2 3 2" xfId="27666"/>
    <cellStyle name="표준 6 2 2 2 2 2 3 2 2" xfId="27667"/>
    <cellStyle name="표준 6 2 2 2 2 2 3 2 2 2" xfId="27668"/>
    <cellStyle name="표준 6 2 2 2 2 2 3 2 2 2 2" xfId="27669"/>
    <cellStyle name="표준 6 2 2 2 2 2 3 2 2 3" xfId="27670"/>
    <cellStyle name="표준 6 2 2 2 2 2 3 2 3" xfId="27671"/>
    <cellStyle name="표준 6 2 2 2 2 2 3 2 3 2" xfId="27672"/>
    <cellStyle name="표준 6 2 2 2 2 2 3 2 4" xfId="27673"/>
    <cellStyle name="표준 6 2 2 2 2 2 3 3" xfId="27674"/>
    <cellStyle name="표준 6 2 2 2 2 2 3 3 2" xfId="27675"/>
    <cellStyle name="표준 6 2 2 2 2 2 3 3 2 2" xfId="27676"/>
    <cellStyle name="표준 6 2 2 2 2 2 3 3 3" xfId="27677"/>
    <cellStyle name="표준 6 2 2 2 2 2 3 4" xfId="27678"/>
    <cellStyle name="표준 6 2 2 2 2 2 3 4 2" xfId="27679"/>
    <cellStyle name="표준 6 2 2 2 2 2 3 5" xfId="27680"/>
    <cellStyle name="표준 6 2 2 2 2 2 4" xfId="27681"/>
    <cellStyle name="표준 6 2 2 2 2 2 4 2" xfId="27682"/>
    <cellStyle name="표준 6 2 2 2 2 2 4 2 2" xfId="27683"/>
    <cellStyle name="표준 6 2 2 2 2 2 4 2 2 2" xfId="27684"/>
    <cellStyle name="표준 6 2 2 2 2 2 4 2 3" xfId="27685"/>
    <cellStyle name="표준 6 2 2 2 2 2 4 3" xfId="27686"/>
    <cellStyle name="표준 6 2 2 2 2 2 4 3 2" xfId="27687"/>
    <cellStyle name="표준 6 2 2 2 2 2 4 4" xfId="27688"/>
    <cellStyle name="표준 6 2 2 2 2 2 5" xfId="27689"/>
    <cellStyle name="표준 6 2 2 2 2 2 5 2" xfId="27690"/>
    <cellStyle name="표준 6 2 2 2 2 2 5 2 2" xfId="27691"/>
    <cellStyle name="표준 6 2 2 2 2 2 5 3" xfId="27692"/>
    <cellStyle name="표준 6 2 2 2 2 2 6" xfId="27693"/>
    <cellStyle name="표준 6 2 2 2 2 2 6 2" xfId="27694"/>
    <cellStyle name="표준 6 2 2 2 2 2 7" xfId="27695"/>
    <cellStyle name="표준 6 2 2 2 2 2 8" xfId="27696"/>
    <cellStyle name="표준 6 2 2 2 2 3" xfId="27697"/>
    <cellStyle name="표준 6 2 2 2 2 3 2" xfId="27698"/>
    <cellStyle name="표준 6 2 2 2 2 3 2 2" xfId="27699"/>
    <cellStyle name="표준 6 2 2 2 2 3 2 2 2" xfId="27700"/>
    <cellStyle name="표준 6 2 2 2 2 3 2 2 2 2" xfId="27701"/>
    <cellStyle name="표준 6 2 2 2 2 3 2 2 2 2 2" xfId="27702"/>
    <cellStyle name="표준 6 2 2 2 2 3 2 2 2 3" xfId="27703"/>
    <cellStyle name="표준 6 2 2 2 2 3 2 2 3" xfId="27704"/>
    <cellStyle name="표준 6 2 2 2 2 3 2 2 3 2" xfId="27705"/>
    <cellStyle name="표준 6 2 2 2 2 3 2 2 4" xfId="27706"/>
    <cellStyle name="표준 6 2 2 2 2 3 2 3" xfId="27707"/>
    <cellStyle name="표준 6 2 2 2 2 3 2 3 2" xfId="27708"/>
    <cellStyle name="표준 6 2 2 2 2 3 2 3 2 2" xfId="27709"/>
    <cellStyle name="표준 6 2 2 2 2 3 2 3 3" xfId="27710"/>
    <cellStyle name="표준 6 2 2 2 2 3 2 4" xfId="27711"/>
    <cellStyle name="표준 6 2 2 2 2 3 2 4 2" xfId="27712"/>
    <cellStyle name="표준 6 2 2 2 2 3 2 5" xfId="27713"/>
    <cellStyle name="표준 6 2 2 2 2 3 3" xfId="27714"/>
    <cellStyle name="표준 6 2 2 2 2 3 3 2" xfId="27715"/>
    <cellStyle name="표준 6 2 2 2 2 3 3 2 2" xfId="27716"/>
    <cellStyle name="표준 6 2 2 2 2 3 3 2 2 2" xfId="27717"/>
    <cellStyle name="표준 6 2 2 2 2 3 3 2 3" xfId="27718"/>
    <cellStyle name="표준 6 2 2 2 2 3 3 3" xfId="27719"/>
    <cellStyle name="표준 6 2 2 2 2 3 3 3 2" xfId="27720"/>
    <cellStyle name="표준 6 2 2 2 2 3 3 4" xfId="27721"/>
    <cellStyle name="표준 6 2 2 2 2 3 4" xfId="27722"/>
    <cellStyle name="표준 6 2 2 2 2 3 4 2" xfId="27723"/>
    <cellStyle name="표준 6 2 2 2 2 3 4 2 2" xfId="27724"/>
    <cellStyle name="표준 6 2 2 2 2 3 4 3" xfId="27725"/>
    <cellStyle name="표준 6 2 2 2 2 3 5" xfId="27726"/>
    <cellStyle name="표준 6 2 2 2 2 3 5 2" xfId="27727"/>
    <cellStyle name="표준 6 2 2 2 2 3 6" xfId="27728"/>
    <cellStyle name="표준 6 2 2 2 2 4" xfId="27729"/>
    <cellStyle name="표준 6 2 2 2 2 4 2" xfId="27730"/>
    <cellStyle name="표준 6 2 2 2 2 4 2 2" xfId="27731"/>
    <cellStyle name="표준 6 2 2 2 2 4 2 2 2" xfId="27732"/>
    <cellStyle name="표준 6 2 2 2 2 4 2 2 2 2" xfId="27733"/>
    <cellStyle name="표준 6 2 2 2 2 4 2 2 3" xfId="27734"/>
    <cellStyle name="표준 6 2 2 2 2 4 2 3" xfId="27735"/>
    <cellStyle name="표준 6 2 2 2 2 4 2 3 2" xfId="27736"/>
    <cellStyle name="표준 6 2 2 2 2 4 2 4" xfId="27737"/>
    <cellStyle name="표준 6 2 2 2 2 4 3" xfId="27738"/>
    <cellStyle name="표준 6 2 2 2 2 4 3 2" xfId="27739"/>
    <cellStyle name="표준 6 2 2 2 2 4 3 2 2" xfId="27740"/>
    <cellStyle name="표준 6 2 2 2 2 4 3 3" xfId="27741"/>
    <cellStyle name="표준 6 2 2 2 2 4 4" xfId="27742"/>
    <cellStyle name="표준 6 2 2 2 2 4 4 2" xfId="27743"/>
    <cellStyle name="표준 6 2 2 2 2 4 5" xfId="27744"/>
    <cellStyle name="표준 6 2 2 2 2 5" xfId="27745"/>
    <cellStyle name="표준 6 2 2 2 2 5 2" xfId="27746"/>
    <cellStyle name="표준 6 2 2 2 2 5 2 2" xfId="27747"/>
    <cellStyle name="표준 6 2 2 2 2 5 2 2 2" xfId="27748"/>
    <cellStyle name="표준 6 2 2 2 2 5 2 3" xfId="27749"/>
    <cellStyle name="표준 6 2 2 2 2 5 3" xfId="27750"/>
    <cellStyle name="표준 6 2 2 2 2 5 3 2" xfId="27751"/>
    <cellStyle name="표준 6 2 2 2 2 5 4" xfId="27752"/>
    <cellStyle name="표준 6 2 2 2 2 6" xfId="27753"/>
    <cellStyle name="표준 6 2 2 2 2 6 2" xfId="27754"/>
    <cellStyle name="표준 6 2 2 2 2 6 2 2" xfId="27755"/>
    <cellStyle name="표준 6 2 2 2 2 6 3" xfId="27756"/>
    <cellStyle name="표준 6 2 2 2 2 7" xfId="27757"/>
    <cellStyle name="표준 6 2 2 2 2 7 2" xfId="27758"/>
    <cellStyle name="표준 6 2 2 2 2 8" xfId="27759"/>
    <cellStyle name="표준 6 2 2 2 2 9" xfId="27760"/>
    <cellStyle name="표준 6 2 2 2 3" xfId="27761"/>
    <cellStyle name="표준 6 2 2 2 3 2" xfId="27762"/>
    <cellStyle name="표준 6 2 2 2 3 2 2" xfId="27763"/>
    <cellStyle name="표준 6 2 2 2 3 2 2 2" xfId="27764"/>
    <cellStyle name="표준 6 2 2 2 3 2 2 2 2" xfId="27765"/>
    <cellStyle name="표준 6 2 2 2 3 2 2 2 2 2" xfId="27766"/>
    <cellStyle name="표준 6 2 2 2 3 2 2 2 2 2 2" xfId="27767"/>
    <cellStyle name="표준 6 2 2 2 3 2 2 2 2 3" xfId="27768"/>
    <cellStyle name="표준 6 2 2 2 3 2 2 2 3" xfId="27769"/>
    <cellStyle name="표준 6 2 2 2 3 2 2 2 3 2" xfId="27770"/>
    <cellStyle name="표준 6 2 2 2 3 2 2 2 4" xfId="27771"/>
    <cellStyle name="표준 6 2 2 2 3 2 2 3" xfId="27772"/>
    <cellStyle name="표준 6 2 2 2 3 2 2 3 2" xfId="27773"/>
    <cellStyle name="표준 6 2 2 2 3 2 2 3 2 2" xfId="27774"/>
    <cellStyle name="표준 6 2 2 2 3 2 2 3 3" xfId="27775"/>
    <cellStyle name="표준 6 2 2 2 3 2 2 4" xfId="27776"/>
    <cellStyle name="표준 6 2 2 2 3 2 2 4 2" xfId="27777"/>
    <cellStyle name="표준 6 2 2 2 3 2 2 5" xfId="27778"/>
    <cellStyle name="표준 6 2 2 2 3 2 3" xfId="27779"/>
    <cellStyle name="표준 6 2 2 2 3 2 3 2" xfId="27780"/>
    <cellStyle name="표준 6 2 2 2 3 2 3 2 2" xfId="27781"/>
    <cellStyle name="표준 6 2 2 2 3 2 3 2 2 2" xfId="27782"/>
    <cellStyle name="표준 6 2 2 2 3 2 3 2 3" xfId="27783"/>
    <cellStyle name="표준 6 2 2 2 3 2 3 3" xfId="27784"/>
    <cellStyle name="표준 6 2 2 2 3 2 3 3 2" xfId="27785"/>
    <cellStyle name="표준 6 2 2 2 3 2 3 4" xfId="27786"/>
    <cellStyle name="표준 6 2 2 2 3 2 4" xfId="27787"/>
    <cellStyle name="표준 6 2 2 2 3 2 4 2" xfId="27788"/>
    <cellStyle name="표준 6 2 2 2 3 2 4 2 2" xfId="27789"/>
    <cellStyle name="표준 6 2 2 2 3 2 4 3" xfId="27790"/>
    <cellStyle name="표준 6 2 2 2 3 2 5" xfId="27791"/>
    <cellStyle name="표준 6 2 2 2 3 2 5 2" xfId="27792"/>
    <cellStyle name="표준 6 2 2 2 3 2 6" xfId="27793"/>
    <cellStyle name="표준 6 2 2 2 3 3" xfId="27794"/>
    <cellStyle name="표준 6 2 2 2 3 3 2" xfId="27795"/>
    <cellStyle name="표준 6 2 2 2 3 3 2 2" xfId="27796"/>
    <cellStyle name="표준 6 2 2 2 3 3 2 2 2" xfId="27797"/>
    <cellStyle name="표준 6 2 2 2 3 3 2 2 2 2" xfId="27798"/>
    <cellStyle name="표준 6 2 2 2 3 3 2 2 3" xfId="27799"/>
    <cellStyle name="표준 6 2 2 2 3 3 2 3" xfId="27800"/>
    <cellStyle name="표준 6 2 2 2 3 3 2 3 2" xfId="27801"/>
    <cellStyle name="표준 6 2 2 2 3 3 2 4" xfId="27802"/>
    <cellStyle name="표준 6 2 2 2 3 3 3" xfId="27803"/>
    <cellStyle name="표준 6 2 2 2 3 3 3 2" xfId="27804"/>
    <cellStyle name="표준 6 2 2 2 3 3 3 2 2" xfId="27805"/>
    <cellStyle name="표준 6 2 2 2 3 3 3 3" xfId="27806"/>
    <cellStyle name="표준 6 2 2 2 3 3 4" xfId="27807"/>
    <cellStyle name="표준 6 2 2 2 3 3 4 2" xfId="27808"/>
    <cellStyle name="표준 6 2 2 2 3 3 5" xfId="27809"/>
    <cellStyle name="표준 6 2 2 2 3 4" xfId="27810"/>
    <cellStyle name="표준 6 2 2 2 3 4 2" xfId="27811"/>
    <cellStyle name="표준 6 2 2 2 3 4 2 2" xfId="27812"/>
    <cellStyle name="표준 6 2 2 2 3 4 2 2 2" xfId="27813"/>
    <cellStyle name="표준 6 2 2 2 3 4 2 3" xfId="27814"/>
    <cellStyle name="표준 6 2 2 2 3 4 3" xfId="27815"/>
    <cellStyle name="표준 6 2 2 2 3 4 3 2" xfId="27816"/>
    <cellStyle name="표준 6 2 2 2 3 4 4" xfId="27817"/>
    <cellStyle name="표준 6 2 2 2 3 5" xfId="27818"/>
    <cellStyle name="표준 6 2 2 2 3 5 2" xfId="27819"/>
    <cellStyle name="표준 6 2 2 2 3 5 2 2" xfId="27820"/>
    <cellStyle name="표준 6 2 2 2 3 5 3" xfId="27821"/>
    <cellStyle name="표준 6 2 2 2 3 6" xfId="27822"/>
    <cellStyle name="표준 6 2 2 2 3 6 2" xfId="27823"/>
    <cellStyle name="표준 6 2 2 2 3 7" xfId="27824"/>
    <cellStyle name="표준 6 2 2 2 3 8" xfId="27825"/>
    <cellStyle name="표준 6 2 2 2 4" xfId="27826"/>
    <cellStyle name="표준 6 2 2 2 4 2" xfId="27827"/>
    <cellStyle name="표준 6 2 2 2 4 2 2" xfId="27828"/>
    <cellStyle name="표준 6 2 2 2 4 2 2 2" xfId="27829"/>
    <cellStyle name="표준 6 2 2 2 4 2 2 2 2" xfId="27830"/>
    <cellStyle name="표준 6 2 2 2 4 2 2 2 2 2" xfId="27831"/>
    <cellStyle name="표준 6 2 2 2 4 2 2 2 3" xfId="27832"/>
    <cellStyle name="표준 6 2 2 2 4 2 2 3" xfId="27833"/>
    <cellStyle name="표준 6 2 2 2 4 2 2 3 2" xfId="27834"/>
    <cellStyle name="표준 6 2 2 2 4 2 2 4" xfId="27835"/>
    <cellStyle name="표준 6 2 2 2 4 2 3" xfId="27836"/>
    <cellStyle name="표준 6 2 2 2 4 2 3 2" xfId="27837"/>
    <cellStyle name="표준 6 2 2 2 4 2 3 2 2" xfId="27838"/>
    <cellStyle name="표준 6 2 2 2 4 2 3 3" xfId="27839"/>
    <cellStyle name="표준 6 2 2 2 4 2 4" xfId="27840"/>
    <cellStyle name="표준 6 2 2 2 4 2 4 2" xfId="27841"/>
    <cellStyle name="표준 6 2 2 2 4 2 5" xfId="27842"/>
    <cellStyle name="표준 6 2 2 2 4 3" xfId="27843"/>
    <cellStyle name="표준 6 2 2 2 4 3 2" xfId="27844"/>
    <cellStyle name="표준 6 2 2 2 4 3 2 2" xfId="27845"/>
    <cellStyle name="표준 6 2 2 2 4 3 2 2 2" xfId="27846"/>
    <cellStyle name="표준 6 2 2 2 4 3 2 3" xfId="27847"/>
    <cellStyle name="표준 6 2 2 2 4 3 3" xfId="27848"/>
    <cellStyle name="표준 6 2 2 2 4 3 3 2" xfId="27849"/>
    <cellStyle name="표준 6 2 2 2 4 3 4" xfId="27850"/>
    <cellStyle name="표준 6 2 2 2 4 4" xfId="27851"/>
    <cellStyle name="표준 6 2 2 2 4 4 2" xfId="27852"/>
    <cellStyle name="표준 6 2 2 2 4 4 2 2" xfId="27853"/>
    <cellStyle name="표준 6 2 2 2 4 4 3" xfId="27854"/>
    <cellStyle name="표준 6 2 2 2 4 5" xfId="27855"/>
    <cellStyle name="표준 6 2 2 2 4 5 2" xfId="27856"/>
    <cellStyle name="표준 6 2 2 2 4 6" xfId="27857"/>
    <cellStyle name="표준 6 2 2 2 5" xfId="27858"/>
    <cellStyle name="표준 6 2 2 2 5 2" xfId="27859"/>
    <cellStyle name="표준 6 2 2 2 5 2 2" xfId="27860"/>
    <cellStyle name="표준 6 2 2 2 5 2 2 2" xfId="27861"/>
    <cellStyle name="표준 6 2 2 2 5 2 2 2 2" xfId="27862"/>
    <cellStyle name="표준 6 2 2 2 5 2 2 3" xfId="27863"/>
    <cellStyle name="표준 6 2 2 2 5 2 3" xfId="27864"/>
    <cellStyle name="표준 6 2 2 2 5 2 3 2" xfId="27865"/>
    <cellStyle name="표준 6 2 2 2 5 2 4" xfId="27866"/>
    <cellStyle name="표준 6 2 2 2 5 3" xfId="27867"/>
    <cellStyle name="표준 6 2 2 2 5 3 2" xfId="27868"/>
    <cellStyle name="표준 6 2 2 2 5 3 2 2" xfId="27869"/>
    <cellStyle name="표준 6 2 2 2 5 3 3" xfId="27870"/>
    <cellStyle name="표준 6 2 2 2 5 4" xfId="27871"/>
    <cellStyle name="표준 6 2 2 2 5 4 2" xfId="27872"/>
    <cellStyle name="표준 6 2 2 2 5 5" xfId="27873"/>
    <cellStyle name="표준 6 2 2 2 6" xfId="27874"/>
    <cellStyle name="표준 6 2 2 2 6 2" xfId="27875"/>
    <cellStyle name="표준 6 2 2 2 6 2 2" xfId="27876"/>
    <cellStyle name="표준 6 2 2 2 6 2 2 2" xfId="27877"/>
    <cellStyle name="표준 6 2 2 2 6 2 3" xfId="27878"/>
    <cellStyle name="표준 6 2 2 2 6 3" xfId="27879"/>
    <cellStyle name="표준 6 2 2 2 6 3 2" xfId="27880"/>
    <cellStyle name="표준 6 2 2 2 6 4" xfId="27881"/>
    <cellStyle name="표준 6 2 2 2 7" xfId="27882"/>
    <cellStyle name="표준 6 2 2 2 7 2" xfId="27883"/>
    <cellStyle name="표준 6 2 2 2 7 2 2" xfId="27884"/>
    <cellStyle name="표준 6 2 2 2 7 3" xfId="27885"/>
    <cellStyle name="표준 6 2 2 2 8" xfId="27886"/>
    <cellStyle name="표준 6 2 2 2 8 2" xfId="27887"/>
    <cellStyle name="표준 6 2 2 2 9" xfId="27888"/>
    <cellStyle name="표준 6 2 2 3" xfId="27889"/>
    <cellStyle name="표준 6 2 2 3 2" xfId="27890"/>
    <cellStyle name="표준 6 2 2 3 2 2" xfId="27891"/>
    <cellStyle name="표준 6 2 2 3 2 2 2" xfId="27892"/>
    <cellStyle name="표준 6 2 2 3 2 2 2 2" xfId="27893"/>
    <cellStyle name="표준 6 2 2 3 2 2 2 2 2" xfId="27894"/>
    <cellStyle name="표준 6 2 2 3 2 2 2 2 2 2" xfId="27895"/>
    <cellStyle name="표준 6 2 2 3 2 2 2 2 2 2 2" xfId="27896"/>
    <cellStyle name="표준 6 2 2 3 2 2 2 2 2 3" xfId="27897"/>
    <cellStyle name="표준 6 2 2 3 2 2 2 2 3" xfId="27898"/>
    <cellStyle name="표준 6 2 2 3 2 2 2 2 3 2" xfId="27899"/>
    <cellStyle name="표준 6 2 2 3 2 2 2 2 4" xfId="27900"/>
    <cellStyle name="표준 6 2 2 3 2 2 2 3" xfId="27901"/>
    <cellStyle name="표준 6 2 2 3 2 2 2 3 2" xfId="27902"/>
    <cellStyle name="표준 6 2 2 3 2 2 2 3 2 2" xfId="27903"/>
    <cellStyle name="표준 6 2 2 3 2 2 2 3 3" xfId="27904"/>
    <cellStyle name="표준 6 2 2 3 2 2 2 4" xfId="27905"/>
    <cellStyle name="표준 6 2 2 3 2 2 2 4 2" xfId="27906"/>
    <cellStyle name="표준 6 2 2 3 2 2 2 5" xfId="27907"/>
    <cellStyle name="표준 6 2 2 3 2 2 3" xfId="27908"/>
    <cellStyle name="표준 6 2 2 3 2 2 3 2" xfId="27909"/>
    <cellStyle name="표준 6 2 2 3 2 2 3 2 2" xfId="27910"/>
    <cellStyle name="표준 6 2 2 3 2 2 3 2 2 2" xfId="27911"/>
    <cellStyle name="표준 6 2 2 3 2 2 3 2 3" xfId="27912"/>
    <cellStyle name="표준 6 2 2 3 2 2 3 3" xfId="27913"/>
    <cellStyle name="표준 6 2 2 3 2 2 3 3 2" xfId="27914"/>
    <cellStyle name="표준 6 2 2 3 2 2 3 4" xfId="27915"/>
    <cellStyle name="표준 6 2 2 3 2 2 4" xfId="27916"/>
    <cellStyle name="표준 6 2 2 3 2 2 4 2" xfId="27917"/>
    <cellStyle name="표준 6 2 2 3 2 2 4 2 2" xfId="27918"/>
    <cellStyle name="표준 6 2 2 3 2 2 4 3" xfId="27919"/>
    <cellStyle name="표준 6 2 2 3 2 2 5" xfId="27920"/>
    <cellStyle name="표준 6 2 2 3 2 2 5 2" xfId="27921"/>
    <cellStyle name="표준 6 2 2 3 2 2 6" xfId="27922"/>
    <cellStyle name="표준 6 2 2 3 2 3" xfId="27923"/>
    <cellStyle name="표준 6 2 2 3 2 3 2" xfId="27924"/>
    <cellStyle name="표준 6 2 2 3 2 3 2 2" xfId="27925"/>
    <cellStyle name="표준 6 2 2 3 2 3 2 2 2" xfId="27926"/>
    <cellStyle name="표준 6 2 2 3 2 3 2 2 2 2" xfId="27927"/>
    <cellStyle name="표준 6 2 2 3 2 3 2 2 3" xfId="27928"/>
    <cellStyle name="표준 6 2 2 3 2 3 2 3" xfId="27929"/>
    <cellStyle name="표준 6 2 2 3 2 3 2 3 2" xfId="27930"/>
    <cellStyle name="표준 6 2 2 3 2 3 2 4" xfId="27931"/>
    <cellStyle name="표준 6 2 2 3 2 3 3" xfId="27932"/>
    <cellStyle name="표준 6 2 2 3 2 3 3 2" xfId="27933"/>
    <cellStyle name="표준 6 2 2 3 2 3 3 2 2" xfId="27934"/>
    <cellStyle name="표준 6 2 2 3 2 3 3 3" xfId="27935"/>
    <cellStyle name="표준 6 2 2 3 2 3 4" xfId="27936"/>
    <cellStyle name="표준 6 2 2 3 2 3 4 2" xfId="27937"/>
    <cellStyle name="표준 6 2 2 3 2 3 5" xfId="27938"/>
    <cellStyle name="표준 6 2 2 3 2 4" xfId="27939"/>
    <cellStyle name="표준 6 2 2 3 2 4 2" xfId="27940"/>
    <cellStyle name="표준 6 2 2 3 2 4 2 2" xfId="27941"/>
    <cellStyle name="표준 6 2 2 3 2 4 2 2 2" xfId="27942"/>
    <cellStyle name="표준 6 2 2 3 2 4 2 3" xfId="27943"/>
    <cellStyle name="표준 6 2 2 3 2 4 3" xfId="27944"/>
    <cellStyle name="표준 6 2 2 3 2 4 3 2" xfId="27945"/>
    <cellStyle name="표준 6 2 2 3 2 4 4" xfId="27946"/>
    <cellStyle name="표준 6 2 2 3 2 5" xfId="27947"/>
    <cellStyle name="표준 6 2 2 3 2 5 2" xfId="27948"/>
    <cellStyle name="표준 6 2 2 3 2 5 2 2" xfId="27949"/>
    <cellStyle name="표준 6 2 2 3 2 5 3" xfId="27950"/>
    <cellStyle name="표준 6 2 2 3 2 6" xfId="27951"/>
    <cellStyle name="표준 6 2 2 3 2 6 2" xfId="27952"/>
    <cellStyle name="표준 6 2 2 3 2 7" xfId="27953"/>
    <cellStyle name="표준 6 2 2 3 2 8" xfId="27954"/>
    <cellStyle name="표준 6 2 2 3 3" xfId="27955"/>
    <cellStyle name="표준 6 2 2 3 3 2" xfId="27956"/>
    <cellStyle name="표준 6 2 2 3 3 2 2" xfId="27957"/>
    <cellStyle name="표준 6 2 2 3 3 2 2 2" xfId="27958"/>
    <cellStyle name="표준 6 2 2 3 3 2 2 2 2" xfId="27959"/>
    <cellStyle name="표준 6 2 2 3 3 2 2 2 2 2" xfId="27960"/>
    <cellStyle name="표준 6 2 2 3 3 2 2 2 3" xfId="27961"/>
    <cellStyle name="표준 6 2 2 3 3 2 2 3" xfId="27962"/>
    <cellStyle name="표준 6 2 2 3 3 2 2 3 2" xfId="27963"/>
    <cellStyle name="표준 6 2 2 3 3 2 2 4" xfId="27964"/>
    <cellStyle name="표준 6 2 2 3 3 2 3" xfId="27965"/>
    <cellStyle name="표준 6 2 2 3 3 2 3 2" xfId="27966"/>
    <cellStyle name="표준 6 2 2 3 3 2 3 2 2" xfId="27967"/>
    <cellStyle name="표준 6 2 2 3 3 2 3 3" xfId="27968"/>
    <cellStyle name="표준 6 2 2 3 3 2 4" xfId="27969"/>
    <cellStyle name="표준 6 2 2 3 3 2 4 2" xfId="27970"/>
    <cellStyle name="표준 6 2 2 3 3 2 5" xfId="27971"/>
    <cellStyle name="표준 6 2 2 3 3 3" xfId="27972"/>
    <cellStyle name="표준 6 2 2 3 3 3 2" xfId="27973"/>
    <cellStyle name="표준 6 2 2 3 3 3 2 2" xfId="27974"/>
    <cellStyle name="표준 6 2 2 3 3 3 2 2 2" xfId="27975"/>
    <cellStyle name="표준 6 2 2 3 3 3 2 3" xfId="27976"/>
    <cellStyle name="표준 6 2 2 3 3 3 3" xfId="27977"/>
    <cellStyle name="표준 6 2 2 3 3 3 3 2" xfId="27978"/>
    <cellStyle name="표준 6 2 2 3 3 3 4" xfId="27979"/>
    <cellStyle name="표준 6 2 2 3 3 4" xfId="27980"/>
    <cellStyle name="표준 6 2 2 3 3 4 2" xfId="27981"/>
    <cellStyle name="표준 6 2 2 3 3 4 2 2" xfId="27982"/>
    <cellStyle name="표준 6 2 2 3 3 4 3" xfId="27983"/>
    <cellStyle name="표준 6 2 2 3 3 5" xfId="27984"/>
    <cellStyle name="표준 6 2 2 3 3 5 2" xfId="27985"/>
    <cellStyle name="표준 6 2 2 3 3 6" xfId="27986"/>
    <cellStyle name="표준 6 2 2 3 4" xfId="27987"/>
    <cellStyle name="표준 6 2 2 3 4 2" xfId="27988"/>
    <cellStyle name="표준 6 2 2 3 4 2 2" xfId="27989"/>
    <cellStyle name="표준 6 2 2 3 4 2 2 2" xfId="27990"/>
    <cellStyle name="표준 6 2 2 3 4 2 2 2 2" xfId="27991"/>
    <cellStyle name="표준 6 2 2 3 4 2 2 3" xfId="27992"/>
    <cellStyle name="표준 6 2 2 3 4 2 3" xfId="27993"/>
    <cellStyle name="표준 6 2 2 3 4 2 3 2" xfId="27994"/>
    <cellStyle name="표준 6 2 2 3 4 2 4" xfId="27995"/>
    <cellStyle name="표준 6 2 2 3 4 3" xfId="27996"/>
    <cellStyle name="표준 6 2 2 3 4 3 2" xfId="27997"/>
    <cellStyle name="표준 6 2 2 3 4 3 2 2" xfId="27998"/>
    <cellStyle name="표준 6 2 2 3 4 3 3" xfId="27999"/>
    <cellStyle name="표준 6 2 2 3 4 4" xfId="28000"/>
    <cellStyle name="표준 6 2 2 3 4 4 2" xfId="28001"/>
    <cellStyle name="표준 6 2 2 3 4 5" xfId="28002"/>
    <cellStyle name="표준 6 2 2 3 5" xfId="28003"/>
    <cellStyle name="표준 6 2 2 3 5 2" xfId="28004"/>
    <cellStyle name="표준 6 2 2 3 5 2 2" xfId="28005"/>
    <cellStyle name="표준 6 2 2 3 5 2 2 2" xfId="28006"/>
    <cellStyle name="표준 6 2 2 3 5 2 3" xfId="28007"/>
    <cellStyle name="표준 6 2 2 3 5 3" xfId="28008"/>
    <cellStyle name="표준 6 2 2 3 5 3 2" xfId="28009"/>
    <cellStyle name="표준 6 2 2 3 5 4" xfId="28010"/>
    <cellStyle name="표준 6 2 2 3 6" xfId="28011"/>
    <cellStyle name="표준 6 2 2 3 6 2" xfId="28012"/>
    <cellStyle name="표준 6 2 2 3 6 2 2" xfId="28013"/>
    <cellStyle name="표준 6 2 2 3 6 3" xfId="28014"/>
    <cellStyle name="표준 6 2 2 3 7" xfId="28015"/>
    <cellStyle name="표준 6 2 2 3 7 2" xfId="28016"/>
    <cellStyle name="표준 6 2 2 3 8" xfId="28017"/>
    <cellStyle name="표준 6 2 2 3 9" xfId="28018"/>
    <cellStyle name="표준 6 2 2 4" xfId="28019"/>
    <cellStyle name="표준 6 2 2 4 2" xfId="28020"/>
    <cellStyle name="표준 6 2 2 4 2 2" xfId="28021"/>
    <cellStyle name="표준 6 2 2 4 2 2 2" xfId="28022"/>
    <cellStyle name="표준 6 2 2 4 2 2 2 2" xfId="28023"/>
    <cellStyle name="표준 6 2 2 4 2 2 2 2 2" xfId="28024"/>
    <cellStyle name="표준 6 2 2 4 2 2 2 2 2 2" xfId="28025"/>
    <cellStyle name="표준 6 2 2 4 2 2 2 2 3" xfId="28026"/>
    <cellStyle name="표준 6 2 2 4 2 2 2 3" xfId="28027"/>
    <cellStyle name="표준 6 2 2 4 2 2 2 3 2" xfId="28028"/>
    <cellStyle name="표준 6 2 2 4 2 2 2 4" xfId="28029"/>
    <cellStyle name="표준 6 2 2 4 2 2 3" xfId="28030"/>
    <cellStyle name="표준 6 2 2 4 2 2 3 2" xfId="28031"/>
    <cellStyle name="표준 6 2 2 4 2 2 3 2 2" xfId="28032"/>
    <cellStyle name="표준 6 2 2 4 2 2 3 3" xfId="28033"/>
    <cellStyle name="표준 6 2 2 4 2 2 4" xfId="28034"/>
    <cellStyle name="표준 6 2 2 4 2 2 4 2" xfId="28035"/>
    <cellStyle name="표준 6 2 2 4 2 2 5" xfId="28036"/>
    <cellStyle name="표준 6 2 2 4 2 3" xfId="28037"/>
    <cellStyle name="표준 6 2 2 4 2 3 2" xfId="28038"/>
    <cellStyle name="표준 6 2 2 4 2 3 2 2" xfId="28039"/>
    <cellStyle name="표준 6 2 2 4 2 3 2 2 2" xfId="28040"/>
    <cellStyle name="표준 6 2 2 4 2 3 2 3" xfId="28041"/>
    <cellStyle name="표준 6 2 2 4 2 3 3" xfId="28042"/>
    <cellStyle name="표준 6 2 2 4 2 3 3 2" xfId="28043"/>
    <cellStyle name="표준 6 2 2 4 2 3 4" xfId="28044"/>
    <cellStyle name="표준 6 2 2 4 2 4" xfId="28045"/>
    <cellStyle name="표준 6 2 2 4 2 4 2" xfId="28046"/>
    <cellStyle name="표준 6 2 2 4 2 4 2 2" xfId="28047"/>
    <cellStyle name="표준 6 2 2 4 2 4 3" xfId="28048"/>
    <cellStyle name="표준 6 2 2 4 2 5" xfId="28049"/>
    <cellStyle name="표준 6 2 2 4 2 5 2" xfId="28050"/>
    <cellStyle name="표준 6 2 2 4 2 6" xfId="28051"/>
    <cellStyle name="표준 6 2 2 4 3" xfId="28052"/>
    <cellStyle name="표준 6 2 2 4 3 2" xfId="28053"/>
    <cellStyle name="표준 6 2 2 4 3 2 2" xfId="28054"/>
    <cellStyle name="표준 6 2 2 4 3 2 2 2" xfId="28055"/>
    <cellStyle name="표준 6 2 2 4 3 2 2 2 2" xfId="28056"/>
    <cellStyle name="표준 6 2 2 4 3 2 2 3" xfId="28057"/>
    <cellStyle name="표준 6 2 2 4 3 2 3" xfId="28058"/>
    <cellStyle name="표준 6 2 2 4 3 2 3 2" xfId="28059"/>
    <cellStyle name="표준 6 2 2 4 3 2 4" xfId="28060"/>
    <cellStyle name="표준 6 2 2 4 3 3" xfId="28061"/>
    <cellStyle name="표준 6 2 2 4 3 3 2" xfId="28062"/>
    <cellStyle name="표준 6 2 2 4 3 3 2 2" xfId="28063"/>
    <cellStyle name="표준 6 2 2 4 3 3 3" xfId="28064"/>
    <cellStyle name="표준 6 2 2 4 3 4" xfId="28065"/>
    <cellStyle name="표준 6 2 2 4 3 4 2" xfId="28066"/>
    <cellStyle name="표준 6 2 2 4 3 5" xfId="28067"/>
    <cellStyle name="표준 6 2 2 4 4" xfId="28068"/>
    <cellStyle name="표준 6 2 2 4 4 2" xfId="28069"/>
    <cellStyle name="표준 6 2 2 4 4 2 2" xfId="28070"/>
    <cellStyle name="표준 6 2 2 4 4 2 2 2" xfId="28071"/>
    <cellStyle name="표준 6 2 2 4 4 2 3" xfId="28072"/>
    <cellStyle name="표준 6 2 2 4 4 3" xfId="28073"/>
    <cellStyle name="표준 6 2 2 4 4 3 2" xfId="28074"/>
    <cellStyle name="표준 6 2 2 4 4 4" xfId="28075"/>
    <cellStyle name="표준 6 2 2 4 5" xfId="28076"/>
    <cellStyle name="표준 6 2 2 4 5 2" xfId="28077"/>
    <cellStyle name="표준 6 2 2 4 5 2 2" xfId="28078"/>
    <cellStyle name="표준 6 2 2 4 5 3" xfId="28079"/>
    <cellStyle name="표준 6 2 2 4 6" xfId="28080"/>
    <cellStyle name="표준 6 2 2 4 6 2" xfId="28081"/>
    <cellStyle name="표준 6 2 2 4 7" xfId="28082"/>
    <cellStyle name="표준 6 2 2 4 8" xfId="28083"/>
    <cellStyle name="표준 6 2 2 5" xfId="28084"/>
    <cellStyle name="표준 6 2 2 5 2" xfId="28085"/>
    <cellStyle name="표준 6 2 2 5 2 2" xfId="28086"/>
    <cellStyle name="표준 6 2 2 5 2 2 2" xfId="28087"/>
    <cellStyle name="표준 6 2 2 5 2 2 2 2" xfId="28088"/>
    <cellStyle name="표준 6 2 2 5 2 2 2 2 2" xfId="28089"/>
    <cellStyle name="표준 6 2 2 5 2 2 2 3" xfId="28090"/>
    <cellStyle name="표준 6 2 2 5 2 2 3" xfId="28091"/>
    <cellStyle name="표준 6 2 2 5 2 2 3 2" xfId="28092"/>
    <cellStyle name="표준 6 2 2 5 2 2 4" xfId="28093"/>
    <cellStyle name="표준 6 2 2 5 2 3" xfId="28094"/>
    <cellStyle name="표준 6 2 2 5 2 3 2" xfId="28095"/>
    <cellStyle name="표준 6 2 2 5 2 3 2 2" xfId="28096"/>
    <cellStyle name="표준 6 2 2 5 2 3 3" xfId="28097"/>
    <cellStyle name="표준 6 2 2 5 2 4" xfId="28098"/>
    <cellStyle name="표준 6 2 2 5 2 4 2" xfId="28099"/>
    <cellStyle name="표준 6 2 2 5 2 5" xfId="28100"/>
    <cellStyle name="표준 6 2 2 5 3" xfId="28101"/>
    <cellStyle name="표준 6 2 2 5 3 2" xfId="28102"/>
    <cellStyle name="표준 6 2 2 5 3 2 2" xfId="28103"/>
    <cellStyle name="표준 6 2 2 5 3 2 2 2" xfId="28104"/>
    <cellStyle name="표준 6 2 2 5 3 2 3" xfId="28105"/>
    <cellStyle name="표준 6 2 2 5 3 3" xfId="28106"/>
    <cellStyle name="표준 6 2 2 5 3 3 2" xfId="28107"/>
    <cellStyle name="표준 6 2 2 5 3 4" xfId="28108"/>
    <cellStyle name="표준 6 2 2 5 4" xfId="28109"/>
    <cellStyle name="표준 6 2 2 5 4 2" xfId="28110"/>
    <cellStyle name="표준 6 2 2 5 4 2 2" xfId="28111"/>
    <cellStyle name="표준 6 2 2 5 4 3" xfId="28112"/>
    <cellStyle name="표준 6 2 2 5 5" xfId="28113"/>
    <cellStyle name="표준 6 2 2 5 5 2" xfId="28114"/>
    <cellStyle name="표준 6 2 2 5 6" xfId="28115"/>
    <cellStyle name="표준 6 2 2 6" xfId="28116"/>
    <cellStyle name="표준 6 2 2 6 2" xfId="28117"/>
    <cellStyle name="표준 6 2 2 6 2 2" xfId="28118"/>
    <cellStyle name="표준 6 2 2 6 2 2 2" xfId="28119"/>
    <cellStyle name="표준 6 2 2 6 2 2 2 2" xfId="28120"/>
    <cellStyle name="표준 6 2 2 6 2 2 3" xfId="28121"/>
    <cellStyle name="표준 6 2 2 6 2 3" xfId="28122"/>
    <cellStyle name="표준 6 2 2 6 2 3 2" xfId="28123"/>
    <cellStyle name="표준 6 2 2 6 2 4" xfId="28124"/>
    <cellStyle name="표준 6 2 2 6 3" xfId="28125"/>
    <cellStyle name="표준 6 2 2 6 3 2" xfId="28126"/>
    <cellStyle name="표준 6 2 2 6 3 2 2" xfId="28127"/>
    <cellStyle name="표준 6 2 2 6 3 3" xfId="28128"/>
    <cellStyle name="표준 6 2 2 6 4" xfId="28129"/>
    <cellStyle name="표준 6 2 2 6 4 2" xfId="28130"/>
    <cellStyle name="표준 6 2 2 6 5" xfId="28131"/>
    <cellStyle name="표준 6 2 2 7" xfId="28132"/>
    <cellStyle name="표준 6 2 2 7 2" xfId="28133"/>
    <cellStyle name="표준 6 2 2 7 2 2" xfId="28134"/>
    <cellStyle name="표준 6 2 2 7 2 2 2" xfId="28135"/>
    <cellStyle name="표준 6 2 2 7 2 3" xfId="28136"/>
    <cellStyle name="표준 6 2 2 7 3" xfId="28137"/>
    <cellStyle name="표준 6 2 2 7 3 2" xfId="28138"/>
    <cellStyle name="표준 6 2 2 7 4" xfId="28139"/>
    <cellStyle name="표준 6 2 2 8" xfId="28140"/>
    <cellStyle name="표준 6 2 2 8 2" xfId="28141"/>
    <cellStyle name="표준 6 2 2 8 2 2" xfId="28142"/>
    <cellStyle name="표준 6 2 2 8 3" xfId="28143"/>
    <cellStyle name="표준 6 2 2 9" xfId="28144"/>
    <cellStyle name="표준 6 2 2 9 2" xfId="28145"/>
    <cellStyle name="표준 6 2 3" xfId="28146"/>
    <cellStyle name="표준 6 2 3 10" xfId="28147"/>
    <cellStyle name="표준 6 2 3 2" xfId="28148"/>
    <cellStyle name="표준 6 2 3 2 2" xfId="28149"/>
    <cellStyle name="표준 6 2 3 2 2 2" xfId="28150"/>
    <cellStyle name="표준 6 2 3 2 2 2 2" xfId="28151"/>
    <cellStyle name="표준 6 2 3 2 2 2 2 2" xfId="28152"/>
    <cellStyle name="표준 6 2 3 2 2 2 2 2 2" xfId="28153"/>
    <cellStyle name="표준 6 2 3 2 2 2 2 2 2 2" xfId="28154"/>
    <cellStyle name="표준 6 2 3 2 2 2 2 2 2 2 2" xfId="28155"/>
    <cellStyle name="표준 6 2 3 2 2 2 2 2 2 3" xfId="28156"/>
    <cellStyle name="표준 6 2 3 2 2 2 2 2 3" xfId="28157"/>
    <cellStyle name="표준 6 2 3 2 2 2 2 2 3 2" xfId="28158"/>
    <cellStyle name="표준 6 2 3 2 2 2 2 2 4" xfId="28159"/>
    <cellStyle name="표준 6 2 3 2 2 2 2 3" xfId="28160"/>
    <cellStyle name="표준 6 2 3 2 2 2 2 3 2" xfId="28161"/>
    <cellStyle name="표준 6 2 3 2 2 2 2 3 2 2" xfId="28162"/>
    <cellStyle name="표준 6 2 3 2 2 2 2 3 3" xfId="28163"/>
    <cellStyle name="표준 6 2 3 2 2 2 2 4" xfId="28164"/>
    <cellStyle name="표준 6 2 3 2 2 2 2 4 2" xfId="28165"/>
    <cellStyle name="표준 6 2 3 2 2 2 2 5" xfId="28166"/>
    <cellStyle name="표준 6 2 3 2 2 2 3" xfId="28167"/>
    <cellStyle name="표준 6 2 3 2 2 2 3 2" xfId="28168"/>
    <cellStyle name="표준 6 2 3 2 2 2 3 2 2" xfId="28169"/>
    <cellStyle name="표준 6 2 3 2 2 2 3 2 2 2" xfId="28170"/>
    <cellStyle name="표준 6 2 3 2 2 2 3 2 3" xfId="28171"/>
    <cellStyle name="표준 6 2 3 2 2 2 3 3" xfId="28172"/>
    <cellStyle name="표준 6 2 3 2 2 2 3 3 2" xfId="28173"/>
    <cellStyle name="표준 6 2 3 2 2 2 3 4" xfId="28174"/>
    <cellStyle name="표준 6 2 3 2 2 2 4" xfId="28175"/>
    <cellStyle name="표준 6 2 3 2 2 2 4 2" xfId="28176"/>
    <cellStyle name="표준 6 2 3 2 2 2 4 2 2" xfId="28177"/>
    <cellStyle name="표준 6 2 3 2 2 2 4 3" xfId="28178"/>
    <cellStyle name="표준 6 2 3 2 2 2 5" xfId="28179"/>
    <cellStyle name="표준 6 2 3 2 2 2 5 2" xfId="28180"/>
    <cellStyle name="표준 6 2 3 2 2 2 6" xfId="28181"/>
    <cellStyle name="표준 6 2 3 2 2 3" xfId="28182"/>
    <cellStyle name="표준 6 2 3 2 2 3 2" xfId="28183"/>
    <cellStyle name="표준 6 2 3 2 2 3 2 2" xfId="28184"/>
    <cellStyle name="표준 6 2 3 2 2 3 2 2 2" xfId="28185"/>
    <cellStyle name="표준 6 2 3 2 2 3 2 2 2 2" xfId="28186"/>
    <cellStyle name="표준 6 2 3 2 2 3 2 2 3" xfId="28187"/>
    <cellStyle name="표준 6 2 3 2 2 3 2 3" xfId="28188"/>
    <cellStyle name="표준 6 2 3 2 2 3 2 3 2" xfId="28189"/>
    <cellStyle name="표준 6 2 3 2 2 3 2 4" xfId="28190"/>
    <cellStyle name="표준 6 2 3 2 2 3 3" xfId="28191"/>
    <cellStyle name="표준 6 2 3 2 2 3 3 2" xfId="28192"/>
    <cellStyle name="표준 6 2 3 2 2 3 3 2 2" xfId="28193"/>
    <cellStyle name="표준 6 2 3 2 2 3 3 3" xfId="28194"/>
    <cellStyle name="표준 6 2 3 2 2 3 4" xfId="28195"/>
    <cellStyle name="표준 6 2 3 2 2 3 4 2" xfId="28196"/>
    <cellStyle name="표준 6 2 3 2 2 3 5" xfId="28197"/>
    <cellStyle name="표준 6 2 3 2 2 4" xfId="28198"/>
    <cellStyle name="표준 6 2 3 2 2 4 2" xfId="28199"/>
    <cellStyle name="표준 6 2 3 2 2 4 2 2" xfId="28200"/>
    <cellStyle name="표준 6 2 3 2 2 4 2 2 2" xfId="28201"/>
    <cellStyle name="표준 6 2 3 2 2 4 2 3" xfId="28202"/>
    <cellStyle name="표준 6 2 3 2 2 4 3" xfId="28203"/>
    <cellStyle name="표준 6 2 3 2 2 4 3 2" xfId="28204"/>
    <cellStyle name="표준 6 2 3 2 2 4 4" xfId="28205"/>
    <cellStyle name="표준 6 2 3 2 2 5" xfId="28206"/>
    <cellStyle name="표준 6 2 3 2 2 5 2" xfId="28207"/>
    <cellStyle name="표준 6 2 3 2 2 5 2 2" xfId="28208"/>
    <cellStyle name="표준 6 2 3 2 2 5 3" xfId="28209"/>
    <cellStyle name="표준 6 2 3 2 2 6" xfId="28210"/>
    <cellStyle name="표준 6 2 3 2 2 6 2" xfId="28211"/>
    <cellStyle name="표준 6 2 3 2 2 7" xfId="28212"/>
    <cellStyle name="표준 6 2 3 2 2 8" xfId="28213"/>
    <cellStyle name="표준 6 2 3 2 3" xfId="28214"/>
    <cellStyle name="표준 6 2 3 2 3 2" xfId="28215"/>
    <cellStyle name="표준 6 2 3 2 3 2 2" xfId="28216"/>
    <cellStyle name="표준 6 2 3 2 3 2 2 2" xfId="28217"/>
    <cellStyle name="표준 6 2 3 2 3 2 2 2 2" xfId="28218"/>
    <cellStyle name="표준 6 2 3 2 3 2 2 2 2 2" xfId="28219"/>
    <cellStyle name="표준 6 2 3 2 3 2 2 2 3" xfId="28220"/>
    <cellStyle name="표준 6 2 3 2 3 2 2 3" xfId="28221"/>
    <cellStyle name="표준 6 2 3 2 3 2 2 3 2" xfId="28222"/>
    <cellStyle name="표준 6 2 3 2 3 2 2 4" xfId="28223"/>
    <cellStyle name="표준 6 2 3 2 3 2 3" xfId="28224"/>
    <cellStyle name="표준 6 2 3 2 3 2 3 2" xfId="28225"/>
    <cellStyle name="표준 6 2 3 2 3 2 3 2 2" xfId="28226"/>
    <cellStyle name="표준 6 2 3 2 3 2 3 3" xfId="28227"/>
    <cellStyle name="표준 6 2 3 2 3 2 4" xfId="28228"/>
    <cellStyle name="표준 6 2 3 2 3 2 4 2" xfId="28229"/>
    <cellStyle name="표준 6 2 3 2 3 2 5" xfId="28230"/>
    <cellStyle name="표준 6 2 3 2 3 3" xfId="28231"/>
    <cellStyle name="표준 6 2 3 2 3 3 2" xfId="28232"/>
    <cellStyle name="표준 6 2 3 2 3 3 2 2" xfId="28233"/>
    <cellStyle name="표준 6 2 3 2 3 3 2 2 2" xfId="28234"/>
    <cellStyle name="표준 6 2 3 2 3 3 2 3" xfId="28235"/>
    <cellStyle name="표준 6 2 3 2 3 3 3" xfId="28236"/>
    <cellStyle name="표준 6 2 3 2 3 3 3 2" xfId="28237"/>
    <cellStyle name="표준 6 2 3 2 3 3 4" xfId="28238"/>
    <cellStyle name="표준 6 2 3 2 3 4" xfId="28239"/>
    <cellStyle name="표준 6 2 3 2 3 4 2" xfId="28240"/>
    <cellStyle name="표준 6 2 3 2 3 4 2 2" xfId="28241"/>
    <cellStyle name="표준 6 2 3 2 3 4 3" xfId="28242"/>
    <cellStyle name="표준 6 2 3 2 3 5" xfId="28243"/>
    <cellStyle name="표준 6 2 3 2 3 5 2" xfId="28244"/>
    <cellStyle name="표준 6 2 3 2 3 6" xfId="28245"/>
    <cellStyle name="표준 6 2 3 2 4" xfId="28246"/>
    <cellStyle name="표준 6 2 3 2 4 2" xfId="28247"/>
    <cellStyle name="표준 6 2 3 2 4 2 2" xfId="28248"/>
    <cellStyle name="표준 6 2 3 2 4 2 2 2" xfId="28249"/>
    <cellStyle name="표준 6 2 3 2 4 2 2 2 2" xfId="28250"/>
    <cellStyle name="표준 6 2 3 2 4 2 2 3" xfId="28251"/>
    <cellStyle name="표준 6 2 3 2 4 2 3" xfId="28252"/>
    <cellStyle name="표준 6 2 3 2 4 2 3 2" xfId="28253"/>
    <cellStyle name="표준 6 2 3 2 4 2 4" xfId="28254"/>
    <cellStyle name="표준 6 2 3 2 4 3" xfId="28255"/>
    <cellStyle name="표준 6 2 3 2 4 3 2" xfId="28256"/>
    <cellStyle name="표준 6 2 3 2 4 3 2 2" xfId="28257"/>
    <cellStyle name="표준 6 2 3 2 4 3 3" xfId="28258"/>
    <cellStyle name="표준 6 2 3 2 4 4" xfId="28259"/>
    <cellStyle name="표준 6 2 3 2 4 4 2" xfId="28260"/>
    <cellStyle name="표준 6 2 3 2 4 5" xfId="28261"/>
    <cellStyle name="표준 6 2 3 2 5" xfId="28262"/>
    <cellStyle name="표준 6 2 3 2 5 2" xfId="28263"/>
    <cellStyle name="표준 6 2 3 2 5 2 2" xfId="28264"/>
    <cellStyle name="표준 6 2 3 2 5 2 2 2" xfId="28265"/>
    <cellStyle name="표준 6 2 3 2 5 2 3" xfId="28266"/>
    <cellStyle name="표준 6 2 3 2 5 3" xfId="28267"/>
    <cellStyle name="표준 6 2 3 2 5 3 2" xfId="28268"/>
    <cellStyle name="표준 6 2 3 2 5 4" xfId="28269"/>
    <cellStyle name="표준 6 2 3 2 6" xfId="28270"/>
    <cellStyle name="표준 6 2 3 2 6 2" xfId="28271"/>
    <cellStyle name="표준 6 2 3 2 6 2 2" xfId="28272"/>
    <cellStyle name="표준 6 2 3 2 6 3" xfId="28273"/>
    <cellStyle name="표준 6 2 3 2 7" xfId="28274"/>
    <cellStyle name="표준 6 2 3 2 7 2" xfId="28275"/>
    <cellStyle name="표준 6 2 3 2 8" xfId="28276"/>
    <cellStyle name="표준 6 2 3 2 9" xfId="28277"/>
    <cellStyle name="표준 6 2 3 3" xfId="28278"/>
    <cellStyle name="표준 6 2 3 3 2" xfId="28279"/>
    <cellStyle name="표준 6 2 3 3 2 2" xfId="28280"/>
    <cellStyle name="표준 6 2 3 3 2 2 2" xfId="28281"/>
    <cellStyle name="표준 6 2 3 3 2 2 2 2" xfId="28282"/>
    <cellStyle name="표준 6 2 3 3 2 2 2 2 2" xfId="28283"/>
    <cellStyle name="표준 6 2 3 3 2 2 2 2 2 2" xfId="28284"/>
    <cellStyle name="표준 6 2 3 3 2 2 2 2 3" xfId="28285"/>
    <cellStyle name="표준 6 2 3 3 2 2 2 3" xfId="28286"/>
    <cellStyle name="표준 6 2 3 3 2 2 2 3 2" xfId="28287"/>
    <cellStyle name="표준 6 2 3 3 2 2 2 4" xfId="28288"/>
    <cellStyle name="표준 6 2 3 3 2 2 3" xfId="28289"/>
    <cellStyle name="표준 6 2 3 3 2 2 3 2" xfId="28290"/>
    <cellStyle name="표준 6 2 3 3 2 2 3 2 2" xfId="28291"/>
    <cellStyle name="표준 6 2 3 3 2 2 3 3" xfId="28292"/>
    <cellStyle name="표준 6 2 3 3 2 2 4" xfId="28293"/>
    <cellStyle name="표준 6 2 3 3 2 2 4 2" xfId="28294"/>
    <cellStyle name="표준 6 2 3 3 2 2 5" xfId="28295"/>
    <cellStyle name="표준 6 2 3 3 2 3" xfId="28296"/>
    <cellStyle name="표준 6 2 3 3 2 3 2" xfId="28297"/>
    <cellStyle name="표준 6 2 3 3 2 3 2 2" xfId="28298"/>
    <cellStyle name="표준 6 2 3 3 2 3 2 2 2" xfId="28299"/>
    <cellStyle name="표준 6 2 3 3 2 3 2 3" xfId="28300"/>
    <cellStyle name="표준 6 2 3 3 2 3 3" xfId="28301"/>
    <cellStyle name="표준 6 2 3 3 2 3 3 2" xfId="28302"/>
    <cellStyle name="표준 6 2 3 3 2 3 4" xfId="28303"/>
    <cellStyle name="표준 6 2 3 3 2 4" xfId="28304"/>
    <cellStyle name="표준 6 2 3 3 2 4 2" xfId="28305"/>
    <cellStyle name="표준 6 2 3 3 2 4 2 2" xfId="28306"/>
    <cellStyle name="표준 6 2 3 3 2 4 3" xfId="28307"/>
    <cellStyle name="표준 6 2 3 3 2 5" xfId="28308"/>
    <cellStyle name="표준 6 2 3 3 2 5 2" xfId="28309"/>
    <cellStyle name="표준 6 2 3 3 2 6" xfId="28310"/>
    <cellStyle name="표준 6 2 3 3 3" xfId="28311"/>
    <cellStyle name="표준 6 2 3 3 3 2" xfId="28312"/>
    <cellStyle name="표준 6 2 3 3 3 2 2" xfId="28313"/>
    <cellStyle name="표준 6 2 3 3 3 2 2 2" xfId="28314"/>
    <cellStyle name="표준 6 2 3 3 3 2 2 2 2" xfId="28315"/>
    <cellStyle name="표준 6 2 3 3 3 2 2 3" xfId="28316"/>
    <cellStyle name="표준 6 2 3 3 3 2 3" xfId="28317"/>
    <cellStyle name="표준 6 2 3 3 3 2 3 2" xfId="28318"/>
    <cellStyle name="표준 6 2 3 3 3 2 4" xfId="28319"/>
    <cellStyle name="표준 6 2 3 3 3 3" xfId="28320"/>
    <cellStyle name="표준 6 2 3 3 3 3 2" xfId="28321"/>
    <cellStyle name="표준 6 2 3 3 3 3 2 2" xfId="28322"/>
    <cellStyle name="표준 6 2 3 3 3 3 3" xfId="28323"/>
    <cellStyle name="표준 6 2 3 3 3 4" xfId="28324"/>
    <cellStyle name="표준 6 2 3 3 3 4 2" xfId="28325"/>
    <cellStyle name="표준 6 2 3 3 3 5" xfId="28326"/>
    <cellStyle name="표준 6 2 3 3 4" xfId="28327"/>
    <cellStyle name="표준 6 2 3 3 4 2" xfId="28328"/>
    <cellStyle name="표준 6 2 3 3 4 2 2" xfId="28329"/>
    <cellStyle name="표준 6 2 3 3 4 2 2 2" xfId="28330"/>
    <cellStyle name="표준 6 2 3 3 4 2 3" xfId="28331"/>
    <cellStyle name="표준 6 2 3 3 4 3" xfId="28332"/>
    <cellStyle name="표준 6 2 3 3 4 3 2" xfId="28333"/>
    <cellStyle name="표준 6 2 3 3 4 4" xfId="28334"/>
    <cellStyle name="표준 6 2 3 3 5" xfId="28335"/>
    <cellStyle name="표준 6 2 3 3 5 2" xfId="28336"/>
    <cellStyle name="표준 6 2 3 3 5 2 2" xfId="28337"/>
    <cellStyle name="표준 6 2 3 3 5 3" xfId="28338"/>
    <cellStyle name="표준 6 2 3 3 6" xfId="28339"/>
    <cellStyle name="표준 6 2 3 3 6 2" xfId="28340"/>
    <cellStyle name="표준 6 2 3 3 7" xfId="28341"/>
    <cellStyle name="표준 6 2 3 3 8" xfId="28342"/>
    <cellStyle name="표준 6 2 3 4" xfId="28343"/>
    <cellStyle name="표준 6 2 3 4 2" xfId="28344"/>
    <cellStyle name="표준 6 2 3 4 2 2" xfId="28345"/>
    <cellStyle name="표준 6 2 3 4 2 2 2" xfId="28346"/>
    <cellStyle name="표준 6 2 3 4 2 2 2 2" xfId="28347"/>
    <cellStyle name="표준 6 2 3 4 2 2 2 2 2" xfId="28348"/>
    <cellStyle name="표준 6 2 3 4 2 2 2 3" xfId="28349"/>
    <cellStyle name="표준 6 2 3 4 2 2 3" xfId="28350"/>
    <cellStyle name="표준 6 2 3 4 2 2 3 2" xfId="28351"/>
    <cellStyle name="표준 6 2 3 4 2 2 4" xfId="28352"/>
    <cellStyle name="표준 6 2 3 4 2 3" xfId="28353"/>
    <cellStyle name="표준 6 2 3 4 2 3 2" xfId="28354"/>
    <cellStyle name="표준 6 2 3 4 2 3 2 2" xfId="28355"/>
    <cellStyle name="표준 6 2 3 4 2 3 3" xfId="28356"/>
    <cellStyle name="표준 6 2 3 4 2 4" xfId="28357"/>
    <cellStyle name="표준 6 2 3 4 2 4 2" xfId="28358"/>
    <cellStyle name="표준 6 2 3 4 2 5" xfId="28359"/>
    <cellStyle name="표준 6 2 3 4 3" xfId="28360"/>
    <cellStyle name="표준 6 2 3 4 3 2" xfId="28361"/>
    <cellStyle name="표준 6 2 3 4 3 2 2" xfId="28362"/>
    <cellStyle name="표준 6 2 3 4 3 2 2 2" xfId="28363"/>
    <cellStyle name="표준 6 2 3 4 3 2 3" xfId="28364"/>
    <cellStyle name="표준 6 2 3 4 3 3" xfId="28365"/>
    <cellStyle name="표준 6 2 3 4 3 3 2" xfId="28366"/>
    <cellStyle name="표준 6 2 3 4 3 4" xfId="28367"/>
    <cellStyle name="표준 6 2 3 4 4" xfId="28368"/>
    <cellStyle name="표준 6 2 3 4 4 2" xfId="28369"/>
    <cellStyle name="표준 6 2 3 4 4 2 2" xfId="28370"/>
    <cellStyle name="표준 6 2 3 4 4 3" xfId="28371"/>
    <cellStyle name="표준 6 2 3 4 5" xfId="28372"/>
    <cellStyle name="표준 6 2 3 4 5 2" xfId="28373"/>
    <cellStyle name="표준 6 2 3 4 6" xfId="28374"/>
    <cellStyle name="표준 6 2 3 5" xfId="28375"/>
    <cellStyle name="표준 6 2 3 5 2" xfId="28376"/>
    <cellStyle name="표준 6 2 3 5 2 2" xfId="28377"/>
    <cellStyle name="표준 6 2 3 5 2 2 2" xfId="28378"/>
    <cellStyle name="표준 6 2 3 5 2 2 2 2" xfId="28379"/>
    <cellStyle name="표준 6 2 3 5 2 2 3" xfId="28380"/>
    <cellStyle name="표준 6 2 3 5 2 3" xfId="28381"/>
    <cellStyle name="표준 6 2 3 5 2 3 2" xfId="28382"/>
    <cellStyle name="표준 6 2 3 5 2 4" xfId="28383"/>
    <cellStyle name="표준 6 2 3 5 3" xfId="28384"/>
    <cellStyle name="표준 6 2 3 5 3 2" xfId="28385"/>
    <cellStyle name="표준 6 2 3 5 3 2 2" xfId="28386"/>
    <cellStyle name="표준 6 2 3 5 3 3" xfId="28387"/>
    <cellStyle name="표준 6 2 3 5 4" xfId="28388"/>
    <cellStyle name="표준 6 2 3 5 4 2" xfId="28389"/>
    <cellStyle name="표준 6 2 3 5 5" xfId="28390"/>
    <cellStyle name="표준 6 2 3 6" xfId="28391"/>
    <cellStyle name="표준 6 2 3 6 2" xfId="28392"/>
    <cellStyle name="표준 6 2 3 6 2 2" xfId="28393"/>
    <cellStyle name="표준 6 2 3 6 2 2 2" xfId="28394"/>
    <cellStyle name="표준 6 2 3 6 2 3" xfId="28395"/>
    <cellStyle name="표준 6 2 3 6 3" xfId="28396"/>
    <cellStyle name="표준 6 2 3 6 3 2" xfId="28397"/>
    <cellStyle name="표준 6 2 3 6 4" xfId="28398"/>
    <cellStyle name="표준 6 2 3 7" xfId="28399"/>
    <cellStyle name="표준 6 2 3 7 2" xfId="28400"/>
    <cellStyle name="표준 6 2 3 7 2 2" xfId="28401"/>
    <cellStyle name="표준 6 2 3 7 3" xfId="28402"/>
    <cellStyle name="표준 6 2 3 8" xfId="28403"/>
    <cellStyle name="표준 6 2 3 8 2" xfId="28404"/>
    <cellStyle name="표준 6 2 3 9" xfId="28405"/>
    <cellStyle name="표준 6 2 4" xfId="28406"/>
    <cellStyle name="표준 6 2 4 2" xfId="28407"/>
    <cellStyle name="표준 6 2 4 2 2" xfId="28408"/>
    <cellStyle name="표준 6 2 4 2 2 2" xfId="28409"/>
    <cellStyle name="표준 6 2 4 2 2 2 2" xfId="28410"/>
    <cellStyle name="표준 6 2 4 2 2 2 2 2" xfId="28411"/>
    <cellStyle name="표준 6 2 4 2 2 2 2 2 2" xfId="28412"/>
    <cellStyle name="표준 6 2 4 2 2 2 2 2 2 2" xfId="28413"/>
    <cellStyle name="표준 6 2 4 2 2 2 2 2 3" xfId="28414"/>
    <cellStyle name="표준 6 2 4 2 2 2 2 3" xfId="28415"/>
    <cellStyle name="표준 6 2 4 2 2 2 2 3 2" xfId="28416"/>
    <cellStyle name="표준 6 2 4 2 2 2 2 4" xfId="28417"/>
    <cellStyle name="표준 6 2 4 2 2 2 3" xfId="28418"/>
    <cellStyle name="표준 6 2 4 2 2 2 3 2" xfId="28419"/>
    <cellStyle name="표준 6 2 4 2 2 2 3 2 2" xfId="28420"/>
    <cellStyle name="표준 6 2 4 2 2 2 3 3" xfId="28421"/>
    <cellStyle name="표준 6 2 4 2 2 2 4" xfId="28422"/>
    <cellStyle name="표준 6 2 4 2 2 2 4 2" xfId="28423"/>
    <cellStyle name="표준 6 2 4 2 2 2 5" xfId="28424"/>
    <cellStyle name="표준 6 2 4 2 2 3" xfId="28425"/>
    <cellStyle name="표준 6 2 4 2 2 3 2" xfId="28426"/>
    <cellStyle name="표준 6 2 4 2 2 3 2 2" xfId="28427"/>
    <cellStyle name="표준 6 2 4 2 2 3 2 2 2" xfId="28428"/>
    <cellStyle name="표준 6 2 4 2 2 3 2 3" xfId="28429"/>
    <cellStyle name="표준 6 2 4 2 2 3 3" xfId="28430"/>
    <cellStyle name="표준 6 2 4 2 2 3 3 2" xfId="28431"/>
    <cellStyle name="표준 6 2 4 2 2 3 4" xfId="28432"/>
    <cellStyle name="표준 6 2 4 2 2 4" xfId="28433"/>
    <cellStyle name="표준 6 2 4 2 2 4 2" xfId="28434"/>
    <cellStyle name="표준 6 2 4 2 2 4 2 2" xfId="28435"/>
    <cellStyle name="표준 6 2 4 2 2 4 3" xfId="28436"/>
    <cellStyle name="표준 6 2 4 2 2 5" xfId="28437"/>
    <cellStyle name="표준 6 2 4 2 2 5 2" xfId="28438"/>
    <cellStyle name="표준 6 2 4 2 2 6" xfId="28439"/>
    <cellStyle name="표준 6 2 4 2 3" xfId="28440"/>
    <cellStyle name="표준 6 2 4 2 3 2" xfId="28441"/>
    <cellStyle name="표준 6 2 4 2 3 2 2" xfId="28442"/>
    <cellStyle name="표준 6 2 4 2 3 2 2 2" xfId="28443"/>
    <cellStyle name="표준 6 2 4 2 3 2 2 2 2" xfId="28444"/>
    <cellStyle name="표준 6 2 4 2 3 2 2 3" xfId="28445"/>
    <cellStyle name="표준 6 2 4 2 3 2 3" xfId="28446"/>
    <cellStyle name="표준 6 2 4 2 3 2 3 2" xfId="28447"/>
    <cellStyle name="표준 6 2 4 2 3 2 4" xfId="28448"/>
    <cellStyle name="표준 6 2 4 2 3 3" xfId="28449"/>
    <cellStyle name="표준 6 2 4 2 3 3 2" xfId="28450"/>
    <cellStyle name="표준 6 2 4 2 3 3 2 2" xfId="28451"/>
    <cellStyle name="표준 6 2 4 2 3 3 3" xfId="28452"/>
    <cellStyle name="표준 6 2 4 2 3 4" xfId="28453"/>
    <cellStyle name="표준 6 2 4 2 3 4 2" xfId="28454"/>
    <cellStyle name="표준 6 2 4 2 3 5" xfId="28455"/>
    <cellStyle name="표준 6 2 4 2 4" xfId="28456"/>
    <cellStyle name="표준 6 2 4 2 4 2" xfId="28457"/>
    <cellStyle name="표준 6 2 4 2 4 2 2" xfId="28458"/>
    <cellStyle name="표준 6 2 4 2 4 2 2 2" xfId="28459"/>
    <cellStyle name="표준 6 2 4 2 4 2 3" xfId="28460"/>
    <cellStyle name="표준 6 2 4 2 4 3" xfId="28461"/>
    <cellStyle name="표준 6 2 4 2 4 3 2" xfId="28462"/>
    <cellStyle name="표준 6 2 4 2 4 4" xfId="28463"/>
    <cellStyle name="표준 6 2 4 2 5" xfId="28464"/>
    <cellStyle name="표준 6 2 4 2 5 2" xfId="28465"/>
    <cellStyle name="표준 6 2 4 2 5 2 2" xfId="28466"/>
    <cellStyle name="표준 6 2 4 2 5 3" xfId="28467"/>
    <cellStyle name="표준 6 2 4 2 6" xfId="28468"/>
    <cellStyle name="표준 6 2 4 2 6 2" xfId="28469"/>
    <cellStyle name="표준 6 2 4 2 7" xfId="28470"/>
    <cellStyle name="표준 6 2 4 2 8" xfId="28471"/>
    <cellStyle name="표준 6 2 4 3" xfId="28472"/>
    <cellStyle name="표준 6 2 4 3 2" xfId="28473"/>
    <cellStyle name="표준 6 2 4 3 2 2" xfId="28474"/>
    <cellStyle name="표준 6 2 4 3 2 2 2" xfId="28475"/>
    <cellStyle name="표준 6 2 4 3 2 2 2 2" xfId="28476"/>
    <cellStyle name="표준 6 2 4 3 2 2 2 2 2" xfId="28477"/>
    <cellStyle name="표준 6 2 4 3 2 2 2 3" xfId="28478"/>
    <cellStyle name="표준 6 2 4 3 2 2 3" xfId="28479"/>
    <cellStyle name="표준 6 2 4 3 2 2 3 2" xfId="28480"/>
    <cellStyle name="표준 6 2 4 3 2 2 4" xfId="28481"/>
    <cellStyle name="표준 6 2 4 3 2 3" xfId="28482"/>
    <cellStyle name="표준 6 2 4 3 2 3 2" xfId="28483"/>
    <cellStyle name="표준 6 2 4 3 2 3 2 2" xfId="28484"/>
    <cellStyle name="표준 6 2 4 3 2 3 3" xfId="28485"/>
    <cellStyle name="표준 6 2 4 3 2 4" xfId="28486"/>
    <cellStyle name="표준 6 2 4 3 2 4 2" xfId="28487"/>
    <cellStyle name="표준 6 2 4 3 2 5" xfId="28488"/>
    <cellStyle name="표준 6 2 4 3 3" xfId="28489"/>
    <cellStyle name="표준 6 2 4 3 3 2" xfId="28490"/>
    <cellStyle name="표준 6 2 4 3 3 2 2" xfId="28491"/>
    <cellStyle name="표준 6 2 4 3 3 2 2 2" xfId="28492"/>
    <cellStyle name="표준 6 2 4 3 3 2 3" xfId="28493"/>
    <cellStyle name="표준 6 2 4 3 3 3" xfId="28494"/>
    <cellStyle name="표준 6 2 4 3 3 3 2" xfId="28495"/>
    <cellStyle name="표준 6 2 4 3 3 4" xfId="28496"/>
    <cellStyle name="표준 6 2 4 3 4" xfId="28497"/>
    <cellStyle name="표준 6 2 4 3 4 2" xfId="28498"/>
    <cellStyle name="표준 6 2 4 3 4 2 2" xfId="28499"/>
    <cellStyle name="표준 6 2 4 3 4 3" xfId="28500"/>
    <cellStyle name="표준 6 2 4 3 5" xfId="28501"/>
    <cellStyle name="표준 6 2 4 3 5 2" xfId="28502"/>
    <cellStyle name="표준 6 2 4 3 6" xfId="28503"/>
    <cellStyle name="표준 6 2 4 4" xfId="28504"/>
    <cellStyle name="표준 6 2 4 4 2" xfId="28505"/>
    <cellStyle name="표준 6 2 4 4 2 2" xfId="28506"/>
    <cellStyle name="표준 6 2 4 4 2 2 2" xfId="28507"/>
    <cellStyle name="표준 6 2 4 4 2 2 2 2" xfId="28508"/>
    <cellStyle name="표준 6 2 4 4 2 2 3" xfId="28509"/>
    <cellStyle name="표준 6 2 4 4 2 3" xfId="28510"/>
    <cellStyle name="표준 6 2 4 4 2 3 2" xfId="28511"/>
    <cellStyle name="표준 6 2 4 4 2 4" xfId="28512"/>
    <cellStyle name="표준 6 2 4 4 3" xfId="28513"/>
    <cellStyle name="표준 6 2 4 4 3 2" xfId="28514"/>
    <cellStyle name="표준 6 2 4 4 3 2 2" xfId="28515"/>
    <cellStyle name="표준 6 2 4 4 3 3" xfId="28516"/>
    <cellStyle name="표준 6 2 4 4 4" xfId="28517"/>
    <cellStyle name="표준 6 2 4 4 4 2" xfId="28518"/>
    <cellStyle name="표준 6 2 4 4 5" xfId="28519"/>
    <cellStyle name="표준 6 2 4 5" xfId="28520"/>
    <cellStyle name="표준 6 2 4 5 2" xfId="28521"/>
    <cellStyle name="표준 6 2 4 5 2 2" xfId="28522"/>
    <cellStyle name="표준 6 2 4 5 2 2 2" xfId="28523"/>
    <cellStyle name="표준 6 2 4 5 2 3" xfId="28524"/>
    <cellStyle name="표준 6 2 4 5 3" xfId="28525"/>
    <cellStyle name="표준 6 2 4 5 3 2" xfId="28526"/>
    <cellStyle name="표준 6 2 4 5 4" xfId="28527"/>
    <cellStyle name="표준 6 2 4 6" xfId="28528"/>
    <cellStyle name="표준 6 2 4 6 2" xfId="28529"/>
    <cellStyle name="표준 6 2 4 6 2 2" xfId="28530"/>
    <cellStyle name="표준 6 2 4 6 3" xfId="28531"/>
    <cellStyle name="표준 6 2 4 7" xfId="28532"/>
    <cellStyle name="표준 6 2 4 7 2" xfId="28533"/>
    <cellStyle name="표준 6 2 4 8" xfId="28534"/>
    <cellStyle name="표준 6 2 4 9" xfId="28535"/>
    <cellStyle name="표준 6 2 5" xfId="28536"/>
    <cellStyle name="표준 6 2 5 2" xfId="28537"/>
    <cellStyle name="표준 6 2 5 2 2" xfId="28538"/>
    <cellStyle name="표준 6 2 5 2 2 2" xfId="28539"/>
    <cellStyle name="표준 6 2 5 2 2 2 2" xfId="28540"/>
    <cellStyle name="표준 6 2 5 2 2 2 2 2" xfId="28541"/>
    <cellStyle name="표준 6 2 5 2 2 2 2 2 2" xfId="28542"/>
    <cellStyle name="표준 6 2 5 2 2 2 2 3" xfId="28543"/>
    <cellStyle name="표준 6 2 5 2 2 2 3" xfId="28544"/>
    <cellStyle name="표준 6 2 5 2 2 2 3 2" xfId="28545"/>
    <cellStyle name="표준 6 2 5 2 2 2 4" xfId="28546"/>
    <cellStyle name="표준 6 2 5 2 2 3" xfId="28547"/>
    <cellStyle name="표준 6 2 5 2 2 3 2" xfId="28548"/>
    <cellStyle name="표준 6 2 5 2 2 3 2 2" xfId="28549"/>
    <cellStyle name="표준 6 2 5 2 2 3 3" xfId="28550"/>
    <cellStyle name="표준 6 2 5 2 2 4" xfId="28551"/>
    <cellStyle name="표준 6 2 5 2 2 4 2" xfId="28552"/>
    <cellStyle name="표준 6 2 5 2 2 5" xfId="28553"/>
    <cellStyle name="표준 6 2 5 2 3" xfId="28554"/>
    <cellStyle name="표준 6 2 5 2 3 2" xfId="28555"/>
    <cellStyle name="표준 6 2 5 2 3 2 2" xfId="28556"/>
    <cellStyle name="표준 6 2 5 2 3 2 2 2" xfId="28557"/>
    <cellStyle name="표준 6 2 5 2 3 2 3" xfId="28558"/>
    <cellStyle name="표준 6 2 5 2 3 3" xfId="28559"/>
    <cellStyle name="표준 6 2 5 2 3 3 2" xfId="28560"/>
    <cellStyle name="표준 6 2 5 2 3 4" xfId="28561"/>
    <cellStyle name="표준 6 2 5 2 4" xfId="28562"/>
    <cellStyle name="표준 6 2 5 2 4 2" xfId="28563"/>
    <cellStyle name="표준 6 2 5 2 4 2 2" xfId="28564"/>
    <cellStyle name="표준 6 2 5 2 4 3" xfId="28565"/>
    <cellStyle name="표준 6 2 5 2 5" xfId="28566"/>
    <cellStyle name="표준 6 2 5 2 5 2" xfId="28567"/>
    <cellStyle name="표준 6 2 5 2 6" xfId="28568"/>
    <cellStyle name="표준 6 2 5 3" xfId="28569"/>
    <cellStyle name="표준 6 2 5 3 2" xfId="28570"/>
    <cellStyle name="표준 6 2 5 3 2 2" xfId="28571"/>
    <cellStyle name="표준 6 2 5 3 2 2 2" xfId="28572"/>
    <cellStyle name="표준 6 2 5 3 2 2 2 2" xfId="28573"/>
    <cellStyle name="표준 6 2 5 3 2 2 3" xfId="28574"/>
    <cellStyle name="표준 6 2 5 3 2 3" xfId="28575"/>
    <cellStyle name="표준 6 2 5 3 2 3 2" xfId="28576"/>
    <cellStyle name="표준 6 2 5 3 2 4" xfId="28577"/>
    <cellStyle name="표준 6 2 5 3 3" xfId="28578"/>
    <cellStyle name="표준 6 2 5 3 3 2" xfId="28579"/>
    <cellStyle name="표준 6 2 5 3 3 2 2" xfId="28580"/>
    <cellStyle name="표준 6 2 5 3 3 3" xfId="28581"/>
    <cellStyle name="표준 6 2 5 3 4" xfId="28582"/>
    <cellStyle name="표준 6 2 5 3 4 2" xfId="28583"/>
    <cellStyle name="표준 6 2 5 3 5" xfId="28584"/>
    <cellStyle name="표준 6 2 5 4" xfId="28585"/>
    <cellStyle name="표준 6 2 5 4 2" xfId="28586"/>
    <cellStyle name="표준 6 2 5 4 2 2" xfId="28587"/>
    <cellStyle name="표준 6 2 5 4 2 2 2" xfId="28588"/>
    <cellStyle name="표준 6 2 5 4 2 3" xfId="28589"/>
    <cellStyle name="표준 6 2 5 4 3" xfId="28590"/>
    <cellStyle name="표준 6 2 5 4 3 2" xfId="28591"/>
    <cellStyle name="표준 6 2 5 4 4" xfId="28592"/>
    <cellStyle name="표준 6 2 5 5" xfId="28593"/>
    <cellStyle name="표준 6 2 5 5 2" xfId="28594"/>
    <cellStyle name="표준 6 2 5 5 2 2" xfId="28595"/>
    <cellStyle name="표준 6 2 5 5 3" xfId="28596"/>
    <cellStyle name="표준 6 2 5 6" xfId="28597"/>
    <cellStyle name="표준 6 2 5 6 2" xfId="28598"/>
    <cellStyle name="표준 6 2 5 7" xfId="28599"/>
    <cellStyle name="표준 6 2 5 8" xfId="28600"/>
    <cellStyle name="표준 6 2 6" xfId="28601"/>
    <cellStyle name="표준 6 2 6 2" xfId="28602"/>
    <cellStyle name="표준 6 2 6 2 2" xfId="28603"/>
    <cellStyle name="표준 6 2 6 2 2 2" xfId="28604"/>
    <cellStyle name="표준 6 2 6 2 2 2 2" xfId="28605"/>
    <cellStyle name="표준 6 2 6 2 2 2 2 2" xfId="28606"/>
    <cellStyle name="표준 6 2 6 2 2 2 3" xfId="28607"/>
    <cellStyle name="표준 6 2 6 2 2 3" xfId="28608"/>
    <cellStyle name="표준 6 2 6 2 2 3 2" xfId="28609"/>
    <cellStyle name="표준 6 2 6 2 2 4" xfId="28610"/>
    <cellStyle name="표준 6 2 6 2 3" xfId="28611"/>
    <cellStyle name="표준 6 2 6 2 3 2" xfId="28612"/>
    <cellStyle name="표준 6 2 6 2 3 2 2" xfId="28613"/>
    <cellStyle name="표준 6 2 6 2 3 3" xfId="28614"/>
    <cellStyle name="표준 6 2 6 2 4" xfId="28615"/>
    <cellStyle name="표준 6 2 6 2 4 2" xfId="28616"/>
    <cellStyle name="표준 6 2 6 2 5" xfId="28617"/>
    <cellStyle name="표준 6 2 6 3" xfId="28618"/>
    <cellStyle name="표준 6 2 6 3 2" xfId="28619"/>
    <cellStyle name="표준 6 2 6 3 2 2" xfId="28620"/>
    <cellStyle name="표준 6 2 6 3 2 2 2" xfId="28621"/>
    <cellStyle name="표준 6 2 6 3 2 3" xfId="28622"/>
    <cellStyle name="표준 6 2 6 3 3" xfId="28623"/>
    <cellStyle name="표준 6 2 6 3 3 2" xfId="28624"/>
    <cellStyle name="표준 6 2 6 3 4" xfId="28625"/>
    <cellStyle name="표준 6 2 6 4" xfId="28626"/>
    <cellStyle name="표준 6 2 6 4 2" xfId="28627"/>
    <cellStyle name="표준 6 2 6 4 2 2" xfId="28628"/>
    <cellStyle name="표준 6 2 6 4 3" xfId="28629"/>
    <cellStyle name="표준 6 2 6 5" xfId="28630"/>
    <cellStyle name="표준 6 2 6 5 2" xfId="28631"/>
    <cellStyle name="표준 6 2 6 6" xfId="28632"/>
    <cellStyle name="표준 6 2 7" xfId="28633"/>
    <cellStyle name="표준 6 2 7 2" xfId="28634"/>
    <cellStyle name="표준 6 2 7 2 2" xfId="28635"/>
    <cellStyle name="표준 6 2 7 2 2 2" xfId="28636"/>
    <cellStyle name="표준 6 2 7 2 2 2 2" xfId="28637"/>
    <cellStyle name="표준 6 2 7 2 2 3" xfId="28638"/>
    <cellStyle name="표준 6 2 7 2 3" xfId="28639"/>
    <cellStyle name="표준 6 2 7 2 3 2" xfId="28640"/>
    <cellStyle name="표준 6 2 7 2 4" xfId="28641"/>
    <cellStyle name="표준 6 2 7 3" xfId="28642"/>
    <cellStyle name="표준 6 2 7 3 2" xfId="28643"/>
    <cellStyle name="표준 6 2 7 3 2 2" xfId="28644"/>
    <cellStyle name="표준 6 2 7 3 3" xfId="28645"/>
    <cellStyle name="표준 6 2 7 4" xfId="28646"/>
    <cellStyle name="표준 6 2 7 4 2" xfId="28647"/>
    <cellStyle name="표준 6 2 7 5" xfId="28648"/>
    <cellStyle name="표준 6 2 8" xfId="28649"/>
    <cellStyle name="표준 6 2 8 2" xfId="28650"/>
    <cellStyle name="표준 6 2 8 2 2" xfId="28651"/>
    <cellStyle name="표준 6 2 8 2 2 2" xfId="28652"/>
    <cellStyle name="표준 6 2 8 2 3" xfId="28653"/>
    <cellStyle name="표준 6 2 8 3" xfId="28654"/>
    <cellStyle name="표준 6 2 8 3 2" xfId="28655"/>
    <cellStyle name="표준 6 2 8 4" xfId="28656"/>
    <cellStyle name="표준 6 2 9" xfId="28657"/>
    <cellStyle name="표준 6 2 9 2" xfId="28658"/>
    <cellStyle name="표준 6 2 9 2 2" xfId="28659"/>
    <cellStyle name="표준 6 2 9 3" xfId="28660"/>
    <cellStyle name="표준 6 3" xfId="28661"/>
    <cellStyle name="표준 6 3 10" xfId="28662"/>
    <cellStyle name="표준 6 3 11" xfId="28663"/>
    <cellStyle name="표준 6 3 2" xfId="28664"/>
    <cellStyle name="표준 6 3 2 10" xfId="28665"/>
    <cellStyle name="표준 6 3 2 2" xfId="28666"/>
    <cellStyle name="표준 6 3 2 2 2" xfId="28667"/>
    <cellStyle name="표준 6 3 2 2 2 2" xfId="28668"/>
    <cellStyle name="표준 6 3 2 2 2 2 2" xfId="28669"/>
    <cellStyle name="표준 6 3 2 2 2 2 2 2" xfId="28670"/>
    <cellStyle name="표준 6 3 2 2 2 2 2 2 2" xfId="28671"/>
    <cellStyle name="표준 6 3 2 2 2 2 2 2 2 2" xfId="28672"/>
    <cellStyle name="표준 6 3 2 2 2 2 2 2 2 2 2" xfId="28673"/>
    <cellStyle name="표준 6 3 2 2 2 2 2 2 2 3" xfId="28674"/>
    <cellStyle name="표준 6 3 2 2 2 2 2 2 3" xfId="28675"/>
    <cellStyle name="표준 6 3 2 2 2 2 2 2 3 2" xfId="28676"/>
    <cellStyle name="표준 6 3 2 2 2 2 2 2 4" xfId="28677"/>
    <cellStyle name="표준 6 3 2 2 2 2 2 3" xfId="28678"/>
    <cellStyle name="표준 6 3 2 2 2 2 2 3 2" xfId="28679"/>
    <cellStyle name="표준 6 3 2 2 2 2 2 3 2 2" xfId="28680"/>
    <cellStyle name="표준 6 3 2 2 2 2 2 3 3" xfId="28681"/>
    <cellStyle name="표준 6 3 2 2 2 2 2 4" xfId="28682"/>
    <cellStyle name="표준 6 3 2 2 2 2 2 4 2" xfId="28683"/>
    <cellStyle name="표준 6 3 2 2 2 2 2 5" xfId="28684"/>
    <cellStyle name="표준 6 3 2 2 2 2 3" xfId="28685"/>
    <cellStyle name="표준 6 3 2 2 2 2 3 2" xfId="28686"/>
    <cellStyle name="표준 6 3 2 2 2 2 3 2 2" xfId="28687"/>
    <cellStyle name="표준 6 3 2 2 2 2 3 2 2 2" xfId="28688"/>
    <cellStyle name="표준 6 3 2 2 2 2 3 2 3" xfId="28689"/>
    <cellStyle name="표준 6 3 2 2 2 2 3 3" xfId="28690"/>
    <cellStyle name="표준 6 3 2 2 2 2 3 3 2" xfId="28691"/>
    <cellStyle name="표준 6 3 2 2 2 2 3 4" xfId="28692"/>
    <cellStyle name="표준 6 3 2 2 2 2 4" xfId="28693"/>
    <cellStyle name="표준 6 3 2 2 2 2 4 2" xfId="28694"/>
    <cellStyle name="표준 6 3 2 2 2 2 4 2 2" xfId="28695"/>
    <cellStyle name="표준 6 3 2 2 2 2 4 3" xfId="28696"/>
    <cellStyle name="표준 6 3 2 2 2 2 5" xfId="28697"/>
    <cellStyle name="표준 6 3 2 2 2 2 5 2" xfId="28698"/>
    <cellStyle name="표준 6 3 2 2 2 2 6" xfId="28699"/>
    <cellStyle name="표준 6 3 2 2 2 3" xfId="28700"/>
    <cellStyle name="표준 6 3 2 2 2 3 2" xfId="28701"/>
    <cellStyle name="표준 6 3 2 2 2 3 2 2" xfId="28702"/>
    <cellStyle name="표준 6 3 2 2 2 3 2 2 2" xfId="28703"/>
    <cellStyle name="표준 6 3 2 2 2 3 2 2 2 2" xfId="28704"/>
    <cellStyle name="표준 6 3 2 2 2 3 2 2 3" xfId="28705"/>
    <cellStyle name="표준 6 3 2 2 2 3 2 3" xfId="28706"/>
    <cellStyle name="표준 6 3 2 2 2 3 2 3 2" xfId="28707"/>
    <cellStyle name="표준 6 3 2 2 2 3 2 4" xfId="28708"/>
    <cellStyle name="표준 6 3 2 2 2 3 3" xfId="28709"/>
    <cellStyle name="표준 6 3 2 2 2 3 3 2" xfId="28710"/>
    <cellStyle name="표준 6 3 2 2 2 3 3 2 2" xfId="28711"/>
    <cellStyle name="표준 6 3 2 2 2 3 3 3" xfId="28712"/>
    <cellStyle name="표준 6 3 2 2 2 3 4" xfId="28713"/>
    <cellStyle name="표준 6 3 2 2 2 3 4 2" xfId="28714"/>
    <cellStyle name="표준 6 3 2 2 2 3 5" xfId="28715"/>
    <cellStyle name="표준 6 3 2 2 2 4" xfId="28716"/>
    <cellStyle name="표준 6 3 2 2 2 4 2" xfId="28717"/>
    <cellStyle name="표준 6 3 2 2 2 4 2 2" xfId="28718"/>
    <cellStyle name="표준 6 3 2 2 2 4 2 2 2" xfId="28719"/>
    <cellStyle name="표준 6 3 2 2 2 4 2 3" xfId="28720"/>
    <cellStyle name="표준 6 3 2 2 2 4 3" xfId="28721"/>
    <cellStyle name="표준 6 3 2 2 2 4 3 2" xfId="28722"/>
    <cellStyle name="표준 6 3 2 2 2 4 4" xfId="28723"/>
    <cellStyle name="표준 6 3 2 2 2 5" xfId="28724"/>
    <cellStyle name="표준 6 3 2 2 2 5 2" xfId="28725"/>
    <cellStyle name="표준 6 3 2 2 2 5 2 2" xfId="28726"/>
    <cellStyle name="표준 6 3 2 2 2 5 3" xfId="28727"/>
    <cellStyle name="표준 6 3 2 2 2 6" xfId="28728"/>
    <cellStyle name="표준 6 3 2 2 2 6 2" xfId="28729"/>
    <cellStyle name="표준 6 3 2 2 2 7" xfId="28730"/>
    <cellStyle name="표준 6 3 2 2 2 8" xfId="28731"/>
    <cellStyle name="표준 6 3 2 2 3" xfId="28732"/>
    <cellStyle name="표준 6 3 2 2 3 2" xfId="28733"/>
    <cellStyle name="표준 6 3 2 2 3 2 2" xfId="28734"/>
    <cellStyle name="표준 6 3 2 2 3 2 2 2" xfId="28735"/>
    <cellStyle name="표준 6 3 2 2 3 2 2 2 2" xfId="28736"/>
    <cellStyle name="표준 6 3 2 2 3 2 2 2 2 2" xfId="28737"/>
    <cellStyle name="표준 6 3 2 2 3 2 2 2 3" xfId="28738"/>
    <cellStyle name="표준 6 3 2 2 3 2 2 3" xfId="28739"/>
    <cellStyle name="표준 6 3 2 2 3 2 2 3 2" xfId="28740"/>
    <cellStyle name="표준 6 3 2 2 3 2 2 4" xfId="28741"/>
    <cellStyle name="표준 6 3 2 2 3 2 3" xfId="28742"/>
    <cellStyle name="표준 6 3 2 2 3 2 3 2" xfId="28743"/>
    <cellStyle name="표준 6 3 2 2 3 2 3 2 2" xfId="28744"/>
    <cellStyle name="표준 6 3 2 2 3 2 3 3" xfId="28745"/>
    <cellStyle name="표준 6 3 2 2 3 2 4" xfId="28746"/>
    <cellStyle name="표준 6 3 2 2 3 2 4 2" xfId="28747"/>
    <cellStyle name="표준 6 3 2 2 3 2 5" xfId="28748"/>
    <cellStyle name="표준 6 3 2 2 3 3" xfId="28749"/>
    <cellStyle name="표준 6 3 2 2 3 3 2" xfId="28750"/>
    <cellStyle name="표준 6 3 2 2 3 3 2 2" xfId="28751"/>
    <cellStyle name="표준 6 3 2 2 3 3 2 2 2" xfId="28752"/>
    <cellStyle name="표준 6 3 2 2 3 3 2 3" xfId="28753"/>
    <cellStyle name="표준 6 3 2 2 3 3 3" xfId="28754"/>
    <cellStyle name="표준 6 3 2 2 3 3 3 2" xfId="28755"/>
    <cellStyle name="표준 6 3 2 2 3 3 4" xfId="28756"/>
    <cellStyle name="표준 6 3 2 2 3 4" xfId="28757"/>
    <cellStyle name="표준 6 3 2 2 3 4 2" xfId="28758"/>
    <cellStyle name="표준 6 3 2 2 3 4 2 2" xfId="28759"/>
    <cellStyle name="표준 6 3 2 2 3 4 3" xfId="28760"/>
    <cellStyle name="표준 6 3 2 2 3 5" xfId="28761"/>
    <cellStyle name="표준 6 3 2 2 3 5 2" xfId="28762"/>
    <cellStyle name="표준 6 3 2 2 3 6" xfId="28763"/>
    <cellStyle name="표준 6 3 2 2 4" xfId="28764"/>
    <cellStyle name="표준 6 3 2 2 4 2" xfId="28765"/>
    <cellStyle name="표준 6 3 2 2 4 2 2" xfId="28766"/>
    <cellStyle name="표준 6 3 2 2 4 2 2 2" xfId="28767"/>
    <cellStyle name="표준 6 3 2 2 4 2 2 2 2" xfId="28768"/>
    <cellStyle name="표준 6 3 2 2 4 2 2 3" xfId="28769"/>
    <cellStyle name="표준 6 3 2 2 4 2 3" xfId="28770"/>
    <cellStyle name="표준 6 3 2 2 4 2 3 2" xfId="28771"/>
    <cellStyle name="표준 6 3 2 2 4 2 4" xfId="28772"/>
    <cellStyle name="표준 6 3 2 2 4 3" xfId="28773"/>
    <cellStyle name="표준 6 3 2 2 4 3 2" xfId="28774"/>
    <cellStyle name="표준 6 3 2 2 4 3 2 2" xfId="28775"/>
    <cellStyle name="표준 6 3 2 2 4 3 3" xfId="28776"/>
    <cellStyle name="표준 6 3 2 2 4 4" xfId="28777"/>
    <cellStyle name="표준 6 3 2 2 4 4 2" xfId="28778"/>
    <cellStyle name="표준 6 3 2 2 4 5" xfId="28779"/>
    <cellStyle name="표준 6 3 2 2 5" xfId="28780"/>
    <cellStyle name="표준 6 3 2 2 5 2" xfId="28781"/>
    <cellStyle name="표준 6 3 2 2 5 2 2" xfId="28782"/>
    <cellStyle name="표준 6 3 2 2 5 2 2 2" xfId="28783"/>
    <cellStyle name="표준 6 3 2 2 5 2 3" xfId="28784"/>
    <cellStyle name="표준 6 3 2 2 5 3" xfId="28785"/>
    <cellStyle name="표준 6 3 2 2 5 3 2" xfId="28786"/>
    <cellStyle name="표준 6 3 2 2 5 4" xfId="28787"/>
    <cellStyle name="표준 6 3 2 2 6" xfId="28788"/>
    <cellStyle name="표준 6 3 2 2 6 2" xfId="28789"/>
    <cellStyle name="표준 6 3 2 2 6 2 2" xfId="28790"/>
    <cellStyle name="표준 6 3 2 2 6 3" xfId="28791"/>
    <cellStyle name="표준 6 3 2 2 7" xfId="28792"/>
    <cellStyle name="표준 6 3 2 2 7 2" xfId="28793"/>
    <cellStyle name="표준 6 3 2 2 8" xfId="28794"/>
    <cellStyle name="표준 6 3 2 2 9" xfId="28795"/>
    <cellStyle name="표준 6 3 2 3" xfId="28796"/>
    <cellStyle name="표준 6 3 2 3 2" xfId="28797"/>
    <cellStyle name="표준 6 3 2 3 2 2" xfId="28798"/>
    <cellStyle name="표준 6 3 2 3 2 2 2" xfId="28799"/>
    <cellStyle name="표준 6 3 2 3 2 2 2 2" xfId="28800"/>
    <cellStyle name="표준 6 3 2 3 2 2 2 2 2" xfId="28801"/>
    <cellStyle name="표준 6 3 2 3 2 2 2 2 2 2" xfId="28802"/>
    <cellStyle name="표준 6 3 2 3 2 2 2 2 3" xfId="28803"/>
    <cellStyle name="표준 6 3 2 3 2 2 2 3" xfId="28804"/>
    <cellStyle name="표준 6 3 2 3 2 2 2 3 2" xfId="28805"/>
    <cellStyle name="표준 6 3 2 3 2 2 2 4" xfId="28806"/>
    <cellStyle name="표준 6 3 2 3 2 2 3" xfId="28807"/>
    <cellStyle name="표준 6 3 2 3 2 2 3 2" xfId="28808"/>
    <cellStyle name="표준 6 3 2 3 2 2 3 2 2" xfId="28809"/>
    <cellStyle name="표준 6 3 2 3 2 2 3 3" xfId="28810"/>
    <cellStyle name="표준 6 3 2 3 2 2 4" xfId="28811"/>
    <cellStyle name="표준 6 3 2 3 2 2 4 2" xfId="28812"/>
    <cellStyle name="표준 6 3 2 3 2 2 5" xfId="28813"/>
    <cellStyle name="표준 6 3 2 3 2 3" xfId="28814"/>
    <cellStyle name="표준 6 3 2 3 2 3 2" xfId="28815"/>
    <cellStyle name="표준 6 3 2 3 2 3 2 2" xfId="28816"/>
    <cellStyle name="표준 6 3 2 3 2 3 2 2 2" xfId="28817"/>
    <cellStyle name="표준 6 3 2 3 2 3 2 3" xfId="28818"/>
    <cellStyle name="표준 6 3 2 3 2 3 3" xfId="28819"/>
    <cellStyle name="표준 6 3 2 3 2 3 3 2" xfId="28820"/>
    <cellStyle name="표준 6 3 2 3 2 3 4" xfId="28821"/>
    <cellStyle name="표준 6 3 2 3 2 4" xfId="28822"/>
    <cellStyle name="표준 6 3 2 3 2 4 2" xfId="28823"/>
    <cellStyle name="표준 6 3 2 3 2 4 2 2" xfId="28824"/>
    <cellStyle name="표준 6 3 2 3 2 4 3" xfId="28825"/>
    <cellStyle name="표준 6 3 2 3 2 5" xfId="28826"/>
    <cellStyle name="표준 6 3 2 3 2 5 2" xfId="28827"/>
    <cellStyle name="표준 6 3 2 3 2 6" xfId="28828"/>
    <cellStyle name="표준 6 3 2 3 3" xfId="28829"/>
    <cellStyle name="표준 6 3 2 3 3 2" xfId="28830"/>
    <cellStyle name="표준 6 3 2 3 3 2 2" xfId="28831"/>
    <cellStyle name="표준 6 3 2 3 3 2 2 2" xfId="28832"/>
    <cellStyle name="표준 6 3 2 3 3 2 2 2 2" xfId="28833"/>
    <cellStyle name="표준 6 3 2 3 3 2 2 3" xfId="28834"/>
    <cellStyle name="표준 6 3 2 3 3 2 3" xfId="28835"/>
    <cellStyle name="표준 6 3 2 3 3 2 3 2" xfId="28836"/>
    <cellStyle name="표준 6 3 2 3 3 2 4" xfId="28837"/>
    <cellStyle name="표준 6 3 2 3 3 3" xfId="28838"/>
    <cellStyle name="표준 6 3 2 3 3 3 2" xfId="28839"/>
    <cellStyle name="표준 6 3 2 3 3 3 2 2" xfId="28840"/>
    <cellStyle name="표준 6 3 2 3 3 3 3" xfId="28841"/>
    <cellStyle name="표준 6 3 2 3 3 4" xfId="28842"/>
    <cellStyle name="표준 6 3 2 3 3 4 2" xfId="28843"/>
    <cellStyle name="표준 6 3 2 3 3 5" xfId="28844"/>
    <cellStyle name="표준 6 3 2 3 4" xfId="28845"/>
    <cellStyle name="표준 6 3 2 3 4 2" xfId="28846"/>
    <cellStyle name="표준 6 3 2 3 4 2 2" xfId="28847"/>
    <cellStyle name="표준 6 3 2 3 4 2 2 2" xfId="28848"/>
    <cellStyle name="표준 6 3 2 3 4 2 3" xfId="28849"/>
    <cellStyle name="표준 6 3 2 3 4 3" xfId="28850"/>
    <cellStyle name="표준 6 3 2 3 4 3 2" xfId="28851"/>
    <cellStyle name="표준 6 3 2 3 4 4" xfId="28852"/>
    <cellStyle name="표준 6 3 2 3 5" xfId="28853"/>
    <cellStyle name="표준 6 3 2 3 5 2" xfId="28854"/>
    <cellStyle name="표준 6 3 2 3 5 2 2" xfId="28855"/>
    <cellStyle name="표준 6 3 2 3 5 3" xfId="28856"/>
    <cellStyle name="표준 6 3 2 3 6" xfId="28857"/>
    <cellStyle name="표준 6 3 2 3 6 2" xfId="28858"/>
    <cellStyle name="표준 6 3 2 3 7" xfId="28859"/>
    <cellStyle name="표준 6 3 2 3 8" xfId="28860"/>
    <cellStyle name="표준 6 3 2 4" xfId="28861"/>
    <cellStyle name="표준 6 3 2 4 2" xfId="28862"/>
    <cellStyle name="표준 6 3 2 4 2 2" xfId="28863"/>
    <cellStyle name="표준 6 3 2 4 2 2 2" xfId="28864"/>
    <cellStyle name="표준 6 3 2 4 2 2 2 2" xfId="28865"/>
    <cellStyle name="표준 6 3 2 4 2 2 2 2 2" xfId="28866"/>
    <cellStyle name="표준 6 3 2 4 2 2 2 3" xfId="28867"/>
    <cellStyle name="표준 6 3 2 4 2 2 3" xfId="28868"/>
    <cellStyle name="표준 6 3 2 4 2 2 3 2" xfId="28869"/>
    <cellStyle name="표준 6 3 2 4 2 2 4" xfId="28870"/>
    <cellStyle name="표준 6 3 2 4 2 3" xfId="28871"/>
    <cellStyle name="표준 6 3 2 4 2 3 2" xfId="28872"/>
    <cellStyle name="표준 6 3 2 4 2 3 2 2" xfId="28873"/>
    <cellStyle name="표준 6 3 2 4 2 3 3" xfId="28874"/>
    <cellStyle name="표준 6 3 2 4 2 4" xfId="28875"/>
    <cellStyle name="표준 6 3 2 4 2 4 2" xfId="28876"/>
    <cellStyle name="표준 6 3 2 4 2 5" xfId="28877"/>
    <cellStyle name="표준 6 3 2 4 3" xfId="28878"/>
    <cellStyle name="표준 6 3 2 4 3 2" xfId="28879"/>
    <cellStyle name="표준 6 3 2 4 3 2 2" xfId="28880"/>
    <cellStyle name="표준 6 3 2 4 3 2 2 2" xfId="28881"/>
    <cellStyle name="표준 6 3 2 4 3 2 3" xfId="28882"/>
    <cellStyle name="표준 6 3 2 4 3 3" xfId="28883"/>
    <cellStyle name="표준 6 3 2 4 3 3 2" xfId="28884"/>
    <cellStyle name="표준 6 3 2 4 3 4" xfId="28885"/>
    <cellStyle name="표준 6 3 2 4 4" xfId="28886"/>
    <cellStyle name="표준 6 3 2 4 4 2" xfId="28887"/>
    <cellStyle name="표준 6 3 2 4 4 2 2" xfId="28888"/>
    <cellStyle name="표준 6 3 2 4 4 3" xfId="28889"/>
    <cellStyle name="표준 6 3 2 4 5" xfId="28890"/>
    <cellStyle name="표준 6 3 2 4 5 2" xfId="28891"/>
    <cellStyle name="표준 6 3 2 4 6" xfId="28892"/>
    <cellStyle name="표준 6 3 2 5" xfId="28893"/>
    <cellStyle name="표준 6 3 2 5 2" xfId="28894"/>
    <cellStyle name="표준 6 3 2 5 2 2" xfId="28895"/>
    <cellStyle name="표준 6 3 2 5 2 2 2" xfId="28896"/>
    <cellStyle name="표준 6 3 2 5 2 2 2 2" xfId="28897"/>
    <cellStyle name="표준 6 3 2 5 2 2 3" xfId="28898"/>
    <cellStyle name="표준 6 3 2 5 2 3" xfId="28899"/>
    <cellStyle name="표준 6 3 2 5 2 3 2" xfId="28900"/>
    <cellStyle name="표준 6 3 2 5 2 4" xfId="28901"/>
    <cellStyle name="표준 6 3 2 5 3" xfId="28902"/>
    <cellStyle name="표준 6 3 2 5 3 2" xfId="28903"/>
    <cellStyle name="표준 6 3 2 5 3 2 2" xfId="28904"/>
    <cellStyle name="표준 6 3 2 5 3 3" xfId="28905"/>
    <cellStyle name="표준 6 3 2 5 4" xfId="28906"/>
    <cellStyle name="표준 6 3 2 5 4 2" xfId="28907"/>
    <cellStyle name="표준 6 3 2 5 5" xfId="28908"/>
    <cellStyle name="표준 6 3 2 6" xfId="28909"/>
    <cellStyle name="표준 6 3 2 6 2" xfId="28910"/>
    <cellStyle name="표준 6 3 2 6 2 2" xfId="28911"/>
    <cellStyle name="표준 6 3 2 6 2 2 2" xfId="28912"/>
    <cellStyle name="표준 6 3 2 6 2 3" xfId="28913"/>
    <cellStyle name="표준 6 3 2 6 3" xfId="28914"/>
    <cellStyle name="표준 6 3 2 6 3 2" xfId="28915"/>
    <cellStyle name="표준 6 3 2 6 4" xfId="28916"/>
    <cellStyle name="표준 6 3 2 7" xfId="28917"/>
    <cellStyle name="표준 6 3 2 7 2" xfId="28918"/>
    <cellStyle name="표준 6 3 2 7 2 2" xfId="28919"/>
    <cellStyle name="표준 6 3 2 7 3" xfId="28920"/>
    <cellStyle name="표준 6 3 2 8" xfId="28921"/>
    <cellStyle name="표준 6 3 2 8 2" xfId="28922"/>
    <cellStyle name="표준 6 3 2 9" xfId="28923"/>
    <cellStyle name="표준 6 3 3" xfId="28924"/>
    <cellStyle name="표준 6 3 3 2" xfId="28925"/>
    <cellStyle name="표준 6 3 3 2 2" xfId="28926"/>
    <cellStyle name="표준 6 3 3 2 2 2" xfId="28927"/>
    <cellStyle name="표준 6 3 3 2 2 2 2" xfId="28928"/>
    <cellStyle name="표준 6 3 3 2 2 2 2 2" xfId="28929"/>
    <cellStyle name="표준 6 3 3 2 2 2 2 2 2" xfId="28930"/>
    <cellStyle name="표준 6 3 3 2 2 2 2 2 2 2" xfId="28931"/>
    <cellStyle name="표준 6 3 3 2 2 2 2 2 3" xfId="28932"/>
    <cellStyle name="표준 6 3 3 2 2 2 2 3" xfId="28933"/>
    <cellStyle name="표준 6 3 3 2 2 2 2 3 2" xfId="28934"/>
    <cellStyle name="표준 6 3 3 2 2 2 2 4" xfId="28935"/>
    <cellStyle name="표준 6 3 3 2 2 2 3" xfId="28936"/>
    <cellStyle name="표준 6 3 3 2 2 2 3 2" xfId="28937"/>
    <cellStyle name="표준 6 3 3 2 2 2 3 2 2" xfId="28938"/>
    <cellStyle name="표준 6 3 3 2 2 2 3 3" xfId="28939"/>
    <cellStyle name="표준 6 3 3 2 2 2 4" xfId="28940"/>
    <cellStyle name="표준 6 3 3 2 2 2 4 2" xfId="28941"/>
    <cellStyle name="표준 6 3 3 2 2 2 5" xfId="28942"/>
    <cellStyle name="표준 6 3 3 2 2 3" xfId="28943"/>
    <cellStyle name="표준 6 3 3 2 2 3 2" xfId="28944"/>
    <cellStyle name="표준 6 3 3 2 2 3 2 2" xfId="28945"/>
    <cellStyle name="표준 6 3 3 2 2 3 2 2 2" xfId="28946"/>
    <cellStyle name="표준 6 3 3 2 2 3 2 3" xfId="28947"/>
    <cellStyle name="표준 6 3 3 2 2 3 3" xfId="28948"/>
    <cellStyle name="표준 6 3 3 2 2 3 3 2" xfId="28949"/>
    <cellStyle name="표준 6 3 3 2 2 3 4" xfId="28950"/>
    <cellStyle name="표준 6 3 3 2 2 4" xfId="28951"/>
    <cellStyle name="표준 6 3 3 2 2 4 2" xfId="28952"/>
    <cellStyle name="표준 6 3 3 2 2 4 2 2" xfId="28953"/>
    <cellStyle name="표준 6 3 3 2 2 4 3" xfId="28954"/>
    <cellStyle name="표준 6 3 3 2 2 5" xfId="28955"/>
    <cellStyle name="표준 6 3 3 2 2 5 2" xfId="28956"/>
    <cellStyle name="표준 6 3 3 2 2 6" xfId="28957"/>
    <cellStyle name="표준 6 3 3 2 3" xfId="28958"/>
    <cellStyle name="표준 6 3 3 2 3 2" xfId="28959"/>
    <cellStyle name="표준 6 3 3 2 3 2 2" xfId="28960"/>
    <cellStyle name="표준 6 3 3 2 3 2 2 2" xfId="28961"/>
    <cellStyle name="표준 6 3 3 2 3 2 2 2 2" xfId="28962"/>
    <cellStyle name="표준 6 3 3 2 3 2 2 3" xfId="28963"/>
    <cellStyle name="표준 6 3 3 2 3 2 3" xfId="28964"/>
    <cellStyle name="표준 6 3 3 2 3 2 3 2" xfId="28965"/>
    <cellStyle name="표준 6 3 3 2 3 2 4" xfId="28966"/>
    <cellStyle name="표준 6 3 3 2 3 3" xfId="28967"/>
    <cellStyle name="표준 6 3 3 2 3 3 2" xfId="28968"/>
    <cellStyle name="표준 6 3 3 2 3 3 2 2" xfId="28969"/>
    <cellStyle name="표준 6 3 3 2 3 3 3" xfId="28970"/>
    <cellStyle name="표준 6 3 3 2 3 4" xfId="28971"/>
    <cellStyle name="표준 6 3 3 2 3 4 2" xfId="28972"/>
    <cellStyle name="표준 6 3 3 2 3 5" xfId="28973"/>
    <cellStyle name="표준 6 3 3 2 4" xfId="28974"/>
    <cellStyle name="표준 6 3 3 2 4 2" xfId="28975"/>
    <cellStyle name="표준 6 3 3 2 4 2 2" xfId="28976"/>
    <cellStyle name="표준 6 3 3 2 4 2 2 2" xfId="28977"/>
    <cellStyle name="표준 6 3 3 2 4 2 3" xfId="28978"/>
    <cellStyle name="표준 6 3 3 2 4 3" xfId="28979"/>
    <cellStyle name="표준 6 3 3 2 4 3 2" xfId="28980"/>
    <cellStyle name="표준 6 3 3 2 4 4" xfId="28981"/>
    <cellStyle name="표준 6 3 3 2 5" xfId="28982"/>
    <cellStyle name="표준 6 3 3 2 5 2" xfId="28983"/>
    <cellStyle name="표준 6 3 3 2 5 2 2" xfId="28984"/>
    <cellStyle name="표준 6 3 3 2 5 3" xfId="28985"/>
    <cellStyle name="표준 6 3 3 2 6" xfId="28986"/>
    <cellStyle name="표준 6 3 3 2 6 2" xfId="28987"/>
    <cellStyle name="표준 6 3 3 2 7" xfId="28988"/>
    <cellStyle name="표준 6 3 3 2 8" xfId="28989"/>
    <cellStyle name="표준 6 3 3 3" xfId="28990"/>
    <cellStyle name="표준 6 3 3 3 2" xfId="28991"/>
    <cellStyle name="표준 6 3 3 3 2 2" xfId="28992"/>
    <cellStyle name="표준 6 3 3 3 2 2 2" xfId="28993"/>
    <cellStyle name="표준 6 3 3 3 2 2 2 2" xfId="28994"/>
    <cellStyle name="표준 6 3 3 3 2 2 2 2 2" xfId="28995"/>
    <cellStyle name="표준 6 3 3 3 2 2 2 3" xfId="28996"/>
    <cellStyle name="표준 6 3 3 3 2 2 3" xfId="28997"/>
    <cellStyle name="표준 6 3 3 3 2 2 3 2" xfId="28998"/>
    <cellStyle name="표준 6 3 3 3 2 2 4" xfId="28999"/>
    <cellStyle name="표준 6 3 3 3 2 3" xfId="29000"/>
    <cellStyle name="표준 6 3 3 3 2 3 2" xfId="29001"/>
    <cellStyle name="표준 6 3 3 3 2 3 2 2" xfId="29002"/>
    <cellStyle name="표준 6 3 3 3 2 3 3" xfId="29003"/>
    <cellStyle name="표준 6 3 3 3 2 4" xfId="29004"/>
    <cellStyle name="표준 6 3 3 3 2 4 2" xfId="29005"/>
    <cellStyle name="표준 6 3 3 3 2 5" xfId="29006"/>
    <cellStyle name="표준 6 3 3 3 3" xfId="29007"/>
    <cellStyle name="표준 6 3 3 3 3 2" xfId="29008"/>
    <cellStyle name="표준 6 3 3 3 3 2 2" xfId="29009"/>
    <cellStyle name="표준 6 3 3 3 3 2 2 2" xfId="29010"/>
    <cellStyle name="표준 6 3 3 3 3 2 3" xfId="29011"/>
    <cellStyle name="표준 6 3 3 3 3 3" xfId="29012"/>
    <cellStyle name="표준 6 3 3 3 3 3 2" xfId="29013"/>
    <cellStyle name="표준 6 3 3 3 3 4" xfId="29014"/>
    <cellStyle name="표준 6 3 3 3 4" xfId="29015"/>
    <cellStyle name="표준 6 3 3 3 4 2" xfId="29016"/>
    <cellStyle name="표준 6 3 3 3 4 2 2" xfId="29017"/>
    <cellStyle name="표준 6 3 3 3 4 3" xfId="29018"/>
    <cellStyle name="표준 6 3 3 3 5" xfId="29019"/>
    <cellStyle name="표준 6 3 3 3 5 2" xfId="29020"/>
    <cellStyle name="표준 6 3 3 3 6" xfId="29021"/>
    <cellStyle name="표준 6 3 3 4" xfId="29022"/>
    <cellStyle name="표준 6 3 3 4 2" xfId="29023"/>
    <cellStyle name="표준 6 3 3 4 2 2" xfId="29024"/>
    <cellStyle name="표준 6 3 3 4 2 2 2" xfId="29025"/>
    <cellStyle name="표준 6 3 3 4 2 2 2 2" xfId="29026"/>
    <cellStyle name="표준 6 3 3 4 2 2 3" xfId="29027"/>
    <cellStyle name="표준 6 3 3 4 2 3" xfId="29028"/>
    <cellStyle name="표준 6 3 3 4 2 3 2" xfId="29029"/>
    <cellStyle name="표준 6 3 3 4 2 4" xfId="29030"/>
    <cellStyle name="표준 6 3 3 4 3" xfId="29031"/>
    <cellStyle name="표준 6 3 3 4 3 2" xfId="29032"/>
    <cellStyle name="표준 6 3 3 4 3 2 2" xfId="29033"/>
    <cellStyle name="표준 6 3 3 4 3 3" xfId="29034"/>
    <cellStyle name="표준 6 3 3 4 4" xfId="29035"/>
    <cellStyle name="표준 6 3 3 4 4 2" xfId="29036"/>
    <cellStyle name="표준 6 3 3 4 5" xfId="29037"/>
    <cellStyle name="표준 6 3 3 5" xfId="29038"/>
    <cellStyle name="표준 6 3 3 5 2" xfId="29039"/>
    <cellStyle name="표준 6 3 3 5 2 2" xfId="29040"/>
    <cellStyle name="표준 6 3 3 5 2 2 2" xfId="29041"/>
    <cellStyle name="표준 6 3 3 5 2 3" xfId="29042"/>
    <cellStyle name="표준 6 3 3 5 3" xfId="29043"/>
    <cellStyle name="표준 6 3 3 5 3 2" xfId="29044"/>
    <cellStyle name="표준 6 3 3 5 4" xfId="29045"/>
    <cellStyle name="표준 6 3 3 6" xfId="29046"/>
    <cellStyle name="표준 6 3 3 6 2" xfId="29047"/>
    <cellStyle name="표준 6 3 3 6 2 2" xfId="29048"/>
    <cellStyle name="표준 6 3 3 6 3" xfId="29049"/>
    <cellStyle name="표준 6 3 3 7" xfId="29050"/>
    <cellStyle name="표준 6 3 3 7 2" xfId="29051"/>
    <cellStyle name="표준 6 3 3 8" xfId="29052"/>
    <cellStyle name="표준 6 3 3 9" xfId="29053"/>
    <cellStyle name="표준 6 3 4" xfId="29054"/>
    <cellStyle name="표준 6 3 4 2" xfId="29055"/>
    <cellStyle name="표준 6 3 4 2 2" xfId="29056"/>
    <cellStyle name="표준 6 3 4 2 2 2" xfId="29057"/>
    <cellStyle name="표준 6 3 4 2 2 2 2" xfId="29058"/>
    <cellStyle name="표준 6 3 4 2 2 2 2 2" xfId="29059"/>
    <cellStyle name="표준 6 3 4 2 2 2 2 2 2" xfId="29060"/>
    <cellStyle name="표준 6 3 4 2 2 2 2 3" xfId="29061"/>
    <cellStyle name="표준 6 3 4 2 2 2 3" xfId="29062"/>
    <cellStyle name="표준 6 3 4 2 2 2 3 2" xfId="29063"/>
    <cellStyle name="표준 6 3 4 2 2 2 4" xfId="29064"/>
    <cellStyle name="표준 6 3 4 2 2 3" xfId="29065"/>
    <cellStyle name="표준 6 3 4 2 2 3 2" xfId="29066"/>
    <cellStyle name="표준 6 3 4 2 2 3 2 2" xfId="29067"/>
    <cellStyle name="표준 6 3 4 2 2 3 3" xfId="29068"/>
    <cellStyle name="표준 6 3 4 2 2 4" xfId="29069"/>
    <cellStyle name="표준 6 3 4 2 2 4 2" xfId="29070"/>
    <cellStyle name="표준 6 3 4 2 2 5" xfId="29071"/>
    <cellStyle name="표준 6 3 4 2 3" xfId="29072"/>
    <cellStyle name="표준 6 3 4 2 3 2" xfId="29073"/>
    <cellStyle name="표준 6 3 4 2 3 2 2" xfId="29074"/>
    <cellStyle name="표준 6 3 4 2 3 2 2 2" xfId="29075"/>
    <cellStyle name="표준 6 3 4 2 3 2 3" xfId="29076"/>
    <cellStyle name="표준 6 3 4 2 3 3" xfId="29077"/>
    <cellStyle name="표준 6 3 4 2 3 3 2" xfId="29078"/>
    <cellStyle name="표준 6 3 4 2 3 4" xfId="29079"/>
    <cellStyle name="표준 6 3 4 2 4" xfId="29080"/>
    <cellStyle name="표준 6 3 4 2 4 2" xfId="29081"/>
    <cellStyle name="표준 6 3 4 2 4 2 2" xfId="29082"/>
    <cellStyle name="표준 6 3 4 2 4 3" xfId="29083"/>
    <cellStyle name="표준 6 3 4 2 5" xfId="29084"/>
    <cellStyle name="표준 6 3 4 2 5 2" xfId="29085"/>
    <cellStyle name="표준 6 3 4 2 6" xfId="29086"/>
    <cellStyle name="표준 6 3 4 3" xfId="29087"/>
    <cellStyle name="표준 6 3 4 3 2" xfId="29088"/>
    <cellStyle name="표준 6 3 4 3 2 2" xfId="29089"/>
    <cellStyle name="표준 6 3 4 3 2 2 2" xfId="29090"/>
    <cellStyle name="표준 6 3 4 3 2 2 2 2" xfId="29091"/>
    <cellStyle name="표준 6 3 4 3 2 2 3" xfId="29092"/>
    <cellStyle name="표준 6 3 4 3 2 3" xfId="29093"/>
    <cellStyle name="표준 6 3 4 3 2 3 2" xfId="29094"/>
    <cellStyle name="표준 6 3 4 3 2 4" xfId="29095"/>
    <cellStyle name="표준 6 3 4 3 3" xfId="29096"/>
    <cellStyle name="표준 6 3 4 3 3 2" xfId="29097"/>
    <cellStyle name="표준 6 3 4 3 3 2 2" xfId="29098"/>
    <cellStyle name="표준 6 3 4 3 3 3" xfId="29099"/>
    <cellStyle name="표준 6 3 4 3 4" xfId="29100"/>
    <cellStyle name="표준 6 3 4 3 4 2" xfId="29101"/>
    <cellStyle name="표준 6 3 4 3 5" xfId="29102"/>
    <cellStyle name="표준 6 3 4 4" xfId="29103"/>
    <cellStyle name="표준 6 3 4 4 2" xfId="29104"/>
    <cellStyle name="표준 6 3 4 4 2 2" xfId="29105"/>
    <cellStyle name="표준 6 3 4 4 2 2 2" xfId="29106"/>
    <cellStyle name="표준 6 3 4 4 2 3" xfId="29107"/>
    <cellStyle name="표준 6 3 4 4 3" xfId="29108"/>
    <cellStyle name="표준 6 3 4 4 3 2" xfId="29109"/>
    <cellStyle name="표준 6 3 4 4 4" xfId="29110"/>
    <cellStyle name="표준 6 3 4 5" xfId="29111"/>
    <cellStyle name="표준 6 3 4 5 2" xfId="29112"/>
    <cellStyle name="표준 6 3 4 5 2 2" xfId="29113"/>
    <cellStyle name="표준 6 3 4 5 3" xfId="29114"/>
    <cellStyle name="표준 6 3 4 6" xfId="29115"/>
    <cellStyle name="표준 6 3 4 6 2" xfId="29116"/>
    <cellStyle name="표준 6 3 4 7" xfId="29117"/>
    <cellStyle name="표준 6 3 4 8" xfId="29118"/>
    <cellStyle name="표준 6 3 5" xfId="29119"/>
    <cellStyle name="표준 6 3 5 2" xfId="29120"/>
    <cellStyle name="표준 6 3 5 2 2" xfId="29121"/>
    <cellStyle name="표준 6 3 5 2 2 2" xfId="29122"/>
    <cellStyle name="표준 6 3 5 2 2 2 2" xfId="29123"/>
    <cellStyle name="표준 6 3 5 2 2 2 2 2" xfId="29124"/>
    <cellStyle name="표준 6 3 5 2 2 2 3" xfId="29125"/>
    <cellStyle name="표준 6 3 5 2 2 3" xfId="29126"/>
    <cellStyle name="표준 6 3 5 2 2 3 2" xfId="29127"/>
    <cellStyle name="표준 6 3 5 2 2 4" xfId="29128"/>
    <cellStyle name="표준 6 3 5 2 3" xfId="29129"/>
    <cellStyle name="표준 6 3 5 2 3 2" xfId="29130"/>
    <cellStyle name="표준 6 3 5 2 3 2 2" xfId="29131"/>
    <cellStyle name="표준 6 3 5 2 3 3" xfId="29132"/>
    <cellStyle name="표준 6 3 5 2 4" xfId="29133"/>
    <cellStyle name="표준 6 3 5 2 4 2" xfId="29134"/>
    <cellStyle name="표준 6 3 5 2 5" xfId="29135"/>
    <cellStyle name="표준 6 3 5 3" xfId="29136"/>
    <cellStyle name="표준 6 3 5 3 2" xfId="29137"/>
    <cellStyle name="표준 6 3 5 3 2 2" xfId="29138"/>
    <cellStyle name="표준 6 3 5 3 2 2 2" xfId="29139"/>
    <cellStyle name="표준 6 3 5 3 2 3" xfId="29140"/>
    <cellStyle name="표준 6 3 5 3 3" xfId="29141"/>
    <cellStyle name="표준 6 3 5 3 3 2" xfId="29142"/>
    <cellStyle name="표준 6 3 5 3 4" xfId="29143"/>
    <cellStyle name="표준 6 3 5 4" xfId="29144"/>
    <cellStyle name="표준 6 3 5 4 2" xfId="29145"/>
    <cellStyle name="표준 6 3 5 4 2 2" xfId="29146"/>
    <cellStyle name="표준 6 3 5 4 3" xfId="29147"/>
    <cellStyle name="표준 6 3 5 5" xfId="29148"/>
    <cellStyle name="표준 6 3 5 5 2" xfId="29149"/>
    <cellStyle name="표준 6 3 5 6" xfId="29150"/>
    <cellStyle name="표준 6 3 6" xfId="29151"/>
    <cellStyle name="표준 6 3 6 2" xfId="29152"/>
    <cellStyle name="표준 6 3 6 2 2" xfId="29153"/>
    <cellStyle name="표준 6 3 6 2 2 2" xfId="29154"/>
    <cellStyle name="표준 6 3 6 2 2 2 2" xfId="29155"/>
    <cellStyle name="표준 6 3 6 2 2 3" xfId="29156"/>
    <cellStyle name="표준 6 3 6 2 3" xfId="29157"/>
    <cellStyle name="표준 6 3 6 2 3 2" xfId="29158"/>
    <cellStyle name="표준 6 3 6 2 4" xfId="29159"/>
    <cellStyle name="표준 6 3 6 3" xfId="29160"/>
    <cellStyle name="표준 6 3 6 3 2" xfId="29161"/>
    <cellStyle name="표준 6 3 6 3 2 2" xfId="29162"/>
    <cellStyle name="표준 6 3 6 3 3" xfId="29163"/>
    <cellStyle name="표준 6 3 6 4" xfId="29164"/>
    <cellStyle name="표준 6 3 6 4 2" xfId="29165"/>
    <cellStyle name="표준 6 3 6 5" xfId="29166"/>
    <cellStyle name="표준 6 3 7" xfId="29167"/>
    <cellStyle name="표준 6 3 7 2" xfId="29168"/>
    <cellStyle name="표준 6 3 7 2 2" xfId="29169"/>
    <cellStyle name="표준 6 3 7 2 2 2" xfId="29170"/>
    <cellStyle name="표준 6 3 7 2 3" xfId="29171"/>
    <cellStyle name="표준 6 3 7 3" xfId="29172"/>
    <cellStyle name="표준 6 3 7 3 2" xfId="29173"/>
    <cellStyle name="표준 6 3 7 4" xfId="29174"/>
    <cellStyle name="표준 6 3 8" xfId="29175"/>
    <cellStyle name="표준 6 3 8 2" xfId="29176"/>
    <cellStyle name="표준 6 3 8 2 2" xfId="29177"/>
    <cellStyle name="표준 6 3 8 3" xfId="29178"/>
    <cellStyle name="표준 6 3 9" xfId="29179"/>
    <cellStyle name="표준 6 3 9 2" xfId="29180"/>
    <cellStyle name="표준 6 4" xfId="29181"/>
    <cellStyle name="표준 6 4 10" xfId="29182"/>
    <cellStyle name="표준 6 4 2" xfId="29183"/>
    <cellStyle name="표준 6 4 2 2" xfId="29184"/>
    <cellStyle name="표준 6 4 2 2 2" xfId="29185"/>
    <cellStyle name="표준 6 4 2 2 2 2" xfId="29186"/>
    <cellStyle name="표준 6 4 2 2 2 2 2" xfId="29187"/>
    <cellStyle name="표준 6 4 2 2 2 2 2 2" xfId="29188"/>
    <cellStyle name="표준 6 4 2 2 2 2 2 2 2" xfId="29189"/>
    <cellStyle name="표준 6 4 2 2 2 2 2 2 2 2" xfId="29190"/>
    <cellStyle name="표준 6 4 2 2 2 2 2 2 3" xfId="29191"/>
    <cellStyle name="표준 6 4 2 2 2 2 2 3" xfId="29192"/>
    <cellStyle name="표준 6 4 2 2 2 2 2 3 2" xfId="29193"/>
    <cellStyle name="표준 6 4 2 2 2 2 2 4" xfId="29194"/>
    <cellStyle name="표준 6 4 2 2 2 2 3" xfId="29195"/>
    <cellStyle name="표준 6 4 2 2 2 2 3 2" xfId="29196"/>
    <cellStyle name="표준 6 4 2 2 2 2 3 2 2" xfId="29197"/>
    <cellStyle name="표준 6 4 2 2 2 2 3 3" xfId="29198"/>
    <cellStyle name="표준 6 4 2 2 2 2 4" xfId="29199"/>
    <cellStyle name="표준 6 4 2 2 2 2 4 2" xfId="29200"/>
    <cellStyle name="표준 6 4 2 2 2 2 5" xfId="29201"/>
    <cellStyle name="표준 6 4 2 2 2 3" xfId="29202"/>
    <cellStyle name="표준 6 4 2 2 2 3 2" xfId="29203"/>
    <cellStyle name="표준 6 4 2 2 2 3 2 2" xfId="29204"/>
    <cellStyle name="표준 6 4 2 2 2 3 2 2 2" xfId="29205"/>
    <cellStyle name="표준 6 4 2 2 2 3 2 3" xfId="29206"/>
    <cellStyle name="표준 6 4 2 2 2 3 3" xfId="29207"/>
    <cellStyle name="표준 6 4 2 2 2 3 3 2" xfId="29208"/>
    <cellStyle name="표준 6 4 2 2 2 3 4" xfId="29209"/>
    <cellStyle name="표준 6 4 2 2 2 4" xfId="29210"/>
    <cellStyle name="표준 6 4 2 2 2 4 2" xfId="29211"/>
    <cellStyle name="표준 6 4 2 2 2 4 2 2" xfId="29212"/>
    <cellStyle name="표준 6 4 2 2 2 4 3" xfId="29213"/>
    <cellStyle name="표준 6 4 2 2 2 5" xfId="29214"/>
    <cellStyle name="표준 6 4 2 2 2 5 2" xfId="29215"/>
    <cellStyle name="표준 6 4 2 2 2 6" xfId="29216"/>
    <cellStyle name="표준 6 4 2 2 3" xfId="29217"/>
    <cellStyle name="표준 6 4 2 2 3 2" xfId="29218"/>
    <cellStyle name="표준 6 4 2 2 3 2 2" xfId="29219"/>
    <cellStyle name="표준 6 4 2 2 3 2 2 2" xfId="29220"/>
    <cellStyle name="표준 6 4 2 2 3 2 2 2 2" xfId="29221"/>
    <cellStyle name="표준 6 4 2 2 3 2 2 3" xfId="29222"/>
    <cellStyle name="표준 6 4 2 2 3 2 3" xfId="29223"/>
    <cellStyle name="표준 6 4 2 2 3 2 3 2" xfId="29224"/>
    <cellStyle name="표준 6 4 2 2 3 2 4" xfId="29225"/>
    <cellStyle name="표준 6 4 2 2 3 3" xfId="29226"/>
    <cellStyle name="표준 6 4 2 2 3 3 2" xfId="29227"/>
    <cellStyle name="표준 6 4 2 2 3 3 2 2" xfId="29228"/>
    <cellStyle name="표준 6 4 2 2 3 3 3" xfId="29229"/>
    <cellStyle name="표준 6 4 2 2 3 4" xfId="29230"/>
    <cellStyle name="표준 6 4 2 2 3 4 2" xfId="29231"/>
    <cellStyle name="표준 6 4 2 2 3 5" xfId="29232"/>
    <cellStyle name="표준 6 4 2 2 4" xfId="29233"/>
    <cellStyle name="표준 6 4 2 2 4 2" xfId="29234"/>
    <cellStyle name="표준 6 4 2 2 4 2 2" xfId="29235"/>
    <cellStyle name="표준 6 4 2 2 4 2 2 2" xfId="29236"/>
    <cellStyle name="표준 6 4 2 2 4 2 3" xfId="29237"/>
    <cellStyle name="표준 6 4 2 2 4 3" xfId="29238"/>
    <cellStyle name="표준 6 4 2 2 4 3 2" xfId="29239"/>
    <cellStyle name="표준 6 4 2 2 4 4" xfId="29240"/>
    <cellStyle name="표준 6 4 2 2 5" xfId="29241"/>
    <cellStyle name="표준 6 4 2 2 5 2" xfId="29242"/>
    <cellStyle name="표준 6 4 2 2 5 2 2" xfId="29243"/>
    <cellStyle name="표준 6 4 2 2 5 3" xfId="29244"/>
    <cellStyle name="표준 6 4 2 2 6" xfId="29245"/>
    <cellStyle name="표준 6 4 2 2 6 2" xfId="29246"/>
    <cellStyle name="표준 6 4 2 2 7" xfId="29247"/>
    <cellStyle name="표준 6 4 2 2 8" xfId="29248"/>
    <cellStyle name="표준 6 4 2 3" xfId="29249"/>
    <cellStyle name="표준 6 4 2 3 2" xfId="29250"/>
    <cellStyle name="표준 6 4 2 3 2 2" xfId="29251"/>
    <cellStyle name="표준 6 4 2 3 2 2 2" xfId="29252"/>
    <cellStyle name="표준 6 4 2 3 2 2 2 2" xfId="29253"/>
    <cellStyle name="표준 6 4 2 3 2 2 2 2 2" xfId="29254"/>
    <cellStyle name="표준 6 4 2 3 2 2 2 3" xfId="29255"/>
    <cellStyle name="표준 6 4 2 3 2 2 3" xfId="29256"/>
    <cellStyle name="표준 6 4 2 3 2 2 3 2" xfId="29257"/>
    <cellStyle name="표준 6 4 2 3 2 2 4" xfId="29258"/>
    <cellStyle name="표준 6 4 2 3 2 3" xfId="29259"/>
    <cellStyle name="표준 6 4 2 3 2 3 2" xfId="29260"/>
    <cellStyle name="표준 6 4 2 3 2 3 2 2" xfId="29261"/>
    <cellStyle name="표준 6 4 2 3 2 3 3" xfId="29262"/>
    <cellStyle name="표준 6 4 2 3 2 4" xfId="29263"/>
    <cellStyle name="표준 6 4 2 3 2 4 2" xfId="29264"/>
    <cellStyle name="표준 6 4 2 3 2 5" xfId="29265"/>
    <cellStyle name="표준 6 4 2 3 3" xfId="29266"/>
    <cellStyle name="표준 6 4 2 3 3 2" xfId="29267"/>
    <cellStyle name="표준 6 4 2 3 3 2 2" xfId="29268"/>
    <cellStyle name="표준 6 4 2 3 3 2 2 2" xfId="29269"/>
    <cellStyle name="표준 6 4 2 3 3 2 3" xfId="29270"/>
    <cellStyle name="표준 6 4 2 3 3 3" xfId="29271"/>
    <cellStyle name="표준 6 4 2 3 3 3 2" xfId="29272"/>
    <cellStyle name="표준 6 4 2 3 3 4" xfId="29273"/>
    <cellStyle name="표준 6 4 2 3 4" xfId="29274"/>
    <cellStyle name="표준 6 4 2 3 4 2" xfId="29275"/>
    <cellStyle name="표준 6 4 2 3 4 2 2" xfId="29276"/>
    <cellStyle name="표준 6 4 2 3 4 3" xfId="29277"/>
    <cellStyle name="표준 6 4 2 3 5" xfId="29278"/>
    <cellStyle name="표준 6 4 2 3 5 2" xfId="29279"/>
    <cellStyle name="표준 6 4 2 3 6" xfId="29280"/>
    <cellStyle name="표준 6 4 2 4" xfId="29281"/>
    <cellStyle name="표준 6 4 2 4 2" xfId="29282"/>
    <cellStyle name="표준 6 4 2 4 2 2" xfId="29283"/>
    <cellStyle name="표준 6 4 2 4 2 2 2" xfId="29284"/>
    <cellStyle name="표준 6 4 2 4 2 2 2 2" xfId="29285"/>
    <cellStyle name="표준 6 4 2 4 2 2 3" xfId="29286"/>
    <cellStyle name="표준 6 4 2 4 2 3" xfId="29287"/>
    <cellStyle name="표준 6 4 2 4 2 3 2" xfId="29288"/>
    <cellStyle name="표준 6 4 2 4 2 4" xfId="29289"/>
    <cellStyle name="표준 6 4 2 4 3" xfId="29290"/>
    <cellStyle name="표준 6 4 2 4 3 2" xfId="29291"/>
    <cellStyle name="표준 6 4 2 4 3 2 2" xfId="29292"/>
    <cellStyle name="표준 6 4 2 4 3 3" xfId="29293"/>
    <cellStyle name="표준 6 4 2 4 4" xfId="29294"/>
    <cellStyle name="표준 6 4 2 4 4 2" xfId="29295"/>
    <cellStyle name="표준 6 4 2 4 5" xfId="29296"/>
    <cellStyle name="표준 6 4 2 5" xfId="29297"/>
    <cellStyle name="표준 6 4 2 5 2" xfId="29298"/>
    <cellStyle name="표준 6 4 2 5 2 2" xfId="29299"/>
    <cellStyle name="표준 6 4 2 5 2 2 2" xfId="29300"/>
    <cellStyle name="표준 6 4 2 5 2 3" xfId="29301"/>
    <cellStyle name="표준 6 4 2 5 3" xfId="29302"/>
    <cellStyle name="표준 6 4 2 5 3 2" xfId="29303"/>
    <cellStyle name="표준 6 4 2 5 4" xfId="29304"/>
    <cellStyle name="표준 6 4 2 6" xfId="29305"/>
    <cellStyle name="표준 6 4 2 6 2" xfId="29306"/>
    <cellStyle name="표준 6 4 2 6 2 2" xfId="29307"/>
    <cellStyle name="표준 6 4 2 6 3" xfId="29308"/>
    <cellStyle name="표준 6 4 2 7" xfId="29309"/>
    <cellStyle name="표준 6 4 2 7 2" xfId="29310"/>
    <cellStyle name="표준 6 4 2 8" xfId="29311"/>
    <cellStyle name="표준 6 4 2 9" xfId="29312"/>
    <cellStyle name="표준 6 4 3" xfId="29313"/>
    <cellStyle name="표준 6 4 3 2" xfId="29314"/>
    <cellStyle name="표준 6 4 3 2 2" xfId="29315"/>
    <cellStyle name="표준 6 4 3 2 2 2" xfId="29316"/>
    <cellStyle name="표준 6 4 3 2 2 2 2" xfId="29317"/>
    <cellStyle name="표준 6 4 3 2 2 2 2 2" xfId="29318"/>
    <cellStyle name="표준 6 4 3 2 2 2 2 2 2" xfId="29319"/>
    <cellStyle name="표준 6 4 3 2 2 2 2 3" xfId="29320"/>
    <cellStyle name="표준 6 4 3 2 2 2 3" xfId="29321"/>
    <cellStyle name="표준 6 4 3 2 2 2 3 2" xfId="29322"/>
    <cellStyle name="표준 6 4 3 2 2 2 4" xfId="29323"/>
    <cellStyle name="표준 6 4 3 2 2 3" xfId="29324"/>
    <cellStyle name="표준 6 4 3 2 2 3 2" xfId="29325"/>
    <cellStyle name="표준 6 4 3 2 2 3 2 2" xfId="29326"/>
    <cellStyle name="표준 6 4 3 2 2 3 3" xfId="29327"/>
    <cellStyle name="표준 6 4 3 2 2 4" xfId="29328"/>
    <cellStyle name="표준 6 4 3 2 2 4 2" xfId="29329"/>
    <cellStyle name="표준 6 4 3 2 2 5" xfId="29330"/>
    <cellStyle name="표준 6 4 3 2 3" xfId="29331"/>
    <cellStyle name="표준 6 4 3 2 3 2" xfId="29332"/>
    <cellStyle name="표준 6 4 3 2 3 2 2" xfId="29333"/>
    <cellStyle name="표준 6 4 3 2 3 2 2 2" xfId="29334"/>
    <cellStyle name="표준 6 4 3 2 3 2 3" xfId="29335"/>
    <cellStyle name="표준 6 4 3 2 3 3" xfId="29336"/>
    <cellStyle name="표준 6 4 3 2 3 3 2" xfId="29337"/>
    <cellStyle name="표준 6 4 3 2 3 4" xfId="29338"/>
    <cellStyle name="표준 6 4 3 2 4" xfId="29339"/>
    <cellStyle name="표준 6 4 3 2 4 2" xfId="29340"/>
    <cellStyle name="표준 6 4 3 2 4 2 2" xfId="29341"/>
    <cellStyle name="표준 6 4 3 2 4 3" xfId="29342"/>
    <cellStyle name="표준 6 4 3 2 5" xfId="29343"/>
    <cellStyle name="표준 6 4 3 2 5 2" xfId="29344"/>
    <cellStyle name="표준 6 4 3 2 6" xfId="29345"/>
    <cellStyle name="표준 6 4 3 3" xfId="29346"/>
    <cellStyle name="표준 6 4 3 3 2" xfId="29347"/>
    <cellStyle name="표준 6 4 3 3 2 2" xfId="29348"/>
    <cellStyle name="표준 6 4 3 3 2 2 2" xfId="29349"/>
    <cellStyle name="표준 6 4 3 3 2 2 2 2" xfId="29350"/>
    <cellStyle name="표준 6 4 3 3 2 2 3" xfId="29351"/>
    <cellStyle name="표준 6 4 3 3 2 3" xfId="29352"/>
    <cellStyle name="표준 6 4 3 3 2 3 2" xfId="29353"/>
    <cellStyle name="표준 6 4 3 3 2 4" xfId="29354"/>
    <cellStyle name="표준 6 4 3 3 3" xfId="29355"/>
    <cellStyle name="표준 6 4 3 3 3 2" xfId="29356"/>
    <cellStyle name="표준 6 4 3 3 3 2 2" xfId="29357"/>
    <cellStyle name="표준 6 4 3 3 3 3" xfId="29358"/>
    <cellStyle name="표준 6 4 3 3 4" xfId="29359"/>
    <cellStyle name="표준 6 4 3 3 4 2" xfId="29360"/>
    <cellStyle name="표준 6 4 3 3 5" xfId="29361"/>
    <cellStyle name="표준 6 4 3 4" xfId="29362"/>
    <cellStyle name="표준 6 4 3 4 2" xfId="29363"/>
    <cellStyle name="표준 6 4 3 4 2 2" xfId="29364"/>
    <cellStyle name="표준 6 4 3 4 2 2 2" xfId="29365"/>
    <cellStyle name="표준 6 4 3 4 2 3" xfId="29366"/>
    <cellStyle name="표준 6 4 3 4 3" xfId="29367"/>
    <cellStyle name="표준 6 4 3 4 3 2" xfId="29368"/>
    <cellStyle name="표준 6 4 3 4 4" xfId="29369"/>
    <cellStyle name="표준 6 4 3 5" xfId="29370"/>
    <cellStyle name="표준 6 4 3 5 2" xfId="29371"/>
    <cellStyle name="표준 6 4 3 5 2 2" xfId="29372"/>
    <cellStyle name="표준 6 4 3 5 3" xfId="29373"/>
    <cellStyle name="표준 6 4 3 6" xfId="29374"/>
    <cellStyle name="표준 6 4 3 6 2" xfId="29375"/>
    <cellStyle name="표준 6 4 3 7" xfId="29376"/>
    <cellStyle name="표준 6 4 3 8" xfId="29377"/>
    <cellStyle name="표준 6 4 4" xfId="29378"/>
    <cellStyle name="표준 6 4 4 2" xfId="29379"/>
    <cellStyle name="표준 6 4 4 2 2" xfId="29380"/>
    <cellStyle name="표준 6 4 4 2 2 2" xfId="29381"/>
    <cellStyle name="표준 6 4 4 2 2 2 2" xfId="29382"/>
    <cellStyle name="표준 6 4 4 2 2 2 2 2" xfId="29383"/>
    <cellStyle name="표준 6 4 4 2 2 2 3" xfId="29384"/>
    <cellStyle name="표준 6 4 4 2 2 3" xfId="29385"/>
    <cellStyle name="표준 6 4 4 2 2 3 2" xfId="29386"/>
    <cellStyle name="표준 6 4 4 2 2 4" xfId="29387"/>
    <cellStyle name="표준 6 4 4 2 3" xfId="29388"/>
    <cellStyle name="표준 6 4 4 2 3 2" xfId="29389"/>
    <cellStyle name="표준 6 4 4 2 3 2 2" xfId="29390"/>
    <cellStyle name="표준 6 4 4 2 3 3" xfId="29391"/>
    <cellStyle name="표준 6 4 4 2 4" xfId="29392"/>
    <cellStyle name="표준 6 4 4 2 4 2" xfId="29393"/>
    <cellStyle name="표준 6 4 4 2 5" xfId="29394"/>
    <cellStyle name="표준 6 4 4 3" xfId="29395"/>
    <cellStyle name="표준 6 4 4 3 2" xfId="29396"/>
    <cellStyle name="표준 6 4 4 3 2 2" xfId="29397"/>
    <cellStyle name="표준 6 4 4 3 2 2 2" xfId="29398"/>
    <cellStyle name="표준 6 4 4 3 2 3" xfId="29399"/>
    <cellStyle name="표준 6 4 4 3 3" xfId="29400"/>
    <cellStyle name="표준 6 4 4 3 3 2" xfId="29401"/>
    <cellStyle name="표준 6 4 4 3 4" xfId="29402"/>
    <cellStyle name="표준 6 4 4 4" xfId="29403"/>
    <cellStyle name="표준 6 4 4 4 2" xfId="29404"/>
    <cellStyle name="표준 6 4 4 4 2 2" xfId="29405"/>
    <cellStyle name="표준 6 4 4 4 3" xfId="29406"/>
    <cellStyle name="표준 6 4 4 5" xfId="29407"/>
    <cellStyle name="표준 6 4 4 5 2" xfId="29408"/>
    <cellStyle name="표준 6 4 4 6" xfId="29409"/>
    <cellStyle name="표준 6 4 5" xfId="29410"/>
    <cellStyle name="표준 6 4 5 2" xfId="29411"/>
    <cellStyle name="표준 6 4 5 2 2" xfId="29412"/>
    <cellStyle name="표준 6 4 5 2 2 2" xfId="29413"/>
    <cellStyle name="표준 6 4 5 2 2 2 2" xfId="29414"/>
    <cellStyle name="표준 6 4 5 2 2 3" xfId="29415"/>
    <cellStyle name="표준 6 4 5 2 3" xfId="29416"/>
    <cellStyle name="표준 6 4 5 2 3 2" xfId="29417"/>
    <cellStyle name="표준 6 4 5 2 4" xfId="29418"/>
    <cellStyle name="표준 6 4 5 3" xfId="29419"/>
    <cellStyle name="표준 6 4 5 3 2" xfId="29420"/>
    <cellStyle name="표준 6 4 5 3 2 2" xfId="29421"/>
    <cellStyle name="표준 6 4 5 3 3" xfId="29422"/>
    <cellStyle name="표준 6 4 5 4" xfId="29423"/>
    <cellStyle name="표준 6 4 5 4 2" xfId="29424"/>
    <cellStyle name="표준 6 4 5 5" xfId="29425"/>
    <cellStyle name="표준 6 4 6" xfId="29426"/>
    <cellStyle name="표준 6 4 6 2" xfId="29427"/>
    <cellStyle name="표준 6 4 6 2 2" xfId="29428"/>
    <cellStyle name="표준 6 4 6 2 2 2" xfId="29429"/>
    <cellStyle name="표준 6 4 6 2 3" xfId="29430"/>
    <cellStyle name="표준 6 4 6 3" xfId="29431"/>
    <cellStyle name="표준 6 4 6 3 2" xfId="29432"/>
    <cellStyle name="표준 6 4 6 4" xfId="29433"/>
    <cellStyle name="표준 6 4 7" xfId="29434"/>
    <cellStyle name="표준 6 4 7 2" xfId="29435"/>
    <cellStyle name="표준 6 4 7 2 2" xfId="29436"/>
    <cellStyle name="표준 6 4 7 3" xfId="29437"/>
    <cellStyle name="표준 6 4 8" xfId="29438"/>
    <cellStyle name="표준 6 4 8 2" xfId="29439"/>
    <cellStyle name="표준 6 4 9" xfId="29440"/>
    <cellStyle name="표준 6 5" xfId="29441"/>
    <cellStyle name="표준 6 5 2" xfId="29442"/>
    <cellStyle name="표준 6 5 2 2" xfId="29443"/>
    <cellStyle name="표준 6 5 2 2 2" xfId="29444"/>
    <cellStyle name="표준 6 5 2 2 2 2" xfId="29445"/>
    <cellStyle name="표준 6 5 2 2 2 2 2" xfId="29446"/>
    <cellStyle name="표준 6 5 2 2 2 2 2 2" xfId="29447"/>
    <cellStyle name="표준 6 5 2 2 2 2 2 2 2" xfId="29448"/>
    <cellStyle name="표준 6 5 2 2 2 2 2 3" xfId="29449"/>
    <cellStyle name="표준 6 5 2 2 2 2 3" xfId="29450"/>
    <cellStyle name="표준 6 5 2 2 2 2 3 2" xfId="29451"/>
    <cellStyle name="표준 6 5 2 2 2 2 4" xfId="29452"/>
    <cellStyle name="표준 6 5 2 2 2 3" xfId="29453"/>
    <cellStyle name="표준 6 5 2 2 2 3 2" xfId="29454"/>
    <cellStyle name="표준 6 5 2 2 2 3 2 2" xfId="29455"/>
    <cellStyle name="표준 6 5 2 2 2 3 3" xfId="29456"/>
    <cellStyle name="표준 6 5 2 2 2 4" xfId="29457"/>
    <cellStyle name="표준 6 5 2 2 2 4 2" xfId="29458"/>
    <cellStyle name="표준 6 5 2 2 2 5" xfId="29459"/>
    <cellStyle name="표준 6 5 2 2 3" xfId="29460"/>
    <cellStyle name="표준 6 5 2 2 3 2" xfId="29461"/>
    <cellStyle name="표준 6 5 2 2 3 2 2" xfId="29462"/>
    <cellStyle name="표준 6 5 2 2 3 2 2 2" xfId="29463"/>
    <cellStyle name="표준 6 5 2 2 3 2 3" xfId="29464"/>
    <cellStyle name="표준 6 5 2 2 3 3" xfId="29465"/>
    <cellStyle name="표준 6 5 2 2 3 3 2" xfId="29466"/>
    <cellStyle name="표준 6 5 2 2 3 4" xfId="29467"/>
    <cellStyle name="표준 6 5 2 2 4" xfId="29468"/>
    <cellStyle name="표준 6 5 2 2 4 2" xfId="29469"/>
    <cellStyle name="표준 6 5 2 2 4 2 2" xfId="29470"/>
    <cellStyle name="표준 6 5 2 2 4 3" xfId="29471"/>
    <cellStyle name="표준 6 5 2 2 5" xfId="29472"/>
    <cellStyle name="표준 6 5 2 2 5 2" xfId="29473"/>
    <cellStyle name="표준 6 5 2 2 6" xfId="29474"/>
    <cellStyle name="표준 6 5 2 3" xfId="29475"/>
    <cellStyle name="표준 6 5 2 3 2" xfId="29476"/>
    <cellStyle name="표준 6 5 2 3 2 2" xfId="29477"/>
    <cellStyle name="표준 6 5 2 3 2 2 2" xfId="29478"/>
    <cellStyle name="표준 6 5 2 3 2 2 2 2" xfId="29479"/>
    <cellStyle name="표준 6 5 2 3 2 2 3" xfId="29480"/>
    <cellStyle name="표준 6 5 2 3 2 3" xfId="29481"/>
    <cellStyle name="표준 6 5 2 3 2 3 2" xfId="29482"/>
    <cellStyle name="표준 6 5 2 3 2 4" xfId="29483"/>
    <cellStyle name="표준 6 5 2 3 3" xfId="29484"/>
    <cellStyle name="표준 6 5 2 3 3 2" xfId="29485"/>
    <cellStyle name="표준 6 5 2 3 3 2 2" xfId="29486"/>
    <cellStyle name="표준 6 5 2 3 3 3" xfId="29487"/>
    <cellStyle name="표준 6 5 2 3 4" xfId="29488"/>
    <cellStyle name="표준 6 5 2 3 4 2" xfId="29489"/>
    <cellStyle name="표준 6 5 2 3 5" xfId="29490"/>
    <cellStyle name="표준 6 5 2 4" xfId="29491"/>
    <cellStyle name="표준 6 5 2 4 2" xfId="29492"/>
    <cellStyle name="표준 6 5 2 4 2 2" xfId="29493"/>
    <cellStyle name="표준 6 5 2 4 2 2 2" xfId="29494"/>
    <cellStyle name="표준 6 5 2 4 2 3" xfId="29495"/>
    <cellStyle name="표준 6 5 2 4 3" xfId="29496"/>
    <cellStyle name="표준 6 5 2 4 3 2" xfId="29497"/>
    <cellStyle name="표준 6 5 2 4 4" xfId="29498"/>
    <cellStyle name="표준 6 5 2 5" xfId="29499"/>
    <cellStyle name="표준 6 5 2 5 2" xfId="29500"/>
    <cellStyle name="표준 6 5 2 5 2 2" xfId="29501"/>
    <cellStyle name="표준 6 5 2 5 3" xfId="29502"/>
    <cellStyle name="표준 6 5 2 6" xfId="29503"/>
    <cellStyle name="표준 6 5 2 6 2" xfId="29504"/>
    <cellStyle name="표준 6 5 2 7" xfId="29505"/>
    <cellStyle name="표준 6 5 2 8" xfId="29506"/>
    <cellStyle name="표준 6 5 3" xfId="29507"/>
    <cellStyle name="표준 6 5 3 2" xfId="29508"/>
    <cellStyle name="표준 6 5 3 2 2" xfId="29509"/>
    <cellStyle name="표준 6 5 3 2 2 2" xfId="29510"/>
    <cellStyle name="표준 6 5 3 2 2 2 2" xfId="29511"/>
    <cellStyle name="표준 6 5 3 2 2 2 2 2" xfId="29512"/>
    <cellStyle name="표준 6 5 3 2 2 2 3" xfId="29513"/>
    <cellStyle name="표준 6 5 3 2 2 3" xfId="29514"/>
    <cellStyle name="표준 6 5 3 2 2 3 2" xfId="29515"/>
    <cellStyle name="표준 6 5 3 2 2 4" xfId="29516"/>
    <cellStyle name="표준 6 5 3 2 3" xfId="29517"/>
    <cellStyle name="표준 6 5 3 2 3 2" xfId="29518"/>
    <cellStyle name="표준 6 5 3 2 3 2 2" xfId="29519"/>
    <cellStyle name="표준 6 5 3 2 3 3" xfId="29520"/>
    <cellStyle name="표준 6 5 3 2 4" xfId="29521"/>
    <cellStyle name="표준 6 5 3 2 4 2" xfId="29522"/>
    <cellStyle name="표준 6 5 3 2 5" xfId="29523"/>
    <cellStyle name="표준 6 5 3 3" xfId="29524"/>
    <cellStyle name="표준 6 5 3 3 2" xfId="29525"/>
    <cellStyle name="표준 6 5 3 3 2 2" xfId="29526"/>
    <cellStyle name="표준 6 5 3 3 2 2 2" xfId="29527"/>
    <cellStyle name="표준 6 5 3 3 2 3" xfId="29528"/>
    <cellStyle name="표준 6 5 3 3 3" xfId="29529"/>
    <cellStyle name="표준 6 5 3 3 3 2" xfId="29530"/>
    <cellStyle name="표준 6 5 3 3 4" xfId="29531"/>
    <cellStyle name="표준 6 5 3 4" xfId="29532"/>
    <cellStyle name="표준 6 5 3 4 2" xfId="29533"/>
    <cellStyle name="표준 6 5 3 4 2 2" xfId="29534"/>
    <cellStyle name="표준 6 5 3 4 3" xfId="29535"/>
    <cellStyle name="표준 6 5 3 5" xfId="29536"/>
    <cellStyle name="표준 6 5 3 5 2" xfId="29537"/>
    <cellStyle name="표준 6 5 3 6" xfId="29538"/>
    <cellStyle name="표준 6 5 4" xfId="29539"/>
    <cellStyle name="표준 6 5 4 2" xfId="29540"/>
    <cellStyle name="표준 6 5 4 2 2" xfId="29541"/>
    <cellStyle name="표준 6 5 4 2 2 2" xfId="29542"/>
    <cellStyle name="표준 6 5 4 2 2 2 2" xfId="29543"/>
    <cellStyle name="표준 6 5 4 2 2 3" xfId="29544"/>
    <cellStyle name="표준 6 5 4 2 3" xfId="29545"/>
    <cellStyle name="표준 6 5 4 2 3 2" xfId="29546"/>
    <cellStyle name="표준 6 5 4 2 4" xfId="29547"/>
    <cellStyle name="표준 6 5 4 3" xfId="29548"/>
    <cellStyle name="표준 6 5 4 3 2" xfId="29549"/>
    <cellStyle name="표준 6 5 4 3 2 2" xfId="29550"/>
    <cellStyle name="표준 6 5 4 3 3" xfId="29551"/>
    <cellStyle name="표준 6 5 4 4" xfId="29552"/>
    <cellStyle name="표준 6 5 4 4 2" xfId="29553"/>
    <cellStyle name="표준 6 5 4 5" xfId="29554"/>
    <cellStyle name="표준 6 5 5" xfId="29555"/>
    <cellStyle name="표준 6 5 5 2" xfId="29556"/>
    <cellStyle name="표준 6 5 5 2 2" xfId="29557"/>
    <cellStyle name="표준 6 5 5 2 2 2" xfId="29558"/>
    <cellStyle name="표준 6 5 5 2 3" xfId="29559"/>
    <cellStyle name="표준 6 5 5 3" xfId="29560"/>
    <cellStyle name="표준 6 5 5 3 2" xfId="29561"/>
    <cellStyle name="표준 6 5 5 4" xfId="29562"/>
    <cellStyle name="표준 6 5 6" xfId="29563"/>
    <cellStyle name="표준 6 5 6 2" xfId="29564"/>
    <cellStyle name="표준 6 5 6 2 2" xfId="29565"/>
    <cellStyle name="표준 6 5 6 3" xfId="29566"/>
    <cellStyle name="표준 6 5 7" xfId="29567"/>
    <cellStyle name="표준 6 5 7 2" xfId="29568"/>
    <cellStyle name="표준 6 5 8" xfId="29569"/>
    <cellStyle name="표준 6 5 9" xfId="29570"/>
    <cellStyle name="표준 6 6" xfId="29571"/>
    <cellStyle name="표준 6 6 2" xfId="29572"/>
    <cellStyle name="표준 6 6 2 2" xfId="29573"/>
    <cellStyle name="표준 6 6 2 2 2" xfId="29574"/>
    <cellStyle name="표준 6 6 2 2 2 2" xfId="29575"/>
    <cellStyle name="표준 6 6 2 2 2 2 2" xfId="29576"/>
    <cellStyle name="표준 6 6 2 2 2 2 2 2" xfId="29577"/>
    <cellStyle name="표준 6 6 2 2 2 2 3" xfId="29578"/>
    <cellStyle name="표준 6 6 2 2 2 3" xfId="29579"/>
    <cellStyle name="표준 6 6 2 2 2 3 2" xfId="29580"/>
    <cellStyle name="표준 6 6 2 2 2 4" xfId="29581"/>
    <cellStyle name="표준 6 6 2 2 3" xfId="29582"/>
    <cellStyle name="표준 6 6 2 2 3 2" xfId="29583"/>
    <cellStyle name="표준 6 6 2 2 3 2 2" xfId="29584"/>
    <cellStyle name="표준 6 6 2 2 3 3" xfId="29585"/>
    <cellStyle name="표준 6 6 2 2 4" xfId="29586"/>
    <cellStyle name="표준 6 6 2 2 4 2" xfId="29587"/>
    <cellStyle name="표준 6 6 2 2 5" xfId="29588"/>
    <cellStyle name="표준 6 6 2 3" xfId="29589"/>
    <cellStyle name="표준 6 6 2 3 2" xfId="29590"/>
    <cellStyle name="표준 6 6 2 3 2 2" xfId="29591"/>
    <cellStyle name="표준 6 6 2 3 2 2 2" xfId="29592"/>
    <cellStyle name="표준 6 6 2 3 2 3" xfId="29593"/>
    <cellStyle name="표준 6 6 2 3 3" xfId="29594"/>
    <cellStyle name="표준 6 6 2 3 3 2" xfId="29595"/>
    <cellStyle name="표준 6 6 2 3 4" xfId="29596"/>
    <cellStyle name="표준 6 6 2 4" xfId="29597"/>
    <cellStyle name="표준 6 6 2 4 2" xfId="29598"/>
    <cellStyle name="표준 6 6 2 4 2 2" xfId="29599"/>
    <cellStyle name="표준 6 6 2 4 3" xfId="29600"/>
    <cellStyle name="표준 6 6 2 5" xfId="29601"/>
    <cellStyle name="표준 6 6 2 5 2" xfId="29602"/>
    <cellStyle name="표준 6 6 2 6" xfId="29603"/>
    <cellStyle name="표준 6 6 3" xfId="29604"/>
    <cellStyle name="표준 6 6 3 2" xfId="29605"/>
    <cellStyle name="표준 6 6 3 2 2" xfId="29606"/>
    <cellStyle name="표준 6 6 3 2 2 2" xfId="29607"/>
    <cellStyle name="표준 6 6 3 2 2 2 2" xfId="29608"/>
    <cellStyle name="표준 6 6 3 2 2 3" xfId="29609"/>
    <cellStyle name="표준 6 6 3 2 3" xfId="29610"/>
    <cellStyle name="표준 6 6 3 2 3 2" xfId="29611"/>
    <cellStyle name="표준 6 6 3 2 4" xfId="29612"/>
    <cellStyle name="표준 6 6 3 3" xfId="29613"/>
    <cellStyle name="표준 6 6 3 3 2" xfId="29614"/>
    <cellStyle name="표준 6 6 3 3 2 2" xfId="29615"/>
    <cellStyle name="표준 6 6 3 3 3" xfId="29616"/>
    <cellStyle name="표준 6 6 3 4" xfId="29617"/>
    <cellStyle name="표준 6 6 3 4 2" xfId="29618"/>
    <cellStyle name="표준 6 6 3 5" xfId="29619"/>
    <cellStyle name="표준 6 6 4" xfId="29620"/>
    <cellStyle name="표준 6 6 4 2" xfId="29621"/>
    <cellStyle name="표준 6 6 4 2 2" xfId="29622"/>
    <cellStyle name="표준 6 6 4 2 2 2" xfId="29623"/>
    <cellStyle name="표준 6 6 4 2 3" xfId="29624"/>
    <cellStyle name="표준 6 6 4 3" xfId="29625"/>
    <cellStyle name="표준 6 6 4 3 2" xfId="29626"/>
    <cellStyle name="표준 6 6 4 4" xfId="29627"/>
    <cellStyle name="표준 6 6 5" xfId="29628"/>
    <cellStyle name="표준 6 6 5 2" xfId="29629"/>
    <cellStyle name="표준 6 6 5 2 2" xfId="29630"/>
    <cellStyle name="표준 6 6 5 3" xfId="29631"/>
    <cellStyle name="표준 6 6 6" xfId="29632"/>
    <cellStyle name="표준 6 6 6 2" xfId="29633"/>
    <cellStyle name="표준 6 6 7" xfId="29634"/>
    <cellStyle name="표준 6 6 8" xfId="29635"/>
    <cellStyle name="표준 6 7" xfId="29636"/>
    <cellStyle name="표준 6 7 2" xfId="29637"/>
    <cellStyle name="표준 6 7 2 2" xfId="29638"/>
    <cellStyle name="표준 6 7 2 2 2" xfId="29639"/>
    <cellStyle name="표준 6 7 2 2 2 2" xfId="29640"/>
    <cellStyle name="표준 6 7 2 2 2 2 2" xfId="29641"/>
    <cellStyle name="표준 6 7 2 2 2 3" xfId="29642"/>
    <cellStyle name="표준 6 7 2 2 3" xfId="29643"/>
    <cellStyle name="표준 6 7 2 2 3 2" xfId="29644"/>
    <cellStyle name="표준 6 7 2 2 4" xfId="29645"/>
    <cellStyle name="표준 6 7 2 3" xfId="29646"/>
    <cellStyle name="표준 6 7 2 3 2" xfId="29647"/>
    <cellStyle name="표준 6 7 2 3 2 2" xfId="29648"/>
    <cellStyle name="표준 6 7 2 3 3" xfId="29649"/>
    <cellStyle name="표준 6 7 2 4" xfId="29650"/>
    <cellStyle name="표준 6 7 2 4 2" xfId="29651"/>
    <cellStyle name="표준 6 7 2 5" xfId="29652"/>
    <cellStyle name="표준 6 7 3" xfId="29653"/>
    <cellStyle name="표준 6 7 3 2" xfId="29654"/>
    <cellStyle name="표준 6 7 3 2 2" xfId="29655"/>
    <cellStyle name="표준 6 7 3 2 2 2" xfId="29656"/>
    <cellStyle name="표준 6 7 3 2 3" xfId="29657"/>
    <cellStyle name="표준 6 7 3 3" xfId="29658"/>
    <cellStyle name="표준 6 7 3 3 2" xfId="29659"/>
    <cellStyle name="표준 6 7 3 4" xfId="29660"/>
    <cellStyle name="표준 6 7 4" xfId="29661"/>
    <cellStyle name="표준 6 7 4 2" xfId="29662"/>
    <cellStyle name="표준 6 7 4 2 2" xfId="29663"/>
    <cellStyle name="표준 6 7 4 3" xfId="29664"/>
    <cellStyle name="표준 6 7 5" xfId="29665"/>
    <cellStyle name="표준 6 7 5 2" xfId="29666"/>
    <cellStyle name="표준 6 7 6" xfId="29667"/>
    <cellStyle name="표준 6 8" xfId="29668"/>
    <cellStyle name="표준 6 8 2" xfId="29669"/>
    <cellStyle name="표준 6 8 2 2" xfId="29670"/>
    <cellStyle name="표준 6 8 2 2 2" xfId="29671"/>
    <cellStyle name="표준 6 8 2 2 2 2" xfId="29672"/>
    <cellStyle name="표준 6 8 2 2 3" xfId="29673"/>
    <cellStyle name="표준 6 8 2 3" xfId="29674"/>
    <cellStyle name="표준 6 8 2 3 2" xfId="29675"/>
    <cellStyle name="표준 6 8 2 4" xfId="29676"/>
    <cellStyle name="표준 6 8 3" xfId="29677"/>
    <cellStyle name="표준 6 8 3 2" xfId="29678"/>
    <cellStyle name="표준 6 8 3 2 2" xfId="29679"/>
    <cellStyle name="표준 6 8 3 3" xfId="29680"/>
    <cellStyle name="표준 6 8 4" xfId="29681"/>
    <cellStyle name="표준 6 8 4 2" xfId="29682"/>
    <cellStyle name="표준 6 8 5" xfId="29683"/>
    <cellStyle name="표준 6 9" xfId="29684"/>
    <cellStyle name="표준 6 9 2" xfId="29685"/>
    <cellStyle name="표준 6 9 2 2" xfId="29686"/>
    <cellStyle name="표준 6 9 2 2 2" xfId="29687"/>
    <cellStyle name="표준 6 9 2 3" xfId="29688"/>
    <cellStyle name="표준 6 9 3" xfId="29689"/>
    <cellStyle name="표준 6 9 3 2" xfId="29690"/>
    <cellStyle name="표준 6 9 4" xfId="29691"/>
    <cellStyle name="표준 60" xfId="29692"/>
    <cellStyle name="표준 61" xfId="29693"/>
    <cellStyle name="표준 7" xfId="44"/>
    <cellStyle name="표준 7 10" xfId="29694"/>
    <cellStyle name="표준 7 11" xfId="29695"/>
    <cellStyle name="표준 7 2" xfId="59"/>
    <cellStyle name="표준 7 2 10" xfId="29696"/>
    <cellStyle name="표준 7 2 2" xfId="29697"/>
    <cellStyle name="표준 7 2 2 2" xfId="29698"/>
    <cellStyle name="표준 7 2 2 2 2" xfId="29699"/>
    <cellStyle name="표준 7 2 2 2 2 2" xfId="29700"/>
    <cellStyle name="표준 7 2 2 2 2 2 2" xfId="29701"/>
    <cellStyle name="표준 7 2 2 2 2 2 2 2" xfId="29702"/>
    <cellStyle name="표준 7 2 2 2 2 2 2 2 2" xfId="29703"/>
    <cellStyle name="표준 7 2 2 2 2 2 2 2 2 2" xfId="29704"/>
    <cellStyle name="표준 7 2 2 2 2 2 2 2 3" xfId="29705"/>
    <cellStyle name="표준 7 2 2 2 2 2 2 3" xfId="29706"/>
    <cellStyle name="표준 7 2 2 2 2 2 2 3 2" xfId="29707"/>
    <cellStyle name="표준 7 2 2 2 2 2 2 4" xfId="29708"/>
    <cellStyle name="표준 7 2 2 2 2 2 3" xfId="29709"/>
    <cellStyle name="표준 7 2 2 2 2 2 3 2" xfId="29710"/>
    <cellStyle name="표준 7 2 2 2 2 2 3 2 2" xfId="29711"/>
    <cellStyle name="표준 7 2 2 2 2 2 3 3" xfId="29712"/>
    <cellStyle name="표준 7 2 2 2 2 2 4" xfId="29713"/>
    <cellStyle name="표준 7 2 2 2 2 2 4 2" xfId="29714"/>
    <cellStyle name="표준 7 2 2 2 2 2 5" xfId="29715"/>
    <cellStyle name="표준 7 2 2 2 2 3" xfId="29716"/>
    <cellStyle name="표준 7 2 2 2 2 3 2" xfId="29717"/>
    <cellStyle name="표준 7 2 2 2 2 3 2 2" xfId="29718"/>
    <cellStyle name="표준 7 2 2 2 2 3 2 2 2" xfId="29719"/>
    <cellStyle name="표준 7 2 2 2 2 3 2 3" xfId="29720"/>
    <cellStyle name="표준 7 2 2 2 2 3 3" xfId="29721"/>
    <cellStyle name="표준 7 2 2 2 2 3 3 2" xfId="29722"/>
    <cellStyle name="표준 7 2 2 2 2 3 4" xfId="29723"/>
    <cellStyle name="표준 7 2 2 2 2 4" xfId="29724"/>
    <cellStyle name="표준 7 2 2 2 2 4 2" xfId="29725"/>
    <cellStyle name="표준 7 2 2 2 2 4 2 2" xfId="29726"/>
    <cellStyle name="표준 7 2 2 2 2 4 3" xfId="29727"/>
    <cellStyle name="표준 7 2 2 2 2 5" xfId="29728"/>
    <cellStyle name="표준 7 2 2 2 2 5 2" xfId="29729"/>
    <cellStyle name="표준 7 2 2 2 2 6" xfId="29730"/>
    <cellStyle name="표준 7 2 2 2 3" xfId="29731"/>
    <cellStyle name="표준 7 2 2 2 3 2" xfId="29732"/>
    <cellStyle name="표준 7 2 2 2 3 2 2" xfId="29733"/>
    <cellStyle name="표준 7 2 2 2 3 2 2 2" xfId="29734"/>
    <cellStyle name="표준 7 2 2 2 3 2 2 2 2" xfId="29735"/>
    <cellStyle name="표준 7 2 2 2 3 2 2 3" xfId="29736"/>
    <cellStyle name="표준 7 2 2 2 3 2 3" xfId="29737"/>
    <cellStyle name="표준 7 2 2 2 3 2 3 2" xfId="29738"/>
    <cellStyle name="표준 7 2 2 2 3 2 4" xfId="29739"/>
    <cellStyle name="표준 7 2 2 2 3 3" xfId="29740"/>
    <cellStyle name="표준 7 2 2 2 3 3 2" xfId="29741"/>
    <cellStyle name="표준 7 2 2 2 3 3 2 2" xfId="29742"/>
    <cellStyle name="표준 7 2 2 2 3 3 3" xfId="29743"/>
    <cellStyle name="표준 7 2 2 2 3 4" xfId="29744"/>
    <cellStyle name="표준 7 2 2 2 3 4 2" xfId="29745"/>
    <cellStyle name="표준 7 2 2 2 3 5" xfId="29746"/>
    <cellStyle name="표준 7 2 2 2 4" xfId="29747"/>
    <cellStyle name="표준 7 2 2 2 4 2" xfId="29748"/>
    <cellStyle name="표준 7 2 2 2 4 2 2" xfId="29749"/>
    <cellStyle name="표준 7 2 2 2 4 2 2 2" xfId="29750"/>
    <cellStyle name="표준 7 2 2 2 4 2 3" xfId="29751"/>
    <cellStyle name="표준 7 2 2 2 4 3" xfId="29752"/>
    <cellStyle name="표준 7 2 2 2 4 3 2" xfId="29753"/>
    <cellStyle name="표준 7 2 2 2 4 4" xfId="29754"/>
    <cellStyle name="표준 7 2 2 2 5" xfId="29755"/>
    <cellStyle name="표준 7 2 2 2 5 2" xfId="29756"/>
    <cellStyle name="표준 7 2 2 2 5 2 2" xfId="29757"/>
    <cellStyle name="표준 7 2 2 2 5 3" xfId="29758"/>
    <cellStyle name="표준 7 2 2 2 6" xfId="29759"/>
    <cellStyle name="표준 7 2 2 2 6 2" xfId="29760"/>
    <cellStyle name="표준 7 2 2 2 7" xfId="29761"/>
    <cellStyle name="표준 7 2 2 2 8" xfId="29762"/>
    <cellStyle name="표준 7 2 2 3" xfId="29763"/>
    <cellStyle name="표준 7 2 2 3 2" xfId="29764"/>
    <cellStyle name="표준 7 2 2 3 2 2" xfId="29765"/>
    <cellStyle name="표준 7 2 2 3 2 2 2" xfId="29766"/>
    <cellStyle name="표준 7 2 2 3 2 2 2 2" xfId="29767"/>
    <cellStyle name="표준 7 2 2 3 2 2 2 2 2" xfId="29768"/>
    <cellStyle name="표준 7 2 2 3 2 2 2 3" xfId="29769"/>
    <cellStyle name="표준 7 2 2 3 2 2 3" xfId="29770"/>
    <cellStyle name="표준 7 2 2 3 2 2 3 2" xfId="29771"/>
    <cellStyle name="표준 7 2 2 3 2 2 4" xfId="29772"/>
    <cellStyle name="표준 7 2 2 3 2 3" xfId="29773"/>
    <cellStyle name="표준 7 2 2 3 2 3 2" xfId="29774"/>
    <cellStyle name="표준 7 2 2 3 2 3 2 2" xfId="29775"/>
    <cellStyle name="표준 7 2 2 3 2 3 3" xfId="29776"/>
    <cellStyle name="표준 7 2 2 3 2 4" xfId="29777"/>
    <cellStyle name="표준 7 2 2 3 2 4 2" xfId="29778"/>
    <cellStyle name="표준 7 2 2 3 2 5" xfId="29779"/>
    <cellStyle name="표준 7 2 2 3 3" xfId="29780"/>
    <cellStyle name="표준 7 2 2 3 3 2" xfId="29781"/>
    <cellStyle name="표준 7 2 2 3 3 2 2" xfId="29782"/>
    <cellStyle name="표준 7 2 2 3 3 2 2 2" xfId="29783"/>
    <cellStyle name="표준 7 2 2 3 3 2 3" xfId="29784"/>
    <cellStyle name="표준 7 2 2 3 3 3" xfId="29785"/>
    <cellStyle name="표준 7 2 2 3 3 3 2" xfId="29786"/>
    <cellStyle name="표준 7 2 2 3 3 4" xfId="29787"/>
    <cellStyle name="표준 7 2 2 3 4" xfId="29788"/>
    <cellStyle name="표준 7 2 2 3 4 2" xfId="29789"/>
    <cellStyle name="표준 7 2 2 3 4 2 2" xfId="29790"/>
    <cellStyle name="표준 7 2 2 3 4 3" xfId="29791"/>
    <cellStyle name="표준 7 2 2 3 5" xfId="29792"/>
    <cellStyle name="표준 7 2 2 3 5 2" xfId="29793"/>
    <cellStyle name="표준 7 2 2 3 6" xfId="29794"/>
    <cellStyle name="표준 7 2 2 4" xfId="29795"/>
    <cellStyle name="표준 7 2 2 4 2" xfId="29796"/>
    <cellStyle name="표준 7 2 2 4 2 2" xfId="29797"/>
    <cellStyle name="표준 7 2 2 4 2 2 2" xfId="29798"/>
    <cellStyle name="표준 7 2 2 4 2 2 2 2" xfId="29799"/>
    <cellStyle name="표준 7 2 2 4 2 2 3" xfId="29800"/>
    <cellStyle name="표준 7 2 2 4 2 3" xfId="29801"/>
    <cellStyle name="표준 7 2 2 4 2 3 2" xfId="29802"/>
    <cellStyle name="표준 7 2 2 4 2 4" xfId="29803"/>
    <cellStyle name="표준 7 2 2 4 3" xfId="29804"/>
    <cellStyle name="표준 7 2 2 4 3 2" xfId="29805"/>
    <cellStyle name="표준 7 2 2 4 3 2 2" xfId="29806"/>
    <cellStyle name="표준 7 2 2 4 3 3" xfId="29807"/>
    <cellStyle name="표준 7 2 2 4 4" xfId="29808"/>
    <cellStyle name="표준 7 2 2 4 4 2" xfId="29809"/>
    <cellStyle name="표준 7 2 2 4 5" xfId="29810"/>
    <cellStyle name="표준 7 2 2 5" xfId="29811"/>
    <cellStyle name="표준 7 2 2 5 2" xfId="29812"/>
    <cellStyle name="표준 7 2 2 5 2 2" xfId="29813"/>
    <cellStyle name="표준 7 2 2 5 2 2 2" xfId="29814"/>
    <cellStyle name="표준 7 2 2 5 2 3" xfId="29815"/>
    <cellStyle name="표준 7 2 2 5 3" xfId="29816"/>
    <cellStyle name="표준 7 2 2 5 3 2" xfId="29817"/>
    <cellStyle name="표준 7 2 2 5 4" xfId="29818"/>
    <cellStyle name="표준 7 2 2 6" xfId="29819"/>
    <cellStyle name="표준 7 2 2 6 2" xfId="29820"/>
    <cellStyle name="표준 7 2 2 6 2 2" xfId="29821"/>
    <cellStyle name="표준 7 2 2 6 3" xfId="29822"/>
    <cellStyle name="표준 7 2 2 7" xfId="29823"/>
    <cellStyle name="표준 7 2 2 7 2" xfId="29824"/>
    <cellStyle name="표준 7 2 2 8" xfId="29825"/>
    <cellStyle name="표준 7 2 2 9" xfId="29826"/>
    <cellStyle name="표준 7 2 3" xfId="29827"/>
    <cellStyle name="표준 7 2 3 2" xfId="29828"/>
    <cellStyle name="표준 7 2 3 2 2" xfId="29829"/>
    <cellStyle name="표준 7 2 3 2 2 2" xfId="29830"/>
    <cellStyle name="표준 7 2 3 2 2 2 2" xfId="29831"/>
    <cellStyle name="표준 7 2 3 2 2 2 2 2" xfId="29832"/>
    <cellStyle name="표준 7 2 3 2 2 2 2 2 2" xfId="29833"/>
    <cellStyle name="표준 7 2 3 2 2 2 2 3" xfId="29834"/>
    <cellStyle name="표준 7 2 3 2 2 2 3" xfId="29835"/>
    <cellStyle name="표준 7 2 3 2 2 2 3 2" xfId="29836"/>
    <cellStyle name="표준 7 2 3 2 2 2 4" xfId="29837"/>
    <cellStyle name="표준 7 2 3 2 2 3" xfId="29838"/>
    <cellStyle name="표준 7 2 3 2 2 3 2" xfId="29839"/>
    <cellStyle name="표준 7 2 3 2 2 3 2 2" xfId="29840"/>
    <cellStyle name="표준 7 2 3 2 2 3 3" xfId="29841"/>
    <cellStyle name="표준 7 2 3 2 2 4" xfId="29842"/>
    <cellStyle name="표준 7 2 3 2 2 4 2" xfId="29843"/>
    <cellStyle name="표준 7 2 3 2 2 5" xfId="29844"/>
    <cellStyle name="표준 7 2 3 2 3" xfId="29845"/>
    <cellStyle name="표준 7 2 3 2 3 2" xfId="29846"/>
    <cellStyle name="표준 7 2 3 2 3 2 2" xfId="29847"/>
    <cellStyle name="표준 7 2 3 2 3 2 2 2" xfId="29848"/>
    <cellStyle name="표준 7 2 3 2 3 2 3" xfId="29849"/>
    <cellStyle name="표준 7 2 3 2 3 3" xfId="29850"/>
    <cellStyle name="표준 7 2 3 2 3 3 2" xfId="29851"/>
    <cellStyle name="표준 7 2 3 2 3 4" xfId="29852"/>
    <cellStyle name="표준 7 2 3 2 4" xfId="29853"/>
    <cellStyle name="표준 7 2 3 2 4 2" xfId="29854"/>
    <cellStyle name="표준 7 2 3 2 4 2 2" xfId="29855"/>
    <cellStyle name="표준 7 2 3 2 4 3" xfId="29856"/>
    <cellStyle name="표준 7 2 3 2 5" xfId="29857"/>
    <cellStyle name="표준 7 2 3 2 5 2" xfId="29858"/>
    <cellStyle name="표준 7 2 3 2 6" xfId="29859"/>
    <cellStyle name="표준 7 2 3 3" xfId="29860"/>
    <cellStyle name="표준 7 2 3 3 2" xfId="29861"/>
    <cellStyle name="표준 7 2 3 3 2 2" xfId="29862"/>
    <cellStyle name="표준 7 2 3 3 2 2 2" xfId="29863"/>
    <cellStyle name="표준 7 2 3 3 2 2 2 2" xfId="29864"/>
    <cellStyle name="표준 7 2 3 3 2 2 3" xfId="29865"/>
    <cellStyle name="표준 7 2 3 3 2 3" xfId="29866"/>
    <cellStyle name="표준 7 2 3 3 2 3 2" xfId="29867"/>
    <cellStyle name="표준 7 2 3 3 2 4" xfId="29868"/>
    <cellStyle name="표준 7 2 3 3 3" xfId="29869"/>
    <cellStyle name="표준 7 2 3 3 3 2" xfId="29870"/>
    <cellStyle name="표준 7 2 3 3 3 2 2" xfId="29871"/>
    <cellStyle name="표준 7 2 3 3 3 3" xfId="29872"/>
    <cellStyle name="표준 7 2 3 3 4" xfId="29873"/>
    <cellStyle name="표준 7 2 3 3 4 2" xfId="29874"/>
    <cellStyle name="표준 7 2 3 3 5" xfId="29875"/>
    <cellStyle name="표준 7 2 3 4" xfId="29876"/>
    <cellStyle name="표준 7 2 3 4 2" xfId="29877"/>
    <cellStyle name="표준 7 2 3 4 2 2" xfId="29878"/>
    <cellStyle name="표준 7 2 3 4 2 2 2" xfId="29879"/>
    <cellStyle name="표준 7 2 3 4 2 3" xfId="29880"/>
    <cellStyle name="표준 7 2 3 4 3" xfId="29881"/>
    <cellStyle name="표준 7 2 3 4 3 2" xfId="29882"/>
    <cellStyle name="표준 7 2 3 4 4" xfId="29883"/>
    <cellStyle name="표준 7 2 3 5" xfId="29884"/>
    <cellStyle name="표준 7 2 3 5 2" xfId="29885"/>
    <cellStyle name="표준 7 2 3 5 2 2" xfId="29886"/>
    <cellStyle name="표준 7 2 3 5 3" xfId="29887"/>
    <cellStyle name="표준 7 2 3 6" xfId="29888"/>
    <cellStyle name="표준 7 2 3 6 2" xfId="29889"/>
    <cellStyle name="표준 7 2 3 7" xfId="29890"/>
    <cellStyle name="표준 7 2 3 8" xfId="29891"/>
    <cellStyle name="표준 7 2 4" xfId="29892"/>
    <cellStyle name="표준 7 2 4 2" xfId="29893"/>
    <cellStyle name="표준 7 2 4 2 2" xfId="29894"/>
    <cellStyle name="표준 7 2 4 2 2 2" xfId="29895"/>
    <cellStyle name="표준 7 2 4 2 2 2 2" xfId="29896"/>
    <cellStyle name="표준 7 2 4 2 2 2 2 2" xfId="29897"/>
    <cellStyle name="표준 7 2 4 2 2 2 3" xfId="29898"/>
    <cellStyle name="표준 7 2 4 2 2 3" xfId="29899"/>
    <cellStyle name="표준 7 2 4 2 2 3 2" xfId="29900"/>
    <cellStyle name="표준 7 2 4 2 2 4" xfId="29901"/>
    <cellStyle name="표준 7 2 4 2 3" xfId="29902"/>
    <cellStyle name="표준 7 2 4 2 3 2" xfId="29903"/>
    <cellStyle name="표준 7 2 4 2 3 2 2" xfId="29904"/>
    <cellStyle name="표준 7 2 4 2 3 3" xfId="29905"/>
    <cellStyle name="표준 7 2 4 2 4" xfId="29906"/>
    <cellStyle name="표준 7 2 4 2 4 2" xfId="29907"/>
    <cellStyle name="표준 7 2 4 2 5" xfId="29908"/>
    <cellStyle name="표준 7 2 4 3" xfId="29909"/>
    <cellStyle name="표준 7 2 4 3 2" xfId="29910"/>
    <cellStyle name="표준 7 2 4 3 2 2" xfId="29911"/>
    <cellStyle name="표준 7 2 4 3 2 2 2" xfId="29912"/>
    <cellStyle name="표준 7 2 4 3 2 3" xfId="29913"/>
    <cellStyle name="표준 7 2 4 3 3" xfId="29914"/>
    <cellStyle name="표준 7 2 4 3 3 2" xfId="29915"/>
    <cellStyle name="표준 7 2 4 3 4" xfId="29916"/>
    <cellStyle name="표준 7 2 4 4" xfId="29917"/>
    <cellStyle name="표준 7 2 4 4 2" xfId="29918"/>
    <cellStyle name="표준 7 2 4 4 2 2" xfId="29919"/>
    <cellStyle name="표준 7 2 4 4 3" xfId="29920"/>
    <cellStyle name="표준 7 2 4 5" xfId="29921"/>
    <cellStyle name="표준 7 2 4 5 2" xfId="29922"/>
    <cellStyle name="표준 7 2 4 6" xfId="29923"/>
    <cellStyle name="표준 7 2 5" xfId="29924"/>
    <cellStyle name="표준 7 2 5 2" xfId="29925"/>
    <cellStyle name="표준 7 2 5 2 2" xfId="29926"/>
    <cellStyle name="표준 7 2 5 2 2 2" xfId="29927"/>
    <cellStyle name="표준 7 2 5 2 2 2 2" xfId="29928"/>
    <cellStyle name="표준 7 2 5 2 2 3" xfId="29929"/>
    <cellStyle name="표준 7 2 5 2 3" xfId="29930"/>
    <cellStyle name="표준 7 2 5 2 3 2" xfId="29931"/>
    <cellStyle name="표준 7 2 5 2 4" xfId="29932"/>
    <cellStyle name="표준 7 2 5 3" xfId="29933"/>
    <cellStyle name="표준 7 2 5 3 2" xfId="29934"/>
    <cellStyle name="표준 7 2 5 3 2 2" xfId="29935"/>
    <cellStyle name="표준 7 2 5 3 3" xfId="29936"/>
    <cellStyle name="표준 7 2 5 4" xfId="29937"/>
    <cellStyle name="표준 7 2 5 4 2" xfId="29938"/>
    <cellStyle name="표준 7 2 5 5" xfId="29939"/>
    <cellStyle name="표준 7 2 6" xfId="29940"/>
    <cellStyle name="표준 7 2 6 2" xfId="29941"/>
    <cellStyle name="표준 7 2 6 2 2" xfId="29942"/>
    <cellStyle name="표준 7 2 6 2 2 2" xfId="29943"/>
    <cellStyle name="표준 7 2 6 2 3" xfId="29944"/>
    <cellStyle name="표준 7 2 6 3" xfId="29945"/>
    <cellStyle name="표준 7 2 6 3 2" xfId="29946"/>
    <cellStyle name="표준 7 2 6 4" xfId="29947"/>
    <cellStyle name="표준 7 2 7" xfId="29948"/>
    <cellStyle name="표준 7 2 7 2" xfId="29949"/>
    <cellStyle name="표준 7 2 7 2 2" xfId="29950"/>
    <cellStyle name="표준 7 2 7 3" xfId="29951"/>
    <cellStyle name="표준 7 2 8" xfId="29952"/>
    <cellStyle name="표준 7 2 8 2" xfId="29953"/>
    <cellStyle name="표준 7 2 9" xfId="29954"/>
    <cellStyle name="표준 7 3" xfId="29955"/>
    <cellStyle name="표준 7 3 2" xfId="29956"/>
    <cellStyle name="표준 7 3 2 2" xfId="29957"/>
    <cellStyle name="표준 7 3 2 2 2" xfId="29958"/>
    <cellStyle name="표준 7 3 2 2 2 2" xfId="29959"/>
    <cellStyle name="표준 7 3 2 2 2 2 2" xfId="29960"/>
    <cellStyle name="표준 7 3 2 2 2 2 2 2" xfId="29961"/>
    <cellStyle name="표준 7 3 2 2 2 2 2 2 2" xfId="29962"/>
    <cellStyle name="표준 7 3 2 2 2 2 2 3" xfId="29963"/>
    <cellStyle name="표준 7 3 2 2 2 2 3" xfId="29964"/>
    <cellStyle name="표준 7 3 2 2 2 2 3 2" xfId="29965"/>
    <cellStyle name="표준 7 3 2 2 2 2 4" xfId="29966"/>
    <cellStyle name="표준 7 3 2 2 2 3" xfId="29967"/>
    <cellStyle name="표준 7 3 2 2 2 3 2" xfId="29968"/>
    <cellStyle name="표준 7 3 2 2 2 3 2 2" xfId="29969"/>
    <cellStyle name="표준 7 3 2 2 2 3 3" xfId="29970"/>
    <cellStyle name="표준 7 3 2 2 2 4" xfId="29971"/>
    <cellStyle name="표준 7 3 2 2 2 4 2" xfId="29972"/>
    <cellStyle name="표준 7 3 2 2 2 5" xfId="29973"/>
    <cellStyle name="표준 7 3 2 2 3" xfId="29974"/>
    <cellStyle name="표준 7 3 2 2 3 2" xfId="29975"/>
    <cellStyle name="표준 7 3 2 2 3 2 2" xfId="29976"/>
    <cellStyle name="표준 7 3 2 2 3 2 2 2" xfId="29977"/>
    <cellStyle name="표준 7 3 2 2 3 2 3" xfId="29978"/>
    <cellStyle name="표준 7 3 2 2 3 3" xfId="29979"/>
    <cellStyle name="표준 7 3 2 2 3 3 2" xfId="29980"/>
    <cellStyle name="표준 7 3 2 2 3 4" xfId="29981"/>
    <cellStyle name="표준 7 3 2 2 4" xfId="29982"/>
    <cellStyle name="표준 7 3 2 2 4 2" xfId="29983"/>
    <cellStyle name="표준 7 3 2 2 4 2 2" xfId="29984"/>
    <cellStyle name="표준 7 3 2 2 4 3" xfId="29985"/>
    <cellStyle name="표준 7 3 2 2 5" xfId="29986"/>
    <cellStyle name="표준 7 3 2 2 5 2" xfId="29987"/>
    <cellStyle name="표준 7 3 2 2 6" xfId="29988"/>
    <cellStyle name="표준 7 3 2 3" xfId="29989"/>
    <cellStyle name="표준 7 3 2 3 2" xfId="29990"/>
    <cellStyle name="표준 7 3 2 3 2 2" xfId="29991"/>
    <cellStyle name="표준 7 3 2 3 2 2 2" xfId="29992"/>
    <cellStyle name="표준 7 3 2 3 2 2 2 2" xfId="29993"/>
    <cellStyle name="표준 7 3 2 3 2 2 3" xfId="29994"/>
    <cellStyle name="표준 7 3 2 3 2 3" xfId="29995"/>
    <cellStyle name="표준 7 3 2 3 2 3 2" xfId="29996"/>
    <cellStyle name="표준 7 3 2 3 2 4" xfId="29997"/>
    <cellStyle name="표준 7 3 2 3 3" xfId="29998"/>
    <cellStyle name="표준 7 3 2 3 3 2" xfId="29999"/>
    <cellStyle name="표준 7 3 2 3 3 2 2" xfId="30000"/>
    <cellStyle name="표준 7 3 2 3 3 3" xfId="30001"/>
    <cellStyle name="표준 7 3 2 3 4" xfId="30002"/>
    <cellStyle name="표준 7 3 2 3 4 2" xfId="30003"/>
    <cellStyle name="표준 7 3 2 3 5" xfId="30004"/>
    <cellStyle name="표준 7 3 2 4" xfId="30005"/>
    <cellStyle name="표준 7 3 2 4 2" xfId="30006"/>
    <cellStyle name="표준 7 3 2 4 2 2" xfId="30007"/>
    <cellStyle name="표준 7 3 2 4 2 2 2" xfId="30008"/>
    <cellStyle name="표준 7 3 2 4 2 3" xfId="30009"/>
    <cellStyle name="표준 7 3 2 4 3" xfId="30010"/>
    <cellStyle name="표준 7 3 2 4 3 2" xfId="30011"/>
    <cellStyle name="표준 7 3 2 4 4" xfId="30012"/>
    <cellStyle name="표준 7 3 2 5" xfId="30013"/>
    <cellStyle name="표준 7 3 2 5 2" xfId="30014"/>
    <cellStyle name="표준 7 3 2 5 2 2" xfId="30015"/>
    <cellStyle name="표준 7 3 2 5 3" xfId="30016"/>
    <cellStyle name="표준 7 3 2 6" xfId="30017"/>
    <cellStyle name="표준 7 3 2 6 2" xfId="30018"/>
    <cellStyle name="표준 7 3 2 7" xfId="30019"/>
    <cellStyle name="표준 7 3 2 8" xfId="30020"/>
    <cellStyle name="표준 7 3 3" xfId="30021"/>
    <cellStyle name="표준 7 3 3 2" xfId="30022"/>
    <cellStyle name="표준 7 3 3 2 2" xfId="30023"/>
    <cellStyle name="표준 7 3 3 2 2 2" xfId="30024"/>
    <cellStyle name="표준 7 3 3 2 2 2 2" xfId="30025"/>
    <cellStyle name="표준 7 3 3 2 2 2 2 2" xfId="30026"/>
    <cellStyle name="표준 7 3 3 2 2 2 3" xfId="30027"/>
    <cellStyle name="표준 7 3 3 2 2 3" xfId="30028"/>
    <cellStyle name="표준 7 3 3 2 2 3 2" xfId="30029"/>
    <cellStyle name="표준 7 3 3 2 2 4" xfId="30030"/>
    <cellStyle name="표준 7 3 3 2 3" xfId="30031"/>
    <cellStyle name="표준 7 3 3 2 3 2" xfId="30032"/>
    <cellStyle name="표준 7 3 3 2 3 2 2" xfId="30033"/>
    <cellStyle name="표준 7 3 3 2 3 3" xfId="30034"/>
    <cellStyle name="표준 7 3 3 2 4" xfId="30035"/>
    <cellStyle name="표준 7 3 3 2 4 2" xfId="30036"/>
    <cellStyle name="표준 7 3 3 2 5" xfId="30037"/>
    <cellStyle name="표준 7 3 3 3" xfId="30038"/>
    <cellStyle name="표준 7 3 3 3 2" xfId="30039"/>
    <cellStyle name="표준 7 3 3 3 2 2" xfId="30040"/>
    <cellStyle name="표준 7 3 3 3 2 2 2" xfId="30041"/>
    <cellStyle name="표준 7 3 3 3 2 3" xfId="30042"/>
    <cellStyle name="표준 7 3 3 3 3" xfId="30043"/>
    <cellStyle name="표준 7 3 3 3 3 2" xfId="30044"/>
    <cellStyle name="표준 7 3 3 3 4" xfId="30045"/>
    <cellStyle name="표준 7 3 3 4" xfId="30046"/>
    <cellStyle name="표준 7 3 3 4 2" xfId="30047"/>
    <cellStyle name="표준 7 3 3 4 2 2" xfId="30048"/>
    <cellStyle name="표준 7 3 3 4 3" xfId="30049"/>
    <cellStyle name="표준 7 3 3 5" xfId="30050"/>
    <cellStyle name="표준 7 3 3 5 2" xfId="30051"/>
    <cellStyle name="표준 7 3 3 6" xfId="30052"/>
    <cellStyle name="표준 7 3 4" xfId="30053"/>
    <cellStyle name="표준 7 3 4 2" xfId="30054"/>
    <cellStyle name="표준 7 3 4 2 2" xfId="30055"/>
    <cellStyle name="표준 7 3 4 2 2 2" xfId="30056"/>
    <cellStyle name="표준 7 3 4 2 2 2 2" xfId="30057"/>
    <cellStyle name="표준 7 3 4 2 2 3" xfId="30058"/>
    <cellStyle name="표준 7 3 4 2 3" xfId="30059"/>
    <cellStyle name="표준 7 3 4 2 3 2" xfId="30060"/>
    <cellStyle name="표준 7 3 4 2 4" xfId="30061"/>
    <cellStyle name="표준 7 3 4 3" xfId="30062"/>
    <cellStyle name="표준 7 3 4 3 2" xfId="30063"/>
    <cellStyle name="표준 7 3 4 3 2 2" xfId="30064"/>
    <cellStyle name="표준 7 3 4 3 3" xfId="30065"/>
    <cellStyle name="표준 7 3 4 4" xfId="30066"/>
    <cellStyle name="표준 7 3 4 4 2" xfId="30067"/>
    <cellStyle name="표준 7 3 4 5" xfId="30068"/>
    <cellStyle name="표준 7 3 5" xfId="30069"/>
    <cellStyle name="표준 7 3 5 2" xfId="30070"/>
    <cellStyle name="표준 7 3 5 2 2" xfId="30071"/>
    <cellStyle name="표준 7 3 5 2 2 2" xfId="30072"/>
    <cellStyle name="표준 7 3 5 2 3" xfId="30073"/>
    <cellStyle name="표준 7 3 5 3" xfId="30074"/>
    <cellStyle name="표준 7 3 5 3 2" xfId="30075"/>
    <cellStyle name="표준 7 3 5 4" xfId="30076"/>
    <cellStyle name="표준 7 3 6" xfId="30077"/>
    <cellStyle name="표준 7 3 6 2" xfId="30078"/>
    <cellStyle name="표준 7 3 6 2 2" xfId="30079"/>
    <cellStyle name="표준 7 3 6 3" xfId="30080"/>
    <cellStyle name="표준 7 3 7" xfId="30081"/>
    <cellStyle name="표준 7 3 7 2" xfId="30082"/>
    <cellStyle name="표준 7 3 8" xfId="30083"/>
    <cellStyle name="표준 7 3 9" xfId="30084"/>
    <cellStyle name="표준 7 4" xfId="30085"/>
    <cellStyle name="표준 7 4 2" xfId="30086"/>
    <cellStyle name="표준 7 4 2 2" xfId="30087"/>
    <cellStyle name="표준 7 4 2 2 2" xfId="30088"/>
    <cellStyle name="표준 7 4 2 2 2 2" xfId="30089"/>
    <cellStyle name="표준 7 4 2 2 2 2 2" xfId="30090"/>
    <cellStyle name="표준 7 4 2 2 2 2 2 2" xfId="30091"/>
    <cellStyle name="표준 7 4 2 2 2 2 3" xfId="30092"/>
    <cellStyle name="표준 7 4 2 2 2 3" xfId="30093"/>
    <cellStyle name="표준 7 4 2 2 2 3 2" xfId="30094"/>
    <cellStyle name="표준 7 4 2 2 2 4" xfId="30095"/>
    <cellStyle name="표준 7 4 2 2 3" xfId="30096"/>
    <cellStyle name="표준 7 4 2 2 3 2" xfId="30097"/>
    <cellStyle name="표준 7 4 2 2 3 2 2" xfId="30098"/>
    <cellStyle name="표준 7 4 2 2 3 3" xfId="30099"/>
    <cellStyle name="표준 7 4 2 2 4" xfId="30100"/>
    <cellStyle name="표준 7 4 2 2 4 2" xfId="30101"/>
    <cellStyle name="표준 7 4 2 2 5" xfId="30102"/>
    <cellStyle name="표준 7 4 2 3" xfId="30103"/>
    <cellStyle name="표준 7 4 2 3 2" xfId="30104"/>
    <cellStyle name="표준 7 4 2 3 2 2" xfId="30105"/>
    <cellStyle name="표준 7 4 2 3 2 2 2" xfId="30106"/>
    <cellStyle name="표준 7 4 2 3 2 3" xfId="30107"/>
    <cellStyle name="표준 7 4 2 3 3" xfId="30108"/>
    <cellStyle name="표준 7 4 2 3 3 2" xfId="30109"/>
    <cellStyle name="표준 7 4 2 3 4" xfId="30110"/>
    <cellStyle name="표준 7 4 2 4" xfId="30111"/>
    <cellStyle name="표준 7 4 2 4 2" xfId="30112"/>
    <cellStyle name="표준 7 4 2 4 2 2" xfId="30113"/>
    <cellStyle name="표준 7 4 2 4 3" xfId="30114"/>
    <cellStyle name="표준 7 4 2 5" xfId="30115"/>
    <cellStyle name="표준 7 4 2 5 2" xfId="30116"/>
    <cellStyle name="표준 7 4 2 6" xfId="30117"/>
    <cellStyle name="표준 7 4 3" xfId="30118"/>
    <cellStyle name="표준 7 4 3 2" xfId="30119"/>
    <cellStyle name="표준 7 4 3 2 2" xfId="30120"/>
    <cellStyle name="표준 7 4 3 2 2 2" xfId="30121"/>
    <cellStyle name="표준 7 4 3 2 2 2 2" xfId="30122"/>
    <cellStyle name="표준 7 4 3 2 2 3" xfId="30123"/>
    <cellStyle name="표준 7 4 3 2 3" xfId="30124"/>
    <cellStyle name="표준 7 4 3 2 3 2" xfId="30125"/>
    <cellStyle name="표준 7 4 3 2 4" xfId="30126"/>
    <cellStyle name="표준 7 4 3 3" xfId="30127"/>
    <cellStyle name="표준 7 4 3 3 2" xfId="30128"/>
    <cellStyle name="표준 7 4 3 3 2 2" xfId="30129"/>
    <cellStyle name="표준 7 4 3 3 3" xfId="30130"/>
    <cellStyle name="표준 7 4 3 4" xfId="30131"/>
    <cellStyle name="표준 7 4 3 4 2" xfId="30132"/>
    <cellStyle name="표준 7 4 3 5" xfId="30133"/>
    <cellStyle name="표준 7 4 4" xfId="30134"/>
    <cellStyle name="표준 7 4 4 2" xfId="30135"/>
    <cellStyle name="표준 7 4 4 2 2" xfId="30136"/>
    <cellStyle name="표준 7 4 4 2 2 2" xfId="30137"/>
    <cellStyle name="표준 7 4 4 2 3" xfId="30138"/>
    <cellStyle name="표준 7 4 4 3" xfId="30139"/>
    <cellStyle name="표준 7 4 4 3 2" xfId="30140"/>
    <cellStyle name="표준 7 4 4 4" xfId="30141"/>
    <cellStyle name="표준 7 4 5" xfId="30142"/>
    <cellStyle name="표준 7 4 5 2" xfId="30143"/>
    <cellStyle name="표준 7 4 5 2 2" xfId="30144"/>
    <cellStyle name="표준 7 4 5 3" xfId="30145"/>
    <cellStyle name="표준 7 4 6" xfId="30146"/>
    <cellStyle name="표준 7 4 6 2" xfId="30147"/>
    <cellStyle name="표준 7 4 7" xfId="30148"/>
    <cellStyle name="표준 7 4 8" xfId="30149"/>
    <cellStyle name="표준 7 5" xfId="30150"/>
    <cellStyle name="표준 7 5 2" xfId="30151"/>
    <cellStyle name="표준 7 5 2 2" xfId="30152"/>
    <cellStyle name="표준 7 5 2 2 2" xfId="30153"/>
    <cellStyle name="표준 7 5 2 2 2 2" xfId="30154"/>
    <cellStyle name="표준 7 5 2 2 2 2 2" xfId="30155"/>
    <cellStyle name="표준 7 5 2 2 2 3" xfId="30156"/>
    <cellStyle name="표준 7 5 2 2 3" xfId="30157"/>
    <cellStyle name="표준 7 5 2 2 3 2" xfId="30158"/>
    <cellStyle name="표준 7 5 2 2 4" xfId="30159"/>
    <cellStyle name="표준 7 5 2 3" xfId="30160"/>
    <cellStyle name="표준 7 5 2 3 2" xfId="30161"/>
    <cellStyle name="표준 7 5 2 3 2 2" xfId="30162"/>
    <cellStyle name="표준 7 5 2 3 3" xfId="30163"/>
    <cellStyle name="표준 7 5 2 4" xfId="30164"/>
    <cellStyle name="표준 7 5 2 4 2" xfId="30165"/>
    <cellStyle name="표준 7 5 2 5" xfId="30166"/>
    <cellStyle name="표준 7 5 3" xfId="30167"/>
    <cellStyle name="표준 7 5 3 2" xfId="30168"/>
    <cellStyle name="표준 7 5 3 2 2" xfId="30169"/>
    <cellStyle name="표준 7 5 3 2 2 2" xfId="30170"/>
    <cellStyle name="표준 7 5 3 2 3" xfId="30171"/>
    <cellStyle name="표준 7 5 3 3" xfId="30172"/>
    <cellStyle name="표준 7 5 3 3 2" xfId="30173"/>
    <cellStyle name="표준 7 5 3 4" xfId="30174"/>
    <cellStyle name="표준 7 5 4" xfId="30175"/>
    <cellStyle name="표준 7 5 4 2" xfId="30176"/>
    <cellStyle name="표준 7 5 4 2 2" xfId="30177"/>
    <cellStyle name="표준 7 5 4 3" xfId="30178"/>
    <cellStyle name="표준 7 5 5" xfId="30179"/>
    <cellStyle name="표준 7 5 5 2" xfId="30180"/>
    <cellStyle name="표준 7 5 6" xfId="30181"/>
    <cellStyle name="표준 7 6" xfId="30182"/>
    <cellStyle name="표준 7 6 2" xfId="30183"/>
    <cellStyle name="표준 7 6 2 2" xfId="30184"/>
    <cellStyle name="표준 7 6 2 2 2" xfId="30185"/>
    <cellStyle name="표준 7 6 2 2 2 2" xfId="30186"/>
    <cellStyle name="표준 7 6 2 2 3" xfId="30187"/>
    <cellStyle name="표준 7 6 2 3" xfId="30188"/>
    <cellStyle name="표준 7 6 2 3 2" xfId="30189"/>
    <cellStyle name="표준 7 6 2 4" xfId="30190"/>
    <cellStyle name="표준 7 6 3" xfId="30191"/>
    <cellStyle name="표준 7 6 3 2" xfId="30192"/>
    <cellStyle name="표준 7 6 3 2 2" xfId="30193"/>
    <cellStyle name="표준 7 6 3 3" xfId="30194"/>
    <cellStyle name="표준 7 6 4" xfId="30195"/>
    <cellStyle name="표준 7 6 4 2" xfId="30196"/>
    <cellStyle name="표준 7 6 5" xfId="30197"/>
    <cellStyle name="표준 7 7" xfId="30198"/>
    <cellStyle name="표준 7 7 2" xfId="30199"/>
    <cellStyle name="표준 7 7 2 2" xfId="30200"/>
    <cellStyle name="표준 7 7 2 2 2" xfId="30201"/>
    <cellStyle name="표준 7 7 2 3" xfId="30202"/>
    <cellStyle name="표준 7 7 3" xfId="30203"/>
    <cellStyle name="표준 7 7 3 2" xfId="30204"/>
    <cellStyle name="표준 7 7 4" xfId="30205"/>
    <cellStyle name="표준 7 8" xfId="30206"/>
    <cellStyle name="표준 7 8 2" xfId="30207"/>
    <cellStyle name="표준 7 8 2 2" xfId="30208"/>
    <cellStyle name="표준 7 8 3" xfId="30209"/>
    <cellStyle name="표준 7 9" xfId="30210"/>
    <cellStyle name="표준 7 9 2" xfId="30211"/>
    <cellStyle name="표준 8" xfId="45"/>
    <cellStyle name="표준 8 10" xfId="30212"/>
    <cellStyle name="표준 8 11" xfId="30213"/>
    <cellStyle name="표준 8 2" xfId="60"/>
    <cellStyle name="표준 8 2 10" xfId="30214"/>
    <cellStyle name="표준 8 2 2" xfId="30215"/>
    <cellStyle name="표준 8 2 2 2" xfId="30216"/>
    <cellStyle name="표준 8 2 2 2 2" xfId="30217"/>
    <cellStyle name="표준 8 2 2 2 2 2" xfId="30218"/>
    <cellStyle name="표준 8 2 2 2 2 2 2" xfId="30219"/>
    <cellStyle name="표준 8 2 2 2 2 2 2 2" xfId="30220"/>
    <cellStyle name="표준 8 2 2 2 2 2 2 2 2" xfId="30221"/>
    <cellStyle name="표준 8 2 2 2 2 2 2 2 2 2" xfId="30222"/>
    <cellStyle name="표준 8 2 2 2 2 2 2 2 3" xfId="30223"/>
    <cellStyle name="표준 8 2 2 2 2 2 2 3" xfId="30224"/>
    <cellStyle name="표준 8 2 2 2 2 2 2 3 2" xfId="30225"/>
    <cellStyle name="표준 8 2 2 2 2 2 2 4" xfId="30226"/>
    <cellStyle name="표준 8 2 2 2 2 2 3" xfId="30227"/>
    <cellStyle name="표준 8 2 2 2 2 2 3 2" xfId="30228"/>
    <cellStyle name="표준 8 2 2 2 2 2 3 2 2" xfId="30229"/>
    <cellStyle name="표준 8 2 2 2 2 2 3 3" xfId="30230"/>
    <cellStyle name="표준 8 2 2 2 2 2 4" xfId="30231"/>
    <cellStyle name="표준 8 2 2 2 2 2 4 2" xfId="30232"/>
    <cellStyle name="표준 8 2 2 2 2 2 5" xfId="30233"/>
    <cellStyle name="표준 8 2 2 2 2 3" xfId="30234"/>
    <cellStyle name="표준 8 2 2 2 2 3 2" xfId="30235"/>
    <cellStyle name="표준 8 2 2 2 2 3 2 2" xfId="30236"/>
    <cellStyle name="표준 8 2 2 2 2 3 2 2 2" xfId="30237"/>
    <cellStyle name="표준 8 2 2 2 2 3 2 3" xfId="30238"/>
    <cellStyle name="표준 8 2 2 2 2 3 3" xfId="30239"/>
    <cellStyle name="표준 8 2 2 2 2 3 3 2" xfId="30240"/>
    <cellStyle name="표준 8 2 2 2 2 3 4" xfId="30241"/>
    <cellStyle name="표준 8 2 2 2 2 4" xfId="30242"/>
    <cellStyle name="표준 8 2 2 2 2 4 2" xfId="30243"/>
    <cellStyle name="표준 8 2 2 2 2 4 2 2" xfId="30244"/>
    <cellStyle name="표준 8 2 2 2 2 4 3" xfId="30245"/>
    <cellStyle name="표준 8 2 2 2 2 5" xfId="30246"/>
    <cellStyle name="표준 8 2 2 2 2 5 2" xfId="30247"/>
    <cellStyle name="표준 8 2 2 2 2 6" xfId="30248"/>
    <cellStyle name="표준 8 2 2 2 3" xfId="30249"/>
    <cellStyle name="표준 8 2 2 2 3 2" xfId="30250"/>
    <cellStyle name="표준 8 2 2 2 3 2 2" xfId="30251"/>
    <cellStyle name="표준 8 2 2 2 3 2 2 2" xfId="30252"/>
    <cellStyle name="표준 8 2 2 2 3 2 2 2 2" xfId="30253"/>
    <cellStyle name="표준 8 2 2 2 3 2 2 3" xfId="30254"/>
    <cellStyle name="표준 8 2 2 2 3 2 3" xfId="30255"/>
    <cellStyle name="표준 8 2 2 2 3 2 3 2" xfId="30256"/>
    <cellStyle name="표준 8 2 2 2 3 2 4" xfId="30257"/>
    <cellStyle name="표준 8 2 2 2 3 3" xfId="30258"/>
    <cellStyle name="표준 8 2 2 2 3 3 2" xfId="30259"/>
    <cellStyle name="표준 8 2 2 2 3 3 2 2" xfId="30260"/>
    <cellStyle name="표준 8 2 2 2 3 3 3" xfId="30261"/>
    <cellStyle name="표준 8 2 2 2 3 4" xfId="30262"/>
    <cellStyle name="표준 8 2 2 2 3 4 2" xfId="30263"/>
    <cellStyle name="표준 8 2 2 2 3 5" xfId="30264"/>
    <cellStyle name="표준 8 2 2 2 4" xfId="30265"/>
    <cellStyle name="표준 8 2 2 2 4 2" xfId="30266"/>
    <cellStyle name="표준 8 2 2 2 4 2 2" xfId="30267"/>
    <cellStyle name="표준 8 2 2 2 4 2 2 2" xfId="30268"/>
    <cellStyle name="표준 8 2 2 2 4 2 3" xfId="30269"/>
    <cellStyle name="표준 8 2 2 2 4 3" xfId="30270"/>
    <cellStyle name="표준 8 2 2 2 4 3 2" xfId="30271"/>
    <cellStyle name="표준 8 2 2 2 4 4" xfId="30272"/>
    <cellStyle name="표준 8 2 2 2 5" xfId="30273"/>
    <cellStyle name="표준 8 2 2 2 5 2" xfId="30274"/>
    <cellStyle name="표준 8 2 2 2 5 2 2" xfId="30275"/>
    <cellStyle name="표준 8 2 2 2 5 3" xfId="30276"/>
    <cellStyle name="표준 8 2 2 2 6" xfId="30277"/>
    <cellStyle name="표준 8 2 2 2 6 2" xfId="30278"/>
    <cellStyle name="표준 8 2 2 2 7" xfId="30279"/>
    <cellStyle name="표준 8 2 2 2 8" xfId="30280"/>
    <cellStyle name="표준 8 2 2 3" xfId="30281"/>
    <cellStyle name="표준 8 2 2 3 2" xfId="30282"/>
    <cellStyle name="표준 8 2 2 3 2 2" xfId="30283"/>
    <cellStyle name="표준 8 2 2 3 2 2 2" xfId="30284"/>
    <cellStyle name="표준 8 2 2 3 2 2 2 2" xfId="30285"/>
    <cellStyle name="표준 8 2 2 3 2 2 2 2 2" xfId="30286"/>
    <cellStyle name="표준 8 2 2 3 2 2 2 3" xfId="30287"/>
    <cellStyle name="표준 8 2 2 3 2 2 3" xfId="30288"/>
    <cellStyle name="표준 8 2 2 3 2 2 3 2" xfId="30289"/>
    <cellStyle name="표준 8 2 2 3 2 2 4" xfId="30290"/>
    <cellStyle name="표준 8 2 2 3 2 3" xfId="30291"/>
    <cellStyle name="표준 8 2 2 3 2 3 2" xfId="30292"/>
    <cellStyle name="표준 8 2 2 3 2 3 2 2" xfId="30293"/>
    <cellStyle name="표준 8 2 2 3 2 3 3" xfId="30294"/>
    <cellStyle name="표준 8 2 2 3 2 4" xfId="30295"/>
    <cellStyle name="표준 8 2 2 3 2 4 2" xfId="30296"/>
    <cellStyle name="표준 8 2 2 3 2 5" xfId="30297"/>
    <cellStyle name="표준 8 2 2 3 3" xfId="30298"/>
    <cellStyle name="표준 8 2 2 3 3 2" xfId="30299"/>
    <cellStyle name="표준 8 2 2 3 3 2 2" xfId="30300"/>
    <cellStyle name="표준 8 2 2 3 3 2 2 2" xfId="30301"/>
    <cellStyle name="표준 8 2 2 3 3 2 3" xfId="30302"/>
    <cellStyle name="표준 8 2 2 3 3 3" xfId="30303"/>
    <cellStyle name="표준 8 2 2 3 3 3 2" xfId="30304"/>
    <cellStyle name="표준 8 2 2 3 3 4" xfId="30305"/>
    <cellStyle name="표준 8 2 2 3 4" xfId="30306"/>
    <cellStyle name="표준 8 2 2 3 4 2" xfId="30307"/>
    <cellStyle name="표준 8 2 2 3 4 2 2" xfId="30308"/>
    <cellStyle name="표준 8 2 2 3 4 3" xfId="30309"/>
    <cellStyle name="표준 8 2 2 3 5" xfId="30310"/>
    <cellStyle name="표준 8 2 2 3 5 2" xfId="30311"/>
    <cellStyle name="표준 8 2 2 3 6" xfId="30312"/>
    <cellStyle name="표준 8 2 2 4" xfId="30313"/>
    <cellStyle name="표준 8 2 2 4 2" xfId="30314"/>
    <cellStyle name="표준 8 2 2 4 2 2" xfId="30315"/>
    <cellStyle name="표준 8 2 2 4 2 2 2" xfId="30316"/>
    <cellStyle name="표준 8 2 2 4 2 2 2 2" xfId="30317"/>
    <cellStyle name="표준 8 2 2 4 2 2 3" xfId="30318"/>
    <cellStyle name="표준 8 2 2 4 2 3" xfId="30319"/>
    <cellStyle name="표준 8 2 2 4 2 3 2" xfId="30320"/>
    <cellStyle name="표준 8 2 2 4 2 4" xfId="30321"/>
    <cellStyle name="표준 8 2 2 4 3" xfId="30322"/>
    <cellStyle name="표준 8 2 2 4 3 2" xfId="30323"/>
    <cellStyle name="표준 8 2 2 4 3 2 2" xfId="30324"/>
    <cellStyle name="표준 8 2 2 4 3 3" xfId="30325"/>
    <cellStyle name="표준 8 2 2 4 4" xfId="30326"/>
    <cellStyle name="표준 8 2 2 4 4 2" xfId="30327"/>
    <cellStyle name="표준 8 2 2 4 5" xfId="30328"/>
    <cellStyle name="표준 8 2 2 5" xfId="30329"/>
    <cellStyle name="표준 8 2 2 5 2" xfId="30330"/>
    <cellStyle name="표준 8 2 2 5 2 2" xfId="30331"/>
    <cellStyle name="표준 8 2 2 5 2 2 2" xfId="30332"/>
    <cellStyle name="표준 8 2 2 5 2 3" xfId="30333"/>
    <cellStyle name="표준 8 2 2 5 3" xfId="30334"/>
    <cellStyle name="표준 8 2 2 5 3 2" xfId="30335"/>
    <cellStyle name="표준 8 2 2 5 4" xfId="30336"/>
    <cellStyle name="표준 8 2 2 6" xfId="30337"/>
    <cellStyle name="표준 8 2 2 6 2" xfId="30338"/>
    <cellStyle name="표준 8 2 2 6 2 2" xfId="30339"/>
    <cellStyle name="표준 8 2 2 6 3" xfId="30340"/>
    <cellStyle name="표준 8 2 2 7" xfId="30341"/>
    <cellStyle name="표준 8 2 2 7 2" xfId="30342"/>
    <cellStyle name="표준 8 2 2 8" xfId="30343"/>
    <cellStyle name="표준 8 2 2 9" xfId="30344"/>
    <cellStyle name="표준 8 2 3" xfId="30345"/>
    <cellStyle name="표준 8 2 3 2" xfId="30346"/>
    <cellStyle name="표준 8 2 3 2 2" xfId="30347"/>
    <cellStyle name="표준 8 2 3 2 2 2" xfId="30348"/>
    <cellStyle name="표준 8 2 3 2 2 2 2" xfId="30349"/>
    <cellStyle name="표준 8 2 3 2 2 2 2 2" xfId="30350"/>
    <cellStyle name="표준 8 2 3 2 2 2 2 2 2" xfId="30351"/>
    <cellStyle name="표준 8 2 3 2 2 2 2 3" xfId="30352"/>
    <cellStyle name="표준 8 2 3 2 2 2 3" xfId="30353"/>
    <cellStyle name="표준 8 2 3 2 2 2 3 2" xfId="30354"/>
    <cellStyle name="표준 8 2 3 2 2 2 4" xfId="30355"/>
    <cellStyle name="표준 8 2 3 2 2 3" xfId="30356"/>
    <cellStyle name="표준 8 2 3 2 2 3 2" xfId="30357"/>
    <cellStyle name="표준 8 2 3 2 2 3 2 2" xfId="30358"/>
    <cellStyle name="표준 8 2 3 2 2 3 3" xfId="30359"/>
    <cellStyle name="표준 8 2 3 2 2 4" xfId="30360"/>
    <cellStyle name="표준 8 2 3 2 2 4 2" xfId="30361"/>
    <cellStyle name="표준 8 2 3 2 2 5" xfId="30362"/>
    <cellStyle name="표준 8 2 3 2 3" xfId="30363"/>
    <cellStyle name="표준 8 2 3 2 3 2" xfId="30364"/>
    <cellStyle name="표준 8 2 3 2 3 2 2" xfId="30365"/>
    <cellStyle name="표준 8 2 3 2 3 2 2 2" xfId="30366"/>
    <cellStyle name="표준 8 2 3 2 3 2 3" xfId="30367"/>
    <cellStyle name="표준 8 2 3 2 3 3" xfId="30368"/>
    <cellStyle name="표준 8 2 3 2 3 3 2" xfId="30369"/>
    <cellStyle name="표준 8 2 3 2 3 4" xfId="30370"/>
    <cellStyle name="표준 8 2 3 2 4" xfId="30371"/>
    <cellStyle name="표준 8 2 3 2 4 2" xfId="30372"/>
    <cellStyle name="표준 8 2 3 2 4 2 2" xfId="30373"/>
    <cellStyle name="표준 8 2 3 2 4 3" xfId="30374"/>
    <cellStyle name="표준 8 2 3 2 5" xfId="30375"/>
    <cellStyle name="표준 8 2 3 2 5 2" xfId="30376"/>
    <cellStyle name="표준 8 2 3 2 6" xfId="30377"/>
    <cellStyle name="표준 8 2 3 3" xfId="30378"/>
    <cellStyle name="표준 8 2 3 3 2" xfId="30379"/>
    <cellStyle name="표준 8 2 3 3 2 2" xfId="30380"/>
    <cellStyle name="표준 8 2 3 3 2 2 2" xfId="30381"/>
    <cellStyle name="표준 8 2 3 3 2 2 2 2" xfId="30382"/>
    <cellStyle name="표준 8 2 3 3 2 2 3" xfId="30383"/>
    <cellStyle name="표준 8 2 3 3 2 3" xfId="30384"/>
    <cellStyle name="표준 8 2 3 3 2 3 2" xfId="30385"/>
    <cellStyle name="표준 8 2 3 3 2 4" xfId="30386"/>
    <cellStyle name="표준 8 2 3 3 3" xfId="30387"/>
    <cellStyle name="표준 8 2 3 3 3 2" xfId="30388"/>
    <cellStyle name="표준 8 2 3 3 3 2 2" xfId="30389"/>
    <cellStyle name="표준 8 2 3 3 3 3" xfId="30390"/>
    <cellStyle name="표준 8 2 3 3 4" xfId="30391"/>
    <cellStyle name="표준 8 2 3 3 4 2" xfId="30392"/>
    <cellStyle name="표준 8 2 3 3 5" xfId="30393"/>
    <cellStyle name="표준 8 2 3 4" xfId="30394"/>
    <cellStyle name="표준 8 2 3 4 2" xfId="30395"/>
    <cellStyle name="표준 8 2 3 4 2 2" xfId="30396"/>
    <cellStyle name="표준 8 2 3 4 2 2 2" xfId="30397"/>
    <cellStyle name="표준 8 2 3 4 2 3" xfId="30398"/>
    <cellStyle name="표준 8 2 3 4 3" xfId="30399"/>
    <cellStyle name="표준 8 2 3 4 3 2" xfId="30400"/>
    <cellStyle name="표준 8 2 3 4 4" xfId="30401"/>
    <cellStyle name="표준 8 2 3 5" xfId="30402"/>
    <cellStyle name="표준 8 2 3 5 2" xfId="30403"/>
    <cellStyle name="표준 8 2 3 5 2 2" xfId="30404"/>
    <cellStyle name="표준 8 2 3 5 3" xfId="30405"/>
    <cellStyle name="표준 8 2 3 6" xfId="30406"/>
    <cellStyle name="표준 8 2 3 6 2" xfId="30407"/>
    <cellStyle name="표준 8 2 3 7" xfId="30408"/>
    <cellStyle name="표준 8 2 3 8" xfId="30409"/>
    <cellStyle name="표준 8 2 4" xfId="30410"/>
    <cellStyle name="표준 8 2 4 2" xfId="30411"/>
    <cellStyle name="표준 8 2 4 2 2" xfId="30412"/>
    <cellStyle name="표준 8 2 4 2 2 2" xfId="30413"/>
    <cellStyle name="표준 8 2 4 2 2 2 2" xfId="30414"/>
    <cellStyle name="표준 8 2 4 2 2 2 2 2" xfId="30415"/>
    <cellStyle name="표준 8 2 4 2 2 2 3" xfId="30416"/>
    <cellStyle name="표준 8 2 4 2 2 3" xfId="30417"/>
    <cellStyle name="표준 8 2 4 2 2 3 2" xfId="30418"/>
    <cellStyle name="표준 8 2 4 2 2 4" xfId="30419"/>
    <cellStyle name="표준 8 2 4 2 3" xfId="30420"/>
    <cellStyle name="표준 8 2 4 2 3 2" xfId="30421"/>
    <cellStyle name="표준 8 2 4 2 3 2 2" xfId="30422"/>
    <cellStyle name="표준 8 2 4 2 3 3" xfId="30423"/>
    <cellStyle name="표준 8 2 4 2 4" xfId="30424"/>
    <cellStyle name="표준 8 2 4 2 4 2" xfId="30425"/>
    <cellStyle name="표준 8 2 4 2 5" xfId="30426"/>
    <cellStyle name="표준 8 2 4 3" xfId="30427"/>
    <cellStyle name="표준 8 2 4 3 2" xfId="30428"/>
    <cellStyle name="표준 8 2 4 3 2 2" xfId="30429"/>
    <cellStyle name="표준 8 2 4 3 2 2 2" xfId="30430"/>
    <cellStyle name="표준 8 2 4 3 2 3" xfId="30431"/>
    <cellStyle name="표준 8 2 4 3 3" xfId="30432"/>
    <cellStyle name="표준 8 2 4 3 3 2" xfId="30433"/>
    <cellStyle name="표준 8 2 4 3 4" xfId="30434"/>
    <cellStyle name="표준 8 2 4 4" xfId="30435"/>
    <cellStyle name="표준 8 2 4 4 2" xfId="30436"/>
    <cellStyle name="표준 8 2 4 4 2 2" xfId="30437"/>
    <cellStyle name="표준 8 2 4 4 3" xfId="30438"/>
    <cellStyle name="표준 8 2 4 5" xfId="30439"/>
    <cellStyle name="표준 8 2 4 5 2" xfId="30440"/>
    <cellStyle name="표준 8 2 4 6" xfId="30441"/>
    <cellStyle name="표준 8 2 5" xfId="30442"/>
    <cellStyle name="표준 8 2 5 2" xfId="30443"/>
    <cellStyle name="표준 8 2 5 2 2" xfId="30444"/>
    <cellStyle name="표준 8 2 5 2 2 2" xfId="30445"/>
    <cellStyle name="표준 8 2 5 2 2 2 2" xfId="30446"/>
    <cellStyle name="표준 8 2 5 2 2 3" xfId="30447"/>
    <cellStyle name="표준 8 2 5 2 3" xfId="30448"/>
    <cellStyle name="표준 8 2 5 2 3 2" xfId="30449"/>
    <cellStyle name="표준 8 2 5 2 4" xfId="30450"/>
    <cellStyle name="표준 8 2 5 3" xfId="30451"/>
    <cellStyle name="표준 8 2 5 3 2" xfId="30452"/>
    <cellStyle name="표준 8 2 5 3 2 2" xfId="30453"/>
    <cellStyle name="표준 8 2 5 3 3" xfId="30454"/>
    <cellStyle name="표준 8 2 5 4" xfId="30455"/>
    <cellStyle name="표준 8 2 5 4 2" xfId="30456"/>
    <cellStyle name="표준 8 2 5 5" xfId="30457"/>
    <cellStyle name="표준 8 2 6" xfId="30458"/>
    <cellStyle name="표준 8 2 6 2" xfId="30459"/>
    <cellStyle name="표준 8 2 6 2 2" xfId="30460"/>
    <cellStyle name="표준 8 2 6 2 2 2" xfId="30461"/>
    <cellStyle name="표준 8 2 6 2 3" xfId="30462"/>
    <cellStyle name="표준 8 2 6 3" xfId="30463"/>
    <cellStyle name="표준 8 2 6 3 2" xfId="30464"/>
    <cellStyle name="표준 8 2 6 4" xfId="30465"/>
    <cellStyle name="표준 8 2 7" xfId="30466"/>
    <cellStyle name="표준 8 2 7 2" xfId="30467"/>
    <cellStyle name="표준 8 2 7 2 2" xfId="30468"/>
    <cellStyle name="표준 8 2 7 3" xfId="30469"/>
    <cellStyle name="표준 8 2 8" xfId="30470"/>
    <cellStyle name="표준 8 2 8 2" xfId="30471"/>
    <cellStyle name="표준 8 2 9" xfId="30472"/>
    <cellStyle name="표준 8 3" xfId="30473"/>
    <cellStyle name="표준 8 3 2" xfId="30474"/>
    <cellStyle name="표준 8 3 2 2" xfId="30475"/>
    <cellStyle name="표준 8 3 2 2 2" xfId="30476"/>
    <cellStyle name="표준 8 3 2 2 2 2" xfId="30477"/>
    <cellStyle name="표준 8 3 2 2 2 2 2" xfId="30478"/>
    <cellStyle name="표준 8 3 2 2 2 2 2 2" xfId="30479"/>
    <cellStyle name="표준 8 3 2 2 2 2 2 2 2" xfId="30480"/>
    <cellStyle name="표준 8 3 2 2 2 2 2 3" xfId="30481"/>
    <cellStyle name="표준 8 3 2 2 2 2 3" xfId="30482"/>
    <cellStyle name="표준 8 3 2 2 2 2 3 2" xfId="30483"/>
    <cellStyle name="표준 8 3 2 2 2 2 4" xfId="30484"/>
    <cellStyle name="표준 8 3 2 2 2 3" xfId="30485"/>
    <cellStyle name="표준 8 3 2 2 2 3 2" xfId="30486"/>
    <cellStyle name="표준 8 3 2 2 2 3 2 2" xfId="30487"/>
    <cellStyle name="표준 8 3 2 2 2 3 3" xfId="30488"/>
    <cellStyle name="표준 8 3 2 2 2 4" xfId="30489"/>
    <cellStyle name="표준 8 3 2 2 2 4 2" xfId="30490"/>
    <cellStyle name="표준 8 3 2 2 2 5" xfId="30491"/>
    <cellStyle name="표준 8 3 2 2 3" xfId="30492"/>
    <cellStyle name="표준 8 3 2 2 3 2" xfId="30493"/>
    <cellStyle name="표준 8 3 2 2 3 2 2" xfId="30494"/>
    <cellStyle name="표준 8 3 2 2 3 2 2 2" xfId="30495"/>
    <cellStyle name="표준 8 3 2 2 3 2 3" xfId="30496"/>
    <cellStyle name="표준 8 3 2 2 3 3" xfId="30497"/>
    <cellStyle name="표준 8 3 2 2 3 3 2" xfId="30498"/>
    <cellStyle name="표준 8 3 2 2 3 4" xfId="30499"/>
    <cellStyle name="표준 8 3 2 2 4" xfId="30500"/>
    <cellStyle name="표준 8 3 2 2 4 2" xfId="30501"/>
    <cellStyle name="표준 8 3 2 2 4 2 2" xfId="30502"/>
    <cellStyle name="표준 8 3 2 2 4 3" xfId="30503"/>
    <cellStyle name="표준 8 3 2 2 5" xfId="30504"/>
    <cellStyle name="표준 8 3 2 2 5 2" xfId="30505"/>
    <cellStyle name="표준 8 3 2 2 6" xfId="30506"/>
    <cellStyle name="표준 8 3 2 3" xfId="30507"/>
    <cellStyle name="표준 8 3 2 3 2" xfId="30508"/>
    <cellStyle name="표준 8 3 2 3 2 2" xfId="30509"/>
    <cellStyle name="표준 8 3 2 3 2 2 2" xfId="30510"/>
    <cellStyle name="표준 8 3 2 3 2 2 2 2" xfId="30511"/>
    <cellStyle name="표준 8 3 2 3 2 2 3" xfId="30512"/>
    <cellStyle name="표준 8 3 2 3 2 3" xfId="30513"/>
    <cellStyle name="표준 8 3 2 3 2 3 2" xfId="30514"/>
    <cellStyle name="표준 8 3 2 3 2 4" xfId="30515"/>
    <cellStyle name="표준 8 3 2 3 3" xfId="30516"/>
    <cellStyle name="표준 8 3 2 3 3 2" xfId="30517"/>
    <cellStyle name="표준 8 3 2 3 3 2 2" xfId="30518"/>
    <cellStyle name="표준 8 3 2 3 3 3" xfId="30519"/>
    <cellStyle name="표준 8 3 2 3 4" xfId="30520"/>
    <cellStyle name="표준 8 3 2 3 4 2" xfId="30521"/>
    <cellStyle name="표준 8 3 2 3 5" xfId="30522"/>
    <cellStyle name="표준 8 3 2 4" xfId="30523"/>
    <cellStyle name="표준 8 3 2 4 2" xfId="30524"/>
    <cellStyle name="표준 8 3 2 4 2 2" xfId="30525"/>
    <cellStyle name="표준 8 3 2 4 2 2 2" xfId="30526"/>
    <cellStyle name="표준 8 3 2 4 2 3" xfId="30527"/>
    <cellStyle name="표준 8 3 2 4 3" xfId="30528"/>
    <cellStyle name="표준 8 3 2 4 3 2" xfId="30529"/>
    <cellStyle name="표준 8 3 2 4 4" xfId="30530"/>
    <cellStyle name="표준 8 3 2 5" xfId="30531"/>
    <cellStyle name="표준 8 3 2 5 2" xfId="30532"/>
    <cellStyle name="표준 8 3 2 5 2 2" xfId="30533"/>
    <cellStyle name="표준 8 3 2 5 3" xfId="30534"/>
    <cellStyle name="표준 8 3 2 6" xfId="30535"/>
    <cellStyle name="표준 8 3 2 6 2" xfId="30536"/>
    <cellStyle name="표준 8 3 2 7" xfId="30537"/>
    <cellStyle name="표준 8 3 2 8" xfId="30538"/>
    <cellStyle name="표준 8 3 3" xfId="30539"/>
    <cellStyle name="표준 8 3 3 2" xfId="30540"/>
    <cellStyle name="표준 8 3 3 2 2" xfId="30541"/>
    <cellStyle name="표준 8 3 3 2 2 2" xfId="30542"/>
    <cellStyle name="표준 8 3 3 2 2 2 2" xfId="30543"/>
    <cellStyle name="표준 8 3 3 2 2 2 2 2" xfId="30544"/>
    <cellStyle name="표준 8 3 3 2 2 2 3" xfId="30545"/>
    <cellStyle name="표준 8 3 3 2 2 3" xfId="30546"/>
    <cellStyle name="표준 8 3 3 2 2 3 2" xfId="30547"/>
    <cellStyle name="표준 8 3 3 2 2 4" xfId="30548"/>
    <cellStyle name="표준 8 3 3 2 3" xfId="30549"/>
    <cellStyle name="표준 8 3 3 2 3 2" xfId="30550"/>
    <cellStyle name="표준 8 3 3 2 3 2 2" xfId="30551"/>
    <cellStyle name="표준 8 3 3 2 3 3" xfId="30552"/>
    <cellStyle name="표준 8 3 3 2 4" xfId="30553"/>
    <cellStyle name="표준 8 3 3 2 4 2" xfId="30554"/>
    <cellStyle name="표준 8 3 3 2 5" xfId="30555"/>
    <cellStyle name="표준 8 3 3 3" xfId="30556"/>
    <cellStyle name="표준 8 3 3 3 2" xfId="30557"/>
    <cellStyle name="표준 8 3 3 3 2 2" xfId="30558"/>
    <cellStyle name="표준 8 3 3 3 2 2 2" xfId="30559"/>
    <cellStyle name="표준 8 3 3 3 2 3" xfId="30560"/>
    <cellStyle name="표준 8 3 3 3 3" xfId="30561"/>
    <cellStyle name="표준 8 3 3 3 3 2" xfId="30562"/>
    <cellStyle name="표준 8 3 3 3 4" xfId="30563"/>
    <cellStyle name="표준 8 3 3 4" xfId="30564"/>
    <cellStyle name="표준 8 3 3 4 2" xfId="30565"/>
    <cellStyle name="표준 8 3 3 4 2 2" xfId="30566"/>
    <cellStyle name="표준 8 3 3 4 3" xfId="30567"/>
    <cellStyle name="표준 8 3 3 5" xfId="30568"/>
    <cellStyle name="표준 8 3 3 5 2" xfId="30569"/>
    <cellStyle name="표준 8 3 3 6" xfId="30570"/>
    <cellStyle name="표준 8 3 4" xfId="30571"/>
    <cellStyle name="표준 8 3 4 2" xfId="30572"/>
    <cellStyle name="표준 8 3 4 2 2" xfId="30573"/>
    <cellStyle name="표준 8 3 4 2 2 2" xfId="30574"/>
    <cellStyle name="표준 8 3 4 2 2 2 2" xfId="30575"/>
    <cellStyle name="표준 8 3 4 2 2 3" xfId="30576"/>
    <cellStyle name="표준 8 3 4 2 3" xfId="30577"/>
    <cellStyle name="표준 8 3 4 2 3 2" xfId="30578"/>
    <cellStyle name="표준 8 3 4 2 4" xfId="30579"/>
    <cellStyle name="표준 8 3 4 3" xfId="30580"/>
    <cellStyle name="표준 8 3 4 3 2" xfId="30581"/>
    <cellStyle name="표준 8 3 4 3 2 2" xfId="30582"/>
    <cellStyle name="표준 8 3 4 3 3" xfId="30583"/>
    <cellStyle name="표준 8 3 4 4" xfId="30584"/>
    <cellStyle name="표준 8 3 4 4 2" xfId="30585"/>
    <cellStyle name="표준 8 3 4 5" xfId="30586"/>
    <cellStyle name="표준 8 3 5" xfId="30587"/>
    <cellStyle name="표준 8 3 5 2" xfId="30588"/>
    <cellStyle name="표준 8 3 5 2 2" xfId="30589"/>
    <cellStyle name="표준 8 3 5 2 2 2" xfId="30590"/>
    <cellStyle name="표준 8 3 5 2 3" xfId="30591"/>
    <cellStyle name="표준 8 3 5 3" xfId="30592"/>
    <cellStyle name="표준 8 3 5 3 2" xfId="30593"/>
    <cellStyle name="표준 8 3 5 4" xfId="30594"/>
    <cellStyle name="표준 8 3 6" xfId="30595"/>
    <cellStyle name="표준 8 3 6 2" xfId="30596"/>
    <cellStyle name="표준 8 3 6 2 2" xfId="30597"/>
    <cellStyle name="표준 8 3 6 3" xfId="30598"/>
    <cellStyle name="표준 8 3 7" xfId="30599"/>
    <cellStyle name="표준 8 3 7 2" xfId="30600"/>
    <cellStyle name="표준 8 3 8" xfId="30601"/>
    <cellStyle name="표준 8 3 9" xfId="30602"/>
    <cellStyle name="표준 8 4" xfId="30603"/>
    <cellStyle name="표준 8 4 2" xfId="30604"/>
    <cellStyle name="표준 8 4 2 2" xfId="30605"/>
    <cellStyle name="표준 8 4 2 2 2" xfId="30606"/>
    <cellStyle name="표준 8 4 2 2 2 2" xfId="30607"/>
    <cellStyle name="표준 8 4 2 2 2 2 2" xfId="30608"/>
    <cellStyle name="표준 8 4 2 2 2 2 2 2" xfId="30609"/>
    <cellStyle name="표준 8 4 2 2 2 2 3" xfId="30610"/>
    <cellStyle name="표준 8 4 2 2 2 3" xfId="30611"/>
    <cellStyle name="표준 8 4 2 2 2 3 2" xfId="30612"/>
    <cellStyle name="표준 8 4 2 2 2 4" xfId="30613"/>
    <cellStyle name="표준 8 4 2 2 3" xfId="30614"/>
    <cellStyle name="표준 8 4 2 2 3 2" xfId="30615"/>
    <cellStyle name="표준 8 4 2 2 3 2 2" xfId="30616"/>
    <cellStyle name="표준 8 4 2 2 3 3" xfId="30617"/>
    <cellStyle name="표준 8 4 2 2 4" xfId="30618"/>
    <cellStyle name="표준 8 4 2 2 4 2" xfId="30619"/>
    <cellStyle name="표준 8 4 2 2 5" xfId="30620"/>
    <cellStyle name="표준 8 4 2 3" xfId="30621"/>
    <cellStyle name="표준 8 4 2 3 2" xfId="30622"/>
    <cellStyle name="표준 8 4 2 3 2 2" xfId="30623"/>
    <cellStyle name="표준 8 4 2 3 2 2 2" xfId="30624"/>
    <cellStyle name="표준 8 4 2 3 2 3" xfId="30625"/>
    <cellStyle name="표준 8 4 2 3 3" xfId="30626"/>
    <cellStyle name="표준 8 4 2 3 3 2" xfId="30627"/>
    <cellStyle name="표준 8 4 2 3 4" xfId="30628"/>
    <cellStyle name="표준 8 4 2 4" xfId="30629"/>
    <cellStyle name="표준 8 4 2 4 2" xfId="30630"/>
    <cellStyle name="표준 8 4 2 4 2 2" xfId="30631"/>
    <cellStyle name="표준 8 4 2 4 3" xfId="30632"/>
    <cellStyle name="표준 8 4 2 5" xfId="30633"/>
    <cellStyle name="표준 8 4 2 5 2" xfId="30634"/>
    <cellStyle name="표준 8 4 2 6" xfId="30635"/>
    <cellStyle name="표준 8 4 3" xfId="30636"/>
    <cellStyle name="표준 8 4 3 2" xfId="30637"/>
    <cellStyle name="표준 8 4 3 2 2" xfId="30638"/>
    <cellStyle name="표준 8 4 3 2 2 2" xfId="30639"/>
    <cellStyle name="표준 8 4 3 2 2 2 2" xfId="30640"/>
    <cellStyle name="표준 8 4 3 2 2 3" xfId="30641"/>
    <cellStyle name="표준 8 4 3 2 3" xfId="30642"/>
    <cellStyle name="표준 8 4 3 2 3 2" xfId="30643"/>
    <cellStyle name="표준 8 4 3 2 4" xfId="30644"/>
    <cellStyle name="표준 8 4 3 3" xfId="30645"/>
    <cellStyle name="표준 8 4 3 3 2" xfId="30646"/>
    <cellStyle name="표준 8 4 3 3 2 2" xfId="30647"/>
    <cellStyle name="표준 8 4 3 3 3" xfId="30648"/>
    <cellStyle name="표준 8 4 3 4" xfId="30649"/>
    <cellStyle name="표준 8 4 3 4 2" xfId="30650"/>
    <cellStyle name="표준 8 4 3 5" xfId="30651"/>
    <cellStyle name="표준 8 4 4" xfId="30652"/>
    <cellStyle name="표준 8 4 4 2" xfId="30653"/>
    <cellStyle name="표준 8 4 4 2 2" xfId="30654"/>
    <cellStyle name="표준 8 4 4 2 2 2" xfId="30655"/>
    <cellStyle name="표준 8 4 4 2 3" xfId="30656"/>
    <cellStyle name="표준 8 4 4 3" xfId="30657"/>
    <cellStyle name="표준 8 4 4 3 2" xfId="30658"/>
    <cellStyle name="표준 8 4 4 4" xfId="30659"/>
    <cellStyle name="표준 8 4 5" xfId="30660"/>
    <cellStyle name="표준 8 4 5 2" xfId="30661"/>
    <cellStyle name="표준 8 4 5 2 2" xfId="30662"/>
    <cellStyle name="표준 8 4 5 3" xfId="30663"/>
    <cellStyle name="표준 8 4 6" xfId="30664"/>
    <cellStyle name="표준 8 4 6 2" xfId="30665"/>
    <cellStyle name="표준 8 4 7" xfId="30666"/>
    <cellStyle name="표준 8 4 8" xfId="30667"/>
    <cellStyle name="표준 8 5" xfId="30668"/>
    <cellStyle name="표준 8 5 2" xfId="30669"/>
    <cellStyle name="표준 8 5 2 2" xfId="30670"/>
    <cellStyle name="표준 8 5 2 2 2" xfId="30671"/>
    <cellStyle name="표준 8 5 2 2 2 2" xfId="30672"/>
    <cellStyle name="표준 8 5 2 2 2 2 2" xfId="30673"/>
    <cellStyle name="표준 8 5 2 2 2 3" xfId="30674"/>
    <cellStyle name="표준 8 5 2 2 3" xfId="30675"/>
    <cellStyle name="표준 8 5 2 2 3 2" xfId="30676"/>
    <cellStyle name="표준 8 5 2 2 4" xfId="30677"/>
    <cellStyle name="표준 8 5 2 3" xfId="30678"/>
    <cellStyle name="표준 8 5 2 3 2" xfId="30679"/>
    <cellStyle name="표준 8 5 2 3 2 2" xfId="30680"/>
    <cellStyle name="표준 8 5 2 3 3" xfId="30681"/>
    <cellStyle name="표준 8 5 2 4" xfId="30682"/>
    <cellStyle name="표준 8 5 2 4 2" xfId="30683"/>
    <cellStyle name="표준 8 5 2 5" xfId="30684"/>
    <cellStyle name="표준 8 5 3" xfId="30685"/>
    <cellStyle name="표준 8 5 3 2" xfId="30686"/>
    <cellStyle name="표준 8 5 3 2 2" xfId="30687"/>
    <cellStyle name="표준 8 5 3 2 2 2" xfId="30688"/>
    <cellStyle name="표준 8 5 3 2 3" xfId="30689"/>
    <cellStyle name="표준 8 5 3 3" xfId="30690"/>
    <cellStyle name="표준 8 5 3 3 2" xfId="30691"/>
    <cellStyle name="표준 8 5 3 4" xfId="30692"/>
    <cellStyle name="표준 8 5 4" xfId="30693"/>
    <cellStyle name="표준 8 5 4 2" xfId="30694"/>
    <cellStyle name="표준 8 5 4 2 2" xfId="30695"/>
    <cellStyle name="표준 8 5 4 3" xfId="30696"/>
    <cellStyle name="표준 8 5 5" xfId="30697"/>
    <cellStyle name="표준 8 5 5 2" xfId="30698"/>
    <cellStyle name="표준 8 5 6" xfId="30699"/>
    <cellStyle name="표준 8 6" xfId="30700"/>
    <cellStyle name="표준 8 6 2" xfId="30701"/>
    <cellStyle name="표준 8 6 2 2" xfId="30702"/>
    <cellStyle name="표준 8 6 2 2 2" xfId="30703"/>
    <cellStyle name="표준 8 6 2 2 2 2" xfId="30704"/>
    <cellStyle name="표준 8 6 2 2 3" xfId="30705"/>
    <cellStyle name="표준 8 6 2 3" xfId="30706"/>
    <cellStyle name="표준 8 6 2 3 2" xfId="30707"/>
    <cellStyle name="표준 8 6 2 4" xfId="30708"/>
    <cellStyle name="표준 8 6 3" xfId="30709"/>
    <cellStyle name="표준 8 6 3 2" xfId="30710"/>
    <cellStyle name="표준 8 6 3 2 2" xfId="30711"/>
    <cellStyle name="표준 8 6 3 3" xfId="30712"/>
    <cellStyle name="표준 8 6 4" xfId="30713"/>
    <cellStyle name="표준 8 6 4 2" xfId="30714"/>
    <cellStyle name="표준 8 6 5" xfId="30715"/>
    <cellStyle name="표준 8 7" xfId="30716"/>
    <cellStyle name="표준 8 7 2" xfId="30717"/>
    <cellStyle name="표준 8 7 2 2" xfId="30718"/>
    <cellStyle name="표준 8 7 2 2 2" xfId="30719"/>
    <cellStyle name="표준 8 7 2 3" xfId="30720"/>
    <cellStyle name="표준 8 7 3" xfId="30721"/>
    <cellStyle name="표준 8 7 3 2" xfId="30722"/>
    <cellStyle name="표준 8 7 4" xfId="30723"/>
    <cellStyle name="표준 8 8" xfId="30724"/>
    <cellStyle name="표준 8 8 2" xfId="30725"/>
    <cellStyle name="표준 8 8 2 2" xfId="30726"/>
    <cellStyle name="표준 8 8 3" xfId="30727"/>
    <cellStyle name="표준 8 9" xfId="30728"/>
    <cellStyle name="표준 8 9 2" xfId="30729"/>
    <cellStyle name="표준 9" xfId="46"/>
    <cellStyle name="표준 9 10" xfId="30730"/>
    <cellStyle name="표준 9 11" xfId="30731"/>
    <cellStyle name="표준 9 2" xfId="30732"/>
    <cellStyle name="표준 9 2 10" xfId="30733"/>
    <cellStyle name="표준 9 2 2" xfId="30734"/>
    <cellStyle name="표준 9 2 2 2" xfId="30735"/>
    <cellStyle name="표준 9 2 2 2 2" xfId="30736"/>
    <cellStyle name="표준 9 2 2 2 2 2" xfId="30737"/>
    <cellStyle name="표준 9 2 2 2 2 2 2" xfId="30738"/>
    <cellStyle name="표준 9 2 2 2 2 2 2 2" xfId="30739"/>
    <cellStyle name="표준 9 2 2 2 2 2 2 2 2" xfId="30740"/>
    <cellStyle name="표준 9 2 2 2 2 2 2 2 2 2" xfId="30741"/>
    <cellStyle name="표준 9 2 2 2 2 2 2 2 3" xfId="30742"/>
    <cellStyle name="표준 9 2 2 2 2 2 2 3" xfId="30743"/>
    <cellStyle name="표준 9 2 2 2 2 2 2 3 2" xfId="30744"/>
    <cellStyle name="표준 9 2 2 2 2 2 2 4" xfId="30745"/>
    <cellStyle name="표준 9 2 2 2 2 2 3" xfId="30746"/>
    <cellStyle name="표준 9 2 2 2 2 2 3 2" xfId="30747"/>
    <cellStyle name="표준 9 2 2 2 2 2 3 2 2" xfId="30748"/>
    <cellStyle name="표준 9 2 2 2 2 2 3 3" xfId="30749"/>
    <cellStyle name="표준 9 2 2 2 2 2 4" xfId="30750"/>
    <cellStyle name="표준 9 2 2 2 2 2 4 2" xfId="30751"/>
    <cellStyle name="표준 9 2 2 2 2 2 5" xfId="30752"/>
    <cellStyle name="표준 9 2 2 2 2 3" xfId="30753"/>
    <cellStyle name="표준 9 2 2 2 2 3 2" xfId="30754"/>
    <cellStyle name="표준 9 2 2 2 2 3 2 2" xfId="30755"/>
    <cellStyle name="표준 9 2 2 2 2 3 2 2 2" xfId="30756"/>
    <cellStyle name="표준 9 2 2 2 2 3 2 3" xfId="30757"/>
    <cellStyle name="표준 9 2 2 2 2 3 3" xfId="30758"/>
    <cellStyle name="표준 9 2 2 2 2 3 3 2" xfId="30759"/>
    <cellStyle name="표준 9 2 2 2 2 3 4" xfId="30760"/>
    <cellStyle name="표준 9 2 2 2 2 4" xfId="30761"/>
    <cellStyle name="표준 9 2 2 2 2 4 2" xfId="30762"/>
    <cellStyle name="표준 9 2 2 2 2 4 2 2" xfId="30763"/>
    <cellStyle name="표준 9 2 2 2 2 4 3" xfId="30764"/>
    <cellStyle name="표준 9 2 2 2 2 5" xfId="30765"/>
    <cellStyle name="표준 9 2 2 2 2 5 2" xfId="30766"/>
    <cellStyle name="표준 9 2 2 2 2 6" xfId="30767"/>
    <cellStyle name="표준 9 2 2 2 3" xfId="30768"/>
    <cellStyle name="표준 9 2 2 2 3 2" xfId="30769"/>
    <cellStyle name="표준 9 2 2 2 3 2 2" xfId="30770"/>
    <cellStyle name="표준 9 2 2 2 3 2 2 2" xfId="30771"/>
    <cellStyle name="표준 9 2 2 2 3 2 2 2 2" xfId="30772"/>
    <cellStyle name="표준 9 2 2 2 3 2 2 3" xfId="30773"/>
    <cellStyle name="표준 9 2 2 2 3 2 3" xfId="30774"/>
    <cellStyle name="표준 9 2 2 2 3 2 3 2" xfId="30775"/>
    <cellStyle name="표준 9 2 2 2 3 2 4" xfId="30776"/>
    <cellStyle name="표준 9 2 2 2 3 3" xfId="30777"/>
    <cellStyle name="표준 9 2 2 2 3 3 2" xfId="30778"/>
    <cellStyle name="표준 9 2 2 2 3 3 2 2" xfId="30779"/>
    <cellStyle name="표준 9 2 2 2 3 3 3" xfId="30780"/>
    <cellStyle name="표준 9 2 2 2 3 4" xfId="30781"/>
    <cellStyle name="표준 9 2 2 2 3 4 2" xfId="30782"/>
    <cellStyle name="표준 9 2 2 2 3 5" xfId="30783"/>
    <cellStyle name="표준 9 2 2 2 4" xfId="30784"/>
    <cellStyle name="표준 9 2 2 2 4 2" xfId="30785"/>
    <cellStyle name="표준 9 2 2 2 4 2 2" xfId="30786"/>
    <cellStyle name="표준 9 2 2 2 4 2 2 2" xfId="30787"/>
    <cellStyle name="표준 9 2 2 2 4 2 3" xfId="30788"/>
    <cellStyle name="표준 9 2 2 2 4 3" xfId="30789"/>
    <cellStyle name="표준 9 2 2 2 4 3 2" xfId="30790"/>
    <cellStyle name="표준 9 2 2 2 4 4" xfId="30791"/>
    <cellStyle name="표준 9 2 2 2 5" xfId="30792"/>
    <cellStyle name="표준 9 2 2 2 5 2" xfId="30793"/>
    <cellStyle name="표준 9 2 2 2 5 2 2" xfId="30794"/>
    <cellStyle name="표준 9 2 2 2 5 3" xfId="30795"/>
    <cellStyle name="표준 9 2 2 2 6" xfId="30796"/>
    <cellStyle name="표준 9 2 2 2 6 2" xfId="30797"/>
    <cellStyle name="표준 9 2 2 2 7" xfId="30798"/>
    <cellStyle name="표준 9 2 2 2 8" xfId="30799"/>
    <cellStyle name="표준 9 2 2 3" xfId="30800"/>
    <cellStyle name="표준 9 2 2 3 2" xfId="30801"/>
    <cellStyle name="표준 9 2 2 3 2 2" xfId="30802"/>
    <cellStyle name="표준 9 2 2 3 2 2 2" xfId="30803"/>
    <cellStyle name="표준 9 2 2 3 2 2 2 2" xfId="30804"/>
    <cellStyle name="표준 9 2 2 3 2 2 2 2 2" xfId="30805"/>
    <cellStyle name="표준 9 2 2 3 2 2 2 3" xfId="30806"/>
    <cellStyle name="표준 9 2 2 3 2 2 3" xfId="30807"/>
    <cellStyle name="표준 9 2 2 3 2 2 3 2" xfId="30808"/>
    <cellStyle name="표준 9 2 2 3 2 2 4" xfId="30809"/>
    <cellStyle name="표준 9 2 2 3 2 3" xfId="30810"/>
    <cellStyle name="표준 9 2 2 3 2 3 2" xfId="30811"/>
    <cellStyle name="표준 9 2 2 3 2 3 2 2" xfId="30812"/>
    <cellStyle name="표준 9 2 2 3 2 3 3" xfId="30813"/>
    <cellStyle name="표준 9 2 2 3 2 4" xfId="30814"/>
    <cellStyle name="표준 9 2 2 3 2 4 2" xfId="30815"/>
    <cellStyle name="표준 9 2 2 3 2 5" xfId="30816"/>
    <cellStyle name="표준 9 2 2 3 3" xfId="30817"/>
    <cellStyle name="표준 9 2 2 3 3 2" xfId="30818"/>
    <cellStyle name="표준 9 2 2 3 3 2 2" xfId="30819"/>
    <cellStyle name="표준 9 2 2 3 3 2 2 2" xfId="30820"/>
    <cellStyle name="표준 9 2 2 3 3 2 3" xfId="30821"/>
    <cellStyle name="표준 9 2 2 3 3 3" xfId="30822"/>
    <cellStyle name="표준 9 2 2 3 3 3 2" xfId="30823"/>
    <cellStyle name="표준 9 2 2 3 3 4" xfId="30824"/>
    <cellStyle name="표준 9 2 2 3 4" xfId="30825"/>
    <cellStyle name="표준 9 2 2 3 4 2" xfId="30826"/>
    <cellStyle name="표준 9 2 2 3 4 2 2" xfId="30827"/>
    <cellStyle name="표준 9 2 2 3 4 3" xfId="30828"/>
    <cellStyle name="표준 9 2 2 3 5" xfId="30829"/>
    <cellStyle name="표준 9 2 2 3 5 2" xfId="30830"/>
    <cellStyle name="표준 9 2 2 3 6" xfId="30831"/>
    <cellStyle name="표준 9 2 2 4" xfId="30832"/>
    <cellStyle name="표준 9 2 2 4 2" xfId="30833"/>
    <cellStyle name="표준 9 2 2 4 2 2" xfId="30834"/>
    <cellStyle name="표준 9 2 2 4 2 2 2" xfId="30835"/>
    <cellStyle name="표준 9 2 2 4 2 2 2 2" xfId="30836"/>
    <cellStyle name="표준 9 2 2 4 2 2 3" xfId="30837"/>
    <cellStyle name="표준 9 2 2 4 2 3" xfId="30838"/>
    <cellStyle name="표준 9 2 2 4 2 3 2" xfId="30839"/>
    <cellStyle name="표준 9 2 2 4 2 4" xfId="30840"/>
    <cellStyle name="표준 9 2 2 4 3" xfId="30841"/>
    <cellStyle name="표준 9 2 2 4 3 2" xfId="30842"/>
    <cellStyle name="표준 9 2 2 4 3 2 2" xfId="30843"/>
    <cellStyle name="표준 9 2 2 4 3 3" xfId="30844"/>
    <cellStyle name="표준 9 2 2 4 4" xfId="30845"/>
    <cellStyle name="표준 9 2 2 4 4 2" xfId="30846"/>
    <cellStyle name="표준 9 2 2 4 5" xfId="30847"/>
    <cellStyle name="표준 9 2 2 5" xfId="30848"/>
    <cellStyle name="표준 9 2 2 5 2" xfId="30849"/>
    <cellStyle name="표준 9 2 2 5 2 2" xfId="30850"/>
    <cellStyle name="표준 9 2 2 5 2 2 2" xfId="30851"/>
    <cellStyle name="표준 9 2 2 5 2 3" xfId="30852"/>
    <cellStyle name="표준 9 2 2 5 3" xfId="30853"/>
    <cellStyle name="표준 9 2 2 5 3 2" xfId="30854"/>
    <cellStyle name="표준 9 2 2 5 4" xfId="30855"/>
    <cellStyle name="표준 9 2 2 6" xfId="30856"/>
    <cellStyle name="표준 9 2 2 6 2" xfId="30857"/>
    <cellStyle name="표준 9 2 2 6 2 2" xfId="30858"/>
    <cellStyle name="표준 9 2 2 6 3" xfId="30859"/>
    <cellStyle name="표준 9 2 2 7" xfId="30860"/>
    <cellStyle name="표준 9 2 2 7 2" xfId="30861"/>
    <cellStyle name="표준 9 2 2 8" xfId="30862"/>
    <cellStyle name="표준 9 2 2 9" xfId="30863"/>
    <cellStyle name="표준 9 2 3" xfId="30864"/>
    <cellStyle name="표준 9 2 3 2" xfId="30865"/>
    <cellStyle name="표준 9 2 3 2 2" xfId="30866"/>
    <cellStyle name="표준 9 2 3 2 2 2" xfId="30867"/>
    <cellStyle name="표준 9 2 3 2 2 2 2" xfId="30868"/>
    <cellStyle name="표준 9 2 3 2 2 2 2 2" xfId="30869"/>
    <cellStyle name="표준 9 2 3 2 2 2 2 2 2" xfId="30870"/>
    <cellStyle name="표준 9 2 3 2 2 2 2 3" xfId="30871"/>
    <cellStyle name="표준 9 2 3 2 2 2 3" xfId="30872"/>
    <cellStyle name="표준 9 2 3 2 2 2 3 2" xfId="30873"/>
    <cellStyle name="표준 9 2 3 2 2 2 4" xfId="30874"/>
    <cellStyle name="표준 9 2 3 2 2 3" xfId="30875"/>
    <cellStyle name="표준 9 2 3 2 2 3 2" xfId="30876"/>
    <cellStyle name="표준 9 2 3 2 2 3 2 2" xfId="30877"/>
    <cellStyle name="표준 9 2 3 2 2 3 3" xfId="30878"/>
    <cellStyle name="표준 9 2 3 2 2 4" xfId="30879"/>
    <cellStyle name="표준 9 2 3 2 2 4 2" xfId="30880"/>
    <cellStyle name="표준 9 2 3 2 2 5" xfId="30881"/>
    <cellStyle name="표준 9 2 3 2 3" xfId="30882"/>
    <cellStyle name="표준 9 2 3 2 3 2" xfId="30883"/>
    <cellStyle name="표준 9 2 3 2 3 2 2" xfId="30884"/>
    <cellStyle name="표준 9 2 3 2 3 2 2 2" xfId="30885"/>
    <cellStyle name="표준 9 2 3 2 3 2 3" xfId="30886"/>
    <cellStyle name="표준 9 2 3 2 3 3" xfId="30887"/>
    <cellStyle name="표준 9 2 3 2 3 3 2" xfId="30888"/>
    <cellStyle name="표준 9 2 3 2 3 4" xfId="30889"/>
    <cellStyle name="표준 9 2 3 2 4" xfId="30890"/>
    <cellStyle name="표준 9 2 3 2 4 2" xfId="30891"/>
    <cellStyle name="표준 9 2 3 2 4 2 2" xfId="30892"/>
    <cellStyle name="표준 9 2 3 2 4 3" xfId="30893"/>
    <cellStyle name="표준 9 2 3 2 5" xfId="30894"/>
    <cellStyle name="표준 9 2 3 2 5 2" xfId="30895"/>
    <cellStyle name="표준 9 2 3 2 6" xfId="30896"/>
    <cellStyle name="표준 9 2 3 3" xfId="30897"/>
    <cellStyle name="표준 9 2 3 3 2" xfId="30898"/>
    <cellStyle name="표준 9 2 3 3 2 2" xfId="30899"/>
    <cellStyle name="표준 9 2 3 3 2 2 2" xfId="30900"/>
    <cellStyle name="표준 9 2 3 3 2 2 2 2" xfId="30901"/>
    <cellStyle name="표준 9 2 3 3 2 2 3" xfId="30902"/>
    <cellStyle name="표준 9 2 3 3 2 3" xfId="30903"/>
    <cellStyle name="표준 9 2 3 3 2 3 2" xfId="30904"/>
    <cellStyle name="표준 9 2 3 3 2 4" xfId="30905"/>
    <cellStyle name="표준 9 2 3 3 3" xfId="30906"/>
    <cellStyle name="표준 9 2 3 3 3 2" xfId="30907"/>
    <cellStyle name="표준 9 2 3 3 3 2 2" xfId="30908"/>
    <cellStyle name="표준 9 2 3 3 3 3" xfId="30909"/>
    <cellStyle name="표준 9 2 3 3 4" xfId="30910"/>
    <cellStyle name="표준 9 2 3 3 4 2" xfId="30911"/>
    <cellStyle name="표준 9 2 3 3 5" xfId="30912"/>
    <cellStyle name="표준 9 2 3 4" xfId="30913"/>
    <cellStyle name="표준 9 2 3 4 2" xfId="30914"/>
    <cellStyle name="표준 9 2 3 4 2 2" xfId="30915"/>
    <cellStyle name="표준 9 2 3 4 2 2 2" xfId="30916"/>
    <cellStyle name="표준 9 2 3 4 2 3" xfId="30917"/>
    <cellStyle name="표준 9 2 3 4 3" xfId="30918"/>
    <cellStyle name="표준 9 2 3 4 3 2" xfId="30919"/>
    <cellStyle name="표준 9 2 3 4 4" xfId="30920"/>
    <cellStyle name="표준 9 2 3 5" xfId="30921"/>
    <cellStyle name="표준 9 2 3 5 2" xfId="30922"/>
    <cellStyle name="표준 9 2 3 5 2 2" xfId="30923"/>
    <cellStyle name="표준 9 2 3 5 3" xfId="30924"/>
    <cellStyle name="표준 9 2 3 6" xfId="30925"/>
    <cellStyle name="표준 9 2 3 6 2" xfId="30926"/>
    <cellStyle name="표준 9 2 3 7" xfId="30927"/>
    <cellStyle name="표준 9 2 3 8" xfId="30928"/>
    <cellStyle name="표준 9 2 4" xfId="30929"/>
    <cellStyle name="표준 9 2 4 2" xfId="30930"/>
    <cellStyle name="표준 9 2 4 2 2" xfId="30931"/>
    <cellStyle name="표준 9 2 4 2 2 2" xfId="30932"/>
    <cellStyle name="표준 9 2 4 2 2 2 2" xfId="30933"/>
    <cellStyle name="표준 9 2 4 2 2 2 2 2" xfId="30934"/>
    <cellStyle name="표준 9 2 4 2 2 2 3" xfId="30935"/>
    <cellStyle name="표준 9 2 4 2 2 3" xfId="30936"/>
    <cellStyle name="표준 9 2 4 2 2 3 2" xfId="30937"/>
    <cellStyle name="표준 9 2 4 2 2 4" xfId="30938"/>
    <cellStyle name="표준 9 2 4 2 3" xfId="30939"/>
    <cellStyle name="표준 9 2 4 2 3 2" xfId="30940"/>
    <cellStyle name="표준 9 2 4 2 3 2 2" xfId="30941"/>
    <cellStyle name="표준 9 2 4 2 3 3" xfId="30942"/>
    <cellStyle name="표준 9 2 4 2 4" xfId="30943"/>
    <cellStyle name="표준 9 2 4 2 4 2" xfId="30944"/>
    <cellStyle name="표준 9 2 4 2 5" xfId="30945"/>
    <cellStyle name="표준 9 2 4 3" xfId="30946"/>
    <cellStyle name="표준 9 2 4 3 2" xfId="30947"/>
    <cellStyle name="표준 9 2 4 3 2 2" xfId="30948"/>
    <cellStyle name="표준 9 2 4 3 2 2 2" xfId="30949"/>
    <cellStyle name="표준 9 2 4 3 2 3" xfId="30950"/>
    <cellStyle name="표준 9 2 4 3 3" xfId="30951"/>
    <cellStyle name="표준 9 2 4 3 3 2" xfId="30952"/>
    <cellStyle name="표준 9 2 4 3 4" xfId="30953"/>
    <cellStyle name="표준 9 2 4 4" xfId="30954"/>
    <cellStyle name="표준 9 2 4 4 2" xfId="30955"/>
    <cellStyle name="표준 9 2 4 4 2 2" xfId="30956"/>
    <cellStyle name="표준 9 2 4 4 3" xfId="30957"/>
    <cellStyle name="표준 9 2 4 5" xfId="30958"/>
    <cellStyle name="표준 9 2 4 5 2" xfId="30959"/>
    <cellStyle name="표준 9 2 4 6" xfId="30960"/>
    <cellStyle name="표준 9 2 5" xfId="30961"/>
    <cellStyle name="표준 9 2 5 2" xfId="30962"/>
    <cellStyle name="표준 9 2 5 2 2" xfId="30963"/>
    <cellStyle name="표준 9 2 5 2 2 2" xfId="30964"/>
    <cellStyle name="표준 9 2 5 2 2 2 2" xfId="30965"/>
    <cellStyle name="표준 9 2 5 2 2 3" xfId="30966"/>
    <cellStyle name="표준 9 2 5 2 3" xfId="30967"/>
    <cellStyle name="표준 9 2 5 2 3 2" xfId="30968"/>
    <cellStyle name="표준 9 2 5 2 4" xfId="30969"/>
    <cellStyle name="표준 9 2 5 3" xfId="30970"/>
    <cellStyle name="표준 9 2 5 3 2" xfId="30971"/>
    <cellStyle name="표준 9 2 5 3 2 2" xfId="30972"/>
    <cellStyle name="표준 9 2 5 3 3" xfId="30973"/>
    <cellStyle name="표준 9 2 5 4" xfId="30974"/>
    <cellStyle name="표준 9 2 5 4 2" xfId="30975"/>
    <cellStyle name="표준 9 2 5 5" xfId="30976"/>
    <cellStyle name="표준 9 2 6" xfId="30977"/>
    <cellStyle name="표준 9 2 6 2" xfId="30978"/>
    <cellStyle name="표준 9 2 6 2 2" xfId="30979"/>
    <cellStyle name="표준 9 2 6 2 2 2" xfId="30980"/>
    <cellStyle name="표준 9 2 6 2 3" xfId="30981"/>
    <cellStyle name="표준 9 2 6 3" xfId="30982"/>
    <cellStyle name="표준 9 2 6 3 2" xfId="30983"/>
    <cellStyle name="표준 9 2 6 4" xfId="30984"/>
    <cellStyle name="표준 9 2 7" xfId="30985"/>
    <cellStyle name="표준 9 2 7 2" xfId="30986"/>
    <cellStyle name="표준 9 2 7 2 2" xfId="30987"/>
    <cellStyle name="표준 9 2 7 3" xfId="30988"/>
    <cellStyle name="표준 9 2 8" xfId="30989"/>
    <cellStyle name="표준 9 2 8 2" xfId="30990"/>
    <cellStyle name="표준 9 2 9" xfId="30991"/>
    <cellStyle name="표준 9 3" xfId="30992"/>
    <cellStyle name="표준 9 3 2" xfId="30993"/>
    <cellStyle name="표준 9 3 2 2" xfId="30994"/>
    <cellStyle name="표준 9 3 2 2 2" xfId="30995"/>
    <cellStyle name="표준 9 3 2 2 2 2" xfId="30996"/>
    <cellStyle name="표준 9 3 2 2 2 2 2" xfId="30997"/>
    <cellStyle name="표준 9 3 2 2 2 2 2 2" xfId="30998"/>
    <cellStyle name="표준 9 3 2 2 2 2 2 2 2" xfId="30999"/>
    <cellStyle name="표준 9 3 2 2 2 2 2 3" xfId="31000"/>
    <cellStyle name="표준 9 3 2 2 2 2 3" xfId="31001"/>
    <cellStyle name="표준 9 3 2 2 2 2 3 2" xfId="31002"/>
    <cellStyle name="표준 9 3 2 2 2 2 4" xfId="31003"/>
    <cellStyle name="표준 9 3 2 2 2 3" xfId="31004"/>
    <cellStyle name="표준 9 3 2 2 2 3 2" xfId="31005"/>
    <cellStyle name="표준 9 3 2 2 2 3 2 2" xfId="31006"/>
    <cellStyle name="표준 9 3 2 2 2 3 3" xfId="31007"/>
    <cellStyle name="표준 9 3 2 2 2 4" xfId="31008"/>
    <cellStyle name="표준 9 3 2 2 2 4 2" xfId="31009"/>
    <cellStyle name="표준 9 3 2 2 2 5" xfId="31010"/>
    <cellStyle name="표준 9 3 2 2 3" xfId="31011"/>
    <cellStyle name="표준 9 3 2 2 3 2" xfId="31012"/>
    <cellStyle name="표준 9 3 2 2 3 2 2" xfId="31013"/>
    <cellStyle name="표준 9 3 2 2 3 2 2 2" xfId="31014"/>
    <cellStyle name="표준 9 3 2 2 3 2 3" xfId="31015"/>
    <cellStyle name="표준 9 3 2 2 3 3" xfId="31016"/>
    <cellStyle name="표준 9 3 2 2 3 3 2" xfId="31017"/>
    <cellStyle name="표준 9 3 2 2 3 4" xfId="31018"/>
    <cellStyle name="표준 9 3 2 2 4" xfId="31019"/>
    <cellStyle name="표준 9 3 2 2 4 2" xfId="31020"/>
    <cellStyle name="표준 9 3 2 2 4 2 2" xfId="31021"/>
    <cellStyle name="표준 9 3 2 2 4 3" xfId="31022"/>
    <cellStyle name="표준 9 3 2 2 5" xfId="31023"/>
    <cellStyle name="표준 9 3 2 2 5 2" xfId="31024"/>
    <cellStyle name="표준 9 3 2 2 6" xfId="31025"/>
    <cellStyle name="표준 9 3 2 3" xfId="31026"/>
    <cellStyle name="표준 9 3 2 3 2" xfId="31027"/>
    <cellStyle name="표준 9 3 2 3 2 2" xfId="31028"/>
    <cellStyle name="표준 9 3 2 3 2 2 2" xfId="31029"/>
    <cellStyle name="표준 9 3 2 3 2 2 2 2" xfId="31030"/>
    <cellStyle name="표준 9 3 2 3 2 2 3" xfId="31031"/>
    <cellStyle name="표준 9 3 2 3 2 3" xfId="31032"/>
    <cellStyle name="표준 9 3 2 3 2 3 2" xfId="31033"/>
    <cellStyle name="표준 9 3 2 3 2 4" xfId="31034"/>
    <cellStyle name="표준 9 3 2 3 3" xfId="31035"/>
    <cellStyle name="표준 9 3 2 3 3 2" xfId="31036"/>
    <cellStyle name="표준 9 3 2 3 3 2 2" xfId="31037"/>
    <cellStyle name="표준 9 3 2 3 3 3" xfId="31038"/>
    <cellStyle name="표준 9 3 2 3 4" xfId="31039"/>
    <cellStyle name="표준 9 3 2 3 4 2" xfId="31040"/>
    <cellStyle name="표준 9 3 2 3 5" xfId="31041"/>
    <cellStyle name="표준 9 3 2 4" xfId="31042"/>
    <cellStyle name="표준 9 3 2 4 2" xfId="31043"/>
    <cellStyle name="표준 9 3 2 4 2 2" xfId="31044"/>
    <cellStyle name="표준 9 3 2 4 2 2 2" xfId="31045"/>
    <cellStyle name="표준 9 3 2 4 2 3" xfId="31046"/>
    <cellStyle name="표준 9 3 2 4 3" xfId="31047"/>
    <cellStyle name="표준 9 3 2 4 3 2" xfId="31048"/>
    <cellStyle name="표준 9 3 2 4 4" xfId="31049"/>
    <cellStyle name="표준 9 3 2 5" xfId="31050"/>
    <cellStyle name="표준 9 3 2 5 2" xfId="31051"/>
    <cellStyle name="표준 9 3 2 5 2 2" xfId="31052"/>
    <cellStyle name="표준 9 3 2 5 3" xfId="31053"/>
    <cellStyle name="표준 9 3 2 6" xfId="31054"/>
    <cellStyle name="표준 9 3 2 6 2" xfId="31055"/>
    <cellStyle name="표준 9 3 2 7" xfId="31056"/>
    <cellStyle name="표준 9 3 2 8" xfId="31057"/>
    <cellStyle name="표준 9 3 3" xfId="31058"/>
    <cellStyle name="표준 9 3 3 2" xfId="31059"/>
    <cellStyle name="표준 9 3 3 2 2" xfId="31060"/>
    <cellStyle name="표준 9 3 3 2 2 2" xfId="31061"/>
    <cellStyle name="표준 9 3 3 2 2 2 2" xfId="31062"/>
    <cellStyle name="표준 9 3 3 2 2 2 2 2" xfId="31063"/>
    <cellStyle name="표준 9 3 3 2 2 2 3" xfId="31064"/>
    <cellStyle name="표준 9 3 3 2 2 3" xfId="31065"/>
    <cellStyle name="표준 9 3 3 2 2 3 2" xfId="31066"/>
    <cellStyle name="표준 9 3 3 2 2 4" xfId="31067"/>
    <cellStyle name="표준 9 3 3 2 3" xfId="31068"/>
    <cellStyle name="표준 9 3 3 2 3 2" xfId="31069"/>
    <cellStyle name="표준 9 3 3 2 3 2 2" xfId="31070"/>
    <cellStyle name="표준 9 3 3 2 3 3" xfId="31071"/>
    <cellStyle name="표준 9 3 3 2 4" xfId="31072"/>
    <cellStyle name="표준 9 3 3 2 4 2" xfId="31073"/>
    <cellStyle name="표준 9 3 3 2 5" xfId="31074"/>
    <cellStyle name="표준 9 3 3 3" xfId="31075"/>
    <cellStyle name="표준 9 3 3 3 2" xfId="31076"/>
    <cellStyle name="표준 9 3 3 3 2 2" xfId="31077"/>
    <cellStyle name="표준 9 3 3 3 2 2 2" xfId="31078"/>
    <cellStyle name="표준 9 3 3 3 2 3" xfId="31079"/>
    <cellStyle name="표준 9 3 3 3 3" xfId="31080"/>
    <cellStyle name="표준 9 3 3 3 3 2" xfId="31081"/>
    <cellStyle name="표준 9 3 3 3 4" xfId="31082"/>
    <cellStyle name="표준 9 3 3 4" xfId="31083"/>
    <cellStyle name="표준 9 3 3 4 2" xfId="31084"/>
    <cellStyle name="표준 9 3 3 4 2 2" xfId="31085"/>
    <cellStyle name="표준 9 3 3 4 3" xfId="31086"/>
    <cellStyle name="표준 9 3 3 5" xfId="31087"/>
    <cellStyle name="표준 9 3 3 5 2" xfId="31088"/>
    <cellStyle name="표준 9 3 3 6" xfId="31089"/>
    <cellStyle name="표준 9 3 4" xfId="31090"/>
    <cellStyle name="표준 9 3 4 2" xfId="31091"/>
    <cellStyle name="표준 9 3 4 2 2" xfId="31092"/>
    <cellStyle name="표준 9 3 4 2 2 2" xfId="31093"/>
    <cellStyle name="표준 9 3 4 2 2 2 2" xfId="31094"/>
    <cellStyle name="표준 9 3 4 2 2 3" xfId="31095"/>
    <cellStyle name="표준 9 3 4 2 3" xfId="31096"/>
    <cellStyle name="표준 9 3 4 2 3 2" xfId="31097"/>
    <cellStyle name="표준 9 3 4 2 4" xfId="31098"/>
    <cellStyle name="표준 9 3 4 3" xfId="31099"/>
    <cellStyle name="표준 9 3 4 3 2" xfId="31100"/>
    <cellStyle name="표준 9 3 4 3 2 2" xfId="31101"/>
    <cellStyle name="표준 9 3 4 3 3" xfId="31102"/>
    <cellStyle name="표준 9 3 4 4" xfId="31103"/>
    <cellStyle name="표준 9 3 4 4 2" xfId="31104"/>
    <cellStyle name="표준 9 3 4 5" xfId="31105"/>
    <cellStyle name="표준 9 3 5" xfId="31106"/>
    <cellStyle name="표준 9 3 5 2" xfId="31107"/>
    <cellStyle name="표준 9 3 5 2 2" xfId="31108"/>
    <cellStyle name="표준 9 3 5 2 2 2" xfId="31109"/>
    <cellStyle name="표준 9 3 5 2 3" xfId="31110"/>
    <cellStyle name="표준 9 3 5 3" xfId="31111"/>
    <cellStyle name="표준 9 3 5 3 2" xfId="31112"/>
    <cellStyle name="표준 9 3 5 4" xfId="31113"/>
    <cellStyle name="표준 9 3 6" xfId="31114"/>
    <cellStyle name="표준 9 3 6 2" xfId="31115"/>
    <cellStyle name="표준 9 3 6 2 2" xfId="31116"/>
    <cellStyle name="표준 9 3 6 3" xfId="31117"/>
    <cellStyle name="표준 9 3 7" xfId="31118"/>
    <cellStyle name="표준 9 3 7 2" xfId="31119"/>
    <cellStyle name="표준 9 3 8" xfId="31120"/>
    <cellStyle name="표준 9 3 9" xfId="31121"/>
    <cellStyle name="표준 9 4" xfId="31122"/>
    <cellStyle name="표준 9 4 2" xfId="31123"/>
    <cellStyle name="표준 9 4 2 2" xfId="31124"/>
    <cellStyle name="표준 9 4 2 2 2" xfId="31125"/>
    <cellStyle name="표준 9 4 2 2 2 2" xfId="31126"/>
    <cellStyle name="표준 9 4 2 2 2 2 2" xfId="31127"/>
    <cellStyle name="표준 9 4 2 2 2 2 2 2" xfId="31128"/>
    <cellStyle name="표준 9 4 2 2 2 2 3" xfId="31129"/>
    <cellStyle name="표준 9 4 2 2 2 3" xfId="31130"/>
    <cellStyle name="표준 9 4 2 2 2 3 2" xfId="31131"/>
    <cellStyle name="표준 9 4 2 2 2 4" xfId="31132"/>
    <cellStyle name="표준 9 4 2 2 3" xfId="31133"/>
    <cellStyle name="표준 9 4 2 2 3 2" xfId="31134"/>
    <cellStyle name="표준 9 4 2 2 3 2 2" xfId="31135"/>
    <cellStyle name="표준 9 4 2 2 3 3" xfId="31136"/>
    <cellStyle name="표준 9 4 2 2 4" xfId="31137"/>
    <cellStyle name="표준 9 4 2 2 4 2" xfId="31138"/>
    <cellStyle name="표준 9 4 2 2 5" xfId="31139"/>
    <cellStyle name="표준 9 4 2 3" xfId="31140"/>
    <cellStyle name="표준 9 4 2 3 2" xfId="31141"/>
    <cellStyle name="표준 9 4 2 3 2 2" xfId="31142"/>
    <cellStyle name="표준 9 4 2 3 2 2 2" xfId="31143"/>
    <cellStyle name="표준 9 4 2 3 2 3" xfId="31144"/>
    <cellStyle name="표준 9 4 2 3 3" xfId="31145"/>
    <cellStyle name="표준 9 4 2 3 3 2" xfId="31146"/>
    <cellStyle name="표준 9 4 2 3 4" xfId="31147"/>
    <cellStyle name="표준 9 4 2 4" xfId="31148"/>
    <cellStyle name="표준 9 4 2 4 2" xfId="31149"/>
    <cellStyle name="표준 9 4 2 4 2 2" xfId="31150"/>
    <cellStyle name="표준 9 4 2 4 3" xfId="31151"/>
    <cellStyle name="표준 9 4 2 5" xfId="31152"/>
    <cellStyle name="표준 9 4 2 5 2" xfId="31153"/>
    <cellStyle name="표준 9 4 2 6" xfId="31154"/>
    <cellStyle name="표준 9 4 3" xfId="31155"/>
    <cellStyle name="표준 9 4 3 2" xfId="31156"/>
    <cellStyle name="표준 9 4 3 2 2" xfId="31157"/>
    <cellStyle name="표준 9 4 3 2 2 2" xfId="31158"/>
    <cellStyle name="표준 9 4 3 2 2 2 2" xfId="31159"/>
    <cellStyle name="표준 9 4 3 2 2 3" xfId="31160"/>
    <cellStyle name="표준 9 4 3 2 3" xfId="31161"/>
    <cellStyle name="표준 9 4 3 2 3 2" xfId="31162"/>
    <cellStyle name="표준 9 4 3 2 4" xfId="31163"/>
    <cellStyle name="표준 9 4 3 3" xfId="31164"/>
    <cellStyle name="표준 9 4 3 3 2" xfId="31165"/>
    <cellStyle name="표준 9 4 3 3 2 2" xfId="31166"/>
    <cellStyle name="표준 9 4 3 3 3" xfId="31167"/>
    <cellStyle name="표준 9 4 3 4" xfId="31168"/>
    <cellStyle name="표준 9 4 3 4 2" xfId="31169"/>
    <cellStyle name="표준 9 4 3 5" xfId="31170"/>
    <cellStyle name="표준 9 4 4" xfId="31171"/>
    <cellStyle name="표준 9 4 4 2" xfId="31172"/>
    <cellStyle name="표준 9 4 4 2 2" xfId="31173"/>
    <cellStyle name="표준 9 4 4 2 2 2" xfId="31174"/>
    <cellStyle name="표준 9 4 4 2 3" xfId="31175"/>
    <cellStyle name="표준 9 4 4 3" xfId="31176"/>
    <cellStyle name="표준 9 4 4 3 2" xfId="31177"/>
    <cellStyle name="표준 9 4 4 4" xfId="31178"/>
    <cellStyle name="표준 9 4 5" xfId="31179"/>
    <cellStyle name="표준 9 4 5 2" xfId="31180"/>
    <cellStyle name="표준 9 4 5 2 2" xfId="31181"/>
    <cellStyle name="표준 9 4 5 3" xfId="31182"/>
    <cellStyle name="표준 9 4 6" xfId="31183"/>
    <cellStyle name="표준 9 4 6 2" xfId="31184"/>
    <cellStyle name="표준 9 4 7" xfId="31185"/>
    <cellStyle name="표준 9 4 8" xfId="31186"/>
    <cellStyle name="표준 9 5" xfId="31187"/>
    <cellStyle name="표준 9 5 2" xfId="31188"/>
    <cellStyle name="표준 9 5 2 2" xfId="31189"/>
    <cellStyle name="표준 9 5 2 2 2" xfId="31190"/>
    <cellStyle name="표준 9 5 2 2 2 2" xfId="31191"/>
    <cellStyle name="표준 9 5 2 2 2 2 2" xfId="31192"/>
    <cellStyle name="표준 9 5 2 2 2 3" xfId="31193"/>
    <cellStyle name="표준 9 5 2 2 3" xfId="31194"/>
    <cellStyle name="표준 9 5 2 2 3 2" xfId="31195"/>
    <cellStyle name="표준 9 5 2 2 4" xfId="31196"/>
    <cellStyle name="표준 9 5 2 3" xfId="31197"/>
    <cellStyle name="표준 9 5 2 3 2" xfId="31198"/>
    <cellStyle name="표준 9 5 2 3 2 2" xfId="31199"/>
    <cellStyle name="표준 9 5 2 3 3" xfId="31200"/>
    <cellStyle name="표준 9 5 2 4" xfId="31201"/>
    <cellStyle name="표준 9 5 2 4 2" xfId="31202"/>
    <cellStyle name="표준 9 5 2 5" xfId="31203"/>
    <cellStyle name="표준 9 5 3" xfId="31204"/>
    <cellStyle name="표준 9 5 3 2" xfId="31205"/>
    <cellStyle name="표준 9 5 3 2 2" xfId="31206"/>
    <cellStyle name="표준 9 5 3 2 2 2" xfId="31207"/>
    <cellStyle name="표준 9 5 3 2 3" xfId="31208"/>
    <cellStyle name="표준 9 5 3 3" xfId="31209"/>
    <cellStyle name="표준 9 5 3 3 2" xfId="31210"/>
    <cellStyle name="표준 9 5 3 4" xfId="31211"/>
    <cellStyle name="표준 9 5 4" xfId="31212"/>
    <cellStyle name="표준 9 5 4 2" xfId="31213"/>
    <cellStyle name="표준 9 5 4 2 2" xfId="31214"/>
    <cellStyle name="표준 9 5 4 3" xfId="31215"/>
    <cellStyle name="표준 9 5 5" xfId="31216"/>
    <cellStyle name="표준 9 5 5 2" xfId="31217"/>
    <cellStyle name="표준 9 5 6" xfId="31218"/>
    <cellStyle name="표준 9 6" xfId="31219"/>
    <cellStyle name="표준 9 6 2" xfId="31220"/>
    <cellStyle name="표준 9 6 2 2" xfId="31221"/>
    <cellStyle name="표준 9 6 2 2 2" xfId="31222"/>
    <cellStyle name="표준 9 6 2 2 2 2" xfId="31223"/>
    <cellStyle name="표준 9 6 2 2 3" xfId="31224"/>
    <cellStyle name="표준 9 6 2 3" xfId="31225"/>
    <cellStyle name="표준 9 6 2 3 2" xfId="31226"/>
    <cellStyle name="표준 9 6 2 4" xfId="31227"/>
    <cellStyle name="표준 9 6 3" xfId="31228"/>
    <cellStyle name="표준 9 6 3 2" xfId="31229"/>
    <cellStyle name="표준 9 6 3 2 2" xfId="31230"/>
    <cellStyle name="표준 9 6 3 3" xfId="31231"/>
    <cellStyle name="표준 9 6 4" xfId="31232"/>
    <cellStyle name="표준 9 6 4 2" xfId="31233"/>
    <cellStyle name="표준 9 6 5" xfId="31234"/>
    <cellStyle name="표준 9 7" xfId="31235"/>
    <cellStyle name="표준 9 7 2" xfId="31236"/>
    <cellStyle name="표준 9 7 2 2" xfId="31237"/>
    <cellStyle name="표준 9 7 2 2 2" xfId="31238"/>
    <cellStyle name="표준 9 7 2 3" xfId="31239"/>
    <cellStyle name="표준 9 7 3" xfId="31240"/>
    <cellStyle name="표준 9 7 3 2" xfId="31241"/>
    <cellStyle name="표준 9 7 4" xfId="31242"/>
    <cellStyle name="표준 9 8" xfId="31243"/>
    <cellStyle name="표준 9 8 2" xfId="31244"/>
    <cellStyle name="표준 9 8 2 2" xfId="31245"/>
    <cellStyle name="표준 9 8 3" xfId="31246"/>
    <cellStyle name="표준 9 9" xfId="31247"/>
    <cellStyle name="표준 9 9 2" xfId="312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zoomScaleNormal="100" workbookViewId="0">
      <selection activeCell="L14" sqref="L14"/>
    </sheetView>
  </sheetViews>
  <sheetFormatPr defaultColWidth="9.28515625" defaultRowHeight="16.149999999999999" customHeight="1"/>
  <cols>
    <col min="1" max="1" width="3.7109375" customWidth="1"/>
    <col min="2" max="2" width="10.7109375" customWidth="1"/>
    <col min="3" max="3" width="17.28515625" customWidth="1"/>
    <col min="4" max="6" width="12.7109375" customWidth="1"/>
    <col min="7" max="7" width="30.28515625" style="148" bestFit="1" customWidth="1"/>
    <col min="8" max="8" width="9.5703125" bestFit="1" customWidth="1"/>
    <col min="10" max="10" width="9.28515625" style="149"/>
  </cols>
  <sheetData>
    <row r="1" spans="1:8" ht="16.149999999999999" customHeight="1">
      <c r="A1" s="134" t="s">
        <v>458</v>
      </c>
      <c r="B1" s="135" t="s">
        <v>458</v>
      </c>
      <c r="C1" s="136" t="s">
        <v>458</v>
      </c>
      <c r="D1" s="4" t="s">
        <v>345</v>
      </c>
      <c r="E1" s="137" t="s">
        <v>346</v>
      </c>
      <c r="F1" s="138" t="s">
        <v>347</v>
      </c>
      <c r="G1" s="139"/>
    </row>
    <row r="2" spans="1:8" ht="21" customHeight="1">
      <c r="A2" s="134" t="s">
        <v>458</v>
      </c>
      <c r="B2" s="140" t="s">
        <v>458</v>
      </c>
      <c r="C2" s="141" t="s">
        <v>324</v>
      </c>
      <c r="D2" s="142">
        <f>SUM(D5:D966)</f>
        <v>24258960</v>
      </c>
      <c r="E2" s="142">
        <f>SUM(E5:E966)</f>
        <v>22053600</v>
      </c>
      <c r="F2" s="142">
        <f>SUM(F5:F966)</f>
        <v>2205360</v>
      </c>
      <c r="G2" s="143"/>
      <c r="H2" t="s">
        <v>354</v>
      </c>
    </row>
    <row r="3" spans="1:8" ht="30" customHeight="1">
      <c r="A3" s="144" t="s">
        <v>458</v>
      </c>
      <c r="B3" s="248" t="s">
        <v>348</v>
      </c>
      <c r="C3" s="248"/>
      <c r="D3" s="248"/>
      <c r="E3" s="248"/>
      <c r="F3" s="248"/>
      <c r="G3" s="248"/>
      <c r="H3" s="151" t="s">
        <v>355</v>
      </c>
    </row>
    <row r="4" spans="1:8" ht="16.149999999999999" customHeight="1">
      <c r="A4" s="134"/>
      <c r="B4" s="137" t="s">
        <v>1</v>
      </c>
      <c r="C4" s="137" t="s">
        <v>2</v>
      </c>
      <c r="D4" s="4" t="s">
        <v>345</v>
      </c>
      <c r="E4" s="137" t="s">
        <v>346</v>
      </c>
      <c r="F4" s="138" t="s">
        <v>347</v>
      </c>
      <c r="G4" s="137" t="s">
        <v>349</v>
      </c>
      <c r="H4" t="s">
        <v>356</v>
      </c>
    </row>
    <row r="5" spans="1:8" ht="16.149999999999999" customHeight="1">
      <c r="A5" s="134">
        <f t="shared" ref="A5:A11" si="0">ROW(A5)-4</f>
        <v>1</v>
      </c>
      <c r="B5" s="145">
        <v>46127</v>
      </c>
      <c r="C5" s="60" t="s">
        <v>0</v>
      </c>
      <c r="D5" s="146">
        <v>5091460</v>
      </c>
      <c r="E5" s="146">
        <v>4628600</v>
      </c>
      <c r="F5" s="146">
        <v>462860</v>
      </c>
      <c r="G5" s="147" t="s">
        <v>409</v>
      </c>
    </row>
    <row r="6" spans="1:8" ht="16.149999999999999" customHeight="1">
      <c r="A6" s="134">
        <f t="shared" si="0"/>
        <v>2</v>
      </c>
      <c r="B6" s="145">
        <v>46127</v>
      </c>
      <c r="C6" s="60" t="s">
        <v>0</v>
      </c>
      <c r="D6" s="146">
        <v>2849000</v>
      </c>
      <c r="E6" s="146">
        <v>2590000</v>
      </c>
      <c r="F6" s="146">
        <v>259000</v>
      </c>
      <c r="G6" s="147" t="s">
        <v>410</v>
      </c>
    </row>
    <row r="7" spans="1:8" ht="16.149999999999999" customHeight="1">
      <c r="A7" s="134">
        <f t="shared" si="0"/>
        <v>3</v>
      </c>
      <c r="B7" s="145">
        <v>46127</v>
      </c>
      <c r="C7" s="60" t="s">
        <v>0</v>
      </c>
      <c r="D7" s="146">
        <v>1054900</v>
      </c>
      <c r="E7" s="146">
        <v>959000</v>
      </c>
      <c r="F7" s="146">
        <v>95900</v>
      </c>
      <c r="G7" s="147" t="s">
        <v>412</v>
      </c>
    </row>
    <row r="8" spans="1:8" ht="16.149999999999999" customHeight="1">
      <c r="A8" s="134">
        <f t="shared" si="0"/>
        <v>4</v>
      </c>
      <c r="B8" s="145">
        <v>46127</v>
      </c>
      <c r="C8" s="60" t="s">
        <v>0</v>
      </c>
      <c r="D8" s="146">
        <v>301400</v>
      </c>
      <c r="E8" s="146">
        <v>274000</v>
      </c>
      <c r="F8" s="146">
        <v>27400</v>
      </c>
      <c r="G8" s="147" t="s">
        <v>415</v>
      </c>
    </row>
    <row r="9" spans="1:8" ht="16.149999999999999" customHeight="1">
      <c r="A9" s="134">
        <f t="shared" si="0"/>
        <v>5</v>
      </c>
      <c r="B9" s="145">
        <v>46131</v>
      </c>
      <c r="C9" s="60" t="s">
        <v>18</v>
      </c>
      <c r="D9" s="146">
        <v>3586550</v>
      </c>
      <c r="E9" s="146">
        <v>3260500</v>
      </c>
      <c r="F9" s="146">
        <v>326050</v>
      </c>
      <c r="G9" s="147" t="s">
        <v>43</v>
      </c>
    </row>
    <row r="10" spans="1:8" ht="16.149999999999999" customHeight="1">
      <c r="A10" s="134">
        <f t="shared" si="0"/>
        <v>6</v>
      </c>
      <c r="B10" s="145">
        <v>46131</v>
      </c>
      <c r="C10" s="60" t="s">
        <v>18</v>
      </c>
      <c r="D10" s="146">
        <v>10244300</v>
      </c>
      <c r="E10" s="146">
        <v>9313000</v>
      </c>
      <c r="F10" s="146">
        <v>931300</v>
      </c>
      <c r="G10" s="147" t="s">
        <v>82</v>
      </c>
    </row>
    <row r="11" spans="1:8" ht="16.149999999999999" customHeight="1">
      <c r="A11" s="134">
        <f t="shared" si="0"/>
        <v>7</v>
      </c>
      <c r="B11" s="145">
        <v>46134</v>
      </c>
      <c r="C11" s="60" t="s">
        <v>105</v>
      </c>
      <c r="D11" s="146">
        <v>1131350</v>
      </c>
      <c r="E11" s="146">
        <v>1028500</v>
      </c>
      <c r="F11" s="146">
        <v>102850</v>
      </c>
      <c r="G11" s="147" t="s">
        <v>447</v>
      </c>
    </row>
    <row r="12" spans="1:8" ht="16.149999999999999" customHeight="1">
      <c r="A12" s="134"/>
      <c r="B12" s="145"/>
      <c r="C12" s="60"/>
      <c r="D12" s="146"/>
      <c r="E12" s="146"/>
      <c r="F12" s="146"/>
      <c r="G12" s="147"/>
    </row>
    <row r="13" spans="1:8" ht="16.149999999999999" customHeight="1">
      <c r="A13" s="134"/>
      <c r="B13" s="145"/>
      <c r="C13" s="60"/>
      <c r="D13" s="146"/>
      <c r="E13" s="146"/>
      <c r="F13" s="146"/>
      <c r="G13" s="147"/>
    </row>
    <row r="14" spans="1:8" ht="16.149999999999999" customHeight="1">
      <c r="A14" s="134"/>
      <c r="B14" s="145"/>
      <c r="C14" s="60"/>
      <c r="D14" s="146"/>
      <c r="E14" s="146"/>
      <c r="F14" s="146"/>
      <c r="G14" s="147"/>
    </row>
    <row r="15" spans="1:8" ht="16.149999999999999" customHeight="1">
      <c r="A15" s="134"/>
      <c r="B15" s="145"/>
      <c r="C15" s="60"/>
      <c r="D15" s="146"/>
      <c r="E15" s="146"/>
      <c r="F15" s="146"/>
      <c r="G15" s="147"/>
    </row>
    <row r="16" spans="1:8" ht="16.149999999999999" customHeight="1">
      <c r="A16" s="134"/>
      <c r="B16" s="145"/>
      <c r="C16" s="60"/>
      <c r="D16" s="146"/>
      <c r="E16" s="146"/>
      <c r="F16" s="146"/>
      <c r="G16" s="147"/>
    </row>
    <row r="17" spans="1:7" ht="16.149999999999999" customHeight="1">
      <c r="A17" s="134"/>
      <c r="B17" s="145"/>
      <c r="C17" s="60"/>
      <c r="D17" s="146"/>
      <c r="E17" s="146"/>
      <c r="F17" s="146"/>
      <c r="G17" s="147"/>
    </row>
    <row r="18" spans="1:7" ht="16.149999999999999" customHeight="1">
      <c r="A18" s="134"/>
      <c r="B18" s="145"/>
      <c r="C18" s="60"/>
      <c r="D18" s="146"/>
      <c r="E18" s="146"/>
      <c r="F18" s="146"/>
      <c r="G18" s="147"/>
    </row>
    <row r="19" spans="1:7" ht="16.149999999999999" customHeight="1">
      <c r="A19" s="134"/>
      <c r="B19" s="145"/>
      <c r="C19" s="60"/>
      <c r="D19" s="146"/>
      <c r="E19" s="146"/>
      <c r="F19" s="146"/>
      <c r="G19" s="147"/>
    </row>
    <row r="20" spans="1:7" ht="16.149999999999999" customHeight="1">
      <c r="A20" s="134"/>
      <c r="B20" s="145"/>
      <c r="C20" s="60"/>
      <c r="D20" s="146"/>
      <c r="E20" s="146"/>
      <c r="F20" s="146"/>
      <c r="G20" s="147"/>
    </row>
    <row r="21" spans="1:7" ht="16.149999999999999" customHeight="1">
      <c r="A21" s="134"/>
      <c r="B21" s="145"/>
      <c r="C21" s="60"/>
      <c r="D21" s="146"/>
      <c r="E21" s="146"/>
      <c r="F21" s="146"/>
      <c r="G21" s="147"/>
    </row>
    <row r="22" spans="1:7" ht="16.149999999999999" customHeight="1">
      <c r="A22" s="134"/>
      <c r="B22" s="145"/>
      <c r="C22" s="60"/>
      <c r="D22" s="146"/>
      <c r="E22" s="146"/>
      <c r="F22" s="146"/>
      <c r="G22" s="147"/>
    </row>
    <row r="23" spans="1:7" ht="16.149999999999999" customHeight="1">
      <c r="A23" s="134"/>
      <c r="B23" s="145"/>
      <c r="C23" s="60"/>
      <c r="D23" s="146"/>
      <c r="E23" s="146"/>
      <c r="F23" s="146"/>
      <c r="G23" s="147"/>
    </row>
    <row r="24" spans="1:7" ht="16.149999999999999" customHeight="1">
      <c r="A24" s="134"/>
      <c r="B24" s="145"/>
      <c r="C24" s="60"/>
      <c r="D24" s="146"/>
      <c r="E24" s="146"/>
      <c r="F24" s="146"/>
      <c r="G24" s="147"/>
    </row>
    <row r="25" spans="1:7" ht="16.149999999999999" customHeight="1">
      <c r="A25" s="134"/>
      <c r="B25" s="145"/>
      <c r="C25" s="60"/>
      <c r="D25" s="146"/>
      <c r="E25" s="146"/>
      <c r="F25" s="146"/>
      <c r="G25" s="147"/>
    </row>
    <row r="26" spans="1:7" ht="16.149999999999999" customHeight="1">
      <c r="A26" s="134"/>
      <c r="B26" s="145"/>
      <c r="C26" s="60"/>
      <c r="D26" s="146"/>
      <c r="E26" s="146"/>
      <c r="F26" s="146"/>
      <c r="G26" s="147"/>
    </row>
    <row r="27" spans="1:7" ht="16.149999999999999" customHeight="1">
      <c r="A27" s="134"/>
      <c r="B27" s="145"/>
      <c r="C27" s="60"/>
      <c r="D27" s="146"/>
      <c r="E27" s="146"/>
      <c r="F27" s="146"/>
      <c r="G27" s="147"/>
    </row>
    <row r="28" spans="1:7" ht="16.149999999999999" customHeight="1">
      <c r="A28" s="134"/>
      <c r="B28" s="145"/>
      <c r="C28" s="60"/>
      <c r="D28" s="146"/>
      <c r="E28" s="146"/>
      <c r="F28" s="146"/>
      <c r="G28" s="147"/>
    </row>
    <row r="29" spans="1:7" ht="16.149999999999999" customHeight="1">
      <c r="A29" s="134"/>
      <c r="B29" s="145"/>
      <c r="C29" s="60"/>
      <c r="D29" s="146"/>
      <c r="E29" s="146"/>
      <c r="F29" s="146"/>
      <c r="G29" s="147"/>
    </row>
    <row r="30" spans="1:7" ht="16.149999999999999" customHeight="1">
      <c r="A30" s="134"/>
      <c r="B30" s="145"/>
      <c r="C30" s="60"/>
      <c r="D30" s="146"/>
      <c r="E30" s="146"/>
      <c r="F30" s="146"/>
      <c r="G30" s="147"/>
    </row>
    <row r="31" spans="1:7" ht="16.149999999999999" customHeight="1">
      <c r="A31" s="134"/>
      <c r="B31" s="145"/>
      <c r="C31" s="60"/>
      <c r="D31" s="146"/>
      <c r="E31" s="146"/>
      <c r="F31" s="146"/>
      <c r="G31" s="147"/>
    </row>
    <row r="32" spans="1:7" ht="16.149999999999999" customHeight="1">
      <c r="A32" s="134"/>
      <c r="B32" s="145"/>
      <c r="C32" s="60"/>
      <c r="D32" s="146"/>
      <c r="E32" s="146"/>
      <c r="F32" s="146"/>
      <c r="G32" s="147"/>
    </row>
    <row r="33" spans="1:7" ht="16.149999999999999" customHeight="1">
      <c r="A33" s="134"/>
      <c r="B33" s="145"/>
      <c r="C33" s="60"/>
      <c r="D33" s="146"/>
      <c r="E33" s="146"/>
      <c r="F33" s="146"/>
      <c r="G33" s="147"/>
    </row>
    <row r="34" spans="1:7" ht="16.149999999999999" customHeight="1">
      <c r="A34" s="134"/>
      <c r="B34" s="145"/>
      <c r="C34" s="60"/>
      <c r="D34" s="146"/>
      <c r="E34" s="146"/>
      <c r="F34" s="146"/>
      <c r="G34" s="147"/>
    </row>
    <row r="35" spans="1:7" ht="16.149999999999999" customHeight="1">
      <c r="A35" s="134"/>
      <c r="B35" s="145"/>
      <c r="C35" s="60"/>
      <c r="D35" s="146"/>
      <c r="E35" s="146"/>
      <c r="F35" s="146"/>
      <c r="G35" s="147"/>
    </row>
    <row r="36" spans="1:7" ht="16.149999999999999" customHeight="1">
      <c r="A36" s="134"/>
      <c r="B36" s="145"/>
      <c r="C36" s="60"/>
      <c r="D36" s="146"/>
      <c r="E36" s="146"/>
      <c r="F36" s="146"/>
      <c r="G36" s="147"/>
    </row>
    <row r="37" spans="1:7" ht="16.149999999999999" customHeight="1">
      <c r="A37" s="134"/>
      <c r="B37" s="145"/>
      <c r="C37" s="60"/>
      <c r="D37" s="146"/>
      <c r="E37" s="146"/>
      <c r="F37" s="146"/>
      <c r="G37" s="147"/>
    </row>
    <row r="38" spans="1:7" ht="16.149999999999999" customHeight="1">
      <c r="A38" s="134"/>
      <c r="B38" s="145"/>
      <c r="C38" s="60"/>
      <c r="D38" s="146"/>
      <c r="E38" s="146"/>
      <c r="F38" s="146"/>
      <c r="G38" s="147"/>
    </row>
    <row r="39" spans="1:7" ht="16.149999999999999" customHeight="1">
      <c r="A39" s="134"/>
      <c r="B39" s="145"/>
      <c r="C39" s="60"/>
      <c r="D39" s="146"/>
      <c r="E39" s="146"/>
      <c r="F39" s="146"/>
      <c r="G39" s="147"/>
    </row>
    <row r="40" spans="1:7" ht="16.149999999999999" customHeight="1">
      <c r="A40" s="134"/>
      <c r="B40" s="145"/>
      <c r="C40" s="60"/>
      <c r="D40" s="146"/>
      <c r="E40" s="146"/>
      <c r="F40" s="146"/>
      <c r="G40" s="147"/>
    </row>
    <row r="41" spans="1:7" ht="16.149999999999999" customHeight="1">
      <c r="A41" s="134"/>
      <c r="B41" s="145"/>
      <c r="C41" s="60"/>
      <c r="D41" s="146"/>
      <c r="E41" s="146"/>
      <c r="F41" s="146"/>
      <c r="G41" s="147"/>
    </row>
    <row r="42" spans="1:7" ht="16.149999999999999" customHeight="1">
      <c r="A42" s="134"/>
      <c r="B42" s="145"/>
      <c r="C42" s="60"/>
      <c r="D42" s="146"/>
      <c r="E42" s="146"/>
      <c r="F42" s="146"/>
      <c r="G42" s="147"/>
    </row>
    <row r="43" spans="1:7" ht="16.149999999999999" customHeight="1">
      <c r="A43" s="134"/>
      <c r="B43" s="145"/>
      <c r="C43" s="60"/>
      <c r="D43" s="146"/>
      <c r="E43" s="146"/>
      <c r="F43" s="146"/>
      <c r="G43" s="147"/>
    </row>
    <row r="44" spans="1:7" ht="16.149999999999999" customHeight="1">
      <c r="A44" s="134"/>
      <c r="B44" s="145"/>
      <c r="C44" s="60"/>
      <c r="D44" s="146"/>
      <c r="E44" s="146"/>
      <c r="F44" s="146"/>
      <c r="G44" s="147"/>
    </row>
    <row r="45" spans="1:7" ht="16.149999999999999" customHeight="1">
      <c r="A45" s="134"/>
      <c r="B45" s="145"/>
      <c r="C45" s="60"/>
      <c r="D45" s="146"/>
      <c r="E45" s="146"/>
      <c r="F45" s="146"/>
      <c r="G45" s="147"/>
    </row>
    <row r="46" spans="1:7" ht="16.149999999999999" customHeight="1">
      <c r="A46" s="134"/>
      <c r="B46" s="145"/>
      <c r="C46" s="60"/>
      <c r="D46" s="146"/>
      <c r="E46" s="146"/>
      <c r="F46" s="146"/>
      <c r="G46" s="147"/>
    </row>
    <row r="47" spans="1:7" ht="16.149999999999999" customHeight="1">
      <c r="A47" s="134"/>
      <c r="B47" s="145"/>
      <c r="C47" s="60"/>
      <c r="D47" s="146"/>
      <c r="E47" s="146"/>
      <c r="F47" s="146"/>
      <c r="G47" s="147"/>
    </row>
  </sheetData>
  <mergeCells count="1">
    <mergeCell ref="B3:G3"/>
  </mergeCells>
  <phoneticPr fontId="4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66"/>
  <sheetViews>
    <sheetView zoomScale="85" zoomScaleNormal="85" workbookViewId="0">
      <pane ySplit="4" topLeftCell="A5" activePane="bottomLeft" state="frozen"/>
      <selection pane="bottomLeft" activeCell="R19" sqref="R19"/>
    </sheetView>
  </sheetViews>
  <sheetFormatPr defaultColWidth="9.140625" defaultRowHeight="13.5"/>
  <cols>
    <col min="1" max="1" width="11.5703125" style="5" customWidth="1"/>
    <col min="2" max="2" width="34" style="8" customWidth="1"/>
    <col min="3" max="3" width="17.5703125" style="183" customWidth="1"/>
    <col min="4" max="4" width="18.42578125" style="183" customWidth="1"/>
    <col min="5" max="5" width="16.7109375" style="183" customWidth="1"/>
    <col min="6" max="6" width="17" style="246" customWidth="1"/>
    <col min="7" max="7" width="16.85546875" style="246" customWidth="1"/>
    <col min="8" max="8" width="17.28515625" style="246" customWidth="1"/>
    <col min="9" max="9" width="46.28515625" style="92" customWidth="1"/>
    <col min="10" max="10" width="23.7109375" style="202" customWidth="1"/>
    <col min="11" max="11" width="24.140625" style="226" customWidth="1"/>
    <col min="12" max="12" width="19.28515625" style="8" customWidth="1"/>
    <col min="13" max="13" width="10" bestFit="1" customWidth="1"/>
    <col min="14" max="14" width="11.42578125" bestFit="1" customWidth="1"/>
    <col min="15" max="15" width="10" bestFit="1" customWidth="1"/>
    <col min="16" max="16" width="12.5703125" bestFit="1" customWidth="1"/>
    <col min="17" max="17" width="10" bestFit="1" customWidth="1"/>
  </cols>
  <sheetData>
    <row r="1" spans="1:12" ht="20.100000000000001" customHeight="1">
      <c r="A1" s="249" t="s">
        <v>94</v>
      </c>
      <c r="B1" s="249"/>
      <c r="C1" s="249"/>
      <c r="D1" s="249"/>
      <c r="E1" s="249"/>
      <c r="F1" s="249"/>
      <c r="G1" s="249"/>
      <c r="H1" s="249"/>
      <c r="I1" s="249"/>
      <c r="J1" s="259"/>
      <c r="K1" s="260"/>
    </row>
    <row r="2" spans="1:12" ht="20.100000000000001" customHeight="1">
      <c r="A2" s="249"/>
      <c r="B2" s="249"/>
      <c r="C2" s="249"/>
      <c r="D2" s="249"/>
      <c r="E2" s="249"/>
      <c r="F2" s="249"/>
      <c r="G2" s="249"/>
      <c r="H2" s="249"/>
      <c r="I2" s="249"/>
      <c r="J2" s="259"/>
      <c r="K2" s="260"/>
    </row>
    <row r="3" spans="1:12" ht="20.100000000000001" customHeight="1">
      <c r="A3" s="250"/>
      <c r="B3" s="250"/>
      <c r="C3" s="250"/>
      <c r="D3" s="250"/>
      <c r="E3" s="250"/>
      <c r="F3" s="250"/>
      <c r="G3" s="250"/>
      <c r="H3" s="250"/>
      <c r="I3" s="250"/>
      <c r="J3" s="259"/>
      <c r="K3" s="260"/>
    </row>
    <row r="4" spans="1:12">
      <c r="A4" s="17" t="s">
        <v>1</v>
      </c>
      <c r="B4" s="18" t="s">
        <v>2</v>
      </c>
      <c r="C4" s="174" t="s">
        <v>86</v>
      </c>
      <c r="D4" s="174" t="s">
        <v>87</v>
      </c>
      <c r="E4" s="174" t="s">
        <v>88</v>
      </c>
      <c r="F4" s="228" t="s">
        <v>89</v>
      </c>
      <c r="G4" s="228" t="s">
        <v>90</v>
      </c>
      <c r="H4" s="228" t="s">
        <v>91</v>
      </c>
      <c r="I4" s="61" t="s">
        <v>4</v>
      </c>
      <c r="J4" s="184" t="s">
        <v>5</v>
      </c>
      <c r="K4" s="204" t="s">
        <v>93</v>
      </c>
      <c r="L4" s="18" t="s">
        <v>92</v>
      </c>
    </row>
    <row r="5" spans="1:12">
      <c r="A5" s="93">
        <v>44823</v>
      </c>
      <c r="B5" s="7" t="s">
        <v>11</v>
      </c>
      <c r="C5" s="175"/>
      <c r="D5" s="175"/>
      <c r="E5" s="175"/>
      <c r="F5" s="229">
        <v>44000</v>
      </c>
      <c r="G5" s="229">
        <v>40000</v>
      </c>
      <c r="H5" s="229">
        <v>4000</v>
      </c>
      <c r="I5" s="72" t="s">
        <v>21</v>
      </c>
      <c r="J5" s="185"/>
      <c r="K5" s="205"/>
      <c r="L5" s="7"/>
    </row>
    <row r="6" spans="1:12">
      <c r="A6" s="93">
        <v>44825</v>
      </c>
      <c r="B6" s="7" t="s">
        <v>19</v>
      </c>
      <c r="C6" s="175"/>
      <c r="D6" s="175"/>
      <c r="E6" s="175"/>
      <c r="F6" s="229">
        <v>946000</v>
      </c>
      <c r="G6" s="229">
        <v>860000</v>
      </c>
      <c r="H6" s="229">
        <v>86000</v>
      </c>
      <c r="I6" s="72" t="s">
        <v>186</v>
      </c>
      <c r="J6" s="185"/>
      <c r="K6" s="205"/>
      <c r="L6" s="7"/>
    </row>
    <row r="7" spans="1:12">
      <c r="A7" s="93">
        <v>44848</v>
      </c>
      <c r="B7" s="21" t="s">
        <v>14</v>
      </c>
      <c r="C7" s="175"/>
      <c r="D7" s="175"/>
      <c r="E7" s="175"/>
      <c r="F7" s="229">
        <v>132000</v>
      </c>
      <c r="G7" s="229">
        <v>120000</v>
      </c>
      <c r="H7" s="229">
        <v>12000</v>
      </c>
      <c r="I7" s="63" t="s">
        <v>9</v>
      </c>
      <c r="J7" s="186"/>
      <c r="K7" s="206"/>
      <c r="L7" s="7"/>
    </row>
    <row r="8" spans="1:12">
      <c r="A8" s="93">
        <v>44859</v>
      </c>
      <c r="B8" s="21" t="s">
        <v>176</v>
      </c>
      <c r="C8" s="175"/>
      <c r="D8" s="175"/>
      <c r="E8" s="175"/>
      <c r="F8" s="229">
        <v>550000</v>
      </c>
      <c r="G8" s="229">
        <v>500000</v>
      </c>
      <c r="H8" s="229">
        <v>50000</v>
      </c>
      <c r="I8" s="63" t="s">
        <v>187</v>
      </c>
      <c r="J8" s="186"/>
      <c r="K8" s="206" t="s">
        <v>280</v>
      </c>
      <c r="L8" s="7"/>
    </row>
    <row r="9" spans="1:12">
      <c r="A9" s="93">
        <v>44859</v>
      </c>
      <c r="B9" s="21" t="s">
        <v>176</v>
      </c>
      <c r="C9" s="175"/>
      <c r="D9" s="175"/>
      <c r="E9" s="175"/>
      <c r="F9" s="229">
        <v>550000</v>
      </c>
      <c r="G9" s="229">
        <v>500000</v>
      </c>
      <c r="H9" s="229">
        <v>50000</v>
      </c>
      <c r="I9" s="63" t="s">
        <v>188</v>
      </c>
      <c r="J9" s="186"/>
      <c r="K9" s="206" t="s">
        <v>281</v>
      </c>
      <c r="L9" s="7"/>
    </row>
    <row r="10" spans="1:12">
      <c r="A10" s="93">
        <v>44869</v>
      </c>
      <c r="B10" s="21" t="s">
        <v>177</v>
      </c>
      <c r="C10" s="175"/>
      <c r="D10" s="175"/>
      <c r="E10" s="175"/>
      <c r="F10" s="229">
        <v>119290</v>
      </c>
      <c r="G10" s="229">
        <v>108445</v>
      </c>
      <c r="H10" s="229">
        <v>10845</v>
      </c>
      <c r="I10" s="63" t="s">
        <v>189</v>
      </c>
      <c r="J10" s="186"/>
      <c r="K10" s="206" t="s">
        <v>282</v>
      </c>
      <c r="L10" s="7"/>
    </row>
    <row r="11" spans="1:12">
      <c r="A11" s="93">
        <v>44894</v>
      </c>
      <c r="B11" s="7" t="s">
        <v>178</v>
      </c>
      <c r="C11" s="175"/>
      <c r="D11" s="175"/>
      <c r="E11" s="175"/>
      <c r="F11" s="229">
        <v>135025</v>
      </c>
      <c r="G11" s="229">
        <v>122750</v>
      </c>
      <c r="H11" s="229">
        <v>12275</v>
      </c>
      <c r="I11" s="72" t="s">
        <v>190</v>
      </c>
      <c r="J11" s="185"/>
      <c r="K11" s="205"/>
      <c r="L11" s="7"/>
    </row>
    <row r="12" spans="1:12">
      <c r="A12" s="93">
        <v>44895</v>
      </c>
      <c r="B12" s="7" t="s">
        <v>176</v>
      </c>
      <c r="C12" s="175"/>
      <c r="D12" s="175"/>
      <c r="E12" s="175"/>
      <c r="F12" s="229">
        <v>550000</v>
      </c>
      <c r="G12" s="229">
        <v>500000</v>
      </c>
      <c r="H12" s="229">
        <v>50000</v>
      </c>
      <c r="I12" s="72" t="s">
        <v>191</v>
      </c>
      <c r="J12" s="185"/>
      <c r="K12" s="205" t="s">
        <v>283</v>
      </c>
      <c r="L12" s="7"/>
    </row>
    <row r="13" spans="1:12">
      <c r="A13" s="93">
        <v>44905</v>
      </c>
      <c r="B13" s="21" t="s">
        <v>177</v>
      </c>
      <c r="C13" s="175"/>
      <c r="D13" s="175"/>
      <c r="E13" s="175"/>
      <c r="F13" s="229">
        <v>120420</v>
      </c>
      <c r="G13" s="229">
        <v>109472</v>
      </c>
      <c r="H13" s="229">
        <v>10948</v>
      </c>
      <c r="I13" s="63" t="s">
        <v>189</v>
      </c>
      <c r="J13" s="186"/>
      <c r="K13" s="206" t="s">
        <v>284</v>
      </c>
      <c r="L13" s="14"/>
    </row>
    <row r="14" spans="1:12">
      <c r="A14" s="94">
        <v>44912</v>
      </c>
      <c r="B14" s="21" t="s">
        <v>176</v>
      </c>
      <c r="C14" s="175"/>
      <c r="D14" s="175"/>
      <c r="E14" s="175"/>
      <c r="F14" s="229">
        <v>550000</v>
      </c>
      <c r="G14" s="229">
        <v>500000</v>
      </c>
      <c r="H14" s="229">
        <v>50000</v>
      </c>
      <c r="I14" s="63" t="s">
        <v>192</v>
      </c>
      <c r="J14" s="186"/>
      <c r="K14" s="206" t="s">
        <v>283</v>
      </c>
      <c r="L14" s="7"/>
    </row>
    <row r="15" spans="1:12">
      <c r="A15" s="93">
        <v>44925</v>
      </c>
      <c r="B15" s="7" t="s">
        <v>178</v>
      </c>
      <c r="C15" s="175"/>
      <c r="D15" s="175"/>
      <c r="E15" s="175"/>
      <c r="F15" s="229">
        <v>46046</v>
      </c>
      <c r="G15" s="229">
        <v>41860</v>
      </c>
      <c r="H15" s="229">
        <v>4186</v>
      </c>
      <c r="I15" s="72" t="s">
        <v>193</v>
      </c>
      <c r="J15" s="185"/>
      <c r="K15" s="205"/>
      <c r="L15" s="14"/>
    </row>
    <row r="16" spans="1:12">
      <c r="A16" s="93">
        <v>44928</v>
      </c>
      <c r="B16" s="7" t="s">
        <v>177</v>
      </c>
      <c r="C16" s="175"/>
      <c r="D16" s="175"/>
      <c r="E16" s="175"/>
      <c r="F16" s="229">
        <v>124100</v>
      </c>
      <c r="G16" s="229">
        <v>112818</v>
      </c>
      <c r="H16" s="229">
        <v>11282</v>
      </c>
      <c r="I16" s="72" t="s">
        <v>189</v>
      </c>
      <c r="J16" s="185"/>
      <c r="K16" s="205" t="s">
        <v>283</v>
      </c>
      <c r="L16" s="7"/>
    </row>
    <row r="17" spans="1:12">
      <c r="A17" s="93">
        <v>44951</v>
      </c>
      <c r="B17" s="7" t="s">
        <v>177</v>
      </c>
      <c r="C17" s="175"/>
      <c r="D17" s="175"/>
      <c r="E17" s="175"/>
      <c r="F17" s="229">
        <v>126570</v>
      </c>
      <c r="G17" s="229">
        <v>115063</v>
      </c>
      <c r="H17" s="229">
        <v>11507</v>
      </c>
      <c r="I17" s="72" t="s">
        <v>194</v>
      </c>
      <c r="J17" s="185"/>
      <c r="K17" s="205" t="s">
        <v>285</v>
      </c>
      <c r="L17" s="14"/>
    </row>
    <row r="18" spans="1:12">
      <c r="A18" s="93">
        <v>44957</v>
      </c>
      <c r="B18" s="7" t="s">
        <v>27</v>
      </c>
      <c r="C18" s="175">
        <v>17119300</v>
      </c>
      <c r="D18" s="175">
        <v>15563000</v>
      </c>
      <c r="E18" s="175">
        <v>1556300</v>
      </c>
      <c r="F18" s="229"/>
      <c r="G18" s="229"/>
      <c r="H18" s="229"/>
      <c r="I18" s="72" t="s">
        <v>15</v>
      </c>
      <c r="J18" s="185">
        <v>44967</v>
      </c>
      <c r="K18" s="205"/>
      <c r="L18" s="14"/>
    </row>
    <row r="19" spans="1:12">
      <c r="A19" s="93">
        <v>44957</v>
      </c>
      <c r="B19" s="7" t="s">
        <v>27</v>
      </c>
      <c r="C19" s="175">
        <v>16775000</v>
      </c>
      <c r="D19" s="175">
        <v>15250000</v>
      </c>
      <c r="E19" s="175">
        <v>1525000</v>
      </c>
      <c r="F19" s="229"/>
      <c r="G19" s="229"/>
      <c r="H19" s="229"/>
      <c r="I19" s="72" t="s">
        <v>15</v>
      </c>
      <c r="J19" s="185">
        <v>44972</v>
      </c>
      <c r="K19" s="205"/>
      <c r="L19" s="14"/>
    </row>
    <row r="20" spans="1:12">
      <c r="A20" s="93">
        <v>44957</v>
      </c>
      <c r="B20" s="21" t="s">
        <v>26</v>
      </c>
      <c r="C20" s="175">
        <v>27549500</v>
      </c>
      <c r="D20" s="175">
        <v>25045000</v>
      </c>
      <c r="E20" s="175">
        <v>2504500</v>
      </c>
      <c r="F20" s="229"/>
      <c r="G20" s="229"/>
      <c r="H20" s="229"/>
      <c r="I20" s="63" t="s">
        <v>15</v>
      </c>
      <c r="J20" s="186">
        <v>44967</v>
      </c>
      <c r="K20" s="206"/>
      <c r="L20" s="57"/>
    </row>
    <row r="21" spans="1:12">
      <c r="A21" s="93">
        <v>44979</v>
      </c>
      <c r="B21" s="21" t="s">
        <v>176</v>
      </c>
      <c r="C21" s="175"/>
      <c r="D21" s="175"/>
      <c r="E21" s="175"/>
      <c r="F21" s="229">
        <v>550000</v>
      </c>
      <c r="G21" s="229">
        <v>500000</v>
      </c>
      <c r="H21" s="229">
        <v>50000</v>
      </c>
      <c r="I21" s="63" t="s">
        <v>195</v>
      </c>
      <c r="J21" s="186"/>
      <c r="K21" s="206" t="s">
        <v>286</v>
      </c>
      <c r="L21" s="7"/>
    </row>
    <row r="22" spans="1:12">
      <c r="A22" s="93">
        <v>44985</v>
      </c>
      <c r="B22" s="7" t="s">
        <v>27</v>
      </c>
      <c r="C22" s="175">
        <v>19759300</v>
      </c>
      <c r="D22" s="175">
        <v>17963000</v>
      </c>
      <c r="E22" s="175">
        <v>1796300</v>
      </c>
      <c r="F22" s="229"/>
      <c r="G22" s="229"/>
      <c r="H22" s="229"/>
      <c r="I22" s="72" t="s">
        <v>15</v>
      </c>
      <c r="J22" s="185"/>
      <c r="K22" s="205"/>
      <c r="L22" s="14"/>
    </row>
    <row r="23" spans="1:12">
      <c r="A23" s="93">
        <v>44985</v>
      </c>
      <c r="B23" s="7" t="s">
        <v>26</v>
      </c>
      <c r="C23" s="175">
        <v>30839600</v>
      </c>
      <c r="D23" s="175">
        <v>28036000</v>
      </c>
      <c r="E23" s="175">
        <v>2803600</v>
      </c>
      <c r="F23" s="229"/>
      <c r="G23" s="229"/>
      <c r="H23" s="229"/>
      <c r="I23" s="72" t="s">
        <v>15</v>
      </c>
      <c r="J23" s="185">
        <v>45013</v>
      </c>
      <c r="K23" s="205"/>
      <c r="L23" s="14"/>
    </row>
    <row r="24" spans="1:12">
      <c r="A24" s="93">
        <v>44985</v>
      </c>
      <c r="B24" s="7" t="s">
        <v>27</v>
      </c>
      <c r="C24" s="175">
        <v>-19759300</v>
      </c>
      <c r="D24" s="175">
        <v>-17963000</v>
      </c>
      <c r="E24" s="175">
        <v>-1796300</v>
      </c>
      <c r="F24" s="229"/>
      <c r="G24" s="229"/>
      <c r="H24" s="229"/>
      <c r="I24" s="72" t="s">
        <v>107</v>
      </c>
      <c r="J24" s="185"/>
      <c r="K24" s="205"/>
      <c r="L24" s="13"/>
    </row>
    <row r="25" spans="1:12">
      <c r="A25" s="93">
        <v>44985</v>
      </c>
      <c r="B25" s="7" t="s">
        <v>177</v>
      </c>
      <c r="C25" s="175"/>
      <c r="D25" s="175"/>
      <c r="E25" s="175"/>
      <c r="F25" s="229">
        <v>138250</v>
      </c>
      <c r="G25" s="229">
        <v>125681</v>
      </c>
      <c r="H25" s="229">
        <v>12569</v>
      </c>
      <c r="I25" s="72" t="s">
        <v>194</v>
      </c>
      <c r="J25" s="185"/>
      <c r="K25" s="205" t="s">
        <v>287</v>
      </c>
      <c r="L25" s="7"/>
    </row>
    <row r="26" spans="1:12">
      <c r="A26" s="93">
        <v>44986</v>
      </c>
      <c r="B26" s="7" t="s">
        <v>176</v>
      </c>
      <c r="C26" s="175"/>
      <c r="D26" s="175"/>
      <c r="E26" s="175"/>
      <c r="F26" s="229">
        <v>550000</v>
      </c>
      <c r="G26" s="229">
        <v>500000</v>
      </c>
      <c r="H26" s="229">
        <v>50000</v>
      </c>
      <c r="I26" s="72" t="s">
        <v>196</v>
      </c>
      <c r="J26" s="185"/>
      <c r="K26" s="205" t="s">
        <v>286</v>
      </c>
      <c r="L26" s="7"/>
    </row>
    <row r="27" spans="1:12">
      <c r="A27" s="93">
        <v>45000</v>
      </c>
      <c r="B27" s="21" t="s">
        <v>20</v>
      </c>
      <c r="C27" s="175"/>
      <c r="D27" s="175"/>
      <c r="E27" s="175"/>
      <c r="F27" s="229">
        <v>16341600</v>
      </c>
      <c r="G27" s="229">
        <v>14856000</v>
      </c>
      <c r="H27" s="229">
        <v>1485600</v>
      </c>
      <c r="I27" s="63" t="s">
        <v>15</v>
      </c>
      <c r="J27" s="187"/>
      <c r="K27" s="206" t="s">
        <v>288</v>
      </c>
      <c r="L27" s="7"/>
    </row>
    <row r="28" spans="1:12">
      <c r="A28" s="93">
        <v>45000</v>
      </c>
      <c r="B28" s="7" t="s">
        <v>16</v>
      </c>
      <c r="C28" s="175"/>
      <c r="D28" s="175"/>
      <c r="E28" s="175"/>
      <c r="F28" s="229">
        <v>119565600</v>
      </c>
      <c r="G28" s="229">
        <v>108696000</v>
      </c>
      <c r="H28" s="229">
        <v>10869600</v>
      </c>
      <c r="I28" s="72" t="s">
        <v>197</v>
      </c>
      <c r="J28" s="185"/>
      <c r="K28" s="205"/>
      <c r="L28" s="7"/>
    </row>
    <row r="29" spans="1:12">
      <c r="A29" s="93">
        <v>45005</v>
      </c>
      <c r="B29" s="21" t="s">
        <v>179</v>
      </c>
      <c r="C29" s="175"/>
      <c r="D29" s="175"/>
      <c r="E29" s="175"/>
      <c r="F29" s="229">
        <v>46310000</v>
      </c>
      <c r="G29" s="229">
        <v>42100000</v>
      </c>
      <c r="H29" s="229">
        <v>4210000</v>
      </c>
      <c r="I29" s="63" t="s">
        <v>198</v>
      </c>
      <c r="J29" s="187"/>
      <c r="K29" s="206" t="s">
        <v>289</v>
      </c>
      <c r="L29" s="7"/>
    </row>
    <row r="30" spans="1:12">
      <c r="A30" s="93">
        <v>45010</v>
      </c>
      <c r="B30" s="7" t="s">
        <v>176</v>
      </c>
      <c r="C30" s="175"/>
      <c r="D30" s="175"/>
      <c r="E30" s="175"/>
      <c r="F30" s="229">
        <v>550000</v>
      </c>
      <c r="G30" s="229">
        <v>500000</v>
      </c>
      <c r="H30" s="229">
        <v>50000</v>
      </c>
      <c r="I30" s="72" t="s">
        <v>199</v>
      </c>
      <c r="J30" s="185"/>
      <c r="K30" s="205" t="s">
        <v>290</v>
      </c>
      <c r="L30" s="7"/>
    </row>
    <row r="31" spans="1:12">
      <c r="A31" s="93">
        <v>45016</v>
      </c>
      <c r="B31" s="21" t="s">
        <v>26</v>
      </c>
      <c r="C31" s="175">
        <v>33284350</v>
      </c>
      <c r="D31" s="175">
        <v>30258500</v>
      </c>
      <c r="E31" s="175">
        <v>3025850</v>
      </c>
      <c r="F31" s="229"/>
      <c r="G31" s="229"/>
      <c r="H31" s="229"/>
      <c r="I31" s="63" t="s">
        <v>3</v>
      </c>
      <c r="J31" s="186">
        <v>45054</v>
      </c>
      <c r="K31" s="206"/>
      <c r="L31" s="57"/>
    </row>
    <row r="32" spans="1:12">
      <c r="A32" s="93">
        <v>45023</v>
      </c>
      <c r="B32" s="21" t="s">
        <v>177</v>
      </c>
      <c r="C32" s="175"/>
      <c r="D32" s="175"/>
      <c r="E32" s="175"/>
      <c r="F32" s="229">
        <v>136430</v>
      </c>
      <c r="G32" s="229">
        <v>124027</v>
      </c>
      <c r="H32" s="229">
        <v>12403</v>
      </c>
      <c r="I32" s="63" t="s">
        <v>194</v>
      </c>
      <c r="J32" s="187"/>
      <c r="K32" s="206" t="s">
        <v>291</v>
      </c>
      <c r="L32" s="7"/>
    </row>
    <row r="33" spans="1:12">
      <c r="A33" s="93">
        <v>45032</v>
      </c>
      <c r="B33" s="21" t="s">
        <v>176</v>
      </c>
      <c r="C33" s="175"/>
      <c r="D33" s="175"/>
      <c r="E33" s="175"/>
      <c r="F33" s="229">
        <v>550000</v>
      </c>
      <c r="G33" s="229">
        <v>500000</v>
      </c>
      <c r="H33" s="229">
        <v>50000</v>
      </c>
      <c r="I33" s="63" t="s">
        <v>200</v>
      </c>
      <c r="J33" s="187"/>
      <c r="K33" s="206"/>
      <c r="L33" s="7"/>
    </row>
    <row r="34" spans="1:12">
      <c r="A34" s="93">
        <v>45043</v>
      </c>
      <c r="B34" s="21" t="s">
        <v>177</v>
      </c>
      <c r="C34" s="175"/>
      <c r="D34" s="175"/>
      <c r="E34" s="175"/>
      <c r="F34" s="229">
        <v>135490</v>
      </c>
      <c r="G34" s="229">
        <v>123172</v>
      </c>
      <c r="H34" s="229">
        <v>12318</v>
      </c>
      <c r="I34" s="63" t="s">
        <v>194</v>
      </c>
      <c r="J34" s="186"/>
      <c r="K34" s="206" t="s">
        <v>290</v>
      </c>
      <c r="L34" s="7"/>
    </row>
    <row r="35" spans="1:12">
      <c r="A35" s="93">
        <v>45046</v>
      </c>
      <c r="B35" s="7" t="s">
        <v>26</v>
      </c>
      <c r="C35" s="175">
        <v>29769300</v>
      </c>
      <c r="D35" s="175">
        <v>27063000</v>
      </c>
      <c r="E35" s="175">
        <v>2706300</v>
      </c>
      <c r="F35" s="229"/>
      <c r="G35" s="229"/>
      <c r="H35" s="229"/>
      <c r="I35" s="72" t="s">
        <v>3</v>
      </c>
      <c r="J35" s="185">
        <v>45080</v>
      </c>
      <c r="K35" s="205"/>
      <c r="L35" s="13"/>
    </row>
    <row r="36" spans="1:12">
      <c r="A36" s="93">
        <v>45056</v>
      </c>
      <c r="B36" s="21" t="s">
        <v>179</v>
      </c>
      <c r="C36" s="175"/>
      <c r="D36" s="175"/>
      <c r="E36" s="175"/>
      <c r="F36" s="229">
        <v>-32205800</v>
      </c>
      <c r="G36" s="229">
        <v>-29278000</v>
      </c>
      <c r="H36" s="229">
        <v>-2927800</v>
      </c>
      <c r="I36" s="63" t="s">
        <v>201</v>
      </c>
      <c r="J36" s="186"/>
      <c r="K36" s="206"/>
      <c r="L36" s="7"/>
    </row>
    <row r="37" spans="1:12">
      <c r="A37" s="93">
        <v>45056</v>
      </c>
      <c r="B37" s="21" t="s">
        <v>28</v>
      </c>
      <c r="C37" s="175"/>
      <c r="D37" s="175"/>
      <c r="E37" s="175"/>
      <c r="F37" s="229">
        <v>33000</v>
      </c>
      <c r="G37" s="229">
        <v>30000</v>
      </c>
      <c r="H37" s="229">
        <v>3000</v>
      </c>
      <c r="I37" s="63" t="s">
        <v>29</v>
      </c>
      <c r="J37" s="186"/>
      <c r="K37" s="206"/>
      <c r="L37" s="7"/>
    </row>
    <row r="38" spans="1:12">
      <c r="A38" s="93">
        <v>45056</v>
      </c>
      <c r="B38" s="21" t="s">
        <v>179</v>
      </c>
      <c r="C38" s="175"/>
      <c r="D38" s="175"/>
      <c r="E38" s="175"/>
      <c r="F38" s="229">
        <v>32205800</v>
      </c>
      <c r="G38" s="229">
        <v>29278000</v>
      </c>
      <c r="H38" s="229">
        <v>2927800</v>
      </c>
      <c r="I38" s="63" t="s">
        <v>201</v>
      </c>
      <c r="J38" s="186"/>
      <c r="K38" s="206"/>
      <c r="L38" s="7"/>
    </row>
    <row r="39" spans="1:12">
      <c r="A39" s="93">
        <v>45062</v>
      </c>
      <c r="B39" s="21" t="s">
        <v>176</v>
      </c>
      <c r="C39" s="175"/>
      <c r="D39" s="175"/>
      <c r="E39" s="175"/>
      <c r="F39" s="229">
        <v>572000</v>
      </c>
      <c r="G39" s="229">
        <v>520000</v>
      </c>
      <c r="H39" s="229">
        <v>52000</v>
      </c>
      <c r="I39" s="63" t="s">
        <v>202</v>
      </c>
      <c r="J39" s="186"/>
      <c r="K39" s="206" t="s">
        <v>292</v>
      </c>
      <c r="L39" s="14"/>
    </row>
    <row r="40" spans="1:12">
      <c r="A40" s="93">
        <v>45077</v>
      </c>
      <c r="B40" s="21" t="s">
        <v>177</v>
      </c>
      <c r="C40" s="175"/>
      <c r="D40" s="175"/>
      <c r="E40" s="175"/>
      <c r="F40" s="229">
        <v>135110</v>
      </c>
      <c r="G40" s="229">
        <v>122827</v>
      </c>
      <c r="H40" s="229">
        <v>12283</v>
      </c>
      <c r="I40" s="63" t="s">
        <v>194</v>
      </c>
      <c r="J40" s="186"/>
      <c r="K40" s="206" t="s">
        <v>292</v>
      </c>
      <c r="L40" s="7"/>
    </row>
    <row r="41" spans="1:12">
      <c r="A41" s="93">
        <v>45095</v>
      </c>
      <c r="B41" s="7" t="s">
        <v>176</v>
      </c>
      <c r="C41" s="175"/>
      <c r="D41" s="175"/>
      <c r="E41" s="175"/>
      <c r="F41" s="229">
        <v>572000</v>
      </c>
      <c r="G41" s="229">
        <v>520000</v>
      </c>
      <c r="H41" s="229">
        <v>52000</v>
      </c>
      <c r="I41" s="72" t="s">
        <v>203</v>
      </c>
      <c r="J41" s="185"/>
      <c r="K41" s="205" t="s">
        <v>293</v>
      </c>
      <c r="L41" s="7"/>
    </row>
    <row r="42" spans="1:12">
      <c r="A42" s="93">
        <v>45104</v>
      </c>
      <c r="B42" s="7" t="s">
        <v>177</v>
      </c>
      <c r="C42" s="175"/>
      <c r="D42" s="175"/>
      <c r="E42" s="175"/>
      <c r="F42" s="229">
        <v>135450</v>
      </c>
      <c r="G42" s="229">
        <v>123136</v>
      </c>
      <c r="H42" s="229">
        <v>12314</v>
      </c>
      <c r="I42" s="72" t="s">
        <v>194</v>
      </c>
      <c r="J42" s="185"/>
      <c r="K42" s="205" t="s">
        <v>293</v>
      </c>
      <c r="L42" s="7"/>
    </row>
    <row r="43" spans="1:12">
      <c r="A43" s="93">
        <v>45107</v>
      </c>
      <c r="B43" s="21" t="s">
        <v>26</v>
      </c>
      <c r="C43" s="175">
        <v>30717060</v>
      </c>
      <c r="D43" s="175">
        <v>27924600</v>
      </c>
      <c r="E43" s="175">
        <v>2792460</v>
      </c>
      <c r="F43" s="229"/>
      <c r="G43" s="229"/>
      <c r="H43" s="229"/>
      <c r="I43" s="63" t="s">
        <v>3</v>
      </c>
      <c r="J43" s="186">
        <v>45141</v>
      </c>
      <c r="K43" s="206"/>
      <c r="L43" s="57"/>
    </row>
    <row r="44" spans="1:12">
      <c r="A44" s="93">
        <v>45124</v>
      </c>
      <c r="B44" s="7" t="s">
        <v>176</v>
      </c>
      <c r="C44" s="175"/>
      <c r="D44" s="175"/>
      <c r="E44" s="175"/>
      <c r="F44" s="229">
        <v>572000</v>
      </c>
      <c r="G44" s="229">
        <v>520000</v>
      </c>
      <c r="H44" s="229">
        <v>52000</v>
      </c>
      <c r="I44" s="72" t="s">
        <v>204</v>
      </c>
      <c r="J44" s="185"/>
      <c r="K44" s="205" t="s">
        <v>294</v>
      </c>
      <c r="L44" s="7"/>
    </row>
    <row r="45" spans="1:12">
      <c r="A45" s="93">
        <v>45132</v>
      </c>
      <c r="B45" s="7" t="s">
        <v>32</v>
      </c>
      <c r="C45" s="175"/>
      <c r="D45" s="175"/>
      <c r="E45" s="175"/>
      <c r="F45" s="229">
        <v>220000</v>
      </c>
      <c r="G45" s="229">
        <v>200000</v>
      </c>
      <c r="H45" s="229">
        <v>20000</v>
      </c>
      <c r="I45" s="72" t="s">
        <v>12</v>
      </c>
      <c r="J45" s="185"/>
      <c r="K45" s="205"/>
      <c r="L45" s="7"/>
    </row>
    <row r="46" spans="1:12">
      <c r="A46" s="93">
        <v>45132</v>
      </c>
      <c r="B46" s="7" t="s">
        <v>177</v>
      </c>
      <c r="C46" s="175"/>
      <c r="D46" s="175"/>
      <c r="E46" s="175"/>
      <c r="F46" s="229">
        <v>133860</v>
      </c>
      <c r="G46" s="229">
        <v>121691</v>
      </c>
      <c r="H46" s="229">
        <v>12169</v>
      </c>
      <c r="I46" s="72" t="s">
        <v>194</v>
      </c>
      <c r="J46" s="185"/>
      <c r="K46" s="205" t="s">
        <v>294</v>
      </c>
      <c r="L46" s="7"/>
    </row>
    <row r="47" spans="1:12">
      <c r="A47" s="93">
        <v>45138</v>
      </c>
      <c r="B47" s="21" t="s">
        <v>26</v>
      </c>
      <c r="C47" s="175">
        <v>27507700</v>
      </c>
      <c r="D47" s="175">
        <v>25007000</v>
      </c>
      <c r="E47" s="175">
        <v>2500700</v>
      </c>
      <c r="F47" s="229"/>
      <c r="G47" s="229"/>
      <c r="H47" s="229"/>
      <c r="I47" s="63" t="s">
        <v>15</v>
      </c>
      <c r="J47" s="186">
        <v>45174</v>
      </c>
      <c r="K47" s="206"/>
      <c r="L47" s="57"/>
    </row>
    <row r="48" spans="1:12">
      <c r="A48" s="93">
        <v>45160</v>
      </c>
      <c r="B48" s="7" t="s">
        <v>11</v>
      </c>
      <c r="C48" s="175"/>
      <c r="D48" s="175"/>
      <c r="E48" s="175"/>
      <c r="F48" s="229">
        <v>55000</v>
      </c>
      <c r="G48" s="229">
        <v>50000</v>
      </c>
      <c r="H48" s="229">
        <v>5000</v>
      </c>
      <c r="I48" s="72" t="s">
        <v>21</v>
      </c>
      <c r="J48" s="185"/>
      <c r="K48" s="205"/>
      <c r="L48" s="7"/>
    </row>
    <row r="49" spans="1:12">
      <c r="A49" s="93">
        <v>45163</v>
      </c>
      <c r="B49" s="7" t="s">
        <v>32</v>
      </c>
      <c r="C49" s="175"/>
      <c r="D49" s="175"/>
      <c r="E49" s="175"/>
      <c r="F49" s="229">
        <v>220000</v>
      </c>
      <c r="G49" s="229">
        <v>200000</v>
      </c>
      <c r="H49" s="229">
        <v>20000</v>
      </c>
      <c r="I49" s="72" t="s">
        <v>12</v>
      </c>
      <c r="J49" s="185"/>
      <c r="K49" s="205"/>
      <c r="L49" s="7"/>
    </row>
    <row r="50" spans="1:12">
      <c r="A50" s="93">
        <v>45168</v>
      </c>
      <c r="B50" s="7" t="s">
        <v>177</v>
      </c>
      <c r="C50" s="175"/>
      <c r="D50" s="175"/>
      <c r="E50" s="175"/>
      <c r="F50" s="229">
        <v>134290</v>
      </c>
      <c r="G50" s="229">
        <v>122082</v>
      </c>
      <c r="H50" s="229">
        <v>12208</v>
      </c>
      <c r="I50" s="72" t="s">
        <v>194</v>
      </c>
      <c r="J50" s="185"/>
      <c r="K50" s="205" t="s">
        <v>295</v>
      </c>
      <c r="L50" s="7"/>
    </row>
    <row r="51" spans="1:12">
      <c r="A51" s="93">
        <v>45184</v>
      </c>
      <c r="B51" s="7" t="s">
        <v>176</v>
      </c>
      <c r="C51" s="175"/>
      <c r="D51" s="175"/>
      <c r="E51" s="175"/>
      <c r="F51" s="229">
        <v>1144000</v>
      </c>
      <c r="G51" s="229">
        <v>1040000</v>
      </c>
      <c r="H51" s="229">
        <v>104000</v>
      </c>
      <c r="I51" s="72" t="s">
        <v>205</v>
      </c>
      <c r="J51" s="185"/>
      <c r="K51" s="205" t="s">
        <v>296</v>
      </c>
      <c r="L51" s="7"/>
    </row>
    <row r="52" spans="1:12">
      <c r="A52" s="93">
        <v>45194</v>
      </c>
      <c r="B52" s="7" t="s">
        <v>32</v>
      </c>
      <c r="C52" s="175"/>
      <c r="D52" s="175"/>
      <c r="E52" s="175"/>
      <c r="F52" s="229">
        <v>220000</v>
      </c>
      <c r="G52" s="229">
        <v>200000</v>
      </c>
      <c r="H52" s="229">
        <v>20000</v>
      </c>
      <c r="I52" s="72" t="s">
        <v>12</v>
      </c>
      <c r="J52" s="185"/>
      <c r="K52" s="205"/>
      <c r="L52" s="7"/>
    </row>
    <row r="53" spans="1:12">
      <c r="A53" s="93">
        <v>45194</v>
      </c>
      <c r="B53" s="7" t="s">
        <v>177</v>
      </c>
      <c r="C53" s="175"/>
      <c r="D53" s="175"/>
      <c r="E53" s="175"/>
      <c r="F53" s="229">
        <v>135180</v>
      </c>
      <c r="G53" s="229">
        <v>122891</v>
      </c>
      <c r="H53" s="229">
        <v>12289</v>
      </c>
      <c r="I53" s="72" t="s">
        <v>194</v>
      </c>
      <c r="J53" s="185"/>
      <c r="K53" s="205"/>
      <c r="L53" s="7"/>
    </row>
    <row r="54" spans="1:12">
      <c r="A54" s="93">
        <v>45222</v>
      </c>
      <c r="B54" s="7" t="s">
        <v>176</v>
      </c>
      <c r="C54" s="175"/>
      <c r="D54" s="175"/>
      <c r="E54" s="175"/>
      <c r="F54" s="229">
        <v>572000</v>
      </c>
      <c r="G54" s="229">
        <v>520000</v>
      </c>
      <c r="H54" s="229">
        <v>52000</v>
      </c>
      <c r="I54" s="72" t="s">
        <v>206</v>
      </c>
      <c r="J54" s="185"/>
      <c r="K54" s="205"/>
      <c r="L54" s="7"/>
    </row>
    <row r="55" spans="1:12">
      <c r="A55" s="93">
        <v>45224</v>
      </c>
      <c r="B55" s="7" t="s">
        <v>32</v>
      </c>
      <c r="C55" s="175"/>
      <c r="D55" s="175"/>
      <c r="E55" s="175"/>
      <c r="F55" s="229">
        <v>220000</v>
      </c>
      <c r="G55" s="229">
        <v>200000</v>
      </c>
      <c r="H55" s="229">
        <v>20000</v>
      </c>
      <c r="I55" s="72" t="s">
        <v>12</v>
      </c>
      <c r="J55" s="185"/>
      <c r="K55" s="205"/>
      <c r="L55" s="7"/>
    </row>
    <row r="56" spans="1:12">
      <c r="A56" s="93">
        <v>45224</v>
      </c>
      <c r="B56" s="7" t="s">
        <v>177</v>
      </c>
      <c r="C56" s="175"/>
      <c r="D56" s="175"/>
      <c r="E56" s="175"/>
      <c r="F56" s="229">
        <v>135140</v>
      </c>
      <c r="G56" s="229">
        <v>122855</v>
      </c>
      <c r="H56" s="229">
        <v>12285</v>
      </c>
      <c r="I56" s="72" t="s">
        <v>194</v>
      </c>
      <c r="J56" s="185"/>
      <c r="K56" s="205"/>
      <c r="L56" s="7"/>
    </row>
    <row r="57" spans="1:12">
      <c r="A57" s="93">
        <v>45248</v>
      </c>
      <c r="B57" s="7" t="s">
        <v>176</v>
      </c>
      <c r="C57" s="175"/>
      <c r="D57" s="175"/>
      <c r="E57" s="175"/>
      <c r="F57" s="229">
        <v>572000</v>
      </c>
      <c r="G57" s="229">
        <v>520000</v>
      </c>
      <c r="H57" s="229">
        <v>52000</v>
      </c>
      <c r="I57" s="72" t="s">
        <v>207</v>
      </c>
      <c r="J57" s="185"/>
      <c r="K57" s="205"/>
      <c r="L57" s="7"/>
    </row>
    <row r="58" spans="1:12">
      <c r="A58" s="93">
        <v>45255</v>
      </c>
      <c r="B58" s="7" t="s">
        <v>32</v>
      </c>
      <c r="C58" s="175"/>
      <c r="D58" s="175"/>
      <c r="E58" s="175"/>
      <c r="F58" s="229">
        <v>220000</v>
      </c>
      <c r="G58" s="229">
        <v>200000</v>
      </c>
      <c r="H58" s="229">
        <v>20000</v>
      </c>
      <c r="I58" s="72" t="s">
        <v>12</v>
      </c>
      <c r="J58" s="185"/>
      <c r="K58" s="205"/>
      <c r="L58" s="7"/>
    </row>
    <row r="59" spans="1:12">
      <c r="A59" s="93">
        <v>45260</v>
      </c>
      <c r="B59" s="7" t="s">
        <v>177</v>
      </c>
      <c r="C59" s="175"/>
      <c r="D59" s="175"/>
      <c r="E59" s="175"/>
      <c r="F59" s="229">
        <v>134800</v>
      </c>
      <c r="G59" s="229">
        <v>122545</v>
      </c>
      <c r="H59" s="229">
        <v>12255</v>
      </c>
      <c r="I59" s="72" t="s">
        <v>194</v>
      </c>
      <c r="J59" s="185"/>
      <c r="K59" s="205"/>
      <c r="L59" s="7"/>
    </row>
    <row r="60" spans="1:12">
      <c r="A60" s="93">
        <v>45260</v>
      </c>
      <c r="B60" s="7" t="s">
        <v>177</v>
      </c>
      <c r="C60" s="175"/>
      <c r="D60" s="175"/>
      <c r="E60" s="175"/>
      <c r="F60" s="229">
        <v>-1584</v>
      </c>
      <c r="G60" s="229">
        <v>-1440</v>
      </c>
      <c r="H60" s="229">
        <v>-144</v>
      </c>
      <c r="I60" s="72" t="s">
        <v>194</v>
      </c>
      <c r="J60" s="185"/>
      <c r="K60" s="205"/>
      <c r="L60" s="7"/>
    </row>
    <row r="61" spans="1:12">
      <c r="A61" s="93">
        <v>45260</v>
      </c>
      <c r="B61" s="7" t="s">
        <v>177</v>
      </c>
      <c r="C61" s="175"/>
      <c r="D61" s="175"/>
      <c r="E61" s="175"/>
      <c r="F61" s="229">
        <v>1584</v>
      </c>
      <c r="G61" s="229">
        <v>1440</v>
      </c>
      <c r="H61" s="229">
        <v>144</v>
      </c>
      <c r="I61" s="72" t="s">
        <v>194</v>
      </c>
      <c r="J61" s="185"/>
      <c r="K61" s="205"/>
      <c r="L61" s="7"/>
    </row>
    <row r="62" spans="1:12">
      <c r="A62" s="93">
        <v>45273</v>
      </c>
      <c r="B62" s="7" t="s">
        <v>31</v>
      </c>
      <c r="C62" s="175"/>
      <c r="D62" s="175"/>
      <c r="E62" s="175"/>
      <c r="F62" s="229">
        <v>192500</v>
      </c>
      <c r="G62" s="229">
        <v>175000</v>
      </c>
      <c r="H62" s="229">
        <v>17500</v>
      </c>
      <c r="I62" s="72" t="s">
        <v>36</v>
      </c>
      <c r="J62" s="185"/>
      <c r="K62" s="205"/>
      <c r="L62" s="7"/>
    </row>
    <row r="63" spans="1:12">
      <c r="A63" s="93">
        <v>45276</v>
      </c>
      <c r="B63" s="7" t="s">
        <v>176</v>
      </c>
      <c r="C63" s="175"/>
      <c r="D63" s="175"/>
      <c r="E63" s="175"/>
      <c r="F63" s="229">
        <v>572000</v>
      </c>
      <c r="G63" s="229">
        <v>520000</v>
      </c>
      <c r="H63" s="229">
        <v>52000</v>
      </c>
      <c r="I63" s="72" t="s">
        <v>208</v>
      </c>
      <c r="J63" s="185"/>
      <c r="K63" s="205"/>
      <c r="L63" s="7"/>
    </row>
    <row r="64" spans="1:12">
      <c r="A64" s="93">
        <v>45285</v>
      </c>
      <c r="B64" s="7" t="s">
        <v>32</v>
      </c>
      <c r="C64" s="175"/>
      <c r="D64" s="175"/>
      <c r="E64" s="175"/>
      <c r="F64" s="229">
        <v>220000</v>
      </c>
      <c r="G64" s="229">
        <v>200000</v>
      </c>
      <c r="H64" s="229">
        <v>20000</v>
      </c>
      <c r="I64" s="72" t="s">
        <v>12</v>
      </c>
      <c r="J64" s="185"/>
      <c r="K64" s="205"/>
      <c r="L64" s="7"/>
    </row>
    <row r="65" spans="1:12">
      <c r="A65" s="93">
        <v>45287</v>
      </c>
      <c r="B65" s="7" t="s">
        <v>177</v>
      </c>
      <c r="C65" s="175"/>
      <c r="D65" s="175"/>
      <c r="E65" s="175"/>
      <c r="F65" s="229">
        <v>134690</v>
      </c>
      <c r="G65" s="229">
        <v>122445</v>
      </c>
      <c r="H65" s="229">
        <v>12245</v>
      </c>
      <c r="I65" s="72" t="s">
        <v>194</v>
      </c>
      <c r="J65" s="185"/>
      <c r="K65" s="205"/>
      <c r="L65" s="7"/>
    </row>
    <row r="66" spans="1:12">
      <c r="A66" s="93">
        <v>45301</v>
      </c>
      <c r="B66" s="7" t="s">
        <v>0</v>
      </c>
      <c r="C66" s="175">
        <v>3096423</v>
      </c>
      <c r="D66" s="175">
        <v>2814930</v>
      </c>
      <c r="E66" s="175">
        <v>281493</v>
      </c>
      <c r="F66" s="229"/>
      <c r="G66" s="229"/>
      <c r="H66" s="229"/>
      <c r="I66" s="72" t="s">
        <v>108</v>
      </c>
      <c r="J66" s="185">
        <v>45321</v>
      </c>
      <c r="K66" s="205"/>
      <c r="L66" s="13"/>
    </row>
    <row r="67" spans="1:12">
      <c r="A67" s="93">
        <v>45301</v>
      </c>
      <c r="B67" s="21" t="s">
        <v>33</v>
      </c>
      <c r="C67" s="175">
        <v>13974840</v>
      </c>
      <c r="D67" s="175">
        <v>12704400</v>
      </c>
      <c r="E67" s="175">
        <v>1270440</v>
      </c>
      <c r="F67" s="229"/>
      <c r="G67" s="229"/>
      <c r="H67" s="229"/>
      <c r="I67" s="63" t="s">
        <v>109</v>
      </c>
      <c r="J67" s="186">
        <v>45303</v>
      </c>
      <c r="K67" s="206"/>
      <c r="L67" s="57"/>
    </row>
    <row r="68" spans="1:12">
      <c r="A68" s="93">
        <v>45308</v>
      </c>
      <c r="B68" s="7" t="s">
        <v>176</v>
      </c>
      <c r="C68" s="175"/>
      <c r="D68" s="175"/>
      <c r="E68" s="175"/>
      <c r="F68" s="229">
        <v>572000</v>
      </c>
      <c r="G68" s="229">
        <v>520000</v>
      </c>
      <c r="H68" s="229">
        <v>52000</v>
      </c>
      <c r="I68" s="72" t="s">
        <v>209</v>
      </c>
      <c r="J68" s="185"/>
      <c r="K68" s="205"/>
      <c r="L68" s="7"/>
    </row>
    <row r="69" spans="1:12">
      <c r="A69" s="93">
        <v>45316</v>
      </c>
      <c r="B69" s="7" t="s">
        <v>32</v>
      </c>
      <c r="C69" s="175"/>
      <c r="D69" s="175"/>
      <c r="E69" s="175"/>
      <c r="F69" s="229">
        <v>220000</v>
      </c>
      <c r="G69" s="229">
        <v>200000</v>
      </c>
      <c r="H69" s="229">
        <v>20000</v>
      </c>
      <c r="I69" s="72" t="s">
        <v>12</v>
      </c>
      <c r="J69" s="185"/>
      <c r="K69" s="205"/>
      <c r="L69" s="7"/>
    </row>
    <row r="70" spans="1:12">
      <c r="A70" s="93">
        <v>45316</v>
      </c>
      <c r="B70" s="7" t="s">
        <v>177</v>
      </c>
      <c r="C70" s="175"/>
      <c r="D70" s="175"/>
      <c r="E70" s="175"/>
      <c r="F70" s="229">
        <v>137870</v>
      </c>
      <c r="G70" s="229">
        <v>125336</v>
      </c>
      <c r="H70" s="229">
        <v>12534</v>
      </c>
      <c r="I70" s="72" t="s">
        <v>194</v>
      </c>
      <c r="J70" s="185"/>
      <c r="K70" s="205"/>
      <c r="L70" s="7"/>
    </row>
    <row r="71" spans="1:12">
      <c r="A71" s="93">
        <v>45341</v>
      </c>
      <c r="B71" s="7" t="s">
        <v>176</v>
      </c>
      <c r="C71" s="175"/>
      <c r="D71" s="175"/>
      <c r="E71" s="175"/>
      <c r="F71" s="229">
        <v>572000</v>
      </c>
      <c r="G71" s="229">
        <v>520000</v>
      </c>
      <c r="H71" s="229">
        <v>52000</v>
      </c>
      <c r="I71" s="72" t="s">
        <v>210</v>
      </c>
      <c r="J71" s="185"/>
      <c r="K71" s="205"/>
      <c r="L71" s="7"/>
    </row>
    <row r="72" spans="1:12">
      <c r="A72" s="93">
        <v>45347</v>
      </c>
      <c r="B72" s="7" t="s">
        <v>32</v>
      </c>
      <c r="C72" s="175"/>
      <c r="D72" s="175"/>
      <c r="E72" s="175"/>
      <c r="F72" s="229">
        <v>220000</v>
      </c>
      <c r="G72" s="229">
        <v>200000</v>
      </c>
      <c r="H72" s="229">
        <v>20000</v>
      </c>
      <c r="I72" s="72" t="s">
        <v>12</v>
      </c>
      <c r="J72" s="185"/>
      <c r="K72" s="205"/>
      <c r="L72" s="7"/>
    </row>
    <row r="73" spans="1:12">
      <c r="A73" s="93">
        <v>45348</v>
      </c>
      <c r="B73" s="7" t="s">
        <v>177</v>
      </c>
      <c r="C73" s="175"/>
      <c r="D73" s="175"/>
      <c r="E73" s="175"/>
      <c r="F73" s="229">
        <v>137490</v>
      </c>
      <c r="G73" s="229">
        <v>124991</v>
      </c>
      <c r="H73" s="229">
        <v>12499</v>
      </c>
      <c r="I73" s="72" t="s">
        <v>194</v>
      </c>
      <c r="J73" s="185"/>
      <c r="K73" s="205"/>
      <c r="L73" s="7"/>
    </row>
    <row r="74" spans="1:12">
      <c r="A74" s="93">
        <v>45369</v>
      </c>
      <c r="B74" s="7" t="s">
        <v>176</v>
      </c>
      <c r="C74" s="175"/>
      <c r="D74" s="175"/>
      <c r="E74" s="175"/>
      <c r="F74" s="229">
        <v>572000</v>
      </c>
      <c r="G74" s="229">
        <v>520000</v>
      </c>
      <c r="H74" s="229">
        <v>52000</v>
      </c>
      <c r="I74" s="72" t="s">
        <v>211</v>
      </c>
      <c r="J74" s="185"/>
      <c r="K74" s="205"/>
      <c r="L74" s="7"/>
    </row>
    <row r="75" spans="1:12">
      <c r="A75" s="93">
        <v>45376</v>
      </c>
      <c r="B75" s="21" t="s">
        <v>32</v>
      </c>
      <c r="C75" s="175"/>
      <c r="D75" s="175"/>
      <c r="E75" s="175"/>
      <c r="F75" s="229">
        <v>528000</v>
      </c>
      <c r="G75" s="229">
        <v>480000</v>
      </c>
      <c r="H75" s="229">
        <v>48000</v>
      </c>
      <c r="I75" s="63" t="s">
        <v>13</v>
      </c>
      <c r="J75" s="186"/>
      <c r="K75" s="206"/>
      <c r="L75" s="7"/>
    </row>
    <row r="76" spans="1:12">
      <c r="A76" s="93">
        <v>45376</v>
      </c>
      <c r="B76" s="21" t="s">
        <v>32</v>
      </c>
      <c r="C76" s="175"/>
      <c r="D76" s="175"/>
      <c r="E76" s="175"/>
      <c r="F76" s="229">
        <v>220000</v>
      </c>
      <c r="G76" s="229">
        <v>200000</v>
      </c>
      <c r="H76" s="229">
        <v>20000</v>
      </c>
      <c r="I76" s="63" t="s">
        <v>12</v>
      </c>
      <c r="J76" s="186"/>
      <c r="K76" s="206"/>
      <c r="L76" s="7"/>
    </row>
    <row r="77" spans="1:12">
      <c r="A77" s="93">
        <v>45377</v>
      </c>
      <c r="B77" s="7" t="s">
        <v>177</v>
      </c>
      <c r="C77" s="175"/>
      <c r="D77" s="175"/>
      <c r="E77" s="175"/>
      <c r="F77" s="229">
        <v>135880</v>
      </c>
      <c r="G77" s="229">
        <v>123527</v>
      </c>
      <c r="H77" s="229">
        <v>12353</v>
      </c>
      <c r="I77" s="72" t="s">
        <v>194</v>
      </c>
      <c r="J77" s="185"/>
      <c r="K77" s="205"/>
      <c r="L77" s="7"/>
    </row>
    <row r="78" spans="1:12">
      <c r="A78" s="93">
        <v>45393</v>
      </c>
      <c r="B78" s="7" t="s">
        <v>180</v>
      </c>
      <c r="C78" s="175"/>
      <c r="D78" s="175"/>
      <c r="E78" s="175"/>
      <c r="F78" s="229">
        <v>1897000</v>
      </c>
      <c r="G78" s="229">
        <v>1724545</v>
      </c>
      <c r="H78" s="229">
        <v>172455</v>
      </c>
      <c r="I78" s="72" t="s">
        <v>212</v>
      </c>
      <c r="J78" s="185"/>
      <c r="K78" s="205" t="s">
        <v>297</v>
      </c>
      <c r="L78" s="7"/>
    </row>
    <row r="79" spans="1:12">
      <c r="A79" s="93">
        <v>45407</v>
      </c>
      <c r="B79" s="7" t="s">
        <v>32</v>
      </c>
      <c r="C79" s="175"/>
      <c r="D79" s="175"/>
      <c r="E79" s="175"/>
      <c r="F79" s="229">
        <v>220000</v>
      </c>
      <c r="G79" s="229">
        <v>200000</v>
      </c>
      <c r="H79" s="229">
        <v>20000</v>
      </c>
      <c r="I79" s="72" t="s">
        <v>12</v>
      </c>
      <c r="J79" s="185"/>
      <c r="K79" s="205"/>
      <c r="L79" s="7"/>
    </row>
    <row r="80" spans="1:12">
      <c r="A80" s="93">
        <v>45411</v>
      </c>
      <c r="B80" s="7" t="s">
        <v>177</v>
      </c>
      <c r="C80" s="175"/>
      <c r="D80" s="175"/>
      <c r="E80" s="175"/>
      <c r="F80" s="229">
        <v>139670</v>
      </c>
      <c r="G80" s="229">
        <v>126973</v>
      </c>
      <c r="H80" s="229">
        <v>12697</v>
      </c>
      <c r="I80" s="72" t="s">
        <v>194</v>
      </c>
      <c r="J80" s="185"/>
      <c r="K80" s="205"/>
      <c r="L80" s="7"/>
    </row>
    <row r="81" spans="1:12">
      <c r="A81" s="93">
        <v>45414</v>
      </c>
      <c r="B81" s="7" t="s">
        <v>181</v>
      </c>
      <c r="C81" s="175"/>
      <c r="D81" s="175"/>
      <c r="E81" s="175"/>
      <c r="F81" s="229">
        <v>440000</v>
      </c>
      <c r="G81" s="229">
        <v>400000</v>
      </c>
      <c r="H81" s="229">
        <v>40000</v>
      </c>
      <c r="I81" s="72" t="s">
        <v>213</v>
      </c>
      <c r="J81" s="185"/>
      <c r="K81" s="205"/>
      <c r="L81" s="7"/>
    </row>
    <row r="82" spans="1:12">
      <c r="A82" s="93">
        <v>45415</v>
      </c>
      <c r="B82" s="7" t="s">
        <v>176</v>
      </c>
      <c r="C82" s="175"/>
      <c r="D82" s="175"/>
      <c r="E82" s="175"/>
      <c r="F82" s="229">
        <v>572000</v>
      </c>
      <c r="G82" s="229">
        <v>520000</v>
      </c>
      <c r="H82" s="229">
        <v>52000</v>
      </c>
      <c r="I82" s="72" t="s">
        <v>214</v>
      </c>
      <c r="J82" s="185"/>
      <c r="K82" s="205"/>
      <c r="L82" s="7"/>
    </row>
    <row r="83" spans="1:12">
      <c r="A83" s="93">
        <v>45425</v>
      </c>
      <c r="B83" s="7" t="s">
        <v>180</v>
      </c>
      <c r="C83" s="175"/>
      <c r="D83" s="175"/>
      <c r="E83" s="175"/>
      <c r="F83" s="229">
        <v>370000</v>
      </c>
      <c r="G83" s="229">
        <v>336364</v>
      </c>
      <c r="H83" s="229">
        <v>33636</v>
      </c>
      <c r="I83" s="72" t="s">
        <v>212</v>
      </c>
      <c r="J83" s="185"/>
      <c r="K83" s="205"/>
      <c r="L83" s="7"/>
    </row>
    <row r="84" spans="1:12">
      <c r="A84" s="93">
        <v>45431</v>
      </c>
      <c r="B84" s="7" t="s">
        <v>176</v>
      </c>
      <c r="C84" s="175"/>
      <c r="D84" s="175"/>
      <c r="E84" s="175"/>
      <c r="F84" s="229">
        <v>594000</v>
      </c>
      <c r="G84" s="229">
        <v>540000</v>
      </c>
      <c r="H84" s="229">
        <v>54000</v>
      </c>
      <c r="I84" s="72" t="s">
        <v>215</v>
      </c>
      <c r="J84" s="185"/>
      <c r="K84" s="205"/>
      <c r="L84" s="7"/>
    </row>
    <row r="85" spans="1:12">
      <c r="A85" s="93">
        <v>45437</v>
      </c>
      <c r="B85" s="21" t="s">
        <v>32</v>
      </c>
      <c r="C85" s="175"/>
      <c r="D85" s="175"/>
      <c r="E85" s="175"/>
      <c r="F85" s="229">
        <v>220000</v>
      </c>
      <c r="G85" s="229">
        <v>200000</v>
      </c>
      <c r="H85" s="229">
        <v>20000</v>
      </c>
      <c r="I85" s="63" t="s">
        <v>12</v>
      </c>
      <c r="J85" s="186"/>
      <c r="K85" s="206"/>
      <c r="L85" s="7"/>
    </row>
    <row r="86" spans="1:12">
      <c r="A86" s="93">
        <v>45441</v>
      </c>
      <c r="B86" s="7" t="s">
        <v>177</v>
      </c>
      <c r="C86" s="175"/>
      <c r="D86" s="175"/>
      <c r="E86" s="175"/>
      <c r="F86" s="229">
        <v>137300</v>
      </c>
      <c r="G86" s="229">
        <v>124818</v>
      </c>
      <c r="H86" s="229">
        <v>12482</v>
      </c>
      <c r="I86" s="72" t="s">
        <v>194</v>
      </c>
      <c r="J86" s="185"/>
      <c r="K86" s="205"/>
      <c r="L86" s="7"/>
    </row>
    <row r="87" spans="1:12">
      <c r="A87" s="93">
        <v>45443</v>
      </c>
      <c r="B87" s="7" t="s">
        <v>95</v>
      </c>
      <c r="C87" s="175">
        <v>2671480</v>
      </c>
      <c r="D87" s="175">
        <v>2428620</v>
      </c>
      <c r="E87" s="175">
        <v>242860</v>
      </c>
      <c r="F87" s="229"/>
      <c r="G87" s="229"/>
      <c r="H87" s="229"/>
      <c r="I87" s="72" t="s">
        <v>110</v>
      </c>
      <c r="J87" s="185">
        <v>45454</v>
      </c>
      <c r="K87" s="205"/>
      <c r="L87" s="13"/>
    </row>
    <row r="88" spans="1:12">
      <c r="A88" s="93">
        <v>45443</v>
      </c>
      <c r="B88" s="21" t="s">
        <v>181</v>
      </c>
      <c r="C88" s="175"/>
      <c r="D88" s="175"/>
      <c r="E88" s="175"/>
      <c r="F88" s="229">
        <v>440000</v>
      </c>
      <c r="G88" s="229">
        <v>400000</v>
      </c>
      <c r="H88" s="229">
        <v>40000</v>
      </c>
      <c r="I88" s="63" t="s">
        <v>216</v>
      </c>
      <c r="J88" s="186"/>
      <c r="K88" s="206"/>
      <c r="L88" s="7"/>
    </row>
    <row r="89" spans="1:12">
      <c r="A89" s="93">
        <v>45466</v>
      </c>
      <c r="B89" s="21" t="s">
        <v>176</v>
      </c>
      <c r="C89" s="175"/>
      <c r="D89" s="175"/>
      <c r="E89" s="175"/>
      <c r="F89" s="229">
        <v>594000</v>
      </c>
      <c r="G89" s="229">
        <v>540000</v>
      </c>
      <c r="H89" s="229">
        <v>54000</v>
      </c>
      <c r="I89" s="63" t="s">
        <v>217</v>
      </c>
      <c r="J89" s="186"/>
      <c r="K89" s="206"/>
      <c r="L89" s="7"/>
    </row>
    <row r="90" spans="1:12">
      <c r="A90" s="93">
        <v>45467</v>
      </c>
      <c r="B90" s="21" t="s">
        <v>31</v>
      </c>
      <c r="C90" s="175"/>
      <c r="D90" s="175"/>
      <c r="E90" s="175"/>
      <c r="F90" s="229">
        <v>192500</v>
      </c>
      <c r="G90" s="229">
        <v>175000</v>
      </c>
      <c r="H90" s="229">
        <v>17500</v>
      </c>
      <c r="I90" s="63" t="s">
        <v>36</v>
      </c>
      <c r="J90" s="186"/>
      <c r="K90" s="206"/>
      <c r="L90" s="7"/>
    </row>
    <row r="91" spans="1:12">
      <c r="A91" s="93">
        <v>45468</v>
      </c>
      <c r="B91" s="7" t="s">
        <v>32</v>
      </c>
      <c r="C91" s="175"/>
      <c r="D91" s="175"/>
      <c r="E91" s="175"/>
      <c r="F91" s="229">
        <v>220000</v>
      </c>
      <c r="G91" s="229">
        <v>200000</v>
      </c>
      <c r="H91" s="229">
        <v>20000</v>
      </c>
      <c r="I91" s="72" t="s">
        <v>12</v>
      </c>
      <c r="J91" s="185"/>
      <c r="K91" s="205"/>
      <c r="L91" s="7"/>
    </row>
    <row r="92" spans="1:12">
      <c r="A92" s="93">
        <v>45471</v>
      </c>
      <c r="B92" s="7" t="s">
        <v>177</v>
      </c>
      <c r="C92" s="175"/>
      <c r="D92" s="175"/>
      <c r="E92" s="175"/>
      <c r="F92" s="229">
        <v>136310</v>
      </c>
      <c r="G92" s="229">
        <v>123918</v>
      </c>
      <c r="H92" s="229">
        <v>12392</v>
      </c>
      <c r="I92" s="72" t="s">
        <v>194</v>
      </c>
      <c r="J92" s="185"/>
      <c r="K92" s="205"/>
      <c r="L92" s="7"/>
    </row>
    <row r="93" spans="1:12">
      <c r="A93" s="93">
        <v>45473</v>
      </c>
      <c r="B93" s="21" t="s">
        <v>95</v>
      </c>
      <c r="C93" s="175">
        <v>2840020</v>
      </c>
      <c r="D93" s="175">
        <v>2581840</v>
      </c>
      <c r="E93" s="175">
        <v>258180</v>
      </c>
      <c r="F93" s="229"/>
      <c r="G93" s="229"/>
      <c r="H93" s="229"/>
      <c r="I93" s="63" t="s">
        <v>111</v>
      </c>
      <c r="J93" s="186">
        <v>45483</v>
      </c>
      <c r="K93" s="206"/>
      <c r="L93" s="57"/>
    </row>
    <row r="94" spans="1:12">
      <c r="A94" s="93">
        <v>45473</v>
      </c>
      <c r="B94" s="7" t="s">
        <v>181</v>
      </c>
      <c r="C94" s="175"/>
      <c r="D94" s="175"/>
      <c r="E94" s="175"/>
      <c r="F94" s="229">
        <v>440000</v>
      </c>
      <c r="G94" s="229">
        <v>400000</v>
      </c>
      <c r="H94" s="229">
        <v>40000</v>
      </c>
      <c r="I94" s="72" t="s">
        <v>218</v>
      </c>
      <c r="J94" s="185"/>
      <c r="K94" s="205"/>
      <c r="L94" s="7"/>
    </row>
    <row r="95" spans="1:12">
      <c r="A95" s="93">
        <v>45476</v>
      </c>
      <c r="B95" s="21" t="s">
        <v>96</v>
      </c>
      <c r="C95" s="175">
        <v>9249396</v>
      </c>
      <c r="D95" s="175">
        <v>8408542</v>
      </c>
      <c r="E95" s="175">
        <v>840854</v>
      </c>
      <c r="F95" s="229"/>
      <c r="G95" s="229"/>
      <c r="H95" s="229"/>
      <c r="I95" s="63" t="s">
        <v>112</v>
      </c>
      <c r="J95" s="186">
        <v>45483</v>
      </c>
      <c r="K95" s="206"/>
      <c r="L95" s="57"/>
    </row>
    <row r="96" spans="1:12">
      <c r="A96" s="93">
        <v>45476</v>
      </c>
      <c r="B96" s="21" t="s">
        <v>96</v>
      </c>
      <c r="C96" s="175">
        <v>9393464</v>
      </c>
      <c r="D96" s="175">
        <v>8539513</v>
      </c>
      <c r="E96" s="175">
        <v>853951</v>
      </c>
      <c r="F96" s="229"/>
      <c r="G96" s="229"/>
      <c r="H96" s="229"/>
      <c r="I96" s="63" t="s">
        <v>113</v>
      </c>
      <c r="J96" s="186">
        <v>45483</v>
      </c>
      <c r="K96" s="206"/>
      <c r="L96" s="57"/>
    </row>
    <row r="97" spans="1:12">
      <c r="A97" s="93">
        <v>45481</v>
      </c>
      <c r="B97" s="21" t="s">
        <v>96</v>
      </c>
      <c r="C97" s="175">
        <v>9933017</v>
      </c>
      <c r="D97" s="175">
        <v>9030015</v>
      </c>
      <c r="E97" s="175">
        <v>903002</v>
      </c>
      <c r="F97" s="229"/>
      <c r="G97" s="229"/>
      <c r="H97" s="229"/>
      <c r="I97" s="63" t="s">
        <v>114</v>
      </c>
      <c r="J97" s="186">
        <v>45483</v>
      </c>
      <c r="K97" s="206"/>
      <c r="L97" s="57"/>
    </row>
    <row r="98" spans="1:12">
      <c r="A98" s="93">
        <v>45495</v>
      </c>
      <c r="B98" s="7" t="s">
        <v>176</v>
      </c>
      <c r="C98" s="175"/>
      <c r="D98" s="175"/>
      <c r="E98" s="175"/>
      <c r="F98" s="229">
        <v>594000</v>
      </c>
      <c r="G98" s="229">
        <v>540000</v>
      </c>
      <c r="H98" s="229">
        <v>54000</v>
      </c>
      <c r="I98" s="72" t="s">
        <v>219</v>
      </c>
      <c r="J98" s="185"/>
      <c r="K98" s="205"/>
      <c r="L98" s="7"/>
    </row>
    <row r="99" spans="1:12">
      <c r="A99" s="93">
        <v>45498</v>
      </c>
      <c r="B99" s="21" t="s">
        <v>32</v>
      </c>
      <c r="C99" s="175"/>
      <c r="D99" s="175"/>
      <c r="E99" s="175"/>
      <c r="F99" s="229">
        <v>220000</v>
      </c>
      <c r="G99" s="229">
        <v>200000</v>
      </c>
      <c r="H99" s="229">
        <v>20000</v>
      </c>
      <c r="I99" s="63" t="s">
        <v>12</v>
      </c>
      <c r="J99" s="186"/>
      <c r="K99" s="206"/>
      <c r="L99" s="7"/>
    </row>
    <row r="100" spans="1:12">
      <c r="A100" s="93">
        <v>45498</v>
      </c>
      <c r="B100" s="7" t="s">
        <v>177</v>
      </c>
      <c r="C100" s="175"/>
      <c r="D100" s="175"/>
      <c r="E100" s="175"/>
      <c r="F100" s="229">
        <v>134260</v>
      </c>
      <c r="G100" s="229">
        <v>122055</v>
      </c>
      <c r="H100" s="229">
        <v>12205</v>
      </c>
      <c r="I100" s="72" t="s">
        <v>194</v>
      </c>
      <c r="J100" s="185"/>
      <c r="K100" s="205"/>
      <c r="L100" s="7"/>
    </row>
    <row r="101" spans="1:12">
      <c r="A101" s="93">
        <v>45504</v>
      </c>
      <c r="B101" s="21" t="s">
        <v>95</v>
      </c>
      <c r="C101" s="175">
        <v>2840020</v>
      </c>
      <c r="D101" s="175">
        <v>2581840</v>
      </c>
      <c r="E101" s="175">
        <v>258180</v>
      </c>
      <c r="F101" s="229"/>
      <c r="G101" s="229"/>
      <c r="H101" s="229"/>
      <c r="I101" s="63" t="s">
        <v>111</v>
      </c>
      <c r="J101" s="186">
        <v>45513</v>
      </c>
      <c r="K101" s="206"/>
      <c r="L101" s="57"/>
    </row>
    <row r="102" spans="1:12">
      <c r="A102" s="93">
        <v>45504</v>
      </c>
      <c r="B102" s="7" t="s">
        <v>181</v>
      </c>
      <c r="C102" s="175"/>
      <c r="D102" s="175"/>
      <c r="E102" s="175"/>
      <c r="F102" s="229">
        <v>440000</v>
      </c>
      <c r="G102" s="229">
        <v>400000</v>
      </c>
      <c r="H102" s="229">
        <v>40000</v>
      </c>
      <c r="I102" s="72" t="s">
        <v>220</v>
      </c>
      <c r="J102" s="185"/>
      <c r="K102" s="205"/>
      <c r="L102" s="7"/>
    </row>
    <row r="103" spans="1:12">
      <c r="A103" s="93">
        <v>45512</v>
      </c>
      <c r="B103" s="21" t="s">
        <v>96</v>
      </c>
      <c r="C103" s="175">
        <v>9663240</v>
      </c>
      <c r="D103" s="175">
        <v>8784764</v>
      </c>
      <c r="E103" s="175">
        <v>878476</v>
      </c>
      <c r="F103" s="229"/>
      <c r="G103" s="229"/>
      <c r="H103" s="229"/>
      <c r="I103" s="63" t="s">
        <v>115</v>
      </c>
      <c r="J103" s="186">
        <v>45517</v>
      </c>
      <c r="K103" s="206"/>
      <c r="L103" s="57"/>
    </row>
    <row r="104" spans="1:12">
      <c r="A104" s="93">
        <v>45529</v>
      </c>
      <c r="B104" s="7" t="s">
        <v>32</v>
      </c>
      <c r="C104" s="175"/>
      <c r="D104" s="175"/>
      <c r="E104" s="175"/>
      <c r="F104" s="229">
        <v>220000</v>
      </c>
      <c r="G104" s="229">
        <v>200000</v>
      </c>
      <c r="H104" s="229">
        <v>20000</v>
      </c>
      <c r="I104" s="72" t="s">
        <v>12</v>
      </c>
      <c r="J104" s="185"/>
      <c r="K104" s="205"/>
      <c r="L104" s="7"/>
    </row>
    <row r="105" spans="1:12">
      <c r="A105" s="93">
        <v>45533</v>
      </c>
      <c r="B105" s="21" t="s">
        <v>177</v>
      </c>
      <c r="C105" s="175"/>
      <c r="D105" s="175"/>
      <c r="E105" s="175"/>
      <c r="F105" s="229">
        <v>129530</v>
      </c>
      <c r="G105" s="229">
        <v>117755</v>
      </c>
      <c r="H105" s="229">
        <v>11775</v>
      </c>
      <c r="I105" s="63" t="s">
        <v>221</v>
      </c>
      <c r="J105" s="188"/>
      <c r="K105" s="206"/>
      <c r="L105" s="7"/>
    </row>
    <row r="106" spans="1:12">
      <c r="A106" s="93">
        <v>45535</v>
      </c>
      <c r="B106" s="21" t="s">
        <v>95</v>
      </c>
      <c r="C106" s="175">
        <v>2840020</v>
      </c>
      <c r="D106" s="175">
        <v>2581840</v>
      </c>
      <c r="E106" s="175">
        <v>258180</v>
      </c>
      <c r="F106" s="229"/>
      <c r="G106" s="229"/>
      <c r="H106" s="229"/>
      <c r="I106" s="63" t="s">
        <v>111</v>
      </c>
      <c r="J106" s="186">
        <v>45538</v>
      </c>
      <c r="K106" s="206"/>
      <c r="L106" s="57"/>
    </row>
    <row r="107" spans="1:12">
      <c r="A107" s="93">
        <v>45535</v>
      </c>
      <c r="B107" s="21" t="s">
        <v>181</v>
      </c>
      <c r="C107" s="175"/>
      <c r="D107" s="175"/>
      <c r="E107" s="175"/>
      <c r="F107" s="229">
        <v>440000</v>
      </c>
      <c r="G107" s="229">
        <v>400000</v>
      </c>
      <c r="H107" s="229">
        <v>40000</v>
      </c>
      <c r="I107" s="63" t="s">
        <v>222</v>
      </c>
      <c r="J107" s="186"/>
      <c r="K107" s="206"/>
      <c r="L107" s="7"/>
    </row>
    <row r="108" spans="1:12">
      <c r="A108" s="93">
        <v>45535</v>
      </c>
      <c r="B108" s="21" t="s">
        <v>176</v>
      </c>
      <c r="C108" s="175"/>
      <c r="D108" s="175"/>
      <c r="E108" s="175"/>
      <c r="F108" s="229">
        <v>594000</v>
      </c>
      <c r="G108" s="229">
        <v>540000</v>
      </c>
      <c r="H108" s="229">
        <v>54000</v>
      </c>
      <c r="I108" s="63" t="s">
        <v>223</v>
      </c>
      <c r="J108" s="186"/>
      <c r="K108" s="206"/>
      <c r="L108" s="7"/>
    </row>
    <row r="109" spans="1:12">
      <c r="A109" s="93">
        <v>45541</v>
      </c>
      <c r="B109" s="21" t="s">
        <v>11</v>
      </c>
      <c r="C109" s="175"/>
      <c r="D109" s="175"/>
      <c r="E109" s="175"/>
      <c r="F109" s="229">
        <v>55000</v>
      </c>
      <c r="G109" s="229">
        <v>50000</v>
      </c>
      <c r="H109" s="229">
        <v>5000</v>
      </c>
      <c r="I109" s="63" t="s">
        <v>21</v>
      </c>
      <c r="J109" s="186"/>
      <c r="K109" s="206"/>
      <c r="L109" s="7"/>
    </row>
    <row r="110" spans="1:12">
      <c r="A110" s="93">
        <v>45544</v>
      </c>
      <c r="B110" s="7" t="s">
        <v>96</v>
      </c>
      <c r="C110" s="175">
        <v>9663240</v>
      </c>
      <c r="D110" s="175">
        <v>8784764</v>
      </c>
      <c r="E110" s="175">
        <v>878476</v>
      </c>
      <c r="F110" s="229"/>
      <c r="G110" s="229"/>
      <c r="H110" s="229"/>
      <c r="I110" s="72" t="s">
        <v>116</v>
      </c>
      <c r="J110" s="185">
        <v>45555</v>
      </c>
      <c r="K110" s="205"/>
      <c r="L110" s="13"/>
    </row>
    <row r="111" spans="1:12">
      <c r="A111" s="93">
        <v>45557</v>
      </c>
      <c r="B111" s="21" t="s">
        <v>176</v>
      </c>
      <c r="C111" s="175"/>
      <c r="D111" s="175"/>
      <c r="E111" s="175"/>
      <c r="F111" s="229">
        <v>594000</v>
      </c>
      <c r="G111" s="229">
        <v>540000</v>
      </c>
      <c r="H111" s="229">
        <v>54000</v>
      </c>
      <c r="I111" s="63" t="s">
        <v>224</v>
      </c>
      <c r="J111" s="186"/>
      <c r="K111" s="206"/>
      <c r="L111" s="7"/>
    </row>
    <row r="112" spans="1:12">
      <c r="A112" s="93">
        <v>45560</v>
      </c>
      <c r="B112" s="21" t="s">
        <v>39</v>
      </c>
      <c r="C112" s="175"/>
      <c r="D112" s="175"/>
      <c r="E112" s="175"/>
      <c r="F112" s="229">
        <v>220000</v>
      </c>
      <c r="G112" s="229">
        <v>200000</v>
      </c>
      <c r="H112" s="229">
        <v>20000</v>
      </c>
      <c r="I112" s="63" t="s">
        <v>12</v>
      </c>
      <c r="J112" s="186"/>
      <c r="K112" s="206"/>
      <c r="L112" s="14"/>
    </row>
    <row r="113" spans="1:12">
      <c r="A113" s="93">
        <v>45565</v>
      </c>
      <c r="B113" s="7" t="s">
        <v>95</v>
      </c>
      <c r="C113" s="175">
        <v>2760480</v>
      </c>
      <c r="D113" s="175">
        <v>2509530</v>
      </c>
      <c r="E113" s="175">
        <v>250950</v>
      </c>
      <c r="F113" s="229"/>
      <c r="G113" s="229"/>
      <c r="H113" s="229"/>
      <c r="I113" s="72" t="s">
        <v>111</v>
      </c>
      <c r="J113" s="185">
        <v>45572</v>
      </c>
      <c r="K113" s="205"/>
      <c r="L113" s="13"/>
    </row>
    <row r="114" spans="1:12">
      <c r="A114" s="93">
        <v>45565</v>
      </c>
      <c r="B114" s="14" t="s">
        <v>181</v>
      </c>
      <c r="C114" s="175"/>
      <c r="D114" s="175"/>
      <c r="E114" s="175"/>
      <c r="F114" s="229">
        <v>440000</v>
      </c>
      <c r="G114" s="229">
        <v>400000</v>
      </c>
      <c r="H114" s="229">
        <v>40000</v>
      </c>
      <c r="I114" s="73" t="s">
        <v>225</v>
      </c>
      <c r="J114" s="185"/>
      <c r="K114" s="207"/>
      <c r="L114" s="7"/>
    </row>
    <row r="115" spans="1:12">
      <c r="A115" s="93">
        <v>45573</v>
      </c>
      <c r="B115" s="21" t="s">
        <v>96</v>
      </c>
      <c r="C115" s="175">
        <v>9663240</v>
      </c>
      <c r="D115" s="175">
        <v>8784764</v>
      </c>
      <c r="E115" s="175">
        <v>878476</v>
      </c>
      <c r="F115" s="229"/>
      <c r="G115" s="229"/>
      <c r="H115" s="229"/>
      <c r="I115" s="63" t="s">
        <v>117</v>
      </c>
      <c r="J115" s="186">
        <v>45581</v>
      </c>
      <c r="K115" s="206"/>
      <c r="L115" s="57"/>
    </row>
    <row r="116" spans="1:12">
      <c r="A116" s="93">
        <v>45586</v>
      </c>
      <c r="B116" s="7" t="s">
        <v>176</v>
      </c>
      <c r="C116" s="175"/>
      <c r="D116" s="175"/>
      <c r="E116" s="175"/>
      <c r="F116" s="229">
        <v>594000</v>
      </c>
      <c r="G116" s="229">
        <v>540000</v>
      </c>
      <c r="H116" s="229">
        <v>54000</v>
      </c>
      <c r="I116" s="72" t="s">
        <v>226</v>
      </c>
      <c r="J116" s="185"/>
      <c r="K116" s="205"/>
      <c r="L116" s="14"/>
    </row>
    <row r="117" spans="1:12">
      <c r="A117" s="93">
        <v>45590</v>
      </c>
      <c r="B117" s="7" t="s">
        <v>182</v>
      </c>
      <c r="C117" s="175"/>
      <c r="D117" s="175"/>
      <c r="E117" s="175"/>
      <c r="F117" s="229">
        <v>220000</v>
      </c>
      <c r="G117" s="229">
        <v>200000</v>
      </c>
      <c r="H117" s="229">
        <v>20000</v>
      </c>
      <c r="I117" s="72" t="s">
        <v>12</v>
      </c>
      <c r="J117" s="185"/>
      <c r="K117" s="205"/>
      <c r="L117" s="7"/>
    </row>
    <row r="118" spans="1:12">
      <c r="A118" s="93">
        <v>45596</v>
      </c>
      <c r="B118" s="21" t="s">
        <v>95</v>
      </c>
      <c r="C118" s="175">
        <v>2840020</v>
      </c>
      <c r="D118" s="175">
        <v>2581840</v>
      </c>
      <c r="E118" s="175">
        <v>258180</v>
      </c>
      <c r="F118" s="229"/>
      <c r="G118" s="229"/>
      <c r="H118" s="229"/>
      <c r="I118" s="63" t="s">
        <v>111</v>
      </c>
      <c r="J118" s="186">
        <v>45602</v>
      </c>
      <c r="K118" s="206"/>
      <c r="L118" s="57"/>
    </row>
    <row r="119" spans="1:12">
      <c r="A119" s="93">
        <v>45596</v>
      </c>
      <c r="B119" s="7" t="s">
        <v>181</v>
      </c>
      <c r="C119" s="175"/>
      <c r="D119" s="175"/>
      <c r="E119" s="175"/>
      <c r="F119" s="229">
        <v>440000</v>
      </c>
      <c r="G119" s="229">
        <v>400000</v>
      </c>
      <c r="H119" s="229">
        <v>40000</v>
      </c>
      <c r="I119" s="72" t="s">
        <v>227</v>
      </c>
      <c r="J119" s="185"/>
      <c r="K119" s="205"/>
      <c r="L119" s="7"/>
    </row>
    <row r="120" spans="1:12">
      <c r="A120" s="93">
        <v>45604</v>
      </c>
      <c r="B120" s="21" t="s">
        <v>96</v>
      </c>
      <c r="C120" s="175">
        <v>9663240</v>
      </c>
      <c r="D120" s="175">
        <v>8784764</v>
      </c>
      <c r="E120" s="175">
        <v>878476</v>
      </c>
      <c r="F120" s="229"/>
      <c r="G120" s="229"/>
      <c r="H120" s="229"/>
      <c r="I120" s="63" t="s">
        <v>118</v>
      </c>
      <c r="J120" s="186">
        <v>45617</v>
      </c>
      <c r="K120" s="206"/>
      <c r="L120" s="57"/>
    </row>
    <row r="121" spans="1:12">
      <c r="A121" s="93">
        <v>45621</v>
      </c>
      <c r="B121" s="7" t="s">
        <v>39</v>
      </c>
      <c r="C121" s="175"/>
      <c r="D121" s="175"/>
      <c r="E121" s="175"/>
      <c r="F121" s="229">
        <v>220000</v>
      </c>
      <c r="G121" s="229">
        <v>200000</v>
      </c>
      <c r="H121" s="229">
        <v>20000</v>
      </c>
      <c r="I121" s="72" t="s">
        <v>56</v>
      </c>
      <c r="J121" s="185"/>
      <c r="K121" s="205"/>
      <c r="L121" s="7"/>
    </row>
    <row r="122" spans="1:12">
      <c r="A122" s="93">
        <v>45626</v>
      </c>
      <c r="B122" s="21" t="s">
        <v>95</v>
      </c>
      <c r="C122" s="175">
        <v>2840020</v>
      </c>
      <c r="D122" s="175">
        <v>2581840</v>
      </c>
      <c r="E122" s="175">
        <v>258180</v>
      </c>
      <c r="F122" s="229"/>
      <c r="G122" s="229"/>
      <c r="H122" s="229"/>
      <c r="I122" s="63" t="s">
        <v>111</v>
      </c>
      <c r="J122" s="186">
        <v>45635</v>
      </c>
      <c r="K122" s="206"/>
      <c r="L122" s="57"/>
    </row>
    <row r="123" spans="1:12">
      <c r="A123" s="93">
        <v>45626</v>
      </c>
      <c r="B123" s="7" t="s">
        <v>181</v>
      </c>
      <c r="C123" s="175"/>
      <c r="D123" s="175"/>
      <c r="E123" s="175"/>
      <c r="F123" s="229">
        <v>440000</v>
      </c>
      <c r="G123" s="229">
        <v>400000</v>
      </c>
      <c r="H123" s="229">
        <v>40000</v>
      </c>
      <c r="I123" s="72" t="s">
        <v>228</v>
      </c>
      <c r="J123" s="185"/>
      <c r="K123" s="205"/>
      <c r="L123" s="7"/>
    </row>
    <row r="124" spans="1:12">
      <c r="A124" s="93">
        <v>45632</v>
      </c>
      <c r="B124" s="7" t="s">
        <v>176</v>
      </c>
      <c r="C124" s="175"/>
      <c r="D124" s="175"/>
      <c r="E124" s="175"/>
      <c r="F124" s="229">
        <v>594000</v>
      </c>
      <c r="G124" s="229">
        <v>540000</v>
      </c>
      <c r="H124" s="229">
        <v>54000</v>
      </c>
      <c r="I124" s="72" t="s">
        <v>229</v>
      </c>
      <c r="J124" s="185"/>
      <c r="K124" s="205"/>
      <c r="L124" s="7"/>
    </row>
    <row r="125" spans="1:12">
      <c r="A125" s="93">
        <v>45636</v>
      </c>
      <c r="B125" s="7" t="s">
        <v>96</v>
      </c>
      <c r="C125" s="175">
        <v>9663240</v>
      </c>
      <c r="D125" s="175">
        <v>8784764</v>
      </c>
      <c r="E125" s="175">
        <v>878476</v>
      </c>
      <c r="F125" s="229"/>
      <c r="G125" s="229"/>
      <c r="H125" s="229"/>
      <c r="I125" s="72" t="s">
        <v>119</v>
      </c>
      <c r="J125" s="185">
        <v>45644</v>
      </c>
      <c r="K125" s="205"/>
      <c r="L125" s="13"/>
    </row>
    <row r="126" spans="1:12">
      <c r="A126" s="93">
        <v>45651</v>
      </c>
      <c r="B126" s="7" t="s">
        <v>39</v>
      </c>
      <c r="C126" s="175"/>
      <c r="D126" s="175"/>
      <c r="E126" s="175"/>
      <c r="F126" s="229">
        <v>220000</v>
      </c>
      <c r="G126" s="229">
        <v>200000</v>
      </c>
      <c r="H126" s="229">
        <v>20000</v>
      </c>
      <c r="I126" s="72" t="s">
        <v>56</v>
      </c>
      <c r="J126" s="185"/>
      <c r="K126" s="205"/>
      <c r="L126" s="7"/>
    </row>
    <row r="127" spans="1:12">
      <c r="A127" s="93">
        <v>45657</v>
      </c>
      <c r="B127" s="22" t="s">
        <v>95</v>
      </c>
      <c r="C127" s="175">
        <v>2715730</v>
      </c>
      <c r="D127" s="175">
        <v>2468850</v>
      </c>
      <c r="E127" s="175">
        <v>246880</v>
      </c>
      <c r="F127" s="229"/>
      <c r="G127" s="229"/>
      <c r="H127" s="229"/>
      <c r="I127" s="72" t="s">
        <v>111</v>
      </c>
      <c r="J127" s="185">
        <v>45674</v>
      </c>
      <c r="K127" s="205"/>
      <c r="L127" s="13"/>
    </row>
    <row r="128" spans="1:12">
      <c r="A128" s="93">
        <v>45657</v>
      </c>
      <c r="B128" s="7" t="s">
        <v>97</v>
      </c>
      <c r="C128" s="175">
        <v>33046200</v>
      </c>
      <c r="D128" s="175">
        <v>30042000</v>
      </c>
      <c r="E128" s="175">
        <v>3004200</v>
      </c>
      <c r="F128" s="229"/>
      <c r="G128" s="229"/>
      <c r="H128" s="229"/>
      <c r="I128" s="72" t="s">
        <v>3</v>
      </c>
      <c r="J128" s="185"/>
      <c r="K128" s="205"/>
      <c r="L128" s="13"/>
    </row>
    <row r="129" spans="1:12">
      <c r="A129" s="93">
        <v>45659</v>
      </c>
      <c r="B129" s="7" t="s">
        <v>181</v>
      </c>
      <c r="C129" s="175"/>
      <c r="D129" s="175"/>
      <c r="E129" s="175"/>
      <c r="F129" s="229">
        <v>440000</v>
      </c>
      <c r="G129" s="229">
        <v>400000</v>
      </c>
      <c r="H129" s="229">
        <v>40000</v>
      </c>
      <c r="I129" s="72" t="s">
        <v>213</v>
      </c>
      <c r="J129" s="185"/>
      <c r="K129" s="205"/>
      <c r="L129" s="7"/>
    </row>
    <row r="130" spans="1:12">
      <c r="A130" s="93">
        <v>45665</v>
      </c>
      <c r="B130" s="21" t="s">
        <v>96</v>
      </c>
      <c r="C130" s="175">
        <v>9663240</v>
      </c>
      <c r="D130" s="175">
        <v>8784764</v>
      </c>
      <c r="E130" s="175">
        <v>878476</v>
      </c>
      <c r="F130" s="229"/>
      <c r="G130" s="229"/>
      <c r="H130" s="229"/>
      <c r="I130" s="63" t="s">
        <v>120</v>
      </c>
      <c r="J130" s="186">
        <v>45677</v>
      </c>
      <c r="K130" s="206"/>
      <c r="L130" s="57"/>
    </row>
    <row r="131" spans="1:12">
      <c r="A131" s="93">
        <v>45667</v>
      </c>
      <c r="B131" s="7" t="s">
        <v>176</v>
      </c>
      <c r="C131" s="175"/>
      <c r="D131" s="175"/>
      <c r="E131" s="175"/>
      <c r="F131" s="229">
        <v>594000</v>
      </c>
      <c r="G131" s="229">
        <v>540000</v>
      </c>
      <c r="H131" s="229">
        <v>54000</v>
      </c>
      <c r="I131" s="72" t="s">
        <v>230</v>
      </c>
      <c r="J131" s="185"/>
      <c r="K131" s="205"/>
      <c r="L131" s="7"/>
    </row>
    <row r="132" spans="1:12">
      <c r="A132" s="93">
        <v>45678</v>
      </c>
      <c r="B132" s="7" t="s">
        <v>176</v>
      </c>
      <c r="C132" s="175"/>
      <c r="D132" s="175"/>
      <c r="E132" s="175"/>
      <c r="F132" s="229">
        <v>594000</v>
      </c>
      <c r="G132" s="229">
        <v>540000</v>
      </c>
      <c r="H132" s="229">
        <v>54000</v>
      </c>
      <c r="I132" s="72" t="s">
        <v>231</v>
      </c>
      <c r="J132" s="185"/>
      <c r="K132" s="205"/>
      <c r="L132" s="7"/>
    </row>
    <row r="133" spans="1:12">
      <c r="A133" s="93">
        <v>45682</v>
      </c>
      <c r="B133" s="7" t="s">
        <v>183</v>
      </c>
      <c r="C133" s="175"/>
      <c r="D133" s="175"/>
      <c r="E133" s="175"/>
      <c r="F133" s="229">
        <v>220000</v>
      </c>
      <c r="G133" s="229">
        <v>200000</v>
      </c>
      <c r="H133" s="229">
        <v>20000</v>
      </c>
      <c r="I133" s="72" t="s">
        <v>56</v>
      </c>
      <c r="J133" s="185"/>
      <c r="K133" s="205"/>
      <c r="L133" s="7"/>
    </row>
    <row r="134" spans="1:12">
      <c r="A134" s="93">
        <v>45688</v>
      </c>
      <c r="B134" s="7" t="s">
        <v>181</v>
      </c>
      <c r="C134" s="175"/>
      <c r="D134" s="175"/>
      <c r="E134" s="175"/>
      <c r="F134" s="229">
        <v>440000</v>
      </c>
      <c r="G134" s="229">
        <v>400000</v>
      </c>
      <c r="H134" s="229">
        <v>40000</v>
      </c>
      <c r="I134" s="72" t="s">
        <v>232</v>
      </c>
      <c r="J134" s="185"/>
      <c r="K134" s="205"/>
      <c r="L134" s="7"/>
    </row>
    <row r="135" spans="1:12">
      <c r="A135" s="93">
        <v>45698</v>
      </c>
      <c r="B135" s="21" t="s">
        <v>96</v>
      </c>
      <c r="C135" s="175">
        <v>9663240</v>
      </c>
      <c r="D135" s="175">
        <v>8784764</v>
      </c>
      <c r="E135" s="175">
        <v>878476</v>
      </c>
      <c r="F135" s="229"/>
      <c r="G135" s="229"/>
      <c r="H135" s="229"/>
      <c r="I135" s="63" t="s">
        <v>121</v>
      </c>
      <c r="J135" s="186">
        <v>45702</v>
      </c>
      <c r="K135" s="206"/>
      <c r="L135" s="57"/>
    </row>
    <row r="136" spans="1:12">
      <c r="A136" s="93">
        <v>45706</v>
      </c>
      <c r="B136" s="7" t="s">
        <v>176</v>
      </c>
      <c r="C136" s="175"/>
      <c r="D136" s="175"/>
      <c r="E136" s="175"/>
      <c r="F136" s="229">
        <v>594000</v>
      </c>
      <c r="G136" s="229">
        <v>540000</v>
      </c>
      <c r="H136" s="229">
        <v>54000</v>
      </c>
      <c r="I136" s="72" t="s">
        <v>233</v>
      </c>
      <c r="J136" s="185"/>
      <c r="K136" s="205"/>
      <c r="L136" s="7"/>
    </row>
    <row r="137" spans="1:12">
      <c r="A137" s="93">
        <v>45707</v>
      </c>
      <c r="B137" s="7" t="s">
        <v>184</v>
      </c>
      <c r="C137" s="175"/>
      <c r="D137" s="175"/>
      <c r="E137" s="175"/>
      <c r="F137" s="229">
        <v>144060</v>
      </c>
      <c r="G137" s="229">
        <v>130964</v>
      </c>
      <c r="H137" s="229">
        <v>13096</v>
      </c>
      <c r="I137" s="72" t="s">
        <v>234</v>
      </c>
      <c r="J137" s="185"/>
      <c r="K137" s="205"/>
      <c r="L137" s="7"/>
    </row>
    <row r="138" spans="1:12">
      <c r="A138" s="93">
        <v>45713</v>
      </c>
      <c r="B138" s="7" t="s">
        <v>39</v>
      </c>
      <c r="C138" s="175"/>
      <c r="D138" s="175"/>
      <c r="E138" s="175"/>
      <c r="F138" s="229">
        <v>220000</v>
      </c>
      <c r="G138" s="229">
        <v>200000</v>
      </c>
      <c r="H138" s="229">
        <v>20000</v>
      </c>
      <c r="I138" s="72" t="s">
        <v>56</v>
      </c>
      <c r="J138" s="185"/>
      <c r="K138" s="205"/>
      <c r="L138" s="7"/>
    </row>
    <row r="139" spans="1:12">
      <c r="A139" s="93">
        <v>45714</v>
      </c>
      <c r="B139" s="7" t="s">
        <v>14</v>
      </c>
      <c r="C139" s="175"/>
      <c r="D139" s="175"/>
      <c r="E139" s="175"/>
      <c r="F139" s="229">
        <v>253000</v>
      </c>
      <c r="G139" s="229">
        <v>230000</v>
      </c>
      <c r="H139" s="229">
        <v>23000</v>
      </c>
      <c r="I139" s="72" t="s">
        <v>9</v>
      </c>
      <c r="J139" s="185"/>
      <c r="K139" s="205"/>
      <c r="L139" s="7"/>
    </row>
    <row r="140" spans="1:12">
      <c r="A140" s="93">
        <v>45720</v>
      </c>
      <c r="B140" s="7" t="s">
        <v>181</v>
      </c>
      <c r="C140" s="175"/>
      <c r="D140" s="175"/>
      <c r="E140" s="175"/>
      <c r="F140" s="229">
        <v>440000</v>
      </c>
      <c r="G140" s="229">
        <v>400000</v>
      </c>
      <c r="H140" s="229">
        <v>40000</v>
      </c>
      <c r="I140" s="72" t="s">
        <v>213</v>
      </c>
      <c r="J140" s="185"/>
      <c r="K140" s="205"/>
      <c r="L140" s="7"/>
    </row>
    <row r="141" spans="1:12">
      <c r="A141" s="93">
        <v>45726</v>
      </c>
      <c r="B141" s="7" t="s">
        <v>96</v>
      </c>
      <c r="C141" s="175">
        <v>9663240</v>
      </c>
      <c r="D141" s="175">
        <v>8784764</v>
      </c>
      <c r="E141" s="175">
        <v>878476</v>
      </c>
      <c r="F141" s="229"/>
      <c r="G141" s="229"/>
      <c r="H141" s="229"/>
      <c r="I141" s="72" t="s">
        <v>122</v>
      </c>
      <c r="J141" s="185">
        <v>45740</v>
      </c>
      <c r="K141" s="205"/>
      <c r="L141" s="14"/>
    </row>
    <row r="142" spans="1:12">
      <c r="A142" s="93">
        <v>45741</v>
      </c>
      <c r="B142" s="7" t="s">
        <v>39</v>
      </c>
      <c r="C142" s="175"/>
      <c r="D142" s="175"/>
      <c r="E142" s="175"/>
      <c r="F142" s="229">
        <v>220000</v>
      </c>
      <c r="G142" s="229">
        <v>200000</v>
      </c>
      <c r="H142" s="229">
        <v>20000</v>
      </c>
      <c r="I142" s="72" t="s">
        <v>56</v>
      </c>
      <c r="J142" s="185"/>
      <c r="K142" s="205"/>
      <c r="L142" s="7"/>
    </row>
    <row r="143" spans="1:12">
      <c r="A143" s="93">
        <v>45741</v>
      </c>
      <c r="B143" s="7" t="s">
        <v>176</v>
      </c>
      <c r="C143" s="175"/>
      <c r="D143" s="175"/>
      <c r="E143" s="175"/>
      <c r="F143" s="229">
        <v>594000</v>
      </c>
      <c r="G143" s="229">
        <v>540000</v>
      </c>
      <c r="H143" s="229">
        <v>54000</v>
      </c>
      <c r="I143" s="72" t="s">
        <v>235</v>
      </c>
      <c r="J143" s="185"/>
      <c r="K143" s="205"/>
      <c r="L143" s="7"/>
    </row>
    <row r="144" spans="1:12">
      <c r="A144" s="93">
        <v>45746</v>
      </c>
      <c r="B144" s="7" t="s">
        <v>184</v>
      </c>
      <c r="C144" s="175"/>
      <c r="D144" s="175"/>
      <c r="E144" s="175"/>
      <c r="F144" s="229">
        <v>144060</v>
      </c>
      <c r="G144" s="229">
        <v>130964</v>
      </c>
      <c r="H144" s="229">
        <v>13096</v>
      </c>
      <c r="I144" s="72" t="s">
        <v>236</v>
      </c>
      <c r="J144" s="185"/>
      <c r="K144" s="205"/>
      <c r="L144" s="7"/>
    </row>
    <row r="145" spans="1:12">
      <c r="A145" s="93">
        <v>45747</v>
      </c>
      <c r="B145" s="7" t="s">
        <v>39</v>
      </c>
      <c r="C145" s="175"/>
      <c r="D145" s="175"/>
      <c r="E145" s="175"/>
      <c r="F145" s="229">
        <v>598843</v>
      </c>
      <c r="G145" s="229">
        <v>544402</v>
      </c>
      <c r="H145" s="229">
        <v>54441</v>
      </c>
      <c r="I145" s="72" t="s">
        <v>30</v>
      </c>
      <c r="J145" s="185"/>
      <c r="K145" s="205"/>
      <c r="L145" s="7"/>
    </row>
    <row r="146" spans="1:12">
      <c r="A146" s="93">
        <v>45748</v>
      </c>
      <c r="B146" s="7" t="s">
        <v>184</v>
      </c>
      <c r="C146" s="175"/>
      <c r="D146" s="175"/>
      <c r="E146" s="175"/>
      <c r="F146" s="229">
        <v>138399</v>
      </c>
      <c r="G146" s="229">
        <v>125818</v>
      </c>
      <c r="H146" s="229">
        <v>12581</v>
      </c>
      <c r="I146" s="72" t="s">
        <v>237</v>
      </c>
      <c r="J146" s="185"/>
      <c r="K146" s="205"/>
      <c r="L146" s="7"/>
    </row>
    <row r="147" spans="1:12">
      <c r="A147" s="93">
        <v>45760</v>
      </c>
      <c r="B147" s="21" t="s">
        <v>71</v>
      </c>
      <c r="C147" s="175">
        <v>280500</v>
      </c>
      <c r="D147" s="175">
        <v>255000</v>
      </c>
      <c r="E147" s="175">
        <v>25500</v>
      </c>
      <c r="F147" s="229"/>
      <c r="G147" s="229"/>
      <c r="H147" s="229"/>
      <c r="I147" s="63" t="s">
        <v>72</v>
      </c>
      <c r="J147" s="186">
        <v>45792</v>
      </c>
      <c r="K147" s="206"/>
      <c r="L147" s="57"/>
    </row>
    <row r="148" spans="1:12">
      <c r="A148" s="93">
        <v>45771</v>
      </c>
      <c r="B148" s="21" t="s">
        <v>96</v>
      </c>
      <c r="C148" s="175">
        <v>17206021</v>
      </c>
      <c r="D148" s="175">
        <v>15641837</v>
      </c>
      <c r="E148" s="175">
        <v>1564184</v>
      </c>
      <c r="F148" s="229"/>
      <c r="G148" s="229"/>
      <c r="H148" s="229"/>
      <c r="I148" s="63" t="s">
        <v>123</v>
      </c>
      <c r="J148" s="186">
        <v>45785</v>
      </c>
      <c r="K148" s="206"/>
      <c r="L148" s="57"/>
    </row>
    <row r="149" spans="1:12">
      <c r="A149" s="93">
        <v>45772</v>
      </c>
      <c r="B149" s="7" t="s">
        <v>98</v>
      </c>
      <c r="C149" s="175">
        <v>759000</v>
      </c>
      <c r="D149" s="175">
        <v>690000</v>
      </c>
      <c r="E149" s="175">
        <v>69000</v>
      </c>
      <c r="F149" s="229"/>
      <c r="G149" s="229"/>
      <c r="H149" s="229"/>
      <c r="I149" s="72" t="s">
        <v>3</v>
      </c>
      <c r="J149" s="185">
        <v>45772</v>
      </c>
      <c r="K149" s="205"/>
      <c r="L149" s="13"/>
    </row>
    <row r="150" spans="1:12">
      <c r="A150" s="93">
        <v>45772</v>
      </c>
      <c r="B150" s="7" t="s">
        <v>39</v>
      </c>
      <c r="C150" s="175"/>
      <c r="D150" s="175"/>
      <c r="E150" s="175"/>
      <c r="F150" s="229">
        <v>220000</v>
      </c>
      <c r="G150" s="229">
        <v>200000</v>
      </c>
      <c r="H150" s="229">
        <v>20000</v>
      </c>
      <c r="I150" s="72" t="s">
        <v>56</v>
      </c>
      <c r="J150" s="185"/>
      <c r="K150" s="205"/>
      <c r="L150" s="7"/>
    </row>
    <row r="151" spans="1:12">
      <c r="A151" s="93">
        <v>45772</v>
      </c>
      <c r="B151" s="7" t="s">
        <v>176</v>
      </c>
      <c r="C151" s="175"/>
      <c r="D151" s="175"/>
      <c r="E151" s="175"/>
      <c r="F151" s="229">
        <v>594000</v>
      </c>
      <c r="G151" s="229">
        <v>540000</v>
      </c>
      <c r="H151" s="229">
        <v>54000</v>
      </c>
      <c r="I151" s="72" t="s">
        <v>238</v>
      </c>
      <c r="J151" s="185"/>
      <c r="K151" s="205"/>
      <c r="L151" s="7"/>
    </row>
    <row r="152" spans="1:12">
      <c r="A152" s="93">
        <v>45776</v>
      </c>
      <c r="B152" s="21" t="s">
        <v>71</v>
      </c>
      <c r="C152" s="175">
        <v>467500</v>
      </c>
      <c r="D152" s="175">
        <v>425000</v>
      </c>
      <c r="E152" s="175">
        <v>42500</v>
      </c>
      <c r="F152" s="229"/>
      <c r="G152" s="229"/>
      <c r="H152" s="229"/>
      <c r="I152" s="63" t="s">
        <v>72</v>
      </c>
      <c r="J152" s="186">
        <v>45792</v>
      </c>
      <c r="K152" s="206"/>
      <c r="L152" s="57"/>
    </row>
    <row r="153" spans="1:12">
      <c r="A153" s="93">
        <v>45777</v>
      </c>
      <c r="B153" s="7" t="s">
        <v>0</v>
      </c>
      <c r="C153" s="175">
        <v>16001150</v>
      </c>
      <c r="D153" s="175">
        <v>14546500</v>
      </c>
      <c r="E153" s="175">
        <v>1454650</v>
      </c>
      <c r="F153" s="229"/>
      <c r="G153" s="229"/>
      <c r="H153" s="229"/>
      <c r="I153" s="72" t="s">
        <v>42</v>
      </c>
      <c r="J153" s="185">
        <v>45792</v>
      </c>
      <c r="K153" s="205"/>
      <c r="L153" s="13"/>
    </row>
    <row r="154" spans="1:12">
      <c r="A154" s="93">
        <v>45777</v>
      </c>
      <c r="B154" s="21" t="s">
        <v>61</v>
      </c>
      <c r="C154" s="175">
        <v>478500</v>
      </c>
      <c r="D154" s="175">
        <v>435000</v>
      </c>
      <c r="E154" s="175">
        <v>43500</v>
      </c>
      <c r="F154" s="229"/>
      <c r="G154" s="229"/>
      <c r="H154" s="229"/>
      <c r="I154" s="63" t="s">
        <v>62</v>
      </c>
      <c r="J154" s="186">
        <v>45786</v>
      </c>
      <c r="K154" s="206"/>
      <c r="L154" s="57"/>
    </row>
    <row r="155" spans="1:12">
      <c r="A155" s="93">
        <v>45777</v>
      </c>
      <c r="B155" s="21" t="s">
        <v>0</v>
      </c>
      <c r="C155" s="175">
        <v>1839200</v>
      </c>
      <c r="D155" s="175">
        <v>1672000</v>
      </c>
      <c r="E155" s="175">
        <v>167200</v>
      </c>
      <c r="F155" s="229"/>
      <c r="G155" s="229"/>
      <c r="H155" s="229"/>
      <c r="I155" s="63" t="s">
        <v>52</v>
      </c>
      <c r="J155" s="186">
        <v>45792</v>
      </c>
      <c r="K155" s="206"/>
      <c r="L155" s="57"/>
    </row>
    <row r="156" spans="1:12">
      <c r="A156" s="93">
        <v>45777</v>
      </c>
      <c r="B156" s="21" t="s">
        <v>0</v>
      </c>
      <c r="C156" s="175">
        <v>2915000</v>
      </c>
      <c r="D156" s="175">
        <v>2650000</v>
      </c>
      <c r="E156" s="175">
        <v>265000</v>
      </c>
      <c r="F156" s="229"/>
      <c r="G156" s="229"/>
      <c r="H156" s="229"/>
      <c r="I156" s="63" t="s">
        <v>51</v>
      </c>
      <c r="J156" s="186">
        <v>45792</v>
      </c>
      <c r="K156" s="206"/>
      <c r="L156" s="57"/>
    </row>
    <row r="157" spans="1:12">
      <c r="A157" s="93">
        <v>45777</v>
      </c>
      <c r="B157" s="21" t="s">
        <v>0</v>
      </c>
      <c r="C157" s="175">
        <v>2198900</v>
      </c>
      <c r="D157" s="175">
        <v>1999000</v>
      </c>
      <c r="E157" s="175">
        <v>199900</v>
      </c>
      <c r="F157" s="229"/>
      <c r="G157" s="229"/>
      <c r="H157" s="229"/>
      <c r="I157" s="63" t="s">
        <v>50</v>
      </c>
      <c r="J157" s="186">
        <v>45792</v>
      </c>
      <c r="K157" s="206"/>
      <c r="L157" s="57"/>
    </row>
    <row r="158" spans="1:12">
      <c r="A158" s="93">
        <v>45777</v>
      </c>
      <c r="B158" s="21" t="s">
        <v>0</v>
      </c>
      <c r="C158" s="175">
        <v>6050000</v>
      </c>
      <c r="D158" s="175">
        <v>5500000</v>
      </c>
      <c r="E158" s="175">
        <v>550000</v>
      </c>
      <c r="F158" s="229"/>
      <c r="G158" s="229"/>
      <c r="H158" s="229"/>
      <c r="I158" s="63" t="s">
        <v>67</v>
      </c>
      <c r="J158" s="186">
        <v>45792</v>
      </c>
      <c r="K158" s="206"/>
      <c r="L158" s="57"/>
    </row>
    <row r="159" spans="1:12">
      <c r="A159" s="93">
        <v>45777</v>
      </c>
      <c r="B159" s="7" t="s">
        <v>0</v>
      </c>
      <c r="C159" s="175">
        <v>2887500</v>
      </c>
      <c r="D159" s="175">
        <v>2625000</v>
      </c>
      <c r="E159" s="175">
        <v>262500</v>
      </c>
      <c r="F159" s="229"/>
      <c r="G159" s="229"/>
      <c r="H159" s="229"/>
      <c r="I159" s="72" t="s">
        <v>124</v>
      </c>
      <c r="J159" s="185">
        <v>45792</v>
      </c>
      <c r="K159" s="205"/>
      <c r="L159" s="7"/>
    </row>
    <row r="160" spans="1:12">
      <c r="A160" s="93">
        <v>45777</v>
      </c>
      <c r="B160" s="21" t="s">
        <v>0</v>
      </c>
      <c r="C160" s="175">
        <v>8487600</v>
      </c>
      <c r="D160" s="175">
        <v>7716000</v>
      </c>
      <c r="E160" s="175">
        <v>771600</v>
      </c>
      <c r="F160" s="229"/>
      <c r="G160" s="229"/>
      <c r="H160" s="229"/>
      <c r="I160" s="63" t="s">
        <v>40</v>
      </c>
      <c r="J160" s="186">
        <v>45792</v>
      </c>
      <c r="K160" s="206"/>
      <c r="L160" s="57"/>
    </row>
    <row r="161" spans="1:12">
      <c r="A161" s="93">
        <v>45777</v>
      </c>
      <c r="B161" s="7" t="s">
        <v>63</v>
      </c>
      <c r="C161" s="175">
        <v>137500</v>
      </c>
      <c r="D161" s="175">
        <v>125000</v>
      </c>
      <c r="E161" s="175">
        <v>12500</v>
      </c>
      <c r="F161" s="229"/>
      <c r="G161" s="229"/>
      <c r="H161" s="229"/>
      <c r="I161" s="72" t="s">
        <v>69</v>
      </c>
      <c r="J161" s="185">
        <v>45797</v>
      </c>
      <c r="K161" s="205"/>
      <c r="L161" s="13"/>
    </row>
    <row r="162" spans="1:12">
      <c r="A162" s="93">
        <v>45777</v>
      </c>
      <c r="B162" s="7" t="s">
        <v>63</v>
      </c>
      <c r="C162" s="175">
        <v>2475000</v>
      </c>
      <c r="D162" s="175">
        <v>2250000</v>
      </c>
      <c r="E162" s="175">
        <v>225000</v>
      </c>
      <c r="F162" s="229"/>
      <c r="G162" s="229"/>
      <c r="H162" s="229"/>
      <c r="I162" s="72" t="s">
        <v>125</v>
      </c>
      <c r="J162" s="185">
        <v>45792</v>
      </c>
      <c r="K162" s="205"/>
      <c r="L162" s="13"/>
    </row>
    <row r="163" spans="1:12">
      <c r="A163" s="93">
        <v>45777</v>
      </c>
      <c r="B163" s="21" t="s">
        <v>63</v>
      </c>
      <c r="C163" s="175">
        <v>6286500</v>
      </c>
      <c r="D163" s="175">
        <v>5715000</v>
      </c>
      <c r="E163" s="175">
        <v>571500</v>
      </c>
      <c r="F163" s="229"/>
      <c r="G163" s="229"/>
      <c r="H163" s="229"/>
      <c r="I163" s="63" t="s">
        <v>41</v>
      </c>
      <c r="J163" s="186">
        <v>45796</v>
      </c>
      <c r="K163" s="206"/>
      <c r="L163" s="57"/>
    </row>
    <row r="164" spans="1:12">
      <c r="A164" s="93">
        <v>45777</v>
      </c>
      <c r="B164" s="21" t="s">
        <v>33</v>
      </c>
      <c r="C164" s="175">
        <v>137500</v>
      </c>
      <c r="D164" s="175">
        <v>125000</v>
      </c>
      <c r="E164" s="175">
        <v>12500</v>
      </c>
      <c r="F164" s="229"/>
      <c r="G164" s="229"/>
      <c r="H164" s="229"/>
      <c r="I164" s="63" t="s">
        <v>53</v>
      </c>
      <c r="J164" s="186">
        <v>45786</v>
      </c>
      <c r="K164" s="206"/>
      <c r="L164" s="57"/>
    </row>
    <row r="165" spans="1:12">
      <c r="A165" s="93">
        <v>45777</v>
      </c>
      <c r="B165" s="21" t="s">
        <v>33</v>
      </c>
      <c r="C165" s="175">
        <v>8525000</v>
      </c>
      <c r="D165" s="175">
        <v>7750000</v>
      </c>
      <c r="E165" s="175">
        <v>775000</v>
      </c>
      <c r="F165" s="229"/>
      <c r="G165" s="229"/>
      <c r="H165" s="229"/>
      <c r="I165" s="63" t="s">
        <v>126</v>
      </c>
      <c r="J165" s="186">
        <v>45786</v>
      </c>
      <c r="K165" s="206"/>
      <c r="L165" s="57"/>
    </row>
    <row r="166" spans="1:12">
      <c r="A166" s="93">
        <v>45777</v>
      </c>
      <c r="B166" s="21" t="s">
        <v>33</v>
      </c>
      <c r="C166" s="175">
        <v>3743300</v>
      </c>
      <c r="D166" s="175">
        <v>3403000</v>
      </c>
      <c r="E166" s="175">
        <v>340300</v>
      </c>
      <c r="F166" s="229"/>
      <c r="G166" s="229"/>
      <c r="H166" s="229"/>
      <c r="I166" s="63" t="s">
        <v>127</v>
      </c>
      <c r="J166" s="186">
        <v>45786</v>
      </c>
      <c r="K166" s="206"/>
      <c r="L166" s="57"/>
    </row>
    <row r="167" spans="1:12">
      <c r="A167" s="93">
        <v>45777</v>
      </c>
      <c r="B167" s="21" t="s">
        <v>18</v>
      </c>
      <c r="C167" s="175">
        <v>3729000</v>
      </c>
      <c r="D167" s="175">
        <v>3390000</v>
      </c>
      <c r="E167" s="175">
        <v>339000</v>
      </c>
      <c r="F167" s="229"/>
      <c r="G167" s="229"/>
      <c r="H167" s="229"/>
      <c r="I167" s="63" t="s">
        <v>65</v>
      </c>
      <c r="J167" s="186">
        <v>45798</v>
      </c>
      <c r="K167" s="206"/>
      <c r="L167" s="57"/>
    </row>
    <row r="168" spans="1:12">
      <c r="A168" s="93">
        <v>45777</v>
      </c>
      <c r="B168" s="21" t="s">
        <v>18</v>
      </c>
      <c r="C168" s="175">
        <v>2337500</v>
      </c>
      <c r="D168" s="175">
        <v>2125000</v>
      </c>
      <c r="E168" s="175">
        <v>212500</v>
      </c>
      <c r="F168" s="229"/>
      <c r="G168" s="229"/>
      <c r="H168" s="229"/>
      <c r="I168" s="63" t="s">
        <v>128</v>
      </c>
      <c r="J168" s="186">
        <v>45798</v>
      </c>
      <c r="K168" s="206"/>
      <c r="L168" s="57"/>
    </row>
    <row r="169" spans="1:12">
      <c r="A169" s="93">
        <v>45777</v>
      </c>
      <c r="B169" s="21" t="s">
        <v>18</v>
      </c>
      <c r="C169" s="175">
        <v>448800</v>
      </c>
      <c r="D169" s="175">
        <v>408000</v>
      </c>
      <c r="E169" s="175">
        <v>40800</v>
      </c>
      <c r="F169" s="229"/>
      <c r="G169" s="229"/>
      <c r="H169" s="229"/>
      <c r="I169" s="63" t="s">
        <v>70</v>
      </c>
      <c r="J169" s="186">
        <v>45791</v>
      </c>
      <c r="K169" s="206"/>
      <c r="L169" s="57"/>
    </row>
    <row r="170" spans="1:12">
      <c r="A170" s="93">
        <v>45777</v>
      </c>
      <c r="B170" s="21" t="s">
        <v>18</v>
      </c>
      <c r="C170" s="175">
        <v>1375000</v>
      </c>
      <c r="D170" s="175">
        <v>1250000</v>
      </c>
      <c r="E170" s="175">
        <v>125000</v>
      </c>
      <c r="F170" s="229"/>
      <c r="G170" s="229"/>
      <c r="H170" s="229"/>
      <c r="I170" s="63" t="s">
        <v>73</v>
      </c>
      <c r="J170" s="186">
        <v>45798</v>
      </c>
      <c r="K170" s="206"/>
      <c r="L170" s="57"/>
    </row>
    <row r="171" spans="1:12">
      <c r="A171" s="93">
        <v>45777</v>
      </c>
      <c r="B171" s="21" t="s">
        <v>24</v>
      </c>
      <c r="C171" s="175">
        <v>9040900</v>
      </c>
      <c r="D171" s="175">
        <v>8219000</v>
      </c>
      <c r="E171" s="175">
        <v>821900</v>
      </c>
      <c r="F171" s="229"/>
      <c r="G171" s="229"/>
      <c r="H171" s="229"/>
      <c r="I171" s="63" t="s">
        <v>47</v>
      </c>
      <c r="J171" s="186">
        <v>45792</v>
      </c>
      <c r="K171" s="206"/>
      <c r="L171" s="57"/>
    </row>
    <row r="172" spans="1:12">
      <c r="A172" s="93">
        <v>45777</v>
      </c>
      <c r="B172" s="7" t="s">
        <v>34</v>
      </c>
      <c r="C172" s="175">
        <v>242000</v>
      </c>
      <c r="D172" s="175">
        <v>220000</v>
      </c>
      <c r="E172" s="175">
        <v>22000</v>
      </c>
      <c r="F172" s="229"/>
      <c r="G172" s="229"/>
      <c r="H172" s="229"/>
      <c r="I172" s="72" t="s">
        <v>48</v>
      </c>
      <c r="J172" s="185">
        <v>45789</v>
      </c>
      <c r="K172" s="205"/>
      <c r="L172" s="13"/>
    </row>
    <row r="173" spans="1:12">
      <c r="A173" s="93">
        <v>45777</v>
      </c>
      <c r="B173" s="7" t="s">
        <v>37</v>
      </c>
      <c r="C173" s="175">
        <v>16578100</v>
      </c>
      <c r="D173" s="175">
        <v>15071000</v>
      </c>
      <c r="E173" s="175">
        <v>1507100</v>
      </c>
      <c r="F173" s="229"/>
      <c r="G173" s="229"/>
      <c r="H173" s="229"/>
      <c r="I173" s="72" t="s">
        <v>54</v>
      </c>
      <c r="J173" s="185">
        <v>45797</v>
      </c>
      <c r="K173" s="205"/>
      <c r="L173" s="7"/>
    </row>
    <row r="174" spans="1:12">
      <c r="A174" s="93">
        <v>45777</v>
      </c>
      <c r="B174" s="21" t="s">
        <v>60</v>
      </c>
      <c r="C174" s="175">
        <v>2115300</v>
      </c>
      <c r="D174" s="175">
        <v>1923000</v>
      </c>
      <c r="E174" s="175">
        <v>192300</v>
      </c>
      <c r="F174" s="229"/>
      <c r="G174" s="229"/>
      <c r="H174" s="229"/>
      <c r="I174" s="63" t="s">
        <v>44</v>
      </c>
      <c r="J174" s="186">
        <v>45789</v>
      </c>
      <c r="K174" s="206"/>
      <c r="L174" s="57"/>
    </row>
    <row r="175" spans="1:12">
      <c r="A175" s="93">
        <v>45777</v>
      </c>
      <c r="B175" s="21" t="s">
        <v>99</v>
      </c>
      <c r="C175" s="175">
        <v>3019500</v>
      </c>
      <c r="D175" s="175">
        <v>2745000</v>
      </c>
      <c r="E175" s="175">
        <v>274500</v>
      </c>
      <c r="F175" s="229"/>
      <c r="G175" s="229"/>
      <c r="H175" s="229"/>
      <c r="I175" s="63" t="s">
        <v>74</v>
      </c>
      <c r="J175" s="186">
        <v>45789</v>
      </c>
      <c r="K175" s="206"/>
      <c r="L175" s="57"/>
    </row>
    <row r="176" spans="1:12">
      <c r="A176" s="93">
        <v>45777</v>
      </c>
      <c r="B176" s="21" t="s">
        <v>10</v>
      </c>
      <c r="C176" s="175">
        <v>2139500</v>
      </c>
      <c r="D176" s="175">
        <v>1945000</v>
      </c>
      <c r="E176" s="175">
        <v>194500</v>
      </c>
      <c r="F176" s="229"/>
      <c r="G176" s="229"/>
      <c r="H176" s="229"/>
      <c r="I176" s="63" t="s">
        <v>3</v>
      </c>
      <c r="J176" s="186">
        <v>45804</v>
      </c>
      <c r="K176" s="206"/>
      <c r="L176" s="57"/>
    </row>
    <row r="177" spans="1:12">
      <c r="A177" s="93">
        <v>45777</v>
      </c>
      <c r="B177" s="21" t="s">
        <v>8</v>
      </c>
      <c r="C177" s="175">
        <v>440000</v>
      </c>
      <c r="D177" s="175">
        <v>400000</v>
      </c>
      <c r="E177" s="175">
        <v>40000</v>
      </c>
      <c r="F177" s="229"/>
      <c r="G177" s="229"/>
      <c r="H177" s="229"/>
      <c r="I177" s="64" t="s">
        <v>3</v>
      </c>
      <c r="J177" s="188">
        <v>45792</v>
      </c>
      <c r="K177" s="206"/>
      <c r="L177" s="57"/>
    </row>
    <row r="178" spans="1:12">
      <c r="A178" s="93">
        <v>45777</v>
      </c>
      <c r="B178" s="21" t="s">
        <v>100</v>
      </c>
      <c r="C178" s="175">
        <v>836000</v>
      </c>
      <c r="D178" s="175">
        <v>760000</v>
      </c>
      <c r="E178" s="175">
        <v>76000</v>
      </c>
      <c r="F178" s="229"/>
      <c r="G178" s="229"/>
      <c r="H178" s="229"/>
      <c r="I178" s="64" t="s">
        <v>3</v>
      </c>
      <c r="J178" s="188">
        <v>45799</v>
      </c>
      <c r="K178" s="206"/>
      <c r="L178" s="57"/>
    </row>
    <row r="179" spans="1:12">
      <c r="A179" s="93">
        <v>45777</v>
      </c>
      <c r="B179" s="21" t="s">
        <v>25</v>
      </c>
      <c r="C179" s="175">
        <v>2134000</v>
      </c>
      <c r="D179" s="175">
        <v>1940000</v>
      </c>
      <c r="E179" s="175">
        <v>194000</v>
      </c>
      <c r="F179" s="229"/>
      <c r="G179" s="229"/>
      <c r="H179" s="229"/>
      <c r="I179" s="63" t="s">
        <v>3</v>
      </c>
      <c r="J179" s="186">
        <v>45785</v>
      </c>
      <c r="K179" s="206"/>
      <c r="L179" s="57"/>
    </row>
    <row r="180" spans="1:12">
      <c r="A180" s="93">
        <v>45778</v>
      </c>
      <c r="B180" s="7" t="s">
        <v>184</v>
      </c>
      <c r="C180" s="175"/>
      <c r="D180" s="175"/>
      <c r="E180" s="175"/>
      <c r="F180" s="229">
        <v>137949</v>
      </c>
      <c r="G180" s="229">
        <v>125409</v>
      </c>
      <c r="H180" s="229">
        <v>12540</v>
      </c>
      <c r="I180" s="72" t="s">
        <v>239</v>
      </c>
      <c r="J180" s="185"/>
      <c r="K180" s="205"/>
      <c r="L180" s="7"/>
    </row>
    <row r="181" spans="1:12">
      <c r="A181" s="93">
        <v>45781</v>
      </c>
      <c r="B181" s="21" t="s">
        <v>101</v>
      </c>
      <c r="C181" s="175">
        <v>2733500</v>
      </c>
      <c r="D181" s="175">
        <v>2485000</v>
      </c>
      <c r="E181" s="175">
        <v>248500</v>
      </c>
      <c r="F181" s="229"/>
      <c r="G181" s="229"/>
      <c r="H181" s="229"/>
      <c r="I181" s="63" t="s">
        <v>3</v>
      </c>
      <c r="J181" s="186">
        <v>45807</v>
      </c>
      <c r="K181" s="206"/>
      <c r="L181" s="57"/>
    </row>
    <row r="182" spans="1:12">
      <c r="A182" s="93">
        <v>45788</v>
      </c>
      <c r="B182" s="21" t="s">
        <v>71</v>
      </c>
      <c r="C182" s="175">
        <v>748000</v>
      </c>
      <c r="D182" s="175">
        <v>680000</v>
      </c>
      <c r="E182" s="175">
        <v>68000</v>
      </c>
      <c r="F182" s="229"/>
      <c r="G182" s="229"/>
      <c r="H182" s="229"/>
      <c r="I182" s="63" t="s">
        <v>72</v>
      </c>
      <c r="J182" s="186">
        <v>45824</v>
      </c>
      <c r="K182" s="206"/>
      <c r="L182" s="57"/>
    </row>
    <row r="183" spans="1:12">
      <c r="A183" s="93">
        <v>45792</v>
      </c>
      <c r="B183" s="21" t="s">
        <v>75</v>
      </c>
      <c r="C183" s="175">
        <v>10018800</v>
      </c>
      <c r="D183" s="175">
        <v>9108000</v>
      </c>
      <c r="E183" s="175">
        <v>910800</v>
      </c>
      <c r="F183" s="229"/>
      <c r="G183" s="229"/>
      <c r="H183" s="229"/>
      <c r="I183" s="63" t="s">
        <v>40</v>
      </c>
      <c r="J183" s="186">
        <v>45803</v>
      </c>
      <c r="K183" s="206"/>
      <c r="L183" s="57"/>
    </row>
    <row r="184" spans="1:12">
      <c r="A184" s="93">
        <v>45792</v>
      </c>
      <c r="B184" s="7" t="s">
        <v>75</v>
      </c>
      <c r="C184" s="175">
        <v>18641700</v>
      </c>
      <c r="D184" s="175">
        <v>16947000</v>
      </c>
      <c r="E184" s="175">
        <v>1694700</v>
      </c>
      <c r="F184" s="229"/>
      <c r="G184" s="229"/>
      <c r="H184" s="229"/>
      <c r="I184" s="72" t="s">
        <v>42</v>
      </c>
      <c r="J184" s="185">
        <v>45798</v>
      </c>
      <c r="K184" s="205"/>
      <c r="L184" s="7"/>
    </row>
    <row r="185" spans="1:12">
      <c r="A185" s="93">
        <v>45792</v>
      </c>
      <c r="B185" s="7" t="s">
        <v>102</v>
      </c>
      <c r="C185" s="175">
        <v>20636000</v>
      </c>
      <c r="D185" s="175">
        <v>18760000</v>
      </c>
      <c r="E185" s="175">
        <v>1876000</v>
      </c>
      <c r="F185" s="229"/>
      <c r="G185" s="229"/>
      <c r="H185" s="229"/>
      <c r="I185" s="72" t="s">
        <v>43</v>
      </c>
      <c r="J185" s="185">
        <v>45798</v>
      </c>
      <c r="K185" s="205"/>
      <c r="L185" s="7"/>
    </row>
    <row r="186" spans="1:12">
      <c r="A186" s="93">
        <v>45797</v>
      </c>
      <c r="B186" s="7" t="s">
        <v>102</v>
      </c>
      <c r="C186" s="175">
        <v>5478000</v>
      </c>
      <c r="D186" s="175">
        <v>4980000</v>
      </c>
      <c r="E186" s="175">
        <v>498000</v>
      </c>
      <c r="F186" s="229"/>
      <c r="G186" s="229"/>
      <c r="H186" s="229"/>
      <c r="I186" s="72" t="s">
        <v>43</v>
      </c>
      <c r="J186" s="185">
        <v>45805</v>
      </c>
      <c r="K186" s="205"/>
      <c r="L186" s="7"/>
    </row>
    <row r="187" spans="1:12">
      <c r="A187" s="93">
        <v>45800</v>
      </c>
      <c r="B187" s="7" t="s">
        <v>176</v>
      </c>
      <c r="C187" s="175"/>
      <c r="D187" s="175"/>
      <c r="E187" s="175"/>
      <c r="F187" s="229">
        <v>594000</v>
      </c>
      <c r="G187" s="229">
        <v>540000</v>
      </c>
      <c r="H187" s="229">
        <v>54000</v>
      </c>
      <c r="I187" s="72" t="s">
        <v>240</v>
      </c>
      <c r="J187" s="185"/>
      <c r="K187" s="205"/>
      <c r="L187" s="7"/>
    </row>
    <row r="188" spans="1:12">
      <c r="A188" s="93">
        <v>45802</v>
      </c>
      <c r="B188" s="7" t="s">
        <v>39</v>
      </c>
      <c r="C188" s="175"/>
      <c r="D188" s="175"/>
      <c r="E188" s="175"/>
      <c r="F188" s="229">
        <v>220000</v>
      </c>
      <c r="G188" s="229">
        <v>200000</v>
      </c>
      <c r="H188" s="229">
        <v>20000</v>
      </c>
      <c r="I188" s="72" t="s">
        <v>56</v>
      </c>
      <c r="J188" s="185"/>
      <c r="K188" s="205"/>
      <c r="L188" s="7"/>
    </row>
    <row r="189" spans="1:12">
      <c r="A189" s="93">
        <v>45807</v>
      </c>
      <c r="B189" s="7" t="s">
        <v>184</v>
      </c>
      <c r="C189" s="175"/>
      <c r="D189" s="175"/>
      <c r="E189" s="175"/>
      <c r="F189" s="229">
        <v>134229</v>
      </c>
      <c r="G189" s="229">
        <v>122027</v>
      </c>
      <c r="H189" s="229">
        <v>12202</v>
      </c>
      <c r="I189" s="72" t="s">
        <v>241</v>
      </c>
      <c r="J189" s="185"/>
      <c r="K189" s="205"/>
      <c r="L189" s="7"/>
    </row>
    <row r="190" spans="1:12">
      <c r="A190" s="93">
        <v>45808</v>
      </c>
      <c r="B190" s="21" t="s">
        <v>0</v>
      </c>
      <c r="C190" s="175">
        <v>1747900</v>
      </c>
      <c r="D190" s="175">
        <v>1589000</v>
      </c>
      <c r="E190" s="175">
        <v>158900</v>
      </c>
      <c r="F190" s="229"/>
      <c r="G190" s="229"/>
      <c r="H190" s="229"/>
      <c r="I190" s="63" t="s">
        <v>52</v>
      </c>
      <c r="J190" s="186">
        <v>45818</v>
      </c>
      <c r="K190" s="206"/>
      <c r="L190" s="57"/>
    </row>
    <row r="191" spans="1:12">
      <c r="A191" s="93">
        <v>45808</v>
      </c>
      <c r="B191" s="7" t="s">
        <v>0</v>
      </c>
      <c r="C191" s="175">
        <v>1293600</v>
      </c>
      <c r="D191" s="175">
        <v>1176000</v>
      </c>
      <c r="E191" s="175">
        <v>117600</v>
      </c>
      <c r="F191" s="229"/>
      <c r="G191" s="229"/>
      <c r="H191" s="229"/>
      <c r="I191" s="72" t="s">
        <v>51</v>
      </c>
      <c r="J191" s="185">
        <v>45818</v>
      </c>
      <c r="K191" s="205"/>
      <c r="L191" s="7"/>
    </row>
    <row r="192" spans="1:12">
      <c r="A192" s="93">
        <v>45808</v>
      </c>
      <c r="B192" s="7" t="s">
        <v>0</v>
      </c>
      <c r="C192" s="175">
        <v>1669800</v>
      </c>
      <c r="D192" s="175">
        <v>1518000</v>
      </c>
      <c r="E192" s="175">
        <v>151800</v>
      </c>
      <c r="F192" s="229"/>
      <c r="G192" s="229"/>
      <c r="H192" s="229"/>
      <c r="I192" s="72" t="s">
        <v>50</v>
      </c>
      <c r="J192" s="185">
        <v>45818</v>
      </c>
      <c r="K192" s="205"/>
      <c r="L192" s="7"/>
    </row>
    <row r="193" spans="1:12">
      <c r="A193" s="93">
        <v>45808</v>
      </c>
      <c r="B193" s="21" t="s">
        <v>0</v>
      </c>
      <c r="C193" s="175">
        <v>8712000</v>
      </c>
      <c r="D193" s="175">
        <v>7920000</v>
      </c>
      <c r="E193" s="175">
        <v>792000</v>
      </c>
      <c r="F193" s="229"/>
      <c r="G193" s="229"/>
      <c r="H193" s="229"/>
      <c r="I193" s="63" t="s">
        <v>40</v>
      </c>
      <c r="J193" s="186">
        <v>45818</v>
      </c>
      <c r="K193" s="206"/>
      <c r="L193" s="57"/>
    </row>
    <row r="194" spans="1:12">
      <c r="A194" s="93">
        <v>45808</v>
      </c>
      <c r="B194" s="21" t="s">
        <v>0</v>
      </c>
      <c r="C194" s="175">
        <v>21221200</v>
      </c>
      <c r="D194" s="175">
        <v>19292000</v>
      </c>
      <c r="E194" s="175">
        <v>1929200</v>
      </c>
      <c r="F194" s="229"/>
      <c r="G194" s="229"/>
      <c r="H194" s="229"/>
      <c r="I194" s="63" t="s">
        <v>42</v>
      </c>
      <c r="J194" s="186">
        <v>45818</v>
      </c>
      <c r="K194" s="206"/>
      <c r="L194" s="57"/>
    </row>
    <row r="195" spans="1:12">
      <c r="A195" s="93">
        <v>45808</v>
      </c>
      <c r="B195" s="21" t="s">
        <v>18</v>
      </c>
      <c r="C195" s="175">
        <v>6130300</v>
      </c>
      <c r="D195" s="175">
        <v>5573000</v>
      </c>
      <c r="E195" s="175">
        <v>557300</v>
      </c>
      <c r="F195" s="229"/>
      <c r="G195" s="229"/>
      <c r="H195" s="229"/>
      <c r="I195" s="63" t="s">
        <v>129</v>
      </c>
      <c r="J195" s="186">
        <v>45826</v>
      </c>
      <c r="K195" s="206"/>
      <c r="L195" s="57"/>
    </row>
    <row r="196" spans="1:12">
      <c r="A196" s="93">
        <v>45808</v>
      </c>
      <c r="B196" s="7" t="s">
        <v>18</v>
      </c>
      <c r="C196" s="175">
        <v>2887500</v>
      </c>
      <c r="D196" s="175">
        <v>2625000</v>
      </c>
      <c r="E196" s="175">
        <v>262500</v>
      </c>
      <c r="F196" s="229"/>
      <c r="G196" s="229"/>
      <c r="H196" s="229"/>
      <c r="I196" s="72" t="s">
        <v>128</v>
      </c>
      <c r="J196" s="185">
        <v>45826</v>
      </c>
      <c r="K196" s="205"/>
      <c r="L196" s="7"/>
    </row>
    <row r="197" spans="1:12">
      <c r="A197" s="93">
        <v>45808</v>
      </c>
      <c r="B197" s="7" t="s">
        <v>18</v>
      </c>
      <c r="C197" s="175">
        <v>224400</v>
      </c>
      <c r="D197" s="175">
        <v>204000</v>
      </c>
      <c r="E197" s="175">
        <v>20400</v>
      </c>
      <c r="F197" s="229"/>
      <c r="G197" s="229"/>
      <c r="H197" s="229"/>
      <c r="I197" s="72" t="s">
        <v>70</v>
      </c>
      <c r="J197" s="185">
        <v>45821</v>
      </c>
      <c r="K197" s="205"/>
      <c r="L197" s="7"/>
    </row>
    <row r="198" spans="1:12">
      <c r="A198" s="93">
        <v>45808</v>
      </c>
      <c r="B198" s="21" t="s">
        <v>18</v>
      </c>
      <c r="C198" s="175">
        <v>137500</v>
      </c>
      <c r="D198" s="175">
        <v>125000</v>
      </c>
      <c r="E198" s="175">
        <v>12500</v>
      </c>
      <c r="F198" s="229"/>
      <c r="G198" s="229"/>
      <c r="H198" s="229"/>
      <c r="I198" s="63" t="s">
        <v>130</v>
      </c>
      <c r="J198" s="186">
        <v>45826</v>
      </c>
      <c r="K198" s="206"/>
      <c r="L198" s="57"/>
    </row>
    <row r="199" spans="1:12">
      <c r="A199" s="93">
        <v>45808</v>
      </c>
      <c r="B199" s="21" t="s">
        <v>18</v>
      </c>
      <c r="C199" s="175">
        <v>462000</v>
      </c>
      <c r="D199" s="175">
        <v>420000</v>
      </c>
      <c r="E199" s="175">
        <v>42000</v>
      </c>
      <c r="F199" s="229"/>
      <c r="G199" s="229"/>
      <c r="H199" s="229"/>
      <c r="I199" s="63" t="s">
        <v>73</v>
      </c>
      <c r="J199" s="186">
        <v>45826</v>
      </c>
      <c r="K199" s="206"/>
      <c r="L199" s="57"/>
    </row>
    <row r="200" spans="1:12">
      <c r="A200" s="93">
        <v>45808</v>
      </c>
      <c r="B200" s="21" t="s">
        <v>18</v>
      </c>
      <c r="C200" s="175">
        <v>8778000</v>
      </c>
      <c r="D200" s="175">
        <v>7980000</v>
      </c>
      <c r="E200" s="175">
        <v>798000</v>
      </c>
      <c r="F200" s="229"/>
      <c r="G200" s="229"/>
      <c r="H200" s="229"/>
      <c r="I200" s="63" t="s">
        <v>43</v>
      </c>
      <c r="J200" s="186">
        <v>45819</v>
      </c>
      <c r="K200" s="206"/>
      <c r="L200" s="57"/>
    </row>
    <row r="201" spans="1:12">
      <c r="A201" s="93">
        <v>45808</v>
      </c>
      <c r="B201" s="21" t="s">
        <v>33</v>
      </c>
      <c r="C201" s="175">
        <v>1925000</v>
      </c>
      <c r="D201" s="175">
        <v>1750000</v>
      </c>
      <c r="E201" s="175">
        <v>175000</v>
      </c>
      <c r="F201" s="229"/>
      <c r="G201" s="229"/>
      <c r="H201" s="229"/>
      <c r="I201" s="63" t="s">
        <v>53</v>
      </c>
      <c r="J201" s="186">
        <v>45813</v>
      </c>
      <c r="K201" s="206"/>
      <c r="L201" s="57"/>
    </row>
    <row r="202" spans="1:12">
      <c r="A202" s="93">
        <v>45808</v>
      </c>
      <c r="B202" s="21" t="s">
        <v>33</v>
      </c>
      <c r="C202" s="175">
        <v>11275000</v>
      </c>
      <c r="D202" s="175">
        <v>10250000</v>
      </c>
      <c r="E202" s="175">
        <v>1025000</v>
      </c>
      <c r="F202" s="229"/>
      <c r="G202" s="229"/>
      <c r="H202" s="229"/>
      <c r="I202" s="63" t="s">
        <v>126</v>
      </c>
      <c r="J202" s="186">
        <v>45818</v>
      </c>
      <c r="K202" s="206"/>
      <c r="L202" s="57"/>
    </row>
    <row r="203" spans="1:12">
      <c r="A203" s="93">
        <v>45808</v>
      </c>
      <c r="B203" s="21" t="s">
        <v>33</v>
      </c>
      <c r="C203" s="175">
        <v>3445200</v>
      </c>
      <c r="D203" s="175">
        <v>3132000</v>
      </c>
      <c r="E203" s="175">
        <v>313200</v>
      </c>
      <c r="F203" s="229"/>
      <c r="G203" s="229"/>
      <c r="H203" s="229"/>
      <c r="I203" s="63" t="s">
        <v>127</v>
      </c>
      <c r="J203" s="186">
        <v>45818</v>
      </c>
      <c r="K203" s="206"/>
      <c r="L203" s="57"/>
    </row>
    <row r="204" spans="1:12">
      <c r="A204" s="93">
        <v>45808</v>
      </c>
      <c r="B204" s="7" t="s">
        <v>37</v>
      </c>
      <c r="C204" s="175">
        <v>15797100</v>
      </c>
      <c r="D204" s="175">
        <v>14361000</v>
      </c>
      <c r="E204" s="175">
        <v>1436100</v>
      </c>
      <c r="F204" s="229"/>
      <c r="G204" s="229"/>
      <c r="H204" s="229"/>
      <c r="I204" s="72" t="s">
        <v>54</v>
      </c>
      <c r="J204" s="185">
        <v>45820</v>
      </c>
      <c r="K204" s="205"/>
      <c r="L204" s="7"/>
    </row>
    <row r="205" spans="1:12">
      <c r="A205" s="93">
        <v>45808</v>
      </c>
      <c r="B205" s="7" t="s">
        <v>37</v>
      </c>
      <c r="C205" s="175">
        <v>1069200</v>
      </c>
      <c r="D205" s="175">
        <v>972000</v>
      </c>
      <c r="E205" s="175">
        <v>97200</v>
      </c>
      <c r="F205" s="229"/>
      <c r="G205" s="229"/>
      <c r="H205" s="229"/>
      <c r="I205" s="72" t="s">
        <v>59</v>
      </c>
      <c r="J205" s="185">
        <v>45818</v>
      </c>
      <c r="K205" s="205"/>
      <c r="L205" s="7"/>
    </row>
    <row r="206" spans="1:12">
      <c r="A206" s="93">
        <v>45808</v>
      </c>
      <c r="B206" s="21" t="s">
        <v>63</v>
      </c>
      <c r="C206" s="175">
        <v>2524500</v>
      </c>
      <c r="D206" s="175">
        <v>2295000</v>
      </c>
      <c r="E206" s="175">
        <v>229500</v>
      </c>
      <c r="F206" s="229"/>
      <c r="G206" s="229"/>
      <c r="H206" s="229"/>
      <c r="I206" s="63" t="s">
        <v>41</v>
      </c>
      <c r="J206" s="186">
        <v>45824</v>
      </c>
      <c r="K206" s="206"/>
      <c r="L206" s="57"/>
    </row>
    <row r="207" spans="1:12">
      <c r="A207" s="93">
        <v>45808</v>
      </c>
      <c r="B207" s="21" t="s">
        <v>63</v>
      </c>
      <c r="C207" s="175">
        <v>5214000</v>
      </c>
      <c r="D207" s="175">
        <v>4740000</v>
      </c>
      <c r="E207" s="175">
        <v>474000</v>
      </c>
      <c r="F207" s="229"/>
      <c r="G207" s="229"/>
      <c r="H207" s="229"/>
      <c r="I207" s="63" t="s">
        <v>125</v>
      </c>
      <c r="J207" s="186">
        <v>45821</v>
      </c>
      <c r="K207" s="206"/>
      <c r="L207" s="57"/>
    </row>
    <row r="208" spans="1:12">
      <c r="A208" s="93">
        <v>45808</v>
      </c>
      <c r="B208" s="7" t="s">
        <v>61</v>
      </c>
      <c r="C208" s="175">
        <v>1052700</v>
      </c>
      <c r="D208" s="175">
        <v>957000</v>
      </c>
      <c r="E208" s="175">
        <v>95700</v>
      </c>
      <c r="F208" s="229"/>
      <c r="G208" s="229"/>
      <c r="H208" s="229"/>
      <c r="I208" s="72" t="s">
        <v>62</v>
      </c>
      <c r="J208" s="185">
        <v>45818</v>
      </c>
      <c r="K208" s="205"/>
      <c r="L208" s="7"/>
    </row>
    <row r="209" spans="1:12">
      <c r="A209" s="93">
        <v>45808</v>
      </c>
      <c r="B209" s="21" t="s">
        <v>24</v>
      </c>
      <c r="C209" s="175">
        <v>4961000</v>
      </c>
      <c r="D209" s="175">
        <v>4510000</v>
      </c>
      <c r="E209" s="175">
        <v>451000</v>
      </c>
      <c r="F209" s="229"/>
      <c r="G209" s="229"/>
      <c r="H209" s="229"/>
      <c r="I209" s="63" t="s">
        <v>47</v>
      </c>
      <c r="J209" s="189">
        <v>45821</v>
      </c>
      <c r="K209" s="206"/>
      <c r="L209" s="7"/>
    </row>
    <row r="210" spans="1:12">
      <c r="A210" s="93">
        <v>45808</v>
      </c>
      <c r="B210" s="21" t="s">
        <v>34</v>
      </c>
      <c r="C210" s="175">
        <v>2403500</v>
      </c>
      <c r="D210" s="175">
        <v>2185000</v>
      </c>
      <c r="E210" s="175">
        <v>218500</v>
      </c>
      <c r="F210" s="229"/>
      <c r="G210" s="229"/>
      <c r="H210" s="229"/>
      <c r="I210" s="63" t="s">
        <v>55</v>
      </c>
      <c r="J210" s="190">
        <v>45818</v>
      </c>
      <c r="K210" s="206"/>
      <c r="L210" s="7"/>
    </row>
    <row r="211" spans="1:12">
      <c r="A211" s="93">
        <v>45808</v>
      </c>
      <c r="B211" s="21" t="s">
        <v>60</v>
      </c>
      <c r="C211" s="175">
        <v>1965700</v>
      </c>
      <c r="D211" s="175">
        <v>1787000</v>
      </c>
      <c r="E211" s="175">
        <v>178700</v>
      </c>
      <c r="F211" s="229"/>
      <c r="G211" s="229"/>
      <c r="H211" s="229"/>
      <c r="I211" s="63" t="s">
        <v>44</v>
      </c>
      <c r="J211" s="186">
        <v>45812</v>
      </c>
      <c r="K211" s="206"/>
      <c r="L211" s="7"/>
    </row>
    <row r="212" spans="1:12">
      <c r="A212" s="93">
        <v>45808</v>
      </c>
      <c r="B212" s="21" t="s">
        <v>99</v>
      </c>
      <c r="C212" s="175">
        <v>4012800</v>
      </c>
      <c r="D212" s="175">
        <v>3648000</v>
      </c>
      <c r="E212" s="175">
        <v>364800</v>
      </c>
      <c r="F212" s="229"/>
      <c r="G212" s="229"/>
      <c r="H212" s="229"/>
      <c r="I212" s="63" t="s">
        <v>74</v>
      </c>
      <c r="J212" s="186">
        <v>45818</v>
      </c>
      <c r="K212" s="206"/>
      <c r="L212" s="7"/>
    </row>
    <row r="213" spans="1:12">
      <c r="A213" s="93">
        <v>45808</v>
      </c>
      <c r="B213" s="21" t="s">
        <v>10</v>
      </c>
      <c r="C213" s="175">
        <v>4735500</v>
      </c>
      <c r="D213" s="175">
        <v>4305000</v>
      </c>
      <c r="E213" s="175">
        <v>430500</v>
      </c>
      <c r="F213" s="229"/>
      <c r="G213" s="229"/>
      <c r="H213" s="229"/>
      <c r="I213" s="63" t="s">
        <v>3</v>
      </c>
      <c r="J213" s="186">
        <v>45833</v>
      </c>
      <c r="K213" s="206"/>
      <c r="L213" s="7"/>
    </row>
    <row r="214" spans="1:12">
      <c r="A214" s="93">
        <v>45808</v>
      </c>
      <c r="B214" s="21" t="s">
        <v>35</v>
      </c>
      <c r="C214" s="175">
        <v>1221000</v>
      </c>
      <c r="D214" s="175">
        <v>1110000</v>
      </c>
      <c r="E214" s="175">
        <v>111000</v>
      </c>
      <c r="F214" s="229"/>
      <c r="G214" s="229"/>
      <c r="H214" s="229"/>
      <c r="I214" s="63" t="s">
        <v>3</v>
      </c>
      <c r="J214" s="186">
        <v>45813</v>
      </c>
      <c r="K214" s="206"/>
      <c r="L214" s="7"/>
    </row>
    <row r="215" spans="1:12">
      <c r="A215" s="93">
        <v>45808</v>
      </c>
      <c r="B215" s="21" t="s">
        <v>22</v>
      </c>
      <c r="C215" s="175">
        <v>1053250</v>
      </c>
      <c r="D215" s="175">
        <v>957500</v>
      </c>
      <c r="E215" s="175">
        <v>95750</v>
      </c>
      <c r="F215" s="229"/>
      <c r="G215" s="229"/>
      <c r="H215" s="229"/>
      <c r="I215" s="63" t="s">
        <v>3</v>
      </c>
      <c r="J215" s="186">
        <v>45827</v>
      </c>
      <c r="K215" s="206"/>
      <c r="L215" s="7"/>
    </row>
    <row r="216" spans="1:12">
      <c r="A216" s="93">
        <v>45808</v>
      </c>
      <c r="B216" s="21" t="s">
        <v>8</v>
      </c>
      <c r="C216" s="175">
        <v>1892000</v>
      </c>
      <c r="D216" s="175">
        <v>1720000</v>
      </c>
      <c r="E216" s="175">
        <v>172000</v>
      </c>
      <c r="F216" s="229"/>
      <c r="G216" s="229"/>
      <c r="H216" s="229"/>
      <c r="I216" s="63" t="s">
        <v>3</v>
      </c>
      <c r="J216" s="186">
        <v>45824</v>
      </c>
      <c r="K216" s="206"/>
      <c r="L216" s="7"/>
    </row>
    <row r="217" spans="1:12">
      <c r="A217" s="93">
        <v>45808</v>
      </c>
      <c r="B217" s="7" t="s">
        <v>25</v>
      </c>
      <c r="C217" s="175">
        <v>869000</v>
      </c>
      <c r="D217" s="175">
        <v>790000</v>
      </c>
      <c r="E217" s="175">
        <v>79000</v>
      </c>
      <c r="F217" s="229"/>
      <c r="G217" s="229"/>
      <c r="H217" s="229"/>
      <c r="I217" s="72" t="s">
        <v>3</v>
      </c>
      <c r="J217" s="185">
        <v>45813</v>
      </c>
      <c r="K217" s="205"/>
      <c r="L217" s="7"/>
    </row>
    <row r="218" spans="1:12">
      <c r="A218" s="93">
        <v>45808</v>
      </c>
      <c r="B218" s="7" t="s">
        <v>103</v>
      </c>
      <c r="C218" s="175">
        <v>616000</v>
      </c>
      <c r="D218" s="175">
        <v>560000</v>
      </c>
      <c r="E218" s="175">
        <v>56000</v>
      </c>
      <c r="F218" s="229"/>
      <c r="G218" s="229"/>
      <c r="H218" s="229"/>
      <c r="I218" s="72" t="s">
        <v>3</v>
      </c>
      <c r="J218" s="185">
        <v>45817</v>
      </c>
      <c r="K218" s="205"/>
      <c r="L218" s="7"/>
    </row>
    <row r="219" spans="1:12">
      <c r="A219" s="93">
        <v>45808</v>
      </c>
      <c r="B219" s="7" t="s">
        <v>38</v>
      </c>
      <c r="C219" s="175"/>
      <c r="D219" s="175"/>
      <c r="E219" s="175"/>
      <c r="F219" s="229">
        <v>45471800</v>
      </c>
      <c r="G219" s="229">
        <v>41338000</v>
      </c>
      <c r="H219" s="229">
        <v>4133800</v>
      </c>
      <c r="I219" s="72" t="s">
        <v>242</v>
      </c>
      <c r="J219" s="185"/>
      <c r="K219" s="205" t="s">
        <v>298</v>
      </c>
      <c r="L219" s="7"/>
    </row>
    <row r="220" spans="1:12">
      <c r="A220" s="93">
        <v>45816</v>
      </c>
      <c r="B220" s="7" t="s">
        <v>18</v>
      </c>
      <c r="C220" s="175">
        <v>13472250</v>
      </c>
      <c r="D220" s="175">
        <v>12247500</v>
      </c>
      <c r="E220" s="175">
        <v>1224750</v>
      </c>
      <c r="F220" s="229"/>
      <c r="G220" s="229"/>
      <c r="H220" s="229"/>
      <c r="I220" s="72" t="s">
        <v>82</v>
      </c>
      <c r="J220" s="185">
        <v>45826</v>
      </c>
      <c r="K220" s="205"/>
      <c r="L220" s="7"/>
    </row>
    <row r="221" spans="1:12">
      <c r="A221" s="93">
        <v>45817</v>
      </c>
      <c r="B221" s="21" t="s">
        <v>71</v>
      </c>
      <c r="C221" s="175">
        <v>748000</v>
      </c>
      <c r="D221" s="175">
        <v>680000</v>
      </c>
      <c r="E221" s="175">
        <v>68000</v>
      </c>
      <c r="F221" s="229"/>
      <c r="G221" s="229"/>
      <c r="H221" s="229"/>
      <c r="I221" s="63" t="s">
        <v>72</v>
      </c>
      <c r="J221" s="186">
        <v>45853</v>
      </c>
      <c r="K221" s="206"/>
      <c r="L221" s="7"/>
    </row>
    <row r="222" spans="1:12">
      <c r="A222" s="93">
        <v>45818</v>
      </c>
      <c r="B222" s="7" t="s">
        <v>18</v>
      </c>
      <c r="C222" s="175">
        <v>12548250</v>
      </c>
      <c r="D222" s="175">
        <v>11407500</v>
      </c>
      <c r="E222" s="175">
        <v>1140750</v>
      </c>
      <c r="F222" s="229"/>
      <c r="G222" s="229"/>
      <c r="H222" s="229"/>
      <c r="I222" s="72" t="s">
        <v>43</v>
      </c>
      <c r="J222" s="185">
        <v>45824</v>
      </c>
      <c r="K222" s="205"/>
      <c r="L222" s="7"/>
    </row>
    <row r="223" spans="1:12">
      <c r="A223" s="93">
        <v>45818</v>
      </c>
      <c r="B223" s="7" t="s">
        <v>100</v>
      </c>
      <c r="C223" s="175">
        <v>984500</v>
      </c>
      <c r="D223" s="175">
        <v>895000</v>
      </c>
      <c r="E223" s="175">
        <v>89500</v>
      </c>
      <c r="F223" s="229"/>
      <c r="G223" s="229"/>
      <c r="H223" s="229"/>
      <c r="I223" s="72" t="s">
        <v>3</v>
      </c>
      <c r="J223" s="185">
        <v>45838</v>
      </c>
      <c r="K223" s="205"/>
      <c r="L223" s="7"/>
    </row>
    <row r="224" spans="1:12">
      <c r="A224" s="93">
        <v>45823</v>
      </c>
      <c r="B224" s="7" t="s">
        <v>71</v>
      </c>
      <c r="C224" s="175">
        <v>280500</v>
      </c>
      <c r="D224" s="175">
        <v>255000</v>
      </c>
      <c r="E224" s="175">
        <v>25500</v>
      </c>
      <c r="F224" s="229"/>
      <c r="G224" s="229"/>
      <c r="H224" s="229"/>
      <c r="I224" s="72" t="s">
        <v>72</v>
      </c>
      <c r="J224" s="191">
        <v>45853</v>
      </c>
      <c r="K224" s="205"/>
      <c r="L224" s="7"/>
    </row>
    <row r="225" spans="1:12">
      <c r="A225" s="93">
        <v>45823</v>
      </c>
      <c r="B225" s="21" t="s">
        <v>18</v>
      </c>
      <c r="C225" s="175">
        <v>3388000</v>
      </c>
      <c r="D225" s="175">
        <v>3080000</v>
      </c>
      <c r="E225" s="175">
        <v>308000</v>
      </c>
      <c r="F225" s="229"/>
      <c r="G225" s="229"/>
      <c r="H225" s="229"/>
      <c r="I225" s="63" t="s">
        <v>82</v>
      </c>
      <c r="J225" s="186">
        <v>45831</v>
      </c>
      <c r="K225" s="206"/>
      <c r="L225" s="7"/>
    </row>
    <row r="226" spans="1:12">
      <c r="A226" s="93">
        <v>45823</v>
      </c>
      <c r="B226" s="21" t="s">
        <v>75</v>
      </c>
      <c r="C226" s="175">
        <v>9886800</v>
      </c>
      <c r="D226" s="175">
        <v>8988000</v>
      </c>
      <c r="E226" s="175">
        <v>898800</v>
      </c>
      <c r="F226" s="229"/>
      <c r="G226" s="229"/>
      <c r="H226" s="229"/>
      <c r="I226" s="63" t="s">
        <v>40</v>
      </c>
      <c r="J226" s="186">
        <v>45828</v>
      </c>
      <c r="K226" s="206"/>
      <c r="L226" s="7"/>
    </row>
    <row r="227" spans="1:12">
      <c r="A227" s="93">
        <v>45823</v>
      </c>
      <c r="B227" s="21" t="s">
        <v>75</v>
      </c>
      <c r="C227" s="175">
        <v>19075100</v>
      </c>
      <c r="D227" s="175">
        <v>17341000</v>
      </c>
      <c r="E227" s="175">
        <v>1734100</v>
      </c>
      <c r="F227" s="229"/>
      <c r="G227" s="229"/>
      <c r="H227" s="229"/>
      <c r="I227" s="63" t="s">
        <v>42</v>
      </c>
      <c r="J227" s="186">
        <v>45828</v>
      </c>
      <c r="K227" s="206"/>
      <c r="L227" s="7"/>
    </row>
    <row r="228" spans="1:12">
      <c r="A228" s="93">
        <v>45828</v>
      </c>
      <c r="B228" s="7" t="s">
        <v>18</v>
      </c>
      <c r="C228" s="175">
        <v>12100000</v>
      </c>
      <c r="D228" s="175">
        <v>11000000</v>
      </c>
      <c r="E228" s="175">
        <v>1100000</v>
      </c>
      <c r="F228" s="229"/>
      <c r="G228" s="229"/>
      <c r="H228" s="229"/>
      <c r="I228" s="72" t="s">
        <v>43</v>
      </c>
      <c r="J228" s="185">
        <v>45835</v>
      </c>
      <c r="K228" s="205"/>
      <c r="L228" s="7"/>
    </row>
    <row r="229" spans="1:12">
      <c r="A229" s="93">
        <v>45830</v>
      </c>
      <c r="B229" s="7" t="s">
        <v>18</v>
      </c>
      <c r="C229" s="175">
        <v>3630000</v>
      </c>
      <c r="D229" s="175">
        <v>3300000</v>
      </c>
      <c r="E229" s="175">
        <v>330000</v>
      </c>
      <c r="F229" s="229"/>
      <c r="G229" s="229"/>
      <c r="H229" s="229"/>
      <c r="I229" s="72" t="s">
        <v>82</v>
      </c>
      <c r="J229" s="185">
        <v>45840</v>
      </c>
      <c r="K229" s="205"/>
      <c r="L229" s="7"/>
    </row>
    <row r="230" spans="1:12">
      <c r="A230" s="93">
        <v>45832</v>
      </c>
      <c r="B230" s="7" t="s">
        <v>176</v>
      </c>
      <c r="C230" s="175"/>
      <c r="D230" s="175"/>
      <c r="E230" s="175"/>
      <c r="F230" s="229">
        <v>594000</v>
      </c>
      <c r="G230" s="229">
        <v>540000</v>
      </c>
      <c r="H230" s="229">
        <v>54000</v>
      </c>
      <c r="I230" s="72" t="s">
        <v>243</v>
      </c>
      <c r="J230" s="185"/>
      <c r="K230" s="205"/>
      <c r="L230" s="7"/>
    </row>
    <row r="231" spans="1:12">
      <c r="A231" s="93">
        <v>45833</v>
      </c>
      <c r="B231" s="14" t="s">
        <v>185</v>
      </c>
      <c r="C231" s="175"/>
      <c r="D231" s="175"/>
      <c r="E231" s="175"/>
      <c r="F231" s="229">
        <v>111000</v>
      </c>
      <c r="G231" s="229">
        <v>100909</v>
      </c>
      <c r="H231" s="229">
        <v>10091</v>
      </c>
      <c r="I231" s="73" t="s">
        <v>244</v>
      </c>
      <c r="J231" s="185"/>
      <c r="K231" s="207"/>
      <c r="L231" s="7"/>
    </row>
    <row r="232" spans="1:12">
      <c r="A232" s="93">
        <v>45833</v>
      </c>
      <c r="B232" s="7" t="s">
        <v>39</v>
      </c>
      <c r="C232" s="175"/>
      <c r="D232" s="175"/>
      <c r="E232" s="175"/>
      <c r="F232" s="229">
        <v>220000</v>
      </c>
      <c r="G232" s="229">
        <v>200000</v>
      </c>
      <c r="H232" s="229">
        <v>20000</v>
      </c>
      <c r="I232" s="72" t="s">
        <v>56</v>
      </c>
      <c r="J232" s="185"/>
      <c r="K232" s="205"/>
      <c r="L232" s="7"/>
    </row>
    <row r="233" spans="1:12">
      <c r="A233" s="93">
        <v>45838</v>
      </c>
      <c r="B233" s="7" t="s">
        <v>0</v>
      </c>
      <c r="C233" s="175">
        <v>18185354</v>
      </c>
      <c r="D233" s="175">
        <v>16532140</v>
      </c>
      <c r="E233" s="175">
        <v>1653214</v>
      </c>
      <c r="F233" s="229"/>
      <c r="G233" s="229"/>
      <c r="H233" s="229"/>
      <c r="I233" s="72" t="s">
        <v>42</v>
      </c>
      <c r="J233" s="185">
        <v>45848</v>
      </c>
      <c r="K233" s="205"/>
      <c r="L233" s="7"/>
    </row>
    <row r="234" spans="1:12">
      <c r="A234" s="93">
        <v>45838</v>
      </c>
      <c r="B234" s="21" t="s">
        <v>0</v>
      </c>
      <c r="C234" s="175">
        <v>3856600</v>
      </c>
      <c r="D234" s="175">
        <v>3506000</v>
      </c>
      <c r="E234" s="175">
        <v>350600</v>
      </c>
      <c r="F234" s="229"/>
      <c r="G234" s="229"/>
      <c r="H234" s="229"/>
      <c r="I234" s="63" t="s">
        <v>52</v>
      </c>
      <c r="J234" s="186">
        <v>45848</v>
      </c>
      <c r="K234" s="206"/>
      <c r="L234" s="7"/>
    </row>
    <row r="235" spans="1:12">
      <c r="A235" s="93">
        <v>45838</v>
      </c>
      <c r="B235" s="21" t="s">
        <v>0</v>
      </c>
      <c r="C235" s="175">
        <v>1988800</v>
      </c>
      <c r="D235" s="175">
        <v>1808000</v>
      </c>
      <c r="E235" s="175">
        <v>180800</v>
      </c>
      <c r="F235" s="229"/>
      <c r="G235" s="229"/>
      <c r="H235" s="229"/>
      <c r="I235" s="63" t="s">
        <v>51</v>
      </c>
      <c r="J235" s="186">
        <v>45848</v>
      </c>
      <c r="K235" s="206"/>
      <c r="L235" s="7"/>
    </row>
    <row r="236" spans="1:12">
      <c r="A236" s="93">
        <v>45838</v>
      </c>
      <c r="B236" s="21" t="s">
        <v>0</v>
      </c>
      <c r="C236" s="175">
        <v>1529000</v>
      </c>
      <c r="D236" s="175">
        <v>1390000</v>
      </c>
      <c r="E236" s="175">
        <v>139000</v>
      </c>
      <c r="F236" s="229"/>
      <c r="G236" s="229"/>
      <c r="H236" s="229"/>
      <c r="I236" s="63" t="s">
        <v>50</v>
      </c>
      <c r="J236" s="186">
        <v>45848</v>
      </c>
      <c r="K236" s="206"/>
      <c r="L236" s="7"/>
    </row>
    <row r="237" spans="1:12">
      <c r="A237" s="93">
        <v>45838</v>
      </c>
      <c r="B237" s="21" t="s">
        <v>0</v>
      </c>
      <c r="C237" s="175">
        <v>134200</v>
      </c>
      <c r="D237" s="175">
        <v>122000</v>
      </c>
      <c r="E237" s="175">
        <v>12200</v>
      </c>
      <c r="F237" s="229"/>
      <c r="G237" s="229"/>
      <c r="H237" s="229"/>
      <c r="I237" s="63" t="s">
        <v>68</v>
      </c>
      <c r="J237" s="186">
        <v>45848</v>
      </c>
      <c r="K237" s="206"/>
      <c r="L237" s="7"/>
    </row>
    <row r="238" spans="1:12">
      <c r="A238" s="93">
        <v>45838</v>
      </c>
      <c r="B238" s="21" t="s">
        <v>0</v>
      </c>
      <c r="C238" s="175">
        <v>8826400</v>
      </c>
      <c r="D238" s="175">
        <v>8024000</v>
      </c>
      <c r="E238" s="175">
        <v>802400</v>
      </c>
      <c r="F238" s="229"/>
      <c r="G238" s="229"/>
      <c r="H238" s="229"/>
      <c r="I238" s="63" t="s">
        <v>40</v>
      </c>
      <c r="J238" s="186">
        <v>45848</v>
      </c>
      <c r="K238" s="206"/>
      <c r="L238" s="7"/>
    </row>
    <row r="239" spans="1:12">
      <c r="A239" s="93">
        <v>45838</v>
      </c>
      <c r="B239" s="21" t="s">
        <v>18</v>
      </c>
      <c r="C239" s="175">
        <v>9483100</v>
      </c>
      <c r="D239" s="175">
        <v>8621000</v>
      </c>
      <c r="E239" s="175">
        <v>862100</v>
      </c>
      <c r="F239" s="229"/>
      <c r="G239" s="229"/>
      <c r="H239" s="229"/>
      <c r="I239" s="63" t="s">
        <v>65</v>
      </c>
      <c r="J239" s="186">
        <v>45856</v>
      </c>
      <c r="K239" s="206"/>
      <c r="L239" s="7"/>
    </row>
    <row r="240" spans="1:12">
      <c r="A240" s="93">
        <v>45838</v>
      </c>
      <c r="B240" s="7" t="s">
        <v>18</v>
      </c>
      <c r="C240" s="175">
        <v>2887500</v>
      </c>
      <c r="D240" s="175">
        <v>2625000</v>
      </c>
      <c r="E240" s="175">
        <v>262500</v>
      </c>
      <c r="F240" s="229"/>
      <c r="G240" s="229"/>
      <c r="H240" s="229"/>
      <c r="I240" s="72" t="s">
        <v>128</v>
      </c>
      <c r="J240" s="185">
        <v>45856</v>
      </c>
      <c r="K240" s="205"/>
      <c r="L240" s="7"/>
    </row>
    <row r="241" spans="1:12">
      <c r="A241" s="93">
        <v>45838</v>
      </c>
      <c r="B241" s="7" t="s">
        <v>18</v>
      </c>
      <c r="C241" s="175">
        <v>3817000</v>
      </c>
      <c r="D241" s="175">
        <v>3470000</v>
      </c>
      <c r="E241" s="175">
        <v>347000</v>
      </c>
      <c r="F241" s="229"/>
      <c r="G241" s="229"/>
      <c r="H241" s="229"/>
      <c r="I241" s="72" t="s">
        <v>82</v>
      </c>
      <c r="J241" s="185">
        <v>45843</v>
      </c>
      <c r="K241" s="205"/>
      <c r="L241" s="7"/>
    </row>
    <row r="242" spans="1:12">
      <c r="A242" s="93">
        <v>45838</v>
      </c>
      <c r="B242" s="7" t="s">
        <v>18</v>
      </c>
      <c r="C242" s="175">
        <v>577500</v>
      </c>
      <c r="D242" s="175">
        <v>525000</v>
      </c>
      <c r="E242" s="175">
        <v>52500</v>
      </c>
      <c r="F242" s="229"/>
      <c r="G242" s="229"/>
      <c r="H242" s="229"/>
      <c r="I242" s="72" t="s">
        <v>73</v>
      </c>
      <c r="J242" s="185">
        <v>45856</v>
      </c>
      <c r="K242" s="205"/>
      <c r="L242" s="7"/>
    </row>
    <row r="243" spans="1:12">
      <c r="A243" s="93">
        <v>45838</v>
      </c>
      <c r="B243" s="21" t="s">
        <v>37</v>
      </c>
      <c r="C243" s="175">
        <v>16772800</v>
      </c>
      <c r="D243" s="175">
        <v>15248000</v>
      </c>
      <c r="E243" s="175">
        <v>1524800</v>
      </c>
      <c r="F243" s="229"/>
      <c r="G243" s="229"/>
      <c r="H243" s="229"/>
      <c r="I243" s="63" t="s">
        <v>54</v>
      </c>
      <c r="J243" s="186">
        <v>45848</v>
      </c>
      <c r="K243" s="206"/>
      <c r="L243" s="7"/>
    </row>
    <row r="244" spans="1:12">
      <c r="A244" s="93">
        <v>45838</v>
      </c>
      <c r="B244" s="7" t="s">
        <v>37</v>
      </c>
      <c r="C244" s="175">
        <v>475200</v>
      </c>
      <c r="D244" s="175">
        <v>432000</v>
      </c>
      <c r="E244" s="175">
        <v>43200</v>
      </c>
      <c r="F244" s="229"/>
      <c r="G244" s="229"/>
      <c r="H244" s="229"/>
      <c r="I244" s="72" t="s">
        <v>59</v>
      </c>
      <c r="J244" s="185">
        <v>45848</v>
      </c>
      <c r="K244" s="205"/>
      <c r="L244" s="7"/>
    </row>
    <row r="245" spans="1:12">
      <c r="A245" s="93">
        <v>45838</v>
      </c>
      <c r="B245" s="21" t="s">
        <v>60</v>
      </c>
      <c r="C245" s="175">
        <v>1100000</v>
      </c>
      <c r="D245" s="175">
        <v>1000000</v>
      </c>
      <c r="E245" s="175">
        <v>100000</v>
      </c>
      <c r="F245" s="229"/>
      <c r="G245" s="229"/>
      <c r="H245" s="229"/>
      <c r="I245" s="63" t="s">
        <v>44</v>
      </c>
      <c r="J245" s="186">
        <v>45841</v>
      </c>
      <c r="K245" s="206"/>
      <c r="L245" s="7"/>
    </row>
    <row r="246" spans="1:12">
      <c r="A246" s="93">
        <v>45838</v>
      </c>
      <c r="B246" s="7" t="s">
        <v>33</v>
      </c>
      <c r="C246" s="175">
        <v>2095500</v>
      </c>
      <c r="D246" s="175">
        <v>1905000</v>
      </c>
      <c r="E246" s="175">
        <v>190500</v>
      </c>
      <c r="F246" s="229"/>
      <c r="G246" s="229"/>
      <c r="H246" s="229"/>
      <c r="I246" s="72" t="s">
        <v>53</v>
      </c>
      <c r="J246" s="185">
        <v>45848</v>
      </c>
      <c r="K246" s="205"/>
      <c r="L246" s="7"/>
    </row>
    <row r="247" spans="1:12">
      <c r="A247" s="93">
        <v>45838</v>
      </c>
      <c r="B247" s="7" t="s">
        <v>33</v>
      </c>
      <c r="C247" s="175">
        <v>11825000</v>
      </c>
      <c r="D247" s="175">
        <v>10750000</v>
      </c>
      <c r="E247" s="175">
        <v>1075000</v>
      </c>
      <c r="F247" s="229"/>
      <c r="G247" s="229"/>
      <c r="H247" s="229"/>
      <c r="I247" s="72" t="s">
        <v>126</v>
      </c>
      <c r="J247" s="185">
        <v>45848</v>
      </c>
      <c r="K247" s="205"/>
      <c r="L247" s="7"/>
    </row>
    <row r="248" spans="1:12">
      <c r="A248" s="93">
        <v>45838</v>
      </c>
      <c r="B248" s="7" t="s">
        <v>33</v>
      </c>
      <c r="C248" s="175">
        <v>6321700</v>
      </c>
      <c r="D248" s="175">
        <v>5747000</v>
      </c>
      <c r="E248" s="175">
        <v>574700</v>
      </c>
      <c r="F248" s="229"/>
      <c r="G248" s="229"/>
      <c r="H248" s="229"/>
      <c r="I248" s="72" t="s">
        <v>127</v>
      </c>
      <c r="J248" s="185">
        <v>45848</v>
      </c>
      <c r="K248" s="205"/>
      <c r="L248" s="7"/>
    </row>
    <row r="249" spans="1:12">
      <c r="A249" s="93">
        <v>45838</v>
      </c>
      <c r="B249" s="21" t="s">
        <v>63</v>
      </c>
      <c r="C249" s="175">
        <v>4342800</v>
      </c>
      <c r="D249" s="175">
        <v>3948000</v>
      </c>
      <c r="E249" s="175">
        <v>394800</v>
      </c>
      <c r="F249" s="229"/>
      <c r="G249" s="229"/>
      <c r="H249" s="229"/>
      <c r="I249" s="63" t="s">
        <v>41</v>
      </c>
      <c r="J249" s="186">
        <v>45853</v>
      </c>
      <c r="K249" s="206"/>
      <c r="L249" s="7"/>
    </row>
    <row r="250" spans="1:12">
      <c r="A250" s="93">
        <v>45838</v>
      </c>
      <c r="B250" s="21" t="s">
        <v>63</v>
      </c>
      <c r="C250" s="175">
        <v>2337500</v>
      </c>
      <c r="D250" s="175">
        <v>2125000</v>
      </c>
      <c r="E250" s="175">
        <v>212500</v>
      </c>
      <c r="F250" s="229"/>
      <c r="G250" s="229"/>
      <c r="H250" s="229"/>
      <c r="I250" s="63" t="s">
        <v>125</v>
      </c>
      <c r="J250" s="186">
        <v>45853</v>
      </c>
      <c r="K250" s="206"/>
      <c r="L250" s="7"/>
    </row>
    <row r="251" spans="1:12">
      <c r="A251" s="93">
        <v>45838</v>
      </c>
      <c r="B251" s="21" t="s">
        <v>99</v>
      </c>
      <c r="C251" s="175">
        <v>3557400</v>
      </c>
      <c r="D251" s="175">
        <v>3234000</v>
      </c>
      <c r="E251" s="175">
        <v>323400</v>
      </c>
      <c r="F251" s="229"/>
      <c r="G251" s="229"/>
      <c r="H251" s="229"/>
      <c r="I251" s="63" t="s">
        <v>74</v>
      </c>
      <c r="J251" s="186">
        <v>45848</v>
      </c>
      <c r="K251" s="206"/>
      <c r="L251" s="7"/>
    </row>
    <row r="252" spans="1:12">
      <c r="A252" s="93">
        <v>45838</v>
      </c>
      <c r="B252" s="7" t="s">
        <v>34</v>
      </c>
      <c r="C252" s="175">
        <v>5907000</v>
      </c>
      <c r="D252" s="175">
        <v>5370000</v>
      </c>
      <c r="E252" s="175">
        <v>537000</v>
      </c>
      <c r="F252" s="229"/>
      <c r="G252" s="229"/>
      <c r="H252" s="229"/>
      <c r="I252" s="72" t="s">
        <v>55</v>
      </c>
      <c r="J252" s="185">
        <v>45848</v>
      </c>
      <c r="K252" s="205"/>
      <c r="L252" s="7"/>
    </row>
    <row r="253" spans="1:12">
      <c r="A253" s="93">
        <v>45838</v>
      </c>
      <c r="B253" s="21" t="s">
        <v>24</v>
      </c>
      <c r="C253" s="175">
        <v>5684800</v>
      </c>
      <c r="D253" s="175">
        <v>5168000</v>
      </c>
      <c r="E253" s="175">
        <v>516800</v>
      </c>
      <c r="F253" s="229"/>
      <c r="G253" s="229"/>
      <c r="H253" s="229"/>
      <c r="I253" s="63" t="s">
        <v>47</v>
      </c>
      <c r="J253" s="186">
        <v>45853</v>
      </c>
      <c r="K253" s="206"/>
      <c r="L253" s="7"/>
    </row>
    <row r="254" spans="1:12">
      <c r="A254" s="93">
        <v>45838</v>
      </c>
      <c r="B254" s="21" t="s">
        <v>61</v>
      </c>
      <c r="C254" s="175">
        <v>1052700</v>
      </c>
      <c r="D254" s="175">
        <v>957000</v>
      </c>
      <c r="E254" s="175">
        <v>95700</v>
      </c>
      <c r="F254" s="229"/>
      <c r="G254" s="229"/>
      <c r="H254" s="229"/>
      <c r="I254" s="63" t="s">
        <v>62</v>
      </c>
      <c r="J254" s="186">
        <v>45848</v>
      </c>
      <c r="K254" s="206"/>
      <c r="L254" s="7"/>
    </row>
    <row r="255" spans="1:12">
      <c r="A255" s="93">
        <v>45838</v>
      </c>
      <c r="B255" s="21" t="s">
        <v>10</v>
      </c>
      <c r="C255" s="175">
        <v>2046000</v>
      </c>
      <c r="D255" s="175">
        <v>1860000</v>
      </c>
      <c r="E255" s="175">
        <v>186000</v>
      </c>
      <c r="F255" s="229"/>
      <c r="G255" s="229"/>
      <c r="H255" s="229"/>
      <c r="I255" s="63" t="s">
        <v>3</v>
      </c>
      <c r="J255" s="186">
        <v>45860</v>
      </c>
      <c r="K255" s="206"/>
      <c r="L255" s="7"/>
    </row>
    <row r="256" spans="1:12">
      <c r="A256" s="93">
        <v>45838</v>
      </c>
      <c r="B256" s="7" t="s">
        <v>7</v>
      </c>
      <c r="C256" s="175">
        <v>198000</v>
      </c>
      <c r="D256" s="175">
        <v>180000</v>
      </c>
      <c r="E256" s="175">
        <v>18000</v>
      </c>
      <c r="F256" s="229"/>
      <c r="G256" s="229"/>
      <c r="H256" s="229"/>
      <c r="I256" s="72" t="s">
        <v>3</v>
      </c>
      <c r="J256" s="185">
        <v>45842</v>
      </c>
      <c r="K256" s="205"/>
      <c r="L256" s="7"/>
    </row>
    <row r="257" spans="1:12">
      <c r="A257" s="93">
        <v>45838</v>
      </c>
      <c r="B257" s="7" t="s">
        <v>22</v>
      </c>
      <c r="C257" s="175">
        <v>1298000</v>
      </c>
      <c r="D257" s="175">
        <v>1180000</v>
      </c>
      <c r="E257" s="175">
        <v>118000</v>
      </c>
      <c r="F257" s="229"/>
      <c r="G257" s="229"/>
      <c r="H257" s="229"/>
      <c r="I257" s="72" t="s">
        <v>3</v>
      </c>
      <c r="J257" s="185">
        <v>45847</v>
      </c>
      <c r="K257" s="205"/>
      <c r="L257" s="7"/>
    </row>
    <row r="258" spans="1:12">
      <c r="A258" s="93">
        <v>45838</v>
      </c>
      <c r="B258" s="21" t="s">
        <v>25</v>
      </c>
      <c r="C258" s="175">
        <v>3256000</v>
      </c>
      <c r="D258" s="175">
        <v>2960000</v>
      </c>
      <c r="E258" s="175">
        <v>296000</v>
      </c>
      <c r="F258" s="229"/>
      <c r="G258" s="229"/>
      <c r="H258" s="229"/>
      <c r="I258" s="63" t="s">
        <v>3</v>
      </c>
      <c r="J258" s="186">
        <v>45841</v>
      </c>
      <c r="K258" s="206"/>
      <c r="L258" s="7"/>
    </row>
    <row r="259" spans="1:12">
      <c r="A259" s="93">
        <v>45838</v>
      </c>
      <c r="B259" s="21" t="s">
        <v>8</v>
      </c>
      <c r="C259" s="175">
        <v>2321000</v>
      </c>
      <c r="D259" s="175">
        <v>2110000</v>
      </c>
      <c r="E259" s="175">
        <v>211000</v>
      </c>
      <c r="F259" s="229"/>
      <c r="G259" s="229"/>
      <c r="H259" s="229"/>
      <c r="I259" s="63" t="s">
        <v>3</v>
      </c>
      <c r="J259" s="186">
        <v>45853</v>
      </c>
      <c r="K259" s="206"/>
      <c r="L259" s="7"/>
    </row>
    <row r="260" spans="1:12">
      <c r="A260" s="93">
        <v>45838</v>
      </c>
      <c r="B260" s="21" t="s">
        <v>184</v>
      </c>
      <c r="C260" s="175"/>
      <c r="D260" s="175"/>
      <c r="E260" s="175"/>
      <c r="F260" s="229">
        <v>135810</v>
      </c>
      <c r="G260" s="229">
        <v>123464</v>
      </c>
      <c r="H260" s="229">
        <v>12346</v>
      </c>
      <c r="I260" s="63" t="s">
        <v>245</v>
      </c>
      <c r="J260" s="186"/>
      <c r="K260" s="206"/>
      <c r="L260" s="7"/>
    </row>
    <row r="261" spans="1:12">
      <c r="A261" s="93">
        <v>45839</v>
      </c>
      <c r="B261" s="21" t="s">
        <v>18</v>
      </c>
      <c r="C261" s="175">
        <v>15537500</v>
      </c>
      <c r="D261" s="175">
        <v>14125000</v>
      </c>
      <c r="E261" s="175">
        <v>1412500</v>
      </c>
      <c r="F261" s="229"/>
      <c r="G261" s="229"/>
      <c r="H261" s="229"/>
      <c r="I261" s="63" t="s">
        <v>43</v>
      </c>
      <c r="J261" s="186">
        <v>45843</v>
      </c>
      <c r="K261" s="206"/>
      <c r="L261" s="7"/>
    </row>
    <row r="262" spans="1:12">
      <c r="A262" s="93">
        <v>45844</v>
      </c>
      <c r="B262" s="21" t="s">
        <v>18</v>
      </c>
      <c r="C262" s="175">
        <v>4158000</v>
      </c>
      <c r="D262" s="175">
        <v>3780000</v>
      </c>
      <c r="E262" s="175">
        <v>378000</v>
      </c>
      <c r="F262" s="229"/>
      <c r="G262" s="229"/>
      <c r="H262" s="229"/>
      <c r="I262" s="63" t="s">
        <v>82</v>
      </c>
      <c r="J262" s="186">
        <v>45856</v>
      </c>
      <c r="K262" s="206"/>
      <c r="L262" s="7"/>
    </row>
    <row r="263" spans="1:12">
      <c r="A263" s="93">
        <v>45845</v>
      </c>
      <c r="B263" s="21" t="s">
        <v>18</v>
      </c>
      <c r="C263" s="175">
        <v>18181548</v>
      </c>
      <c r="D263" s="175">
        <v>16528680</v>
      </c>
      <c r="E263" s="175">
        <v>1652868</v>
      </c>
      <c r="F263" s="229"/>
      <c r="G263" s="229"/>
      <c r="H263" s="229"/>
      <c r="I263" s="63" t="s">
        <v>131</v>
      </c>
      <c r="J263" s="186">
        <v>45859</v>
      </c>
      <c r="K263" s="206"/>
      <c r="L263" s="7"/>
    </row>
    <row r="264" spans="1:12">
      <c r="A264" s="93">
        <v>45848</v>
      </c>
      <c r="B264" s="21" t="s">
        <v>18</v>
      </c>
      <c r="C264" s="175">
        <v>11624250</v>
      </c>
      <c r="D264" s="175">
        <v>10567500</v>
      </c>
      <c r="E264" s="175">
        <v>1056750</v>
      </c>
      <c r="F264" s="229"/>
      <c r="G264" s="229"/>
      <c r="H264" s="229"/>
      <c r="I264" s="63" t="s">
        <v>43</v>
      </c>
      <c r="J264" s="186">
        <v>45854</v>
      </c>
      <c r="K264" s="206"/>
      <c r="L264" s="7"/>
    </row>
    <row r="265" spans="1:12">
      <c r="A265" s="93">
        <v>45848</v>
      </c>
      <c r="B265" s="21" t="s">
        <v>18</v>
      </c>
      <c r="C265" s="175">
        <v>42715277</v>
      </c>
      <c r="D265" s="175">
        <v>38832070</v>
      </c>
      <c r="E265" s="175">
        <v>3883207</v>
      </c>
      <c r="F265" s="229"/>
      <c r="G265" s="229"/>
      <c r="H265" s="229"/>
      <c r="I265" s="63" t="s">
        <v>79</v>
      </c>
      <c r="J265" s="186">
        <v>45854</v>
      </c>
      <c r="K265" s="206"/>
      <c r="L265" s="7"/>
    </row>
    <row r="266" spans="1:12">
      <c r="A266" s="93">
        <v>45851</v>
      </c>
      <c r="B266" s="7" t="s">
        <v>18</v>
      </c>
      <c r="C266" s="175">
        <v>3025000</v>
      </c>
      <c r="D266" s="175">
        <v>2750000</v>
      </c>
      <c r="E266" s="175">
        <v>275000</v>
      </c>
      <c r="F266" s="229"/>
      <c r="G266" s="229"/>
      <c r="H266" s="229"/>
      <c r="I266" s="72" t="s">
        <v>82</v>
      </c>
      <c r="J266" s="185">
        <v>45863</v>
      </c>
      <c r="K266" s="205"/>
      <c r="L266" s="7"/>
    </row>
    <row r="267" spans="1:12">
      <c r="A267" s="93">
        <v>45851</v>
      </c>
      <c r="B267" s="7" t="s">
        <v>18</v>
      </c>
      <c r="C267" s="175">
        <v>15691478</v>
      </c>
      <c r="D267" s="175">
        <v>14264980</v>
      </c>
      <c r="E267" s="175">
        <v>1426498</v>
      </c>
      <c r="F267" s="229"/>
      <c r="G267" s="229"/>
      <c r="H267" s="229"/>
      <c r="I267" s="72" t="s">
        <v>131</v>
      </c>
      <c r="J267" s="185">
        <v>45863</v>
      </c>
      <c r="K267" s="205"/>
      <c r="L267" s="7"/>
    </row>
    <row r="268" spans="1:12">
      <c r="A268" s="93">
        <v>45852</v>
      </c>
      <c r="B268" s="21" t="s">
        <v>17</v>
      </c>
      <c r="C268" s="175">
        <v>3736150</v>
      </c>
      <c r="D268" s="175">
        <v>3396500</v>
      </c>
      <c r="E268" s="175">
        <v>339650</v>
      </c>
      <c r="F268" s="229"/>
      <c r="G268" s="229"/>
      <c r="H268" s="229"/>
      <c r="I268" s="63" t="s">
        <v>132</v>
      </c>
      <c r="J268" s="186">
        <v>45854</v>
      </c>
      <c r="K268" s="206"/>
      <c r="L268" s="7"/>
    </row>
    <row r="269" spans="1:12">
      <c r="A269" s="93">
        <v>45853</v>
      </c>
      <c r="B269" s="7" t="s">
        <v>75</v>
      </c>
      <c r="C269" s="175">
        <v>17942100</v>
      </c>
      <c r="D269" s="175">
        <v>16311000</v>
      </c>
      <c r="E269" s="175">
        <v>1631100</v>
      </c>
      <c r="F269" s="229"/>
      <c r="G269" s="229"/>
      <c r="H269" s="229"/>
      <c r="I269" s="72" t="s">
        <v>42</v>
      </c>
      <c r="J269" s="185">
        <v>45856</v>
      </c>
      <c r="K269" s="205"/>
      <c r="L269" s="7"/>
    </row>
    <row r="270" spans="1:12">
      <c r="A270" s="93">
        <v>45853</v>
      </c>
      <c r="B270" s="7" t="s">
        <v>75</v>
      </c>
      <c r="C270" s="175">
        <v>7722000</v>
      </c>
      <c r="D270" s="175">
        <v>7020000</v>
      </c>
      <c r="E270" s="175">
        <v>702000</v>
      </c>
      <c r="F270" s="229"/>
      <c r="G270" s="229"/>
      <c r="H270" s="229"/>
      <c r="I270" s="72" t="s">
        <v>40</v>
      </c>
      <c r="J270" s="185">
        <v>45863</v>
      </c>
      <c r="K270" s="205"/>
      <c r="L270" s="7"/>
    </row>
    <row r="271" spans="1:12">
      <c r="A271" s="93">
        <v>45854</v>
      </c>
      <c r="B271" s="7" t="s">
        <v>176</v>
      </c>
      <c r="C271" s="175"/>
      <c r="D271" s="175"/>
      <c r="E271" s="175"/>
      <c r="F271" s="229">
        <v>594000</v>
      </c>
      <c r="G271" s="229">
        <v>540000</v>
      </c>
      <c r="H271" s="229">
        <v>54000</v>
      </c>
      <c r="I271" s="72" t="s">
        <v>246</v>
      </c>
      <c r="J271" s="185"/>
      <c r="K271" s="205"/>
      <c r="L271" s="7"/>
    </row>
    <row r="272" spans="1:12">
      <c r="A272" s="93">
        <v>45858</v>
      </c>
      <c r="B272" s="7" t="s">
        <v>18</v>
      </c>
      <c r="C272" s="175">
        <v>17817250</v>
      </c>
      <c r="D272" s="175">
        <v>16197500</v>
      </c>
      <c r="E272" s="175">
        <v>1619750</v>
      </c>
      <c r="F272" s="229"/>
      <c r="G272" s="229"/>
      <c r="H272" s="229"/>
      <c r="I272" s="72" t="s">
        <v>43</v>
      </c>
      <c r="J272" s="185">
        <v>45863</v>
      </c>
      <c r="K272" s="205"/>
      <c r="L272" s="7"/>
    </row>
    <row r="273" spans="1:12">
      <c r="A273" s="93">
        <v>45858</v>
      </c>
      <c r="B273" s="7" t="s">
        <v>18</v>
      </c>
      <c r="C273" s="175">
        <v>58290826</v>
      </c>
      <c r="D273" s="175">
        <v>52991660</v>
      </c>
      <c r="E273" s="175">
        <v>5299166</v>
      </c>
      <c r="F273" s="229"/>
      <c r="G273" s="229"/>
      <c r="H273" s="229"/>
      <c r="I273" s="72" t="s">
        <v>79</v>
      </c>
      <c r="J273" s="185">
        <v>45863</v>
      </c>
      <c r="K273" s="205"/>
      <c r="L273" s="7"/>
    </row>
    <row r="274" spans="1:12">
      <c r="A274" s="93">
        <v>45858</v>
      </c>
      <c r="B274" s="21" t="s">
        <v>18</v>
      </c>
      <c r="C274" s="175">
        <v>3267000</v>
      </c>
      <c r="D274" s="175">
        <v>2970000</v>
      </c>
      <c r="E274" s="175">
        <v>297000</v>
      </c>
      <c r="F274" s="229"/>
      <c r="G274" s="229"/>
      <c r="H274" s="229"/>
      <c r="I274" s="63" t="s">
        <v>82</v>
      </c>
      <c r="J274" s="186">
        <v>45868</v>
      </c>
      <c r="K274" s="206"/>
      <c r="L274" s="7"/>
    </row>
    <row r="275" spans="1:12">
      <c r="A275" s="93">
        <v>45858</v>
      </c>
      <c r="B275" s="21" t="s">
        <v>18</v>
      </c>
      <c r="C275" s="175">
        <v>17474072</v>
      </c>
      <c r="D275" s="175">
        <v>15885520</v>
      </c>
      <c r="E275" s="175">
        <v>1588552</v>
      </c>
      <c r="F275" s="229"/>
      <c r="G275" s="229"/>
      <c r="H275" s="229"/>
      <c r="I275" s="63" t="s">
        <v>76</v>
      </c>
      <c r="J275" s="186">
        <v>45868</v>
      </c>
      <c r="K275" s="206"/>
      <c r="L275" s="7"/>
    </row>
    <row r="276" spans="1:12">
      <c r="A276" s="93">
        <v>45858</v>
      </c>
      <c r="B276" s="21" t="s">
        <v>17</v>
      </c>
      <c r="C276" s="175">
        <v>3325850</v>
      </c>
      <c r="D276" s="175">
        <v>3023500</v>
      </c>
      <c r="E276" s="175">
        <v>302350</v>
      </c>
      <c r="F276" s="229"/>
      <c r="G276" s="229"/>
      <c r="H276" s="229"/>
      <c r="I276" s="63" t="s">
        <v>133</v>
      </c>
      <c r="J276" s="186">
        <v>45862</v>
      </c>
      <c r="K276" s="206"/>
      <c r="L276" s="7"/>
    </row>
    <row r="277" spans="1:12">
      <c r="A277" s="93">
        <v>45860</v>
      </c>
      <c r="B277" s="21" t="s">
        <v>0</v>
      </c>
      <c r="C277" s="175">
        <v>13365000</v>
      </c>
      <c r="D277" s="175">
        <v>12150000</v>
      </c>
      <c r="E277" s="175">
        <v>1215000</v>
      </c>
      <c r="F277" s="229"/>
      <c r="G277" s="229"/>
      <c r="H277" s="229"/>
      <c r="I277" s="63" t="s">
        <v>134</v>
      </c>
      <c r="J277" s="186">
        <v>45863</v>
      </c>
      <c r="K277" s="206"/>
      <c r="L277" s="7"/>
    </row>
    <row r="278" spans="1:12">
      <c r="A278" s="93">
        <v>45861</v>
      </c>
      <c r="B278" s="21" t="s">
        <v>100</v>
      </c>
      <c r="C278" s="175">
        <v>880000</v>
      </c>
      <c r="D278" s="175">
        <v>800000</v>
      </c>
      <c r="E278" s="175">
        <v>80000</v>
      </c>
      <c r="F278" s="229"/>
      <c r="G278" s="229"/>
      <c r="H278" s="229"/>
      <c r="I278" s="62" t="s">
        <v>3</v>
      </c>
      <c r="J278" s="186">
        <v>45861</v>
      </c>
      <c r="K278" s="206"/>
      <c r="L278" s="7"/>
    </row>
    <row r="279" spans="1:12">
      <c r="A279" s="93">
        <v>45863</v>
      </c>
      <c r="B279" s="7" t="s">
        <v>185</v>
      </c>
      <c r="C279" s="175"/>
      <c r="D279" s="175"/>
      <c r="E279" s="175"/>
      <c r="F279" s="229">
        <v>305134</v>
      </c>
      <c r="G279" s="229">
        <v>277396</v>
      </c>
      <c r="H279" s="229">
        <v>27738</v>
      </c>
      <c r="I279" s="72" t="s">
        <v>244</v>
      </c>
      <c r="J279" s="185"/>
      <c r="K279" s="205"/>
      <c r="L279" s="7"/>
    </row>
    <row r="280" spans="1:12">
      <c r="A280" s="93">
        <v>45863</v>
      </c>
      <c r="B280" s="7" t="s">
        <v>39</v>
      </c>
      <c r="C280" s="175"/>
      <c r="D280" s="175"/>
      <c r="E280" s="175"/>
      <c r="F280" s="229">
        <v>220000</v>
      </c>
      <c r="G280" s="229">
        <v>200000</v>
      </c>
      <c r="H280" s="229">
        <v>20000</v>
      </c>
      <c r="I280" s="72" t="s">
        <v>56</v>
      </c>
      <c r="J280" s="185"/>
      <c r="K280" s="205"/>
      <c r="L280" s="7"/>
    </row>
    <row r="281" spans="1:12">
      <c r="A281" s="93">
        <v>45865</v>
      </c>
      <c r="B281" s="7" t="s">
        <v>0</v>
      </c>
      <c r="C281" s="175">
        <v>8910000</v>
      </c>
      <c r="D281" s="175">
        <v>8100000</v>
      </c>
      <c r="E281" s="175">
        <v>810000</v>
      </c>
      <c r="F281" s="229"/>
      <c r="G281" s="229"/>
      <c r="H281" s="229"/>
      <c r="I281" s="72" t="s">
        <v>134</v>
      </c>
      <c r="J281" s="185">
        <v>45868</v>
      </c>
      <c r="K281" s="205"/>
      <c r="L281" s="7"/>
    </row>
    <row r="282" spans="1:12">
      <c r="A282" s="93">
        <v>45865</v>
      </c>
      <c r="B282" s="7" t="s">
        <v>18</v>
      </c>
      <c r="C282" s="175">
        <v>33778701</v>
      </c>
      <c r="D282" s="175">
        <v>30707910</v>
      </c>
      <c r="E282" s="175">
        <v>3070791</v>
      </c>
      <c r="F282" s="229"/>
      <c r="G282" s="229"/>
      <c r="H282" s="229"/>
      <c r="I282" s="72" t="s">
        <v>79</v>
      </c>
      <c r="J282" s="185">
        <v>45868</v>
      </c>
      <c r="K282" s="205"/>
      <c r="L282" s="7"/>
    </row>
    <row r="283" spans="1:12">
      <c r="A283" s="93">
        <v>45865</v>
      </c>
      <c r="B283" s="21" t="s">
        <v>18</v>
      </c>
      <c r="C283" s="175">
        <v>14682250</v>
      </c>
      <c r="D283" s="175">
        <v>13347500</v>
      </c>
      <c r="E283" s="175">
        <v>1334750</v>
      </c>
      <c r="F283" s="229"/>
      <c r="G283" s="229"/>
      <c r="H283" s="229"/>
      <c r="I283" s="63" t="s">
        <v>43</v>
      </c>
      <c r="J283" s="186">
        <v>45868</v>
      </c>
      <c r="K283" s="206"/>
      <c r="L283" s="7"/>
    </row>
    <row r="284" spans="1:12">
      <c r="A284" s="93">
        <v>45865</v>
      </c>
      <c r="B284" s="7" t="s">
        <v>18</v>
      </c>
      <c r="C284" s="175">
        <v>14760328</v>
      </c>
      <c r="D284" s="175">
        <v>13418480</v>
      </c>
      <c r="E284" s="175">
        <v>1341848</v>
      </c>
      <c r="F284" s="229"/>
      <c r="G284" s="229"/>
      <c r="H284" s="229"/>
      <c r="I284" s="72" t="s">
        <v>76</v>
      </c>
      <c r="J284" s="185">
        <v>45868</v>
      </c>
      <c r="K284" s="205"/>
      <c r="L284" s="7"/>
    </row>
    <row r="285" spans="1:12">
      <c r="A285" s="93">
        <v>45865</v>
      </c>
      <c r="B285" s="21" t="s">
        <v>18</v>
      </c>
      <c r="C285" s="175">
        <v>3509000</v>
      </c>
      <c r="D285" s="175">
        <v>3190000</v>
      </c>
      <c r="E285" s="175">
        <v>319000</v>
      </c>
      <c r="F285" s="229"/>
      <c r="G285" s="229"/>
      <c r="H285" s="229"/>
      <c r="I285" s="63" t="s">
        <v>82</v>
      </c>
      <c r="J285" s="186">
        <v>45868</v>
      </c>
      <c r="K285" s="206"/>
      <c r="L285" s="7"/>
    </row>
    <row r="286" spans="1:12">
      <c r="A286" s="93">
        <v>45865</v>
      </c>
      <c r="B286" s="7" t="s">
        <v>17</v>
      </c>
      <c r="C286" s="175">
        <v>4035900</v>
      </c>
      <c r="D286" s="175">
        <v>3669000</v>
      </c>
      <c r="E286" s="175">
        <v>366900</v>
      </c>
      <c r="F286" s="229"/>
      <c r="G286" s="229"/>
      <c r="H286" s="229"/>
      <c r="I286" s="72" t="s">
        <v>133</v>
      </c>
      <c r="J286" s="185">
        <v>45869</v>
      </c>
      <c r="K286" s="205"/>
      <c r="L286" s="7"/>
    </row>
    <row r="287" spans="1:12">
      <c r="A287" s="93">
        <v>45869</v>
      </c>
      <c r="B287" s="21" t="s">
        <v>61</v>
      </c>
      <c r="C287" s="175">
        <v>2009700</v>
      </c>
      <c r="D287" s="175">
        <v>1827000</v>
      </c>
      <c r="E287" s="175">
        <v>182700</v>
      </c>
      <c r="F287" s="229"/>
      <c r="G287" s="229"/>
      <c r="H287" s="229"/>
      <c r="I287" s="63" t="s">
        <v>62</v>
      </c>
      <c r="J287" s="186">
        <v>45877</v>
      </c>
      <c r="K287" s="206"/>
      <c r="L287" s="7"/>
    </row>
    <row r="288" spans="1:12">
      <c r="A288" s="93">
        <v>45869</v>
      </c>
      <c r="B288" s="7" t="s">
        <v>0</v>
      </c>
      <c r="C288" s="175">
        <v>5336100</v>
      </c>
      <c r="D288" s="175">
        <v>4851000</v>
      </c>
      <c r="E288" s="175">
        <v>485100</v>
      </c>
      <c r="F288" s="229"/>
      <c r="G288" s="229"/>
      <c r="H288" s="229"/>
      <c r="I288" s="72" t="s">
        <v>52</v>
      </c>
      <c r="J288" s="185">
        <v>45880</v>
      </c>
      <c r="K288" s="205"/>
      <c r="L288" s="7"/>
    </row>
    <row r="289" spans="1:12">
      <c r="A289" s="93">
        <v>45869</v>
      </c>
      <c r="B289" s="7" t="s">
        <v>0</v>
      </c>
      <c r="C289" s="175">
        <v>10854800</v>
      </c>
      <c r="D289" s="175">
        <v>9868000</v>
      </c>
      <c r="E289" s="175">
        <v>986800</v>
      </c>
      <c r="F289" s="229"/>
      <c r="G289" s="229"/>
      <c r="H289" s="229"/>
      <c r="I289" s="72" t="s">
        <v>51</v>
      </c>
      <c r="J289" s="185">
        <v>45880</v>
      </c>
      <c r="K289" s="205"/>
      <c r="L289" s="7"/>
    </row>
    <row r="290" spans="1:12">
      <c r="A290" s="93">
        <v>45869</v>
      </c>
      <c r="B290" s="21" t="s">
        <v>0</v>
      </c>
      <c r="C290" s="175">
        <v>6796900</v>
      </c>
      <c r="D290" s="175">
        <v>6179000</v>
      </c>
      <c r="E290" s="175">
        <v>617900</v>
      </c>
      <c r="F290" s="229"/>
      <c r="G290" s="229"/>
      <c r="H290" s="229"/>
      <c r="I290" s="63" t="s">
        <v>50</v>
      </c>
      <c r="J290" s="186">
        <v>45880</v>
      </c>
      <c r="K290" s="206"/>
      <c r="L290" s="7"/>
    </row>
    <row r="291" spans="1:12">
      <c r="A291" s="93">
        <v>45869</v>
      </c>
      <c r="B291" s="21" t="s">
        <v>0</v>
      </c>
      <c r="C291" s="175">
        <v>3515600</v>
      </c>
      <c r="D291" s="175">
        <v>3196000</v>
      </c>
      <c r="E291" s="175">
        <v>319600</v>
      </c>
      <c r="F291" s="229"/>
      <c r="G291" s="229"/>
      <c r="H291" s="229"/>
      <c r="I291" s="63" t="s">
        <v>135</v>
      </c>
      <c r="J291" s="186">
        <v>45880</v>
      </c>
      <c r="K291" s="206"/>
      <c r="L291" s="7"/>
    </row>
    <row r="292" spans="1:12">
      <c r="A292" s="93">
        <v>45869</v>
      </c>
      <c r="B292" s="7" t="s">
        <v>0</v>
      </c>
      <c r="C292" s="175">
        <v>9762500</v>
      </c>
      <c r="D292" s="175">
        <v>8875000</v>
      </c>
      <c r="E292" s="175">
        <v>887500</v>
      </c>
      <c r="F292" s="229"/>
      <c r="G292" s="229"/>
      <c r="H292" s="229"/>
      <c r="I292" s="72" t="s">
        <v>136</v>
      </c>
      <c r="J292" s="185">
        <v>45880</v>
      </c>
      <c r="K292" s="205"/>
      <c r="L292" s="7"/>
    </row>
    <row r="293" spans="1:12">
      <c r="A293" s="93">
        <v>45869</v>
      </c>
      <c r="B293" s="21" t="s">
        <v>0</v>
      </c>
      <c r="C293" s="175">
        <v>20491658</v>
      </c>
      <c r="D293" s="175">
        <v>18628780</v>
      </c>
      <c r="E293" s="175">
        <v>1862878</v>
      </c>
      <c r="F293" s="229"/>
      <c r="G293" s="229"/>
      <c r="H293" s="229"/>
      <c r="I293" s="63" t="s">
        <v>42</v>
      </c>
      <c r="J293" s="186">
        <v>45880</v>
      </c>
      <c r="K293" s="206"/>
      <c r="L293" s="7"/>
    </row>
    <row r="294" spans="1:12">
      <c r="A294" s="93">
        <v>45869</v>
      </c>
      <c r="B294" s="21" t="s">
        <v>0</v>
      </c>
      <c r="C294" s="175">
        <v>9532600</v>
      </c>
      <c r="D294" s="175">
        <v>8666000</v>
      </c>
      <c r="E294" s="175">
        <v>866600</v>
      </c>
      <c r="F294" s="229"/>
      <c r="G294" s="229"/>
      <c r="H294" s="229"/>
      <c r="I294" s="63" t="s">
        <v>40</v>
      </c>
      <c r="J294" s="186">
        <v>45880</v>
      </c>
      <c r="K294" s="206"/>
      <c r="L294" s="7"/>
    </row>
    <row r="295" spans="1:12">
      <c r="A295" s="93">
        <v>45869</v>
      </c>
      <c r="B295" s="21" t="s">
        <v>63</v>
      </c>
      <c r="C295" s="175">
        <v>3747700</v>
      </c>
      <c r="D295" s="175">
        <v>3407000</v>
      </c>
      <c r="E295" s="175">
        <v>340700</v>
      </c>
      <c r="F295" s="229"/>
      <c r="G295" s="229"/>
      <c r="H295" s="229"/>
      <c r="I295" s="63" t="s">
        <v>41</v>
      </c>
      <c r="J295" s="186">
        <v>45888</v>
      </c>
      <c r="K295" s="206"/>
      <c r="L295" s="7"/>
    </row>
    <row r="296" spans="1:12">
      <c r="A296" s="93">
        <v>45869</v>
      </c>
      <c r="B296" s="7" t="s">
        <v>63</v>
      </c>
      <c r="C296" s="175">
        <v>1633500</v>
      </c>
      <c r="D296" s="175">
        <v>1485000</v>
      </c>
      <c r="E296" s="175">
        <v>148500</v>
      </c>
      <c r="F296" s="229"/>
      <c r="G296" s="229"/>
      <c r="H296" s="229"/>
      <c r="I296" s="72" t="s">
        <v>125</v>
      </c>
      <c r="J296" s="185">
        <v>45887</v>
      </c>
      <c r="K296" s="205"/>
      <c r="L296" s="7"/>
    </row>
    <row r="297" spans="1:12">
      <c r="A297" s="93">
        <v>45869</v>
      </c>
      <c r="B297" s="7" t="s">
        <v>18</v>
      </c>
      <c r="C297" s="175">
        <v>2750000</v>
      </c>
      <c r="D297" s="175">
        <v>2500000</v>
      </c>
      <c r="E297" s="175">
        <v>250000</v>
      </c>
      <c r="F297" s="229"/>
      <c r="G297" s="229"/>
      <c r="H297" s="229"/>
      <c r="I297" s="72" t="s">
        <v>128</v>
      </c>
      <c r="J297" s="185">
        <v>45889</v>
      </c>
      <c r="K297" s="205"/>
      <c r="L297" s="7"/>
    </row>
    <row r="298" spans="1:12">
      <c r="A298" s="93">
        <v>45869</v>
      </c>
      <c r="B298" s="21" t="s">
        <v>18</v>
      </c>
      <c r="C298" s="175">
        <v>572000</v>
      </c>
      <c r="D298" s="175">
        <v>520000</v>
      </c>
      <c r="E298" s="175">
        <v>52000</v>
      </c>
      <c r="F298" s="229"/>
      <c r="G298" s="229"/>
      <c r="H298" s="229"/>
      <c r="I298" s="63" t="s">
        <v>137</v>
      </c>
      <c r="J298" s="186">
        <v>45889</v>
      </c>
      <c r="K298" s="206"/>
      <c r="L298" s="7"/>
    </row>
    <row r="299" spans="1:12">
      <c r="A299" s="93">
        <v>45869</v>
      </c>
      <c r="B299" s="21" t="s">
        <v>18</v>
      </c>
      <c r="C299" s="175">
        <v>550000</v>
      </c>
      <c r="D299" s="175">
        <v>500000</v>
      </c>
      <c r="E299" s="175">
        <v>50000</v>
      </c>
      <c r="F299" s="229"/>
      <c r="G299" s="229"/>
      <c r="H299" s="229"/>
      <c r="I299" s="63" t="s">
        <v>130</v>
      </c>
      <c r="J299" s="186"/>
      <c r="K299" s="206"/>
      <c r="L299" s="7"/>
    </row>
    <row r="300" spans="1:12">
      <c r="A300" s="93">
        <v>45869</v>
      </c>
      <c r="B300" s="21" t="s">
        <v>18</v>
      </c>
      <c r="C300" s="175">
        <v>137500</v>
      </c>
      <c r="D300" s="175">
        <v>125000</v>
      </c>
      <c r="E300" s="175">
        <v>12500</v>
      </c>
      <c r="F300" s="229"/>
      <c r="G300" s="229"/>
      <c r="H300" s="229"/>
      <c r="I300" s="63" t="s">
        <v>64</v>
      </c>
      <c r="J300" s="186">
        <v>45882</v>
      </c>
      <c r="K300" s="206"/>
      <c r="L300" s="7"/>
    </row>
    <row r="301" spans="1:12">
      <c r="A301" s="93">
        <v>45869</v>
      </c>
      <c r="B301" s="7" t="s">
        <v>33</v>
      </c>
      <c r="C301" s="175">
        <v>15601300</v>
      </c>
      <c r="D301" s="175">
        <v>14183000</v>
      </c>
      <c r="E301" s="175">
        <v>1418300</v>
      </c>
      <c r="F301" s="229"/>
      <c r="G301" s="229"/>
      <c r="H301" s="229"/>
      <c r="I301" s="72" t="s">
        <v>126</v>
      </c>
      <c r="J301" s="185">
        <v>45877</v>
      </c>
      <c r="K301" s="205"/>
      <c r="L301" s="7"/>
    </row>
    <row r="302" spans="1:12">
      <c r="A302" s="93">
        <v>45869</v>
      </c>
      <c r="B302" s="21" t="s">
        <v>33</v>
      </c>
      <c r="C302" s="175">
        <v>4970900</v>
      </c>
      <c r="D302" s="175">
        <v>4519000</v>
      </c>
      <c r="E302" s="175">
        <v>451900</v>
      </c>
      <c r="F302" s="229"/>
      <c r="G302" s="229"/>
      <c r="H302" s="229"/>
      <c r="I302" s="63" t="s">
        <v>127</v>
      </c>
      <c r="J302" s="186">
        <v>45877</v>
      </c>
      <c r="K302" s="206"/>
      <c r="L302" s="7"/>
    </row>
    <row r="303" spans="1:12">
      <c r="A303" s="93">
        <v>45869</v>
      </c>
      <c r="B303" s="7" t="s">
        <v>99</v>
      </c>
      <c r="C303" s="175">
        <v>3336300</v>
      </c>
      <c r="D303" s="175">
        <v>3033000</v>
      </c>
      <c r="E303" s="175">
        <v>303300</v>
      </c>
      <c r="F303" s="229"/>
      <c r="G303" s="229"/>
      <c r="H303" s="229"/>
      <c r="I303" s="72" t="s">
        <v>74</v>
      </c>
      <c r="J303" s="185">
        <v>45882</v>
      </c>
      <c r="K303" s="205"/>
      <c r="L303" s="7"/>
    </row>
    <row r="304" spans="1:12">
      <c r="A304" s="93">
        <v>45869</v>
      </c>
      <c r="B304" s="21" t="s">
        <v>60</v>
      </c>
      <c r="C304" s="175">
        <v>2095500</v>
      </c>
      <c r="D304" s="175">
        <v>1905000</v>
      </c>
      <c r="E304" s="175">
        <v>190500</v>
      </c>
      <c r="F304" s="229"/>
      <c r="G304" s="229"/>
      <c r="H304" s="229"/>
      <c r="I304" s="63" t="s">
        <v>44</v>
      </c>
      <c r="J304" s="186">
        <v>45876</v>
      </c>
      <c r="K304" s="206"/>
      <c r="L304" s="7"/>
    </row>
    <row r="305" spans="1:12">
      <c r="A305" s="93">
        <v>45869</v>
      </c>
      <c r="B305" s="21" t="s">
        <v>24</v>
      </c>
      <c r="C305" s="175">
        <v>3379200</v>
      </c>
      <c r="D305" s="175">
        <v>3072000</v>
      </c>
      <c r="E305" s="175">
        <v>307200</v>
      </c>
      <c r="F305" s="229"/>
      <c r="G305" s="229"/>
      <c r="H305" s="229"/>
      <c r="I305" s="63" t="s">
        <v>47</v>
      </c>
      <c r="J305" s="186">
        <v>45883</v>
      </c>
      <c r="K305" s="206"/>
      <c r="L305" s="7"/>
    </row>
    <row r="306" spans="1:12">
      <c r="A306" s="93">
        <v>45869</v>
      </c>
      <c r="B306" s="7" t="s">
        <v>37</v>
      </c>
      <c r="C306" s="175">
        <v>14163600</v>
      </c>
      <c r="D306" s="175">
        <v>12876000</v>
      </c>
      <c r="E306" s="175">
        <v>1287600</v>
      </c>
      <c r="F306" s="229"/>
      <c r="G306" s="229"/>
      <c r="H306" s="229"/>
      <c r="I306" s="72" t="s">
        <v>54</v>
      </c>
      <c r="J306" s="185">
        <v>45876</v>
      </c>
      <c r="K306" s="205"/>
      <c r="L306" s="7"/>
    </row>
    <row r="307" spans="1:12">
      <c r="A307" s="93">
        <v>45869</v>
      </c>
      <c r="B307" s="7" t="s">
        <v>17</v>
      </c>
      <c r="C307" s="175">
        <v>7636200</v>
      </c>
      <c r="D307" s="175">
        <v>6942000</v>
      </c>
      <c r="E307" s="175">
        <v>694200</v>
      </c>
      <c r="F307" s="229"/>
      <c r="G307" s="229"/>
      <c r="H307" s="229"/>
      <c r="I307" s="72" t="s">
        <v>65</v>
      </c>
      <c r="J307" s="185">
        <v>45883</v>
      </c>
      <c r="K307" s="205"/>
      <c r="L307" s="7"/>
    </row>
    <row r="308" spans="1:12">
      <c r="A308" s="93">
        <v>45869</v>
      </c>
      <c r="B308" s="21" t="s">
        <v>10</v>
      </c>
      <c r="C308" s="175">
        <v>4218500</v>
      </c>
      <c r="D308" s="175">
        <v>3835000</v>
      </c>
      <c r="E308" s="175">
        <v>383500</v>
      </c>
      <c r="F308" s="229"/>
      <c r="G308" s="229"/>
      <c r="H308" s="229"/>
      <c r="I308" s="63" t="s">
        <v>3</v>
      </c>
      <c r="J308" s="186">
        <v>45898</v>
      </c>
      <c r="K308" s="206"/>
      <c r="L308" s="7"/>
    </row>
    <row r="309" spans="1:12">
      <c r="A309" s="93">
        <v>45869</v>
      </c>
      <c r="B309" s="21" t="s">
        <v>104</v>
      </c>
      <c r="C309" s="175">
        <v>176000</v>
      </c>
      <c r="D309" s="175">
        <v>160000</v>
      </c>
      <c r="E309" s="175">
        <v>16000</v>
      </c>
      <c r="F309" s="229"/>
      <c r="G309" s="229"/>
      <c r="H309" s="229"/>
      <c r="I309" s="63" t="s">
        <v>3</v>
      </c>
      <c r="J309" s="186">
        <v>45876</v>
      </c>
      <c r="K309" s="206"/>
      <c r="L309" s="14"/>
    </row>
    <row r="310" spans="1:12">
      <c r="A310" s="93">
        <v>45869</v>
      </c>
      <c r="B310" s="21" t="s">
        <v>35</v>
      </c>
      <c r="C310" s="175">
        <v>1947000</v>
      </c>
      <c r="D310" s="175">
        <v>1770000</v>
      </c>
      <c r="E310" s="175">
        <v>177000</v>
      </c>
      <c r="F310" s="229"/>
      <c r="G310" s="229"/>
      <c r="H310" s="229"/>
      <c r="I310" s="63" t="s">
        <v>3</v>
      </c>
      <c r="J310" s="186">
        <v>45877</v>
      </c>
      <c r="K310" s="206"/>
      <c r="L310" s="37"/>
    </row>
    <row r="311" spans="1:12">
      <c r="A311" s="93">
        <v>45869</v>
      </c>
      <c r="B311" s="21" t="s">
        <v>100</v>
      </c>
      <c r="C311" s="175">
        <v>1265000</v>
      </c>
      <c r="D311" s="175">
        <v>1150000</v>
      </c>
      <c r="E311" s="175">
        <v>115000</v>
      </c>
      <c r="F311" s="229"/>
      <c r="G311" s="229"/>
      <c r="H311" s="229"/>
      <c r="I311" s="63" t="s">
        <v>3</v>
      </c>
      <c r="J311" s="186">
        <v>45891</v>
      </c>
      <c r="K311" s="206"/>
      <c r="L311" s="14"/>
    </row>
    <row r="312" spans="1:12">
      <c r="A312" s="93">
        <v>45869</v>
      </c>
      <c r="B312" s="21" t="s">
        <v>22</v>
      </c>
      <c r="C312" s="175">
        <v>1188000</v>
      </c>
      <c r="D312" s="175">
        <v>1080000</v>
      </c>
      <c r="E312" s="175">
        <v>108000</v>
      </c>
      <c r="F312" s="229"/>
      <c r="G312" s="229"/>
      <c r="H312" s="229"/>
      <c r="I312" s="63" t="s">
        <v>3</v>
      </c>
      <c r="J312" s="186">
        <v>45877</v>
      </c>
      <c r="K312" s="206"/>
      <c r="L312" s="37"/>
    </row>
    <row r="313" spans="1:12">
      <c r="A313" s="93">
        <v>45869</v>
      </c>
      <c r="B313" s="21" t="s">
        <v>8</v>
      </c>
      <c r="C313" s="175">
        <v>264000</v>
      </c>
      <c r="D313" s="175">
        <v>240000</v>
      </c>
      <c r="E313" s="175">
        <v>24000</v>
      </c>
      <c r="F313" s="229"/>
      <c r="G313" s="229"/>
      <c r="H313" s="229"/>
      <c r="I313" s="63" t="s">
        <v>3</v>
      </c>
      <c r="J313" s="186">
        <v>45887</v>
      </c>
      <c r="K313" s="206"/>
      <c r="L313" s="7"/>
    </row>
    <row r="314" spans="1:12">
      <c r="A314" s="93">
        <v>45869</v>
      </c>
      <c r="B314" s="21" t="s">
        <v>25</v>
      </c>
      <c r="C314" s="175">
        <v>715000</v>
      </c>
      <c r="D314" s="175">
        <v>650000</v>
      </c>
      <c r="E314" s="175">
        <v>65000</v>
      </c>
      <c r="F314" s="229"/>
      <c r="G314" s="229"/>
      <c r="H314" s="229"/>
      <c r="I314" s="63" t="s">
        <v>3</v>
      </c>
      <c r="J314" s="186">
        <v>45875</v>
      </c>
      <c r="K314" s="206"/>
      <c r="L314" s="7"/>
    </row>
    <row r="315" spans="1:12">
      <c r="A315" s="93">
        <v>45869</v>
      </c>
      <c r="B315" s="21" t="s">
        <v>0</v>
      </c>
      <c r="C315" s="175">
        <v>5775000</v>
      </c>
      <c r="D315" s="175">
        <v>5250000</v>
      </c>
      <c r="E315" s="175">
        <v>525000</v>
      </c>
      <c r="F315" s="229"/>
      <c r="G315" s="229"/>
      <c r="H315" s="229"/>
      <c r="I315" s="63" t="s">
        <v>134</v>
      </c>
      <c r="J315" s="186">
        <v>45880</v>
      </c>
      <c r="K315" s="206"/>
      <c r="L315" s="7"/>
    </row>
    <row r="316" spans="1:12">
      <c r="A316" s="93">
        <v>45869</v>
      </c>
      <c r="B316" s="7" t="s">
        <v>184</v>
      </c>
      <c r="C316" s="175"/>
      <c r="D316" s="175"/>
      <c r="E316" s="175"/>
      <c r="F316" s="229">
        <v>136649</v>
      </c>
      <c r="G316" s="229">
        <v>124227</v>
      </c>
      <c r="H316" s="229">
        <v>12422</v>
      </c>
      <c r="I316" s="72" t="s">
        <v>247</v>
      </c>
      <c r="J316" s="185"/>
      <c r="K316" s="205"/>
      <c r="L316" s="7"/>
    </row>
    <row r="317" spans="1:12">
      <c r="A317" s="93">
        <v>45870</v>
      </c>
      <c r="B317" s="7" t="s">
        <v>38</v>
      </c>
      <c r="C317" s="175"/>
      <c r="D317" s="175"/>
      <c r="E317" s="175"/>
      <c r="F317" s="229">
        <v>9975900</v>
      </c>
      <c r="G317" s="229">
        <v>9069000</v>
      </c>
      <c r="H317" s="229">
        <v>906900</v>
      </c>
      <c r="I317" s="72" t="s">
        <v>248</v>
      </c>
      <c r="J317" s="185"/>
      <c r="K317" s="205" t="s">
        <v>299</v>
      </c>
      <c r="L317" s="7"/>
    </row>
    <row r="318" spans="1:12">
      <c r="A318" s="93">
        <v>45870</v>
      </c>
      <c r="B318" s="7" t="s">
        <v>77</v>
      </c>
      <c r="C318" s="175"/>
      <c r="D318" s="175"/>
      <c r="E318" s="175"/>
      <c r="F318" s="229">
        <v>66107426</v>
      </c>
      <c r="G318" s="229">
        <v>60097660</v>
      </c>
      <c r="H318" s="229">
        <v>6009766</v>
      </c>
      <c r="I318" s="72" t="s">
        <v>249</v>
      </c>
      <c r="J318" s="185"/>
      <c r="K318" s="205"/>
      <c r="L318" s="7"/>
    </row>
    <row r="319" spans="1:12">
      <c r="A319" s="93">
        <v>45872</v>
      </c>
      <c r="B319" s="21" t="s">
        <v>0</v>
      </c>
      <c r="C319" s="175">
        <v>4455000</v>
      </c>
      <c r="D319" s="175">
        <v>4050000</v>
      </c>
      <c r="E319" s="175">
        <v>405000</v>
      </c>
      <c r="F319" s="229"/>
      <c r="G319" s="229"/>
      <c r="H319" s="229"/>
      <c r="I319" s="63" t="s">
        <v>134</v>
      </c>
      <c r="J319" s="186">
        <v>45880</v>
      </c>
      <c r="K319" s="206"/>
      <c r="L319" s="7"/>
    </row>
    <row r="320" spans="1:12">
      <c r="A320" s="93">
        <v>45872</v>
      </c>
      <c r="B320" s="21" t="s">
        <v>18</v>
      </c>
      <c r="C320" s="175">
        <v>3894000</v>
      </c>
      <c r="D320" s="175">
        <v>3540000</v>
      </c>
      <c r="E320" s="175">
        <v>354000</v>
      </c>
      <c r="F320" s="229"/>
      <c r="G320" s="229"/>
      <c r="H320" s="229"/>
      <c r="I320" s="63" t="s">
        <v>82</v>
      </c>
      <c r="J320" s="186">
        <v>45882</v>
      </c>
      <c r="K320" s="206"/>
      <c r="L320" s="7"/>
    </row>
    <row r="321" spans="1:12">
      <c r="A321" s="93">
        <v>45872</v>
      </c>
      <c r="B321" s="21" t="s">
        <v>18</v>
      </c>
      <c r="C321" s="175">
        <v>28017000</v>
      </c>
      <c r="D321" s="175">
        <v>25470000</v>
      </c>
      <c r="E321" s="175">
        <v>2547000</v>
      </c>
      <c r="F321" s="229"/>
      <c r="G321" s="229"/>
      <c r="H321" s="229"/>
      <c r="I321" s="63" t="s">
        <v>43</v>
      </c>
      <c r="J321" s="186">
        <v>45877</v>
      </c>
      <c r="K321" s="206"/>
      <c r="L321" s="7"/>
    </row>
    <row r="322" spans="1:12">
      <c r="A322" s="93">
        <v>45873</v>
      </c>
      <c r="B322" s="21" t="s">
        <v>77</v>
      </c>
      <c r="C322" s="175"/>
      <c r="D322" s="175"/>
      <c r="E322" s="175"/>
      <c r="F322" s="229">
        <v>26752924</v>
      </c>
      <c r="G322" s="229">
        <v>24320840</v>
      </c>
      <c r="H322" s="229">
        <v>2432084</v>
      </c>
      <c r="I322" s="63" t="s">
        <v>80</v>
      </c>
      <c r="J322" s="186"/>
      <c r="K322" s="206"/>
      <c r="L322" s="7"/>
    </row>
    <row r="323" spans="1:12">
      <c r="A323" s="93">
        <v>45873</v>
      </c>
      <c r="B323" s="21" t="s">
        <v>77</v>
      </c>
      <c r="C323" s="175"/>
      <c r="D323" s="175"/>
      <c r="E323" s="175"/>
      <c r="F323" s="229">
        <v>32505000</v>
      </c>
      <c r="G323" s="229">
        <v>29550000</v>
      </c>
      <c r="H323" s="229">
        <v>2955000</v>
      </c>
      <c r="I323" s="63" t="s">
        <v>250</v>
      </c>
      <c r="J323" s="186"/>
      <c r="K323" s="206"/>
      <c r="L323" s="7"/>
    </row>
    <row r="324" spans="1:12">
      <c r="A324" s="93">
        <v>45879</v>
      </c>
      <c r="B324" s="21" t="s">
        <v>18</v>
      </c>
      <c r="C324" s="175">
        <v>26829825</v>
      </c>
      <c r="D324" s="175">
        <v>24390750</v>
      </c>
      <c r="E324" s="175">
        <v>2439075</v>
      </c>
      <c r="F324" s="229"/>
      <c r="G324" s="229"/>
      <c r="H324" s="229"/>
      <c r="I324" s="63" t="s">
        <v>43</v>
      </c>
      <c r="J324" s="186">
        <v>45887</v>
      </c>
      <c r="K324" s="206"/>
      <c r="L324" s="7"/>
    </row>
    <row r="325" spans="1:12">
      <c r="A325" s="93">
        <v>45879</v>
      </c>
      <c r="B325" s="7" t="s">
        <v>18</v>
      </c>
      <c r="C325" s="175">
        <v>3184500</v>
      </c>
      <c r="D325" s="175">
        <v>2895000</v>
      </c>
      <c r="E325" s="175">
        <v>289500</v>
      </c>
      <c r="F325" s="229"/>
      <c r="G325" s="229"/>
      <c r="H325" s="229"/>
      <c r="I325" s="72" t="s">
        <v>82</v>
      </c>
      <c r="J325" s="185">
        <v>45889</v>
      </c>
      <c r="K325" s="205"/>
      <c r="L325" s="7"/>
    </row>
    <row r="326" spans="1:12">
      <c r="A326" s="93">
        <v>45879</v>
      </c>
      <c r="B326" s="21" t="s">
        <v>17</v>
      </c>
      <c r="C326" s="175">
        <v>9383000</v>
      </c>
      <c r="D326" s="175">
        <v>8530000</v>
      </c>
      <c r="E326" s="175">
        <v>853000</v>
      </c>
      <c r="F326" s="229"/>
      <c r="G326" s="229"/>
      <c r="H326" s="229"/>
      <c r="I326" s="63" t="s">
        <v>133</v>
      </c>
      <c r="J326" s="186">
        <v>45883</v>
      </c>
      <c r="K326" s="206"/>
      <c r="L326" s="37"/>
    </row>
    <row r="327" spans="1:12">
      <c r="A327" s="93">
        <v>45884</v>
      </c>
      <c r="B327" s="21" t="s">
        <v>0</v>
      </c>
      <c r="C327" s="175">
        <v>7902400</v>
      </c>
      <c r="D327" s="175">
        <v>7184000</v>
      </c>
      <c r="E327" s="175">
        <v>718400</v>
      </c>
      <c r="F327" s="229"/>
      <c r="G327" s="229"/>
      <c r="H327" s="229"/>
      <c r="I327" s="63" t="s">
        <v>40</v>
      </c>
      <c r="J327" s="186">
        <v>45894</v>
      </c>
      <c r="K327" s="206"/>
      <c r="L327" s="7"/>
    </row>
    <row r="328" spans="1:12">
      <c r="A328" s="93">
        <v>45884</v>
      </c>
      <c r="B328" s="21" t="s">
        <v>0</v>
      </c>
      <c r="C328" s="175">
        <v>17573600</v>
      </c>
      <c r="D328" s="175">
        <v>15976000</v>
      </c>
      <c r="E328" s="175">
        <v>1597600</v>
      </c>
      <c r="F328" s="229"/>
      <c r="G328" s="229"/>
      <c r="H328" s="229"/>
      <c r="I328" s="63" t="s">
        <v>42</v>
      </c>
      <c r="J328" s="186">
        <v>45894</v>
      </c>
      <c r="K328" s="206"/>
      <c r="L328" s="37"/>
    </row>
    <row r="329" spans="1:12">
      <c r="A329" s="93">
        <v>45884</v>
      </c>
      <c r="B329" s="7" t="s">
        <v>33</v>
      </c>
      <c r="C329" s="175">
        <v>4880700</v>
      </c>
      <c r="D329" s="175">
        <v>4437000</v>
      </c>
      <c r="E329" s="175">
        <v>443700</v>
      </c>
      <c r="F329" s="229"/>
      <c r="G329" s="229"/>
      <c r="H329" s="229"/>
      <c r="I329" s="72" t="s">
        <v>138</v>
      </c>
      <c r="J329" s="185">
        <v>45891</v>
      </c>
      <c r="K329" s="205"/>
      <c r="L329" s="7"/>
    </row>
    <row r="330" spans="1:12">
      <c r="A330" s="93">
        <v>45884</v>
      </c>
      <c r="B330" s="7" t="s">
        <v>33</v>
      </c>
      <c r="C330" s="175">
        <v>11654500</v>
      </c>
      <c r="D330" s="175">
        <v>10595000</v>
      </c>
      <c r="E330" s="175">
        <v>1059500</v>
      </c>
      <c r="F330" s="229"/>
      <c r="G330" s="229"/>
      <c r="H330" s="229"/>
      <c r="I330" s="72" t="s">
        <v>139</v>
      </c>
      <c r="J330" s="185">
        <v>45891</v>
      </c>
      <c r="K330" s="205"/>
      <c r="L330" s="7"/>
    </row>
    <row r="331" spans="1:12">
      <c r="A331" s="93">
        <v>45886</v>
      </c>
      <c r="B331" s="21" t="s">
        <v>18</v>
      </c>
      <c r="C331" s="175">
        <v>3025000</v>
      </c>
      <c r="D331" s="175">
        <v>2750000</v>
      </c>
      <c r="E331" s="175">
        <v>275000</v>
      </c>
      <c r="F331" s="229"/>
      <c r="G331" s="229"/>
      <c r="H331" s="229"/>
      <c r="I331" s="63" t="s">
        <v>82</v>
      </c>
      <c r="J331" s="186">
        <v>45889</v>
      </c>
      <c r="K331" s="206"/>
      <c r="L331" s="7"/>
    </row>
    <row r="332" spans="1:12">
      <c r="A332" s="93">
        <v>45886</v>
      </c>
      <c r="B332" s="21" t="s">
        <v>18</v>
      </c>
      <c r="C332" s="175">
        <v>28564938</v>
      </c>
      <c r="D332" s="175">
        <v>25968126</v>
      </c>
      <c r="E332" s="175">
        <v>2596812</v>
      </c>
      <c r="F332" s="229"/>
      <c r="G332" s="229"/>
      <c r="H332" s="229"/>
      <c r="I332" s="63" t="s">
        <v>43</v>
      </c>
      <c r="J332" s="186">
        <v>45896</v>
      </c>
      <c r="K332" s="206"/>
      <c r="L332" s="7"/>
    </row>
    <row r="333" spans="1:12">
      <c r="A333" s="93">
        <v>45891</v>
      </c>
      <c r="B333" s="21" t="s">
        <v>176</v>
      </c>
      <c r="C333" s="175"/>
      <c r="D333" s="175"/>
      <c r="E333" s="175"/>
      <c r="F333" s="229">
        <v>594000</v>
      </c>
      <c r="G333" s="229">
        <v>540000</v>
      </c>
      <c r="H333" s="229">
        <v>54000</v>
      </c>
      <c r="I333" s="63" t="s">
        <v>251</v>
      </c>
      <c r="J333" s="186"/>
      <c r="K333" s="206"/>
      <c r="L333" s="7"/>
    </row>
    <row r="334" spans="1:12">
      <c r="A334" s="93">
        <v>45893</v>
      </c>
      <c r="B334" s="21" t="s">
        <v>18</v>
      </c>
      <c r="C334" s="175">
        <v>13475000</v>
      </c>
      <c r="D334" s="175">
        <v>12250000</v>
      </c>
      <c r="E334" s="175">
        <v>1225000</v>
      </c>
      <c r="F334" s="229"/>
      <c r="G334" s="229"/>
      <c r="H334" s="229"/>
      <c r="I334" s="63" t="s">
        <v>43</v>
      </c>
      <c r="J334" s="186">
        <v>45898</v>
      </c>
      <c r="K334" s="206"/>
      <c r="L334" s="7"/>
    </row>
    <row r="335" spans="1:12">
      <c r="A335" s="93">
        <v>45893</v>
      </c>
      <c r="B335" s="7" t="s">
        <v>17</v>
      </c>
      <c r="C335" s="175">
        <v>6986650</v>
      </c>
      <c r="D335" s="175">
        <v>6351500</v>
      </c>
      <c r="E335" s="175">
        <v>635150</v>
      </c>
      <c r="F335" s="229"/>
      <c r="G335" s="229"/>
      <c r="H335" s="229"/>
      <c r="I335" s="72" t="s">
        <v>133</v>
      </c>
      <c r="J335" s="185">
        <v>45897</v>
      </c>
      <c r="K335" s="205"/>
      <c r="L335" s="7"/>
    </row>
    <row r="336" spans="1:12">
      <c r="A336" s="93">
        <v>45893</v>
      </c>
      <c r="B336" s="7" t="s">
        <v>18</v>
      </c>
      <c r="C336" s="175">
        <v>3025000</v>
      </c>
      <c r="D336" s="175">
        <v>2750000</v>
      </c>
      <c r="E336" s="175">
        <v>275000</v>
      </c>
      <c r="F336" s="229"/>
      <c r="G336" s="229"/>
      <c r="H336" s="229"/>
      <c r="I336" s="72" t="s">
        <v>140</v>
      </c>
      <c r="J336" s="185">
        <v>45898</v>
      </c>
      <c r="K336" s="205"/>
      <c r="L336" s="7"/>
    </row>
    <row r="337" spans="1:12">
      <c r="A337" s="93">
        <v>45894</v>
      </c>
      <c r="B337" s="21" t="s">
        <v>185</v>
      </c>
      <c r="C337" s="175"/>
      <c r="D337" s="175"/>
      <c r="E337" s="175"/>
      <c r="F337" s="229">
        <v>305134</v>
      </c>
      <c r="G337" s="229">
        <v>277396</v>
      </c>
      <c r="H337" s="229">
        <v>27738</v>
      </c>
      <c r="I337" s="63" t="s">
        <v>244</v>
      </c>
      <c r="J337" s="186"/>
      <c r="K337" s="206"/>
      <c r="L337" s="7"/>
    </row>
    <row r="338" spans="1:12">
      <c r="A338" s="93">
        <v>45894</v>
      </c>
      <c r="B338" s="7" t="s">
        <v>39</v>
      </c>
      <c r="C338" s="175"/>
      <c r="D338" s="175"/>
      <c r="E338" s="175"/>
      <c r="F338" s="229">
        <v>220000</v>
      </c>
      <c r="G338" s="229">
        <v>200000</v>
      </c>
      <c r="H338" s="229">
        <v>20000</v>
      </c>
      <c r="I338" s="72" t="s">
        <v>56</v>
      </c>
      <c r="J338" s="185"/>
      <c r="K338" s="205"/>
      <c r="L338" s="7"/>
    </row>
    <row r="339" spans="1:12">
      <c r="A339" s="93">
        <v>45894</v>
      </c>
      <c r="B339" s="21" t="s">
        <v>77</v>
      </c>
      <c r="C339" s="175"/>
      <c r="D339" s="175"/>
      <c r="E339" s="175"/>
      <c r="F339" s="229">
        <v>11000000</v>
      </c>
      <c r="G339" s="229">
        <v>10000000</v>
      </c>
      <c r="H339" s="229">
        <v>1000000</v>
      </c>
      <c r="I339" s="63" t="s">
        <v>6</v>
      </c>
      <c r="J339" s="186"/>
      <c r="K339" s="206" t="s">
        <v>295</v>
      </c>
      <c r="L339" s="7"/>
    </row>
    <row r="340" spans="1:12">
      <c r="A340" s="93">
        <v>45898</v>
      </c>
      <c r="B340" s="21" t="s">
        <v>184</v>
      </c>
      <c r="C340" s="175"/>
      <c r="D340" s="175"/>
      <c r="E340" s="175"/>
      <c r="F340" s="229">
        <v>141039</v>
      </c>
      <c r="G340" s="229">
        <v>128218</v>
      </c>
      <c r="H340" s="229">
        <v>12821</v>
      </c>
      <c r="I340" s="63" t="s">
        <v>252</v>
      </c>
      <c r="J340" s="186"/>
      <c r="K340" s="206"/>
      <c r="L340" s="7"/>
    </row>
    <row r="341" spans="1:12">
      <c r="A341" s="93">
        <v>45900</v>
      </c>
      <c r="B341" s="7" t="s">
        <v>61</v>
      </c>
      <c r="C341" s="175">
        <v>2679600</v>
      </c>
      <c r="D341" s="175">
        <v>2436000</v>
      </c>
      <c r="E341" s="175">
        <v>243600</v>
      </c>
      <c r="F341" s="229"/>
      <c r="G341" s="229"/>
      <c r="H341" s="229"/>
      <c r="I341" s="72" t="s">
        <v>62</v>
      </c>
      <c r="J341" s="185">
        <v>45910</v>
      </c>
      <c r="K341" s="205"/>
      <c r="L341" s="7"/>
    </row>
    <row r="342" spans="1:12">
      <c r="A342" s="93">
        <v>45900</v>
      </c>
      <c r="B342" s="7" t="s">
        <v>17</v>
      </c>
      <c r="C342" s="175">
        <v>2685100</v>
      </c>
      <c r="D342" s="175">
        <v>2441000</v>
      </c>
      <c r="E342" s="175">
        <v>244100</v>
      </c>
      <c r="F342" s="229"/>
      <c r="G342" s="229"/>
      <c r="H342" s="229"/>
      <c r="I342" s="72" t="s">
        <v>133</v>
      </c>
      <c r="J342" s="185">
        <v>45912</v>
      </c>
      <c r="K342" s="205"/>
      <c r="L342" s="7"/>
    </row>
    <row r="343" spans="1:12">
      <c r="A343" s="93">
        <v>45900</v>
      </c>
      <c r="B343" s="7" t="s">
        <v>18</v>
      </c>
      <c r="C343" s="175">
        <v>10862500</v>
      </c>
      <c r="D343" s="175">
        <v>9875000</v>
      </c>
      <c r="E343" s="175">
        <v>987500</v>
      </c>
      <c r="F343" s="229"/>
      <c r="G343" s="229"/>
      <c r="H343" s="229"/>
      <c r="I343" s="72" t="s">
        <v>43</v>
      </c>
      <c r="J343" s="185">
        <v>45905</v>
      </c>
      <c r="K343" s="205"/>
      <c r="L343" s="7"/>
    </row>
    <row r="344" spans="1:12">
      <c r="A344" s="93">
        <v>45900</v>
      </c>
      <c r="B344" s="7" t="s">
        <v>18</v>
      </c>
      <c r="C344" s="175">
        <v>3041500</v>
      </c>
      <c r="D344" s="175">
        <v>2765000</v>
      </c>
      <c r="E344" s="175">
        <v>276500</v>
      </c>
      <c r="F344" s="229"/>
      <c r="G344" s="229"/>
      <c r="H344" s="229"/>
      <c r="I344" s="72" t="s">
        <v>82</v>
      </c>
      <c r="J344" s="185">
        <v>45912</v>
      </c>
      <c r="K344" s="205"/>
      <c r="L344" s="7"/>
    </row>
    <row r="345" spans="1:12">
      <c r="A345" s="93">
        <v>45900</v>
      </c>
      <c r="B345" s="21" t="s">
        <v>0</v>
      </c>
      <c r="C345" s="175">
        <v>402600</v>
      </c>
      <c r="D345" s="175">
        <v>366000</v>
      </c>
      <c r="E345" s="175">
        <v>36600</v>
      </c>
      <c r="F345" s="229"/>
      <c r="G345" s="229"/>
      <c r="H345" s="229"/>
      <c r="I345" s="63" t="s">
        <v>68</v>
      </c>
      <c r="J345" s="186">
        <v>45910</v>
      </c>
      <c r="K345" s="206"/>
      <c r="L345" s="7"/>
    </row>
    <row r="346" spans="1:12">
      <c r="A346" s="93">
        <v>45900</v>
      </c>
      <c r="B346" s="7" t="s">
        <v>0</v>
      </c>
      <c r="C346" s="175">
        <v>1012000</v>
      </c>
      <c r="D346" s="175">
        <v>920000</v>
      </c>
      <c r="E346" s="175">
        <v>92000</v>
      </c>
      <c r="F346" s="229"/>
      <c r="G346" s="229"/>
      <c r="H346" s="229"/>
      <c r="I346" s="72" t="s">
        <v>135</v>
      </c>
      <c r="J346" s="185">
        <v>45910</v>
      </c>
      <c r="K346" s="205"/>
      <c r="L346" s="7"/>
    </row>
    <row r="347" spans="1:12">
      <c r="A347" s="93">
        <v>45900</v>
      </c>
      <c r="B347" s="21" t="s">
        <v>0</v>
      </c>
      <c r="C347" s="175">
        <v>2035000</v>
      </c>
      <c r="D347" s="175">
        <v>1850000</v>
      </c>
      <c r="E347" s="175">
        <v>185000</v>
      </c>
      <c r="F347" s="229"/>
      <c r="G347" s="229"/>
      <c r="H347" s="229"/>
      <c r="I347" s="63" t="s">
        <v>136</v>
      </c>
      <c r="J347" s="186">
        <v>45910</v>
      </c>
      <c r="K347" s="206"/>
      <c r="L347" s="7"/>
    </row>
    <row r="348" spans="1:12">
      <c r="A348" s="93">
        <v>45900</v>
      </c>
      <c r="B348" s="21" t="s">
        <v>0</v>
      </c>
      <c r="C348" s="175">
        <v>19312700</v>
      </c>
      <c r="D348" s="175">
        <v>17557000</v>
      </c>
      <c r="E348" s="175">
        <v>1755700</v>
      </c>
      <c r="F348" s="229"/>
      <c r="G348" s="229"/>
      <c r="H348" s="229"/>
      <c r="I348" s="63" t="s">
        <v>42</v>
      </c>
      <c r="J348" s="186">
        <v>45910</v>
      </c>
      <c r="K348" s="206"/>
      <c r="L348" s="7"/>
    </row>
    <row r="349" spans="1:12">
      <c r="A349" s="93">
        <v>45900</v>
      </c>
      <c r="B349" s="21" t="s">
        <v>0</v>
      </c>
      <c r="C349" s="175">
        <v>3855500</v>
      </c>
      <c r="D349" s="175">
        <v>3505000</v>
      </c>
      <c r="E349" s="175">
        <v>350500</v>
      </c>
      <c r="F349" s="229"/>
      <c r="G349" s="229"/>
      <c r="H349" s="229"/>
      <c r="I349" s="63" t="s">
        <v>40</v>
      </c>
      <c r="J349" s="186">
        <v>45910</v>
      </c>
      <c r="K349" s="206"/>
      <c r="L349" s="7"/>
    </row>
    <row r="350" spans="1:12">
      <c r="A350" s="93">
        <v>45900</v>
      </c>
      <c r="B350" s="7" t="s">
        <v>63</v>
      </c>
      <c r="C350" s="175">
        <v>168300</v>
      </c>
      <c r="D350" s="175">
        <v>153000</v>
      </c>
      <c r="E350" s="175">
        <v>15300</v>
      </c>
      <c r="F350" s="229"/>
      <c r="G350" s="229"/>
      <c r="H350" s="229"/>
      <c r="I350" s="72" t="s">
        <v>41</v>
      </c>
      <c r="J350" s="185">
        <v>45915</v>
      </c>
      <c r="K350" s="205"/>
      <c r="L350" s="7"/>
    </row>
    <row r="351" spans="1:12">
      <c r="A351" s="93">
        <v>45900</v>
      </c>
      <c r="B351" s="7" t="s">
        <v>63</v>
      </c>
      <c r="C351" s="175">
        <v>137500</v>
      </c>
      <c r="D351" s="175">
        <v>125000</v>
      </c>
      <c r="E351" s="175">
        <v>12500</v>
      </c>
      <c r="F351" s="229"/>
      <c r="G351" s="229"/>
      <c r="H351" s="229"/>
      <c r="I351" s="72" t="s">
        <v>125</v>
      </c>
      <c r="J351" s="185">
        <v>45915</v>
      </c>
      <c r="K351" s="205"/>
      <c r="L351" s="7"/>
    </row>
    <row r="352" spans="1:12">
      <c r="A352" s="93">
        <v>45900</v>
      </c>
      <c r="B352" s="21" t="s">
        <v>18</v>
      </c>
      <c r="C352" s="175">
        <v>2750000</v>
      </c>
      <c r="D352" s="175">
        <v>2500000</v>
      </c>
      <c r="E352" s="175">
        <v>250000</v>
      </c>
      <c r="F352" s="229"/>
      <c r="G352" s="229"/>
      <c r="H352" s="229"/>
      <c r="I352" s="63" t="s">
        <v>128</v>
      </c>
      <c r="J352" s="186">
        <v>45919</v>
      </c>
      <c r="K352" s="206"/>
      <c r="L352" s="7"/>
    </row>
    <row r="353" spans="1:12">
      <c r="A353" s="93">
        <v>45900</v>
      </c>
      <c r="B353" s="21" t="s">
        <v>18</v>
      </c>
      <c r="C353" s="175">
        <v>275000</v>
      </c>
      <c r="D353" s="175">
        <v>250000</v>
      </c>
      <c r="E353" s="175">
        <v>25000</v>
      </c>
      <c r="F353" s="229"/>
      <c r="G353" s="229"/>
      <c r="H353" s="229"/>
      <c r="I353" s="63" t="s">
        <v>130</v>
      </c>
      <c r="J353" s="186"/>
      <c r="K353" s="206"/>
      <c r="L353" s="7"/>
    </row>
    <row r="354" spans="1:12">
      <c r="A354" s="93">
        <v>45900</v>
      </c>
      <c r="B354" s="21" t="s">
        <v>18</v>
      </c>
      <c r="C354" s="175">
        <v>2970000</v>
      </c>
      <c r="D354" s="175">
        <v>2700000</v>
      </c>
      <c r="E354" s="175">
        <v>270000</v>
      </c>
      <c r="F354" s="229"/>
      <c r="G354" s="229"/>
      <c r="H354" s="229"/>
      <c r="I354" s="63" t="s">
        <v>73</v>
      </c>
      <c r="J354" s="186">
        <v>45919</v>
      </c>
      <c r="K354" s="206"/>
      <c r="L354" s="7"/>
    </row>
    <row r="355" spans="1:12">
      <c r="A355" s="93">
        <v>45900</v>
      </c>
      <c r="B355" s="21" t="s">
        <v>18</v>
      </c>
      <c r="C355" s="175">
        <v>412500</v>
      </c>
      <c r="D355" s="175">
        <v>375000</v>
      </c>
      <c r="E355" s="175">
        <v>37500</v>
      </c>
      <c r="F355" s="229"/>
      <c r="G355" s="229"/>
      <c r="H355" s="229"/>
      <c r="I355" s="63" t="s">
        <v>64</v>
      </c>
      <c r="J355" s="186">
        <v>45912</v>
      </c>
      <c r="K355" s="206"/>
      <c r="L355" s="7"/>
    </row>
    <row r="356" spans="1:12">
      <c r="A356" s="93">
        <v>45900</v>
      </c>
      <c r="B356" s="21" t="s">
        <v>99</v>
      </c>
      <c r="C356" s="175">
        <v>878900</v>
      </c>
      <c r="D356" s="175">
        <v>799000</v>
      </c>
      <c r="E356" s="175">
        <v>79900</v>
      </c>
      <c r="F356" s="229"/>
      <c r="G356" s="229"/>
      <c r="H356" s="229"/>
      <c r="I356" s="63" t="s">
        <v>74</v>
      </c>
      <c r="J356" s="186">
        <v>45919</v>
      </c>
      <c r="K356" s="206"/>
      <c r="L356" s="7"/>
    </row>
    <row r="357" spans="1:12">
      <c r="A357" s="93">
        <v>45900</v>
      </c>
      <c r="B357" s="7" t="s">
        <v>60</v>
      </c>
      <c r="C357" s="175">
        <v>7832000</v>
      </c>
      <c r="D357" s="175">
        <v>7120000</v>
      </c>
      <c r="E357" s="175">
        <v>712000</v>
      </c>
      <c r="F357" s="229"/>
      <c r="G357" s="229"/>
      <c r="H357" s="229"/>
      <c r="I357" s="72" t="s">
        <v>44</v>
      </c>
      <c r="J357" s="185">
        <v>45903</v>
      </c>
      <c r="K357" s="205"/>
      <c r="L357" s="7"/>
    </row>
    <row r="358" spans="1:12">
      <c r="A358" s="93">
        <v>45900</v>
      </c>
      <c r="B358" s="7" t="s">
        <v>33</v>
      </c>
      <c r="C358" s="175">
        <v>5148000</v>
      </c>
      <c r="D358" s="175">
        <v>4680000</v>
      </c>
      <c r="E358" s="175">
        <v>468000</v>
      </c>
      <c r="F358" s="229"/>
      <c r="G358" s="229"/>
      <c r="H358" s="229"/>
      <c r="I358" s="72" t="s">
        <v>53</v>
      </c>
      <c r="J358" s="185">
        <v>45905</v>
      </c>
      <c r="K358" s="205"/>
      <c r="L358" s="7"/>
    </row>
    <row r="359" spans="1:12">
      <c r="A359" s="93">
        <v>45900</v>
      </c>
      <c r="B359" s="21" t="s">
        <v>33</v>
      </c>
      <c r="C359" s="175">
        <v>2541000</v>
      </c>
      <c r="D359" s="175">
        <v>2310000</v>
      </c>
      <c r="E359" s="175">
        <v>231000</v>
      </c>
      <c r="F359" s="229"/>
      <c r="G359" s="229"/>
      <c r="H359" s="229"/>
      <c r="I359" s="63" t="s">
        <v>141</v>
      </c>
      <c r="J359" s="186">
        <v>45905</v>
      </c>
      <c r="K359" s="208"/>
      <c r="L359" s="7"/>
    </row>
    <row r="360" spans="1:12">
      <c r="A360" s="93">
        <v>45900</v>
      </c>
      <c r="B360" s="21" t="s">
        <v>33</v>
      </c>
      <c r="C360" s="175">
        <v>11908160</v>
      </c>
      <c r="D360" s="175">
        <v>10825600</v>
      </c>
      <c r="E360" s="175">
        <v>1082560</v>
      </c>
      <c r="F360" s="229"/>
      <c r="G360" s="229"/>
      <c r="H360" s="229"/>
      <c r="I360" s="63" t="s">
        <v>126</v>
      </c>
      <c r="J360" s="186">
        <v>45905</v>
      </c>
      <c r="K360" s="206"/>
      <c r="L360" s="7"/>
    </row>
    <row r="361" spans="1:12">
      <c r="A361" s="93">
        <v>45900</v>
      </c>
      <c r="B361" s="21" t="s">
        <v>33</v>
      </c>
      <c r="C361" s="175">
        <v>2871000</v>
      </c>
      <c r="D361" s="175">
        <v>2610000</v>
      </c>
      <c r="E361" s="175">
        <v>261000</v>
      </c>
      <c r="F361" s="229"/>
      <c r="G361" s="229"/>
      <c r="H361" s="229"/>
      <c r="I361" s="63" t="s">
        <v>127</v>
      </c>
      <c r="J361" s="186">
        <v>45905</v>
      </c>
      <c r="K361" s="206"/>
      <c r="L361" s="7"/>
    </row>
    <row r="362" spans="1:12">
      <c r="A362" s="93">
        <v>45900</v>
      </c>
      <c r="B362" s="21" t="s">
        <v>37</v>
      </c>
      <c r="C362" s="175">
        <v>15637600</v>
      </c>
      <c r="D362" s="175">
        <v>14216000</v>
      </c>
      <c r="E362" s="175">
        <v>1421600</v>
      </c>
      <c r="F362" s="229"/>
      <c r="G362" s="229"/>
      <c r="H362" s="229"/>
      <c r="I362" s="63" t="s">
        <v>54</v>
      </c>
      <c r="J362" s="186">
        <v>45909</v>
      </c>
      <c r="K362" s="206"/>
      <c r="L362" s="7"/>
    </row>
    <row r="363" spans="1:12">
      <c r="A363" s="93">
        <v>45900</v>
      </c>
      <c r="B363" s="21" t="s">
        <v>37</v>
      </c>
      <c r="C363" s="175">
        <v>1597200</v>
      </c>
      <c r="D363" s="175">
        <v>1452000</v>
      </c>
      <c r="E363" s="175">
        <v>145200</v>
      </c>
      <c r="F363" s="229"/>
      <c r="G363" s="229"/>
      <c r="H363" s="229"/>
      <c r="I363" s="63" t="s">
        <v>59</v>
      </c>
      <c r="J363" s="186">
        <v>45909</v>
      </c>
      <c r="K363" s="206"/>
      <c r="L363" s="7"/>
    </row>
    <row r="364" spans="1:12">
      <c r="A364" s="93">
        <v>45900</v>
      </c>
      <c r="B364" s="21" t="s">
        <v>24</v>
      </c>
      <c r="C364" s="175">
        <v>3097600</v>
      </c>
      <c r="D364" s="175">
        <v>2816000</v>
      </c>
      <c r="E364" s="175">
        <v>281600</v>
      </c>
      <c r="F364" s="229"/>
      <c r="G364" s="229"/>
      <c r="H364" s="229"/>
      <c r="I364" s="63" t="s">
        <v>47</v>
      </c>
      <c r="J364" s="186">
        <v>45915</v>
      </c>
      <c r="K364" s="206"/>
      <c r="L364" s="7"/>
    </row>
    <row r="365" spans="1:12">
      <c r="A365" s="93">
        <v>45900</v>
      </c>
      <c r="B365" s="7" t="s">
        <v>17</v>
      </c>
      <c r="C365" s="175">
        <v>4040300</v>
      </c>
      <c r="D365" s="175">
        <v>3673000</v>
      </c>
      <c r="E365" s="175">
        <v>367300</v>
      </c>
      <c r="F365" s="229"/>
      <c r="G365" s="229"/>
      <c r="H365" s="229"/>
      <c r="I365" s="72" t="s">
        <v>65</v>
      </c>
      <c r="J365" s="185">
        <v>45912</v>
      </c>
      <c r="K365" s="205"/>
      <c r="L365" s="7"/>
    </row>
    <row r="366" spans="1:12">
      <c r="A366" s="93">
        <v>45900</v>
      </c>
      <c r="B366" s="7" t="s">
        <v>10</v>
      </c>
      <c r="C366" s="175">
        <v>2618000</v>
      </c>
      <c r="D366" s="175">
        <v>2380000</v>
      </c>
      <c r="E366" s="175">
        <v>238000</v>
      </c>
      <c r="F366" s="229"/>
      <c r="G366" s="229"/>
      <c r="H366" s="229"/>
      <c r="I366" s="72" t="s">
        <v>3</v>
      </c>
      <c r="J366" s="185">
        <v>45924</v>
      </c>
      <c r="K366" s="205"/>
      <c r="L366" s="7"/>
    </row>
    <row r="367" spans="1:12">
      <c r="A367" s="93">
        <v>45900</v>
      </c>
      <c r="B367" s="21" t="s">
        <v>22</v>
      </c>
      <c r="C367" s="175">
        <v>2233000</v>
      </c>
      <c r="D367" s="175">
        <v>2030000</v>
      </c>
      <c r="E367" s="175">
        <v>203000</v>
      </c>
      <c r="F367" s="229"/>
      <c r="G367" s="229"/>
      <c r="H367" s="229"/>
      <c r="I367" s="63" t="s">
        <v>3</v>
      </c>
      <c r="J367" s="186">
        <v>45909</v>
      </c>
      <c r="K367" s="206"/>
      <c r="L367" s="14"/>
    </row>
    <row r="368" spans="1:12">
      <c r="A368" s="93">
        <v>45900</v>
      </c>
      <c r="B368" s="21" t="s">
        <v>8</v>
      </c>
      <c r="C368" s="175">
        <v>528000</v>
      </c>
      <c r="D368" s="175">
        <v>480000</v>
      </c>
      <c r="E368" s="175">
        <v>48000</v>
      </c>
      <c r="F368" s="229"/>
      <c r="G368" s="229"/>
      <c r="H368" s="229"/>
      <c r="I368" s="63" t="s">
        <v>3</v>
      </c>
      <c r="J368" s="186">
        <v>45915</v>
      </c>
      <c r="K368" s="206"/>
      <c r="L368" s="7"/>
    </row>
    <row r="369" spans="1:12">
      <c r="A369" s="93">
        <v>45900</v>
      </c>
      <c r="B369" s="21" t="s">
        <v>0</v>
      </c>
      <c r="C369" s="175">
        <v>96276630</v>
      </c>
      <c r="D369" s="175">
        <v>87524210</v>
      </c>
      <c r="E369" s="175">
        <v>8752420</v>
      </c>
      <c r="F369" s="229"/>
      <c r="G369" s="229"/>
      <c r="H369" s="229"/>
      <c r="I369" s="63" t="s">
        <v>67</v>
      </c>
      <c r="J369" s="186">
        <v>45910</v>
      </c>
      <c r="K369" s="206"/>
      <c r="L369" s="7"/>
    </row>
    <row r="370" spans="1:12">
      <c r="A370" s="93">
        <v>45900</v>
      </c>
      <c r="B370" s="21" t="s">
        <v>77</v>
      </c>
      <c r="C370" s="175"/>
      <c r="D370" s="175"/>
      <c r="E370" s="175"/>
      <c r="F370" s="229">
        <v>10953162</v>
      </c>
      <c r="G370" s="229">
        <v>9957420</v>
      </c>
      <c r="H370" s="229">
        <v>995742</v>
      </c>
      <c r="I370" s="63" t="s">
        <v>78</v>
      </c>
      <c r="J370" s="186"/>
      <c r="K370" s="206" t="s">
        <v>300</v>
      </c>
      <c r="L370" s="7"/>
    </row>
    <row r="371" spans="1:12">
      <c r="A371" s="93">
        <v>45900</v>
      </c>
      <c r="B371" s="7" t="s">
        <v>77</v>
      </c>
      <c r="C371" s="175"/>
      <c r="D371" s="175"/>
      <c r="E371" s="175"/>
      <c r="F371" s="229">
        <v>11000000</v>
      </c>
      <c r="G371" s="229">
        <v>10000000</v>
      </c>
      <c r="H371" s="229">
        <v>1000000</v>
      </c>
      <c r="I371" s="72" t="s">
        <v>253</v>
      </c>
      <c r="J371" s="185"/>
      <c r="K371" s="205" t="s">
        <v>301</v>
      </c>
      <c r="L371" s="7"/>
    </row>
    <row r="372" spans="1:12">
      <c r="A372" s="93">
        <v>45900</v>
      </c>
      <c r="B372" s="7" t="s">
        <v>77</v>
      </c>
      <c r="C372" s="175"/>
      <c r="D372" s="175"/>
      <c r="E372" s="175"/>
      <c r="F372" s="229">
        <v>90315500</v>
      </c>
      <c r="G372" s="229">
        <v>82105000</v>
      </c>
      <c r="H372" s="229">
        <v>8210500</v>
      </c>
      <c r="I372" s="72" t="s">
        <v>254</v>
      </c>
      <c r="J372" s="185"/>
      <c r="K372" s="205" t="s">
        <v>301</v>
      </c>
      <c r="L372" s="7"/>
    </row>
    <row r="373" spans="1:12">
      <c r="A373" s="93">
        <v>45903</v>
      </c>
      <c r="B373" s="7" t="s">
        <v>100</v>
      </c>
      <c r="C373" s="175">
        <v>418000</v>
      </c>
      <c r="D373" s="175">
        <v>380000</v>
      </c>
      <c r="E373" s="175">
        <v>38000</v>
      </c>
      <c r="F373" s="229"/>
      <c r="G373" s="229"/>
      <c r="H373" s="229"/>
      <c r="I373" s="72" t="s">
        <v>142</v>
      </c>
      <c r="J373" s="185">
        <v>45923</v>
      </c>
      <c r="K373" s="205"/>
      <c r="L373" s="7"/>
    </row>
    <row r="374" spans="1:12">
      <c r="A374" s="93">
        <v>45904</v>
      </c>
      <c r="B374" s="21" t="s">
        <v>100</v>
      </c>
      <c r="C374" s="175">
        <v>693000</v>
      </c>
      <c r="D374" s="175">
        <v>630000</v>
      </c>
      <c r="E374" s="175">
        <v>63000</v>
      </c>
      <c r="F374" s="229"/>
      <c r="G374" s="229"/>
      <c r="H374" s="229"/>
      <c r="I374" s="63" t="s">
        <v>143</v>
      </c>
      <c r="J374" s="186">
        <v>45923</v>
      </c>
      <c r="K374" s="206"/>
      <c r="L374" s="7"/>
    </row>
    <row r="375" spans="1:12">
      <c r="A375" s="93">
        <v>45907</v>
      </c>
      <c r="B375" s="21" t="s">
        <v>18</v>
      </c>
      <c r="C375" s="175">
        <v>2904000</v>
      </c>
      <c r="D375" s="175">
        <v>2640000</v>
      </c>
      <c r="E375" s="175">
        <v>264000</v>
      </c>
      <c r="F375" s="229"/>
      <c r="G375" s="229"/>
      <c r="H375" s="229"/>
      <c r="I375" s="63" t="s">
        <v>82</v>
      </c>
      <c r="J375" s="186">
        <v>45912</v>
      </c>
      <c r="K375" s="206"/>
      <c r="L375" s="7"/>
    </row>
    <row r="376" spans="1:12">
      <c r="A376" s="93">
        <v>45907</v>
      </c>
      <c r="B376" s="21" t="s">
        <v>18</v>
      </c>
      <c r="C376" s="175">
        <v>7837500</v>
      </c>
      <c r="D376" s="175">
        <v>7125000</v>
      </c>
      <c r="E376" s="175">
        <v>712500</v>
      </c>
      <c r="F376" s="229"/>
      <c r="G376" s="229"/>
      <c r="H376" s="229"/>
      <c r="I376" s="63" t="s">
        <v>43</v>
      </c>
      <c r="J376" s="186">
        <v>45912</v>
      </c>
      <c r="K376" s="206"/>
      <c r="L376" s="7"/>
    </row>
    <row r="377" spans="1:12">
      <c r="A377" s="93">
        <v>45914</v>
      </c>
      <c r="B377" s="21" t="s">
        <v>18</v>
      </c>
      <c r="C377" s="175">
        <v>10312500</v>
      </c>
      <c r="D377" s="175">
        <v>9375000</v>
      </c>
      <c r="E377" s="175">
        <v>937500</v>
      </c>
      <c r="F377" s="229"/>
      <c r="G377" s="229"/>
      <c r="H377" s="229"/>
      <c r="I377" s="63" t="s">
        <v>43</v>
      </c>
      <c r="J377" s="186">
        <v>45919</v>
      </c>
      <c r="K377" s="206"/>
      <c r="L377" s="7"/>
    </row>
    <row r="378" spans="1:12">
      <c r="A378" s="93">
        <v>45914</v>
      </c>
      <c r="B378" s="21" t="s">
        <v>18</v>
      </c>
      <c r="C378" s="175">
        <v>3146000</v>
      </c>
      <c r="D378" s="175">
        <v>2860000</v>
      </c>
      <c r="E378" s="175">
        <v>286000</v>
      </c>
      <c r="F378" s="229"/>
      <c r="G378" s="229"/>
      <c r="H378" s="229"/>
      <c r="I378" s="63" t="s">
        <v>82</v>
      </c>
      <c r="J378" s="186">
        <v>45922</v>
      </c>
      <c r="K378" s="206"/>
      <c r="L378" s="14"/>
    </row>
    <row r="379" spans="1:12">
      <c r="A379" s="93">
        <v>45914</v>
      </c>
      <c r="B379" s="21" t="s">
        <v>17</v>
      </c>
      <c r="C379" s="175">
        <v>7700000</v>
      </c>
      <c r="D379" s="175">
        <v>7000000</v>
      </c>
      <c r="E379" s="175">
        <v>700000</v>
      </c>
      <c r="F379" s="229"/>
      <c r="G379" s="229"/>
      <c r="H379" s="229"/>
      <c r="I379" s="63" t="s">
        <v>133</v>
      </c>
      <c r="J379" s="186">
        <v>45918</v>
      </c>
      <c r="K379" s="206"/>
      <c r="L379" s="7"/>
    </row>
    <row r="380" spans="1:12">
      <c r="A380" s="93">
        <v>45915</v>
      </c>
      <c r="B380" s="21" t="s">
        <v>33</v>
      </c>
      <c r="C380" s="175">
        <v>7213800</v>
      </c>
      <c r="D380" s="175">
        <v>6558000</v>
      </c>
      <c r="E380" s="175">
        <v>655800</v>
      </c>
      <c r="F380" s="229"/>
      <c r="G380" s="229"/>
      <c r="H380" s="229"/>
      <c r="I380" s="63" t="s">
        <v>126</v>
      </c>
      <c r="J380" s="186">
        <v>45919</v>
      </c>
      <c r="K380" s="206"/>
      <c r="L380" s="14"/>
    </row>
    <row r="381" spans="1:12">
      <c r="A381" s="93">
        <v>45915</v>
      </c>
      <c r="B381" s="21" t="s">
        <v>33</v>
      </c>
      <c r="C381" s="175">
        <v>1435500</v>
      </c>
      <c r="D381" s="175">
        <v>1305000</v>
      </c>
      <c r="E381" s="175">
        <v>130500</v>
      </c>
      <c r="F381" s="229"/>
      <c r="G381" s="229"/>
      <c r="H381" s="229"/>
      <c r="I381" s="63" t="s">
        <v>127</v>
      </c>
      <c r="J381" s="186">
        <v>45919</v>
      </c>
      <c r="K381" s="206"/>
      <c r="L381" s="7"/>
    </row>
    <row r="382" spans="1:12">
      <c r="A382" s="93">
        <v>45915</v>
      </c>
      <c r="B382" s="21" t="s">
        <v>0</v>
      </c>
      <c r="C382" s="175">
        <v>3241700</v>
      </c>
      <c r="D382" s="175">
        <v>2947000</v>
      </c>
      <c r="E382" s="175">
        <v>294700</v>
      </c>
      <c r="F382" s="229"/>
      <c r="G382" s="229"/>
      <c r="H382" s="229"/>
      <c r="I382" s="63" t="s">
        <v>40</v>
      </c>
      <c r="J382" s="186">
        <v>45925</v>
      </c>
      <c r="K382" s="206"/>
      <c r="L382" s="7"/>
    </row>
    <row r="383" spans="1:12">
      <c r="A383" s="93">
        <v>45915</v>
      </c>
      <c r="B383" s="7" t="s">
        <v>0</v>
      </c>
      <c r="C383" s="175">
        <v>16836600</v>
      </c>
      <c r="D383" s="175">
        <v>15306000</v>
      </c>
      <c r="E383" s="175">
        <v>1530600</v>
      </c>
      <c r="F383" s="229"/>
      <c r="G383" s="229"/>
      <c r="H383" s="229"/>
      <c r="I383" s="72" t="s">
        <v>42</v>
      </c>
      <c r="J383" s="185">
        <v>45919</v>
      </c>
      <c r="K383" s="205"/>
      <c r="L383" s="14"/>
    </row>
    <row r="384" spans="1:12">
      <c r="A384" s="93">
        <v>45916</v>
      </c>
      <c r="B384" s="7" t="s">
        <v>176</v>
      </c>
      <c r="C384" s="175"/>
      <c r="D384" s="175"/>
      <c r="E384" s="175"/>
      <c r="F384" s="229">
        <v>594000</v>
      </c>
      <c r="G384" s="229">
        <v>540000</v>
      </c>
      <c r="H384" s="229">
        <v>54000</v>
      </c>
      <c r="I384" s="72" t="s">
        <v>255</v>
      </c>
      <c r="J384" s="185"/>
      <c r="K384" s="205"/>
      <c r="L384" s="7"/>
    </row>
    <row r="385" spans="1:12">
      <c r="A385" s="93">
        <v>45921</v>
      </c>
      <c r="B385" s="21" t="s">
        <v>18</v>
      </c>
      <c r="C385" s="175">
        <v>8800000</v>
      </c>
      <c r="D385" s="175">
        <v>8000000</v>
      </c>
      <c r="E385" s="175">
        <v>800000</v>
      </c>
      <c r="F385" s="229"/>
      <c r="G385" s="229"/>
      <c r="H385" s="229"/>
      <c r="I385" s="63" t="s">
        <v>43</v>
      </c>
      <c r="J385" s="186">
        <v>45926</v>
      </c>
      <c r="K385" s="206"/>
      <c r="L385" s="7"/>
    </row>
    <row r="386" spans="1:12">
      <c r="A386" s="93">
        <v>45921</v>
      </c>
      <c r="B386" s="7" t="s">
        <v>18</v>
      </c>
      <c r="C386" s="175">
        <v>3025000</v>
      </c>
      <c r="D386" s="175">
        <v>2750000</v>
      </c>
      <c r="E386" s="175">
        <v>275000</v>
      </c>
      <c r="F386" s="229"/>
      <c r="G386" s="229"/>
      <c r="H386" s="229"/>
      <c r="I386" s="72" t="s">
        <v>82</v>
      </c>
      <c r="J386" s="185">
        <v>45931</v>
      </c>
      <c r="K386" s="205"/>
      <c r="L386" s="7"/>
    </row>
    <row r="387" spans="1:12">
      <c r="A387" s="93">
        <v>45925</v>
      </c>
      <c r="B387" s="7" t="s">
        <v>185</v>
      </c>
      <c r="C387" s="175"/>
      <c r="D387" s="175"/>
      <c r="E387" s="175"/>
      <c r="F387" s="229">
        <v>305134</v>
      </c>
      <c r="G387" s="229">
        <v>277396</v>
      </c>
      <c r="H387" s="229">
        <v>27738</v>
      </c>
      <c r="I387" s="72" t="s">
        <v>244</v>
      </c>
      <c r="J387" s="185"/>
      <c r="K387" s="205"/>
      <c r="L387" s="7"/>
    </row>
    <row r="388" spans="1:12">
      <c r="A388" s="93">
        <v>45925</v>
      </c>
      <c r="B388" s="7" t="s">
        <v>39</v>
      </c>
      <c r="C388" s="175"/>
      <c r="D388" s="175"/>
      <c r="E388" s="175"/>
      <c r="F388" s="229">
        <v>220000</v>
      </c>
      <c r="G388" s="229">
        <v>200000</v>
      </c>
      <c r="H388" s="229">
        <v>20000</v>
      </c>
      <c r="I388" s="72" t="s">
        <v>56</v>
      </c>
      <c r="J388" s="185"/>
      <c r="K388" s="205"/>
      <c r="L388" s="7"/>
    </row>
    <row r="389" spans="1:12">
      <c r="A389" s="93">
        <v>45928</v>
      </c>
      <c r="B389" s="21" t="s">
        <v>0</v>
      </c>
      <c r="C389" s="175">
        <v>4705800</v>
      </c>
      <c r="D389" s="175">
        <v>4278000</v>
      </c>
      <c r="E389" s="175">
        <v>427800</v>
      </c>
      <c r="F389" s="229"/>
      <c r="G389" s="229"/>
      <c r="H389" s="229"/>
      <c r="I389" s="63" t="s">
        <v>40</v>
      </c>
      <c r="J389" s="186">
        <v>45940</v>
      </c>
      <c r="K389" s="206"/>
      <c r="L389" s="7"/>
    </row>
    <row r="390" spans="1:12">
      <c r="A390" s="93">
        <v>45928</v>
      </c>
      <c r="B390" s="21" t="s">
        <v>0</v>
      </c>
      <c r="C390" s="175">
        <v>2200000</v>
      </c>
      <c r="D390" s="175">
        <v>2000000</v>
      </c>
      <c r="E390" s="175">
        <v>200000</v>
      </c>
      <c r="F390" s="229"/>
      <c r="G390" s="229"/>
      <c r="H390" s="229"/>
      <c r="I390" s="63" t="s">
        <v>144</v>
      </c>
      <c r="J390" s="186">
        <v>45940</v>
      </c>
      <c r="K390" s="206"/>
      <c r="L390" s="7"/>
    </row>
    <row r="391" spans="1:12">
      <c r="A391" s="93">
        <v>45928</v>
      </c>
      <c r="B391" s="7" t="s">
        <v>0</v>
      </c>
      <c r="C391" s="175">
        <v>13820400</v>
      </c>
      <c r="D391" s="175">
        <v>12564000</v>
      </c>
      <c r="E391" s="175">
        <v>1256400</v>
      </c>
      <c r="F391" s="229"/>
      <c r="G391" s="229"/>
      <c r="H391" s="229"/>
      <c r="I391" s="72" t="s">
        <v>42</v>
      </c>
      <c r="J391" s="185">
        <v>45940</v>
      </c>
      <c r="K391" s="205"/>
      <c r="L391" s="7"/>
    </row>
    <row r="392" spans="1:12">
      <c r="A392" s="93">
        <v>45928</v>
      </c>
      <c r="B392" s="7" t="s">
        <v>0</v>
      </c>
      <c r="C392" s="175">
        <v>1100000</v>
      </c>
      <c r="D392" s="175">
        <v>1000000</v>
      </c>
      <c r="E392" s="175">
        <v>100000</v>
      </c>
      <c r="F392" s="229"/>
      <c r="G392" s="229"/>
      <c r="H392" s="229"/>
      <c r="I392" s="72" t="s">
        <v>136</v>
      </c>
      <c r="J392" s="185">
        <v>45940</v>
      </c>
      <c r="K392" s="205"/>
      <c r="L392" s="7"/>
    </row>
    <row r="393" spans="1:12">
      <c r="A393" s="93">
        <v>45928</v>
      </c>
      <c r="B393" s="21" t="s">
        <v>0</v>
      </c>
      <c r="C393" s="175">
        <v>140800</v>
      </c>
      <c r="D393" s="175">
        <v>128000</v>
      </c>
      <c r="E393" s="175">
        <v>12800</v>
      </c>
      <c r="F393" s="229"/>
      <c r="G393" s="229"/>
      <c r="H393" s="229"/>
      <c r="I393" s="63" t="s">
        <v>145</v>
      </c>
      <c r="J393" s="186">
        <v>45940</v>
      </c>
      <c r="K393" s="206"/>
      <c r="L393" s="7"/>
    </row>
    <row r="394" spans="1:12">
      <c r="A394" s="93">
        <v>45928</v>
      </c>
      <c r="B394" s="21" t="s">
        <v>0</v>
      </c>
      <c r="C394" s="175">
        <v>1464100</v>
      </c>
      <c r="D394" s="175">
        <v>1331000</v>
      </c>
      <c r="E394" s="175">
        <v>133100</v>
      </c>
      <c r="F394" s="229"/>
      <c r="G394" s="229"/>
      <c r="H394" s="229"/>
      <c r="I394" s="63" t="s">
        <v>135</v>
      </c>
      <c r="J394" s="186">
        <v>45940</v>
      </c>
      <c r="K394" s="206"/>
      <c r="L394" s="7"/>
    </row>
    <row r="395" spans="1:12">
      <c r="A395" s="93">
        <v>45928</v>
      </c>
      <c r="B395" s="21" t="s">
        <v>0</v>
      </c>
      <c r="C395" s="175">
        <v>93500</v>
      </c>
      <c r="D395" s="175">
        <v>85000</v>
      </c>
      <c r="E395" s="175">
        <v>8500</v>
      </c>
      <c r="F395" s="229"/>
      <c r="G395" s="229"/>
      <c r="H395" s="229"/>
      <c r="I395" s="63" t="s">
        <v>146</v>
      </c>
      <c r="J395" s="186">
        <v>45940</v>
      </c>
      <c r="K395" s="206"/>
      <c r="L395" s="7"/>
    </row>
    <row r="396" spans="1:12">
      <c r="A396" s="93">
        <v>45928</v>
      </c>
      <c r="B396" s="21" t="s">
        <v>18</v>
      </c>
      <c r="C396" s="175">
        <v>2541000</v>
      </c>
      <c r="D396" s="175">
        <v>2310000</v>
      </c>
      <c r="E396" s="175">
        <v>231000</v>
      </c>
      <c r="F396" s="229"/>
      <c r="G396" s="229"/>
      <c r="H396" s="229"/>
      <c r="I396" s="63" t="s">
        <v>82</v>
      </c>
      <c r="J396" s="186">
        <v>45947</v>
      </c>
      <c r="K396" s="206"/>
      <c r="L396" s="7"/>
    </row>
    <row r="397" spans="1:12">
      <c r="A397" s="93">
        <v>45928</v>
      </c>
      <c r="B397" s="21" t="s">
        <v>18</v>
      </c>
      <c r="C397" s="175">
        <v>7081250</v>
      </c>
      <c r="D397" s="175">
        <v>6437500</v>
      </c>
      <c r="E397" s="175">
        <v>643750</v>
      </c>
      <c r="F397" s="229"/>
      <c r="G397" s="229"/>
      <c r="H397" s="229"/>
      <c r="I397" s="63" t="s">
        <v>43</v>
      </c>
      <c r="J397" s="186">
        <v>45940</v>
      </c>
      <c r="K397" s="206"/>
      <c r="L397" s="7"/>
    </row>
    <row r="398" spans="1:12">
      <c r="A398" s="93">
        <v>45928</v>
      </c>
      <c r="B398" s="7" t="s">
        <v>60</v>
      </c>
      <c r="C398" s="175">
        <v>8800000</v>
      </c>
      <c r="D398" s="175">
        <v>8000000</v>
      </c>
      <c r="E398" s="175">
        <v>800000</v>
      </c>
      <c r="F398" s="229"/>
      <c r="G398" s="229"/>
      <c r="H398" s="229"/>
      <c r="I398" s="72" t="s">
        <v>44</v>
      </c>
      <c r="J398" s="185">
        <v>45931</v>
      </c>
      <c r="K398" s="205"/>
      <c r="L398" s="7"/>
    </row>
    <row r="399" spans="1:12">
      <c r="A399" s="93">
        <v>45928</v>
      </c>
      <c r="B399" s="7" t="s">
        <v>17</v>
      </c>
      <c r="C399" s="175">
        <v>8272000</v>
      </c>
      <c r="D399" s="175">
        <v>7520000</v>
      </c>
      <c r="E399" s="175">
        <v>752000</v>
      </c>
      <c r="F399" s="229"/>
      <c r="G399" s="229"/>
      <c r="H399" s="229"/>
      <c r="I399" s="72" t="s">
        <v>133</v>
      </c>
      <c r="J399" s="185">
        <v>45931</v>
      </c>
      <c r="K399" s="205"/>
      <c r="L399" s="7"/>
    </row>
    <row r="400" spans="1:12">
      <c r="A400" s="93">
        <v>45930</v>
      </c>
      <c r="B400" s="7" t="s">
        <v>17</v>
      </c>
      <c r="C400" s="175">
        <v>548900</v>
      </c>
      <c r="D400" s="175">
        <v>499000</v>
      </c>
      <c r="E400" s="175">
        <v>49900</v>
      </c>
      <c r="F400" s="229"/>
      <c r="G400" s="229"/>
      <c r="H400" s="229"/>
      <c r="I400" s="72" t="s">
        <v>133</v>
      </c>
      <c r="J400" s="185">
        <v>45945</v>
      </c>
      <c r="K400" s="205"/>
      <c r="L400" s="7"/>
    </row>
    <row r="401" spans="1:12">
      <c r="A401" s="93">
        <v>45930</v>
      </c>
      <c r="B401" s="7" t="s">
        <v>61</v>
      </c>
      <c r="C401" s="175">
        <v>478500</v>
      </c>
      <c r="D401" s="175">
        <v>435000</v>
      </c>
      <c r="E401" s="175">
        <v>43500</v>
      </c>
      <c r="F401" s="229"/>
      <c r="G401" s="229"/>
      <c r="H401" s="229"/>
      <c r="I401" s="72" t="s">
        <v>62</v>
      </c>
      <c r="J401" s="185">
        <v>45940</v>
      </c>
      <c r="K401" s="205"/>
      <c r="L401" s="7"/>
    </row>
    <row r="402" spans="1:12">
      <c r="A402" s="93">
        <v>45930</v>
      </c>
      <c r="B402" s="7" t="s">
        <v>10</v>
      </c>
      <c r="C402" s="175">
        <v>3047000</v>
      </c>
      <c r="D402" s="175">
        <v>2770000</v>
      </c>
      <c r="E402" s="175">
        <v>277000</v>
      </c>
      <c r="F402" s="229"/>
      <c r="G402" s="229"/>
      <c r="H402" s="229"/>
      <c r="I402" s="72" t="s">
        <v>3</v>
      </c>
      <c r="J402" s="185">
        <v>45959</v>
      </c>
      <c r="K402" s="205"/>
      <c r="L402" s="7"/>
    </row>
    <row r="403" spans="1:12">
      <c r="A403" s="93">
        <v>45930</v>
      </c>
      <c r="B403" s="7" t="s">
        <v>8</v>
      </c>
      <c r="C403" s="175">
        <v>5808000</v>
      </c>
      <c r="D403" s="175">
        <v>5280000</v>
      </c>
      <c r="E403" s="175">
        <v>528000</v>
      </c>
      <c r="F403" s="229"/>
      <c r="G403" s="229"/>
      <c r="H403" s="229"/>
      <c r="I403" s="72" t="s">
        <v>3</v>
      </c>
      <c r="J403" s="185">
        <v>45945</v>
      </c>
      <c r="K403" s="205"/>
      <c r="L403" s="7"/>
    </row>
    <row r="404" spans="1:12">
      <c r="A404" s="93">
        <v>45930</v>
      </c>
      <c r="B404" s="7" t="s">
        <v>25</v>
      </c>
      <c r="C404" s="175">
        <v>1760000</v>
      </c>
      <c r="D404" s="175">
        <v>1600000</v>
      </c>
      <c r="E404" s="175">
        <v>160000</v>
      </c>
      <c r="F404" s="229"/>
      <c r="G404" s="229"/>
      <c r="H404" s="229"/>
      <c r="I404" s="72" t="s">
        <v>3</v>
      </c>
      <c r="J404" s="185">
        <v>45933</v>
      </c>
      <c r="K404" s="205"/>
      <c r="L404" s="7"/>
    </row>
    <row r="405" spans="1:12">
      <c r="A405" s="93">
        <v>45930</v>
      </c>
      <c r="B405" s="7" t="s">
        <v>17</v>
      </c>
      <c r="C405" s="175">
        <v>779900</v>
      </c>
      <c r="D405" s="175">
        <v>709000</v>
      </c>
      <c r="E405" s="175">
        <v>70900</v>
      </c>
      <c r="F405" s="229"/>
      <c r="G405" s="229"/>
      <c r="H405" s="229"/>
      <c r="I405" s="72" t="s">
        <v>65</v>
      </c>
      <c r="J405" s="185">
        <v>45945</v>
      </c>
      <c r="K405" s="205"/>
      <c r="L405" s="7"/>
    </row>
    <row r="406" spans="1:12">
      <c r="A406" s="93">
        <v>45930</v>
      </c>
      <c r="B406" s="7" t="s">
        <v>34</v>
      </c>
      <c r="C406" s="175">
        <v>1012000</v>
      </c>
      <c r="D406" s="175">
        <v>920000</v>
      </c>
      <c r="E406" s="175">
        <v>92000</v>
      </c>
      <c r="F406" s="229"/>
      <c r="G406" s="229"/>
      <c r="H406" s="229"/>
      <c r="I406" s="72" t="s">
        <v>147</v>
      </c>
      <c r="J406" s="185">
        <v>45940</v>
      </c>
      <c r="K406" s="205"/>
      <c r="L406" s="7"/>
    </row>
    <row r="407" spans="1:12">
      <c r="A407" s="93">
        <v>45930</v>
      </c>
      <c r="B407" s="21" t="s">
        <v>34</v>
      </c>
      <c r="C407" s="175">
        <v>104500</v>
      </c>
      <c r="D407" s="175">
        <v>95000</v>
      </c>
      <c r="E407" s="175">
        <v>9500</v>
      </c>
      <c r="F407" s="229"/>
      <c r="G407" s="229"/>
      <c r="H407" s="229"/>
      <c r="I407" s="63" t="s">
        <v>48</v>
      </c>
      <c r="J407" s="186">
        <v>45940</v>
      </c>
      <c r="K407" s="206"/>
      <c r="L407" s="7"/>
    </row>
    <row r="408" spans="1:12">
      <c r="A408" s="93">
        <v>45930</v>
      </c>
      <c r="B408" s="21" t="s">
        <v>33</v>
      </c>
      <c r="C408" s="175">
        <v>4020500</v>
      </c>
      <c r="D408" s="175">
        <v>3655000</v>
      </c>
      <c r="E408" s="175">
        <v>365500</v>
      </c>
      <c r="F408" s="229"/>
      <c r="G408" s="229"/>
      <c r="H408" s="229"/>
      <c r="I408" s="63" t="s">
        <v>53</v>
      </c>
      <c r="J408" s="186">
        <v>45940</v>
      </c>
      <c r="K408" s="206"/>
      <c r="L408" s="7"/>
    </row>
    <row r="409" spans="1:12">
      <c r="A409" s="93">
        <v>45930</v>
      </c>
      <c r="B409" s="21" t="s">
        <v>33</v>
      </c>
      <c r="C409" s="175">
        <v>231000</v>
      </c>
      <c r="D409" s="175">
        <v>210000</v>
      </c>
      <c r="E409" s="175">
        <v>21000</v>
      </c>
      <c r="F409" s="229"/>
      <c r="G409" s="229"/>
      <c r="H409" s="229"/>
      <c r="I409" s="63" t="s">
        <v>141</v>
      </c>
      <c r="J409" s="188">
        <v>45940</v>
      </c>
      <c r="K409" s="206"/>
      <c r="L409" s="7"/>
    </row>
    <row r="410" spans="1:12">
      <c r="A410" s="93">
        <v>45930</v>
      </c>
      <c r="B410" s="21" t="s">
        <v>33</v>
      </c>
      <c r="C410" s="175">
        <v>4904900</v>
      </c>
      <c r="D410" s="175">
        <v>4459000</v>
      </c>
      <c r="E410" s="175">
        <v>445900</v>
      </c>
      <c r="F410" s="229"/>
      <c r="G410" s="229"/>
      <c r="H410" s="229"/>
      <c r="I410" s="63" t="s">
        <v>126</v>
      </c>
      <c r="J410" s="187">
        <v>45940</v>
      </c>
      <c r="K410" s="206"/>
      <c r="L410" s="7"/>
    </row>
    <row r="411" spans="1:12">
      <c r="A411" s="93">
        <v>45930</v>
      </c>
      <c r="B411" s="7" t="s">
        <v>33</v>
      </c>
      <c r="C411" s="175">
        <v>1818300</v>
      </c>
      <c r="D411" s="175">
        <v>1653000</v>
      </c>
      <c r="E411" s="175">
        <v>165300</v>
      </c>
      <c r="F411" s="229"/>
      <c r="G411" s="229"/>
      <c r="H411" s="229"/>
      <c r="I411" s="72" t="s">
        <v>66</v>
      </c>
      <c r="J411" s="185">
        <v>45940</v>
      </c>
      <c r="K411" s="205"/>
      <c r="L411" s="7"/>
    </row>
    <row r="412" spans="1:12">
      <c r="A412" s="93">
        <v>45930</v>
      </c>
      <c r="B412" s="7" t="s">
        <v>99</v>
      </c>
      <c r="C412" s="175">
        <v>6932750</v>
      </c>
      <c r="D412" s="175">
        <v>6302500</v>
      </c>
      <c r="E412" s="175">
        <v>630250</v>
      </c>
      <c r="F412" s="229"/>
      <c r="G412" s="229"/>
      <c r="H412" s="229"/>
      <c r="I412" s="72" t="s">
        <v>74</v>
      </c>
      <c r="J412" s="185">
        <v>45945</v>
      </c>
      <c r="K412" s="205"/>
      <c r="L412" s="7"/>
    </row>
    <row r="413" spans="1:12">
      <c r="A413" s="93">
        <v>45930</v>
      </c>
      <c r="B413" s="21" t="s">
        <v>18</v>
      </c>
      <c r="C413" s="175">
        <v>2475000</v>
      </c>
      <c r="D413" s="175">
        <v>2250000</v>
      </c>
      <c r="E413" s="175">
        <v>225000</v>
      </c>
      <c r="F413" s="229"/>
      <c r="G413" s="229"/>
      <c r="H413" s="229"/>
      <c r="I413" s="63" t="s">
        <v>128</v>
      </c>
      <c r="J413" s="186">
        <v>45950</v>
      </c>
      <c r="K413" s="206"/>
      <c r="L413" s="7"/>
    </row>
    <row r="414" spans="1:12">
      <c r="A414" s="93">
        <v>45930</v>
      </c>
      <c r="B414" s="21" t="s">
        <v>18</v>
      </c>
      <c r="C414" s="175">
        <v>2574000</v>
      </c>
      <c r="D414" s="175">
        <v>2340000</v>
      </c>
      <c r="E414" s="175">
        <v>234000</v>
      </c>
      <c r="F414" s="229"/>
      <c r="G414" s="229"/>
      <c r="H414" s="229"/>
      <c r="I414" s="63" t="s">
        <v>73</v>
      </c>
      <c r="J414" s="186">
        <v>45952</v>
      </c>
      <c r="K414" s="206"/>
      <c r="L414" s="7"/>
    </row>
    <row r="415" spans="1:12">
      <c r="A415" s="93">
        <v>45930</v>
      </c>
      <c r="B415" s="21" t="s">
        <v>37</v>
      </c>
      <c r="C415" s="175">
        <v>532400</v>
      </c>
      <c r="D415" s="175">
        <v>484000</v>
      </c>
      <c r="E415" s="175">
        <v>48400</v>
      </c>
      <c r="F415" s="229"/>
      <c r="G415" s="229"/>
      <c r="H415" s="229"/>
      <c r="I415" s="63" t="s">
        <v>59</v>
      </c>
      <c r="J415" s="186">
        <v>45940</v>
      </c>
      <c r="K415" s="206"/>
      <c r="L415" s="7"/>
    </row>
    <row r="416" spans="1:12">
      <c r="A416" s="93">
        <v>45930</v>
      </c>
      <c r="B416" s="21" t="s">
        <v>37</v>
      </c>
      <c r="C416" s="175">
        <v>14314300</v>
      </c>
      <c r="D416" s="175">
        <v>13013000</v>
      </c>
      <c r="E416" s="175">
        <v>1301300</v>
      </c>
      <c r="F416" s="229"/>
      <c r="G416" s="229"/>
      <c r="H416" s="229"/>
      <c r="I416" s="63" t="s">
        <v>54</v>
      </c>
      <c r="J416" s="186">
        <v>45940</v>
      </c>
      <c r="K416" s="206"/>
      <c r="L416" s="7"/>
    </row>
    <row r="417" spans="1:12">
      <c r="A417" s="93">
        <v>45930</v>
      </c>
      <c r="B417" s="21" t="s">
        <v>0</v>
      </c>
      <c r="C417" s="175">
        <v>53299400</v>
      </c>
      <c r="D417" s="175">
        <v>48454000</v>
      </c>
      <c r="E417" s="175">
        <v>4845400</v>
      </c>
      <c r="F417" s="229"/>
      <c r="G417" s="229"/>
      <c r="H417" s="229"/>
      <c r="I417" s="63" t="s">
        <v>67</v>
      </c>
      <c r="J417" s="186">
        <v>45940</v>
      </c>
      <c r="K417" s="206"/>
      <c r="L417" s="7"/>
    </row>
    <row r="418" spans="1:12">
      <c r="A418" s="93">
        <v>45930</v>
      </c>
      <c r="B418" s="21" t="s">
        <v>77</v>
      </c>
      <c r="C418" s="175"/>
      <c r="D418" s="175"/>
      <c r="E418" s="175"/>
      <c r="F418" s="229">
        <v>-32505000</v>
      </c>
      <c r="G418" s="229">
        <v>-29550000</v>
      </c>
      <c r="H418" s="229">
        <v>-2955000</v>
      </c>
      <c r="I418" s="63" t="s">
        <v>250</v>
      </c>
      <c r="J418" s="186"/>
      <c r="K418" s="206" t="s">
        <v>302</v>
      </c>
      <c r="L418" s="7"/>
    </row>
    <row r="419" spans="1:12">
      <c r="A419" s="93">
        <v>45930</v>
      </c>
      <c r="B419" s="21" t="s">
        <v>184</v>
      </c>
      <c r="C419" s="175"/>
      <c r="D419" s="175"/>
      <c r="E419" s="175"/>
      <c r="F419" s="229">
        <v>140949</v>
      </c>
      <c r="G419" s="229">
        <v>128136</v>
      </c>
      <c r="H419" s="229">
        <v>12813</v>
      </c>
      <c r="I419" s="63" t="s">
        <v>256</v>
      </c>
      <c r="J419" s="186"/>
      <c r="K419" s="206"/>
      <c r="L419" s="7"/>
    </row>
    <row r="420" spans="1:12">
      <c r="A420" s="93">
        <v>45930</v>
      </c>
      <c r="B420" s="21" t="s">
        <v>77</v>
      </c>
      <c r="C420" s="175"/>
      <c r="D420" s="175"/>
      <c r="E420" s="175"/>
      <c r="F420" s="229">
        <v>47242800</v>
      </c>
      <c r="G420" s="229">
        <v>42948000</v>
      </c>
      <c r="H420" s="229">
        <v>4294800</v>
      </c>
      <c r="I420" s="63" t="s">
        <v>257</v>
      </c>
      <c r="J420" s="186"/>
      <c r="K420" s="206" t="s">
        <v>303</v>
      </c>
      <c r="L420" s="7"/>
    </row>
    <row r="421" spans="1:12">
      <c r="A421" s="93">
        <v>45935</v>
      </c>
      <c r="B421" s="21" t="s">
        <v>18</v>
      </c>
      <c r="C421" s="175">
        <v>2662000</v>
      </c>
      <c r="D421" s="175">
        <v>2420000</v>
      </c>
      <c r="E421" s="175">
        <v>242000</v>
      </c>
      <c r="F421" s="229"/>
      <c r="G421" s="229"/>
      <c r="H421" s="229"/>
      <c r="I421" s="63" t="s">
        <v>82</v>
      </c>
      <c r="J421" s="186">
        <v>45947</v>
      </c>
      <c r="K421" s="206"/>
      <c r="L421" s="7"/>
    </row>
    <row r="422" spans="1:12">
      <c r="A422" s="93">
        <v>45935</v>
      </c>
      <c r="B422" s="7" t="s">
        <v>18</v>
      </c>
      <c r="C422" s="175">
        <v>5087500</v>
      </c>
      <c r="D422" s="175">
        <v>4625000</v>
      </c>
      <c r="E422" s="175">
        <v>462500</v>
      </c>
      <c r="F422" s="229"/>
      <c r="G422" s="229"/>
      <c r="H422" s="229"/>
      <c r="I422" s="72" t="s">
        <v>43</v>
      </c>
      <c r="J422" s="185">
        <v>45947</v>
      </c>
      <c r="K422" s="205"/>
      <c r="L422" s="7"/>
    </row>
    <row r="423" spans="1:12">
      <c r="A423" s="93">
        <v>45941</v>
      </c>
      <c r="B423" s="7" t="s">
        <v>176</v>
      </c>
      <c r="C423" s="175"/>
      <c r="D423" s="175"/>
      <c r="E423" s="175"/>
      <c r="F423" s="229">
        <v>594000</v>
      </c>
      <c r="G423" s="229">
        <v>540000</v>
      </c>
      <c r="H423" s="229">
        <v>54000</v>
      </c>
      <c r="I423" s="72" t="s">
        <v>258</v>
      </c>
      <c r="J423" s="185"/>
      <c r="K423" s="205"/>
      <c r="L423" s="7"/>
    </row>
    <row r="424" spans="1:12">
      <c r="A424" s="93">
        <v>45942</v>
      </c>
      <c r="B424" s="7" t="s">
        <v>71</v>
      </c>
      <c r="C424" s="175">
        <v>330000</v>
      </c>
      <c r="D424" s="175">
        <v>300000</v>
      </c>
      <c r="E424" s="175">
        <v>30000</v>
      </c>
      <c r="F424" s="229"/>
      <c r="G424" s="229"/>
      <c r="H424" s="229"/>
      <c r="I424" s="72" t="s">
        <v>72</v>
      </c>
      <c r="J424" s="185">
        <v>45978</v>
      </c>
      <c r="K424" s="205"/>
      <c r="L424" s="7"/>
    </row>
    <row r="425" spans="1:12">
      <c r="A425" s="93">
        <v>45942</v>
      </c>
      <c r="B425" s="21" t="s">
        <v>17</v>
      </c>
      <c r="C425" s="175">
        <v>7657650</v>
      </c>
      <c r="D425" s="175">
        <v>6961500</v>
      </c>
      <c r="E425" s="175">
        <v>696150</v>
      </c>
      <c r="F425" s="229"/>
      <c r="G425" s="229"/>
      <c r="H425" s="229"/>
      <c r="I425" s="63" t="s">
        <v>148</v>
      </c>
      <c r="J425" s="186">
        <v>45950</v>
      </c>
      <c r="K425" s="206"/>
      <c r="L425" s="7"/>
    </row>
    <row r="426" spans="1:12">
      <c r="A426" s="93">
        <v>45942</v>
      </c>
      <c r="B426" s="21" t="s">
        <v>18</v>
      </c>
      <c r="C426" s="175">
        <v>8937500</v>
      </c>
      <c r="D426" s="175">
        <v>8125000</v>
      </c>
      <c r="E426" s="175">
        <v>812500</v>
      </c>
      <c r="F426" s="229"/>
      <c r="G426" s="229"/>
      <c r="H426" s="229"/>
      <c r="I426" s="63" t="s">
        <v>43</v>
      </c>
      <c r="J426" s="186">
        <v>45947</v>
      </c>
      <c r="K426" s="206"/>
      <c r="L426" s="7"/>
    </row>
    <row r="427" spans="1:12">
      <c r="A427" s="93">
        <v>45942</v>
      </c>
      <c r="B427" s="21" t="s">
        <v>18</v>
      </c>
      <c r="C427" s="175">
        <v>3025000</v>
      </c>
      <c r="D427" s="175">
        <v>2750000</v>
      </c>
      <c r="E427" s="175">
        <v>275000</v>
      </c>
      <c r="F427" s="229"/>
      <c r="G427" s="229"/>
      <c r="H427" s="229"/>
      <c r="I427" s="63" t="s">
        <v>81</v>
      </c>
      <c r="J427" s="186">
        <v>45954</v>
      </c>
      <c r="K427" s="206"/>
      <c r="L427" s="7"/>
    </row>
    <row r="428" spans="1:12">
      <c r="A428" s="93">
        <v>45945</v>
      </c>
      <c r="B428" s="21" t="s">
        <v>0</v>
      </c>
      <c r="C428" s="175">
        <v>17623100</v>
      </c>
      <c r="D428" s="175">
        <v>16021000</v>
      </c>
      <c r="E428" s="175">
        <v>1602100</v>
      </c>
      <c r="F428" s="229"/>
      <c r="G428" s="229"/>
      <c r="H428" s="229"/>
      <c r="I428" s="63" t="s">
        <v>42</v>
      </c>
      <c r="J428" s="186">
        <v>45950</v>
      </c>
      <c r="K428" s="206"/>
      <c r="L428" s="7"/>
    </row>
    <row r="429" spans="1:12">
      <c r="A429" s="93">
        <v>45945</v>
      </c>
      <c r="B429" s="21" t="s">
        <v>0</v>
      </c>
      <c r="C429" s="175">
        <v>10831700</v>
      </c>
      <c r="D429" s="175">
        <v>9847000</v>
      </c>
      <c r="E429" s="175">
        <v>984700</v>
      </c>
      <c r="F429" s="229"/>
      <c r="G429" s="229"/>
      <c r="H429" s="229"/>
      <c r="I429" s="63" t="s">
        <v>40</v>
      </c>
      <c r="J429" s="186">
        <v>45950</v>
      </c>
      <c r="K429" s="206"/>
      <c r="L429" s="7"/>
    </row>
    <row r="430" spans="1:12">
      <c r="A430" s="93">
        <v>45945</v>
      </c>
      <c r="B430" s="7" t="s">
        <v>33</v>
      </c>
      <c r="C430" s="175">
        <v>4497900</v>
      </c>
      <c r="D430" s="175">
        <v>4089000</v>
      </c>
      <c r="E430" s="175">
        <v>408900</v>
      </c>
      <c r="F430" s="229"/>
      <c r="G430" s="229"/>
      <c r="H430" s="229"/>
      <c r="I430" s="72" t="s">
        <v>127</v>
      </c>
      <c r="J430" s="185">
        <v>45954</v>
      </c>
      <c r="K430" s="205"/>
      <c r="L430" s="7"/>
    </row>
    <row r="431" spans="1:12">
      <c r="A431" s="93">
        <v>45945</v>
      </c>
      <c r="B431" s="7" t="s">
        <v>33</v>
      </c>
      <c r="C431" s="175">
        <v>5775000</v>
      </c>
      <c r="D431" s="175">
        <v>5250000</v>
      </c>
      <c r="E431" s="175">
        <v>525000</v>
      </c>
      <c r="F431" s="229"/>
      <c r="G431" s="229"/>
      <c r="H431" s="229"/>
      <c r="I431" s="72" t="s">
        <v>126</v>
      </c>
      <c r="J431" s="185">
        <v>45954</v>
      </c>
      <c r="K431" s="205"/>
      <c r="L431" s="7"/>
    </row>
    <row r="432" spans="1:12">
      <c r="A432" s="93">
        <v>45949</v>
      </c>
      <c r="B432" s="21" t="s">
        <v>18</v>
      </c>
      <c r="C432" s="175">
        <v>3509000</v>
      </c>
      <c r="D432" s="175">
        <v>3190000</v>
      </c>
      <c r="E432" s="175">
        <v>319000</v>
      </c>
      <c r="F432" s="229"/>
      <c r="G432" s="229"/>
      <c r="H432" s="229"/>
      <c r="I432" s="63" t="s">
        <v>82</v>
      </c>
      <c r="J432" s="186">
        <v>45954</v>
      </c>
      <c r="K432" s="206"/>
      <c r="L432" s="7"/>
    </row>
    <row r="433" spans="1:12">
      <c r="A433" s="93">
        <v>45949</v>
      </c>
      <c r="B433" s="21" t="s">
        <v>18</v>
      </c>
      <c r="C433" s="175">
        <v>4994000</v>
      </c>
      <c r="D433" s="175">
        <v>4540000</v>
      </c>
      <c r="E433" s="175">
        <v>454000</v>
      </c>
      <c r="F433" s="229"/>
      <c r="G433" s="229"/>
      <c r="H433" s="229"/>
      <c r="I433" s="63" t="s">
        <v>43</v>
      </c>
      <c r="J433" s="186">
        <v>45954</v>
      </c>
      <c r="K433" s="206"/>
      <c r="L433" s="7"/>
    </row>
    <row r="434" spans="1:12">
      <c r="A434" s="93">
        <v>45955</v>
      </c>
      <c r="B434" s="7" t="s">
        <v>185</v>
      </c>
      <c r="C434" s="175"/>
      <c r="D434" s="175"/>
      <c r="E434" s="175"/>
      <c r="F434" s="229">
        <v>305134</v>
      </c>
      <c r="G434" s="229">
        <v>277396</v>
      </c>
      <c r="H434" s="229">
        <v>27738</v>
      </c>
      <c r="I434" s="72" t="s">
        <v>244</v>
      </c>
      <c r="J434" s="185"/>
      <c r="K434" s="205"/>
      <c r="L434" s="7"/>
    </row>
    <row r="435" spans="1:12">
      <c r="A435" s="93">
        <v>45955</v>
      </c>
      <c r="B435" s="21" t="s">
        <v>39</v>
      </c>
      <c r="C435" s="175"/>
      <c r="D435" s="175"/>
      <c r="E435" s="175"/>
      <c r="F435" s="229">
        <v>220000</v>
      </c>
      <c r="G435" s="229">
        <v>200000</v>
      </c>
      <c r="H435" s="229">
        <v>20000</v>
      </c>
      <c r="I435" s="63" t="s">
        <v>56</v>
      </c>
      <c r="J435" s="186"/>
      <c r="K435" s="206"/>
      <c r="L435" s="7"/>
    </row>
    <row r="436" spans="1:12">
      <c r="A436" s="93">
        <v>45956</v>
      </c>
      <c r="B436" s="21" t="s">
        <v>18</v>
      </c>
      <c r="C436" s="175">
        <v>6875000</v>
      </c>
      <c r="D436" s="175">
        <v>6250000</v>
      </c>
      <c r="E436" s="175">
        <v>625000</v>
      </c>
      <c r="F436" s="229"/>
      <c r="G436" s="229"/>
      <c r="H436" s="229"/>
      <c r="I436" s="63" t="s">
        <v>43</v>
      </c>
      <c r="J436" s="186">
        <v>45961</v>
      </c>
      <c r="K436" s="206"/>
      <c r="L436" s="7"/>
    </row>
    <row r="437" spans="1:12">
      <c r="A437" s="93">
        <v>45956</v>
      </c>
      <c r="B437" s="21" t="s">
        <v>18</v>
      </c>
      <c r="C437" s="175">
        <v>3124000</v>
      </c>
      <c r="D437" s="175">
        <v>2840000</v>
      </c>
      <c r="E437" s="175">
        <v>284000</v>
      </c>
      <c r="F437" s="229"/>
      <c r="G437" s="229"/>
      <c r="H437" s="229"/>
      <c r="I437" s="63" t="s">
        <v>82</v>
      </c>
      <c r="J437" s="186">
        <v>45961</v>
      </c>
      <c r="K437" s="206"/>
      <c r="L437" s="7"/>
    </row>
    <row r="438" spans="1:12">
      <c r="A438" s="93">
        <v>45956</v>
      </c>
      <c r="B438" s="21" t="s">
        <v>17</v>
      </c>
      <c r="C438" s="175">
        <v>8371550</v>
      </c>
      <c r="D438" s="175">
        <v>7610500</v>
      </c>
      <c r="E438" s="175">
        <v>761050</v>
      </c>
      <c r="F438" s="229"/>
      <c r="G438" s="229"/>
      <c r="H438" s="229"/>
      <c r="I438" s="63" t="s">
        <v>148</v>
      </c>
      <c r="J438" s="186">
        <v>45968</v>
      </c>
      <c r="K438" s="206"/>
      <c r="L438" s="7"/>
    </row>
    <row r="439" spans="1:12">
      <c r="A439" s="93">
        <v>45958</v>
      </c>
      <c r="B439" s="21" t="s">
        <v>22</v>
      </c>
      <c r="C439" s="175">
        <v>1364000</v>
      </c>
      <c r="D439" s="175">
        <v>1240000</v>
      </c>
      <c r="E439" s="175">
        <v>124000</v>
      </c>
      <c r="F439" s="229"/>
      <c r="G439" s="229"/>
      <c r="H439" s="229"/>
      <c r="I439" s="63" t="s">
        <v>149</v>
      </c>
      <c r="J439" s="186">
        <v>45961</v>
      </c>
      <c r="K439" s="206"/>
      <c r="L439" s="7"/>
    </row>
    <row r="440" spans="1:12">
      <c r="A440" s="93">
        <v>45960</v>
      </c>
      <c r="B440" s="21" t="s">
        <v>184</v>
      </c>
      <c r="C440" s="175"/>
      <c r="D440" s="175"/>
      <c r="E440" s="175"/>
      <c r="F440" s="229">
        <v>154449</v>
      </c>
      <c r="G440" s="229">
        <v>140409</v>
      </c>
      <c r="H440" s="229">
        <v>14040</v>
      </c>
      <c r="I440" s="63" t="s">
        <v>259</v>
      </c>
      <c r="J440" s="187"/>
      <c r="K440" s="206"/>
      <c r="L440" s="7"/>
    </row>
    <row r="441" spans="1:12">
      <c r="A441" s="93">
        <v>45961</v>
      </c>
      <c r="B441" s="7" t="s">
        <v>7</v>
      </c>
      <c r="C441" s="175">
        <v>220000</v>
      </c>
      <c r="D441" s="175">
        <v>200000</v>
      </c>
      <c r="E441" s="175">
        <v>20000</v>
      </c>
      <c r="F441" s="229"/>
      <c r="G441" s="229"/>
      <c r="H441" s="229"/>
      <c r="I441" s="72" t="s">
        <v>3</v>
      </c>
      <c r="J441" s="185">
        <v>45964</v>
      </c>
      <c r="K441" s="205"/>
      <c r="L441" s="7"/>
    </row>
    <row r="442" spans="1:12">
      <c r="A442" s="93">
        <v>45961</v>
      </c>
      <c r="B442" s="21" t="s">
        <v>10</v>
      </c>
      <c r="C442" s="175">
        <v>1782000</v>
      </c>
      <c r="D442" s="175">
        <v>1620000</v>
      </c>
      <c r="E442" s="175">
        <v>162000</v>
      </c>
      <c r="F442" s="229"/>
      <c r="G442" s="229"/>
      <c r="H442" s="229"/>
      <c r="I442" s="63" t="s">
        <v>3</v>
      </c>
      <c r="J442" s="186">
        <v>45980</v>
      </c>
      <c r="K442" s="206"/>
      <c r="L442" s="7"/>
    </row>
    <row r="443" spans="1:12">
      <c r="A443" s="93">
        <v>45961</v>
      </c>
      <c r="B443" s="7" t="s">
        <v>100</v>
      </c>
      <c r="C443" s="175">
        <v>2761000</v>
      </c>
      <c r="D443" s="175">
        <v>2510000</v>
      </c>
      <c r="E443" s="175">
        <v>251000</v>
      </c>
      <c r="F443" s="229"/>
      <c r="G443" s="229"/>
      <c r="H443" s="229"/>
      <c r="I443" s="72" t="s">
        <v>3</v>
      </c>
      <c r="J443" s="185">
        <v>45965</v>
      </c>
      <c r="K443" s="205"/>
      <c r="L443" s="7"/>
    </row>
    <row r="444" spans="1:12">
      <c r="A444" s="93">
        <v>45961</v>
      </c>
      <c r="B444" s="21" t="s">
        <v>8</v>
      </c>
      <c r="C444" s="175">
        <v>2464000</v>
      </c>
      <c r="D444" s="175">
        <v>2240000</v>
      </c>
      <c r="E444" s="175">
        <v>224000</v>
      </c>
      <c r="F444" s="229"/>
      <c r="G444" s="229"/>
      <c r="H444" s="229"/>
      <c r="I444" s="63" t="s">
        <v>3</v>
      </c>
      <c r="J444" s="186">
        <v>45978</v>
      </c>
      <c r="K444" s="206"/>
      <c r="L444" s="7"/>
    </row>
    <row r="445" spans="1:12">
      <c r="A445" s="93">
        <v>45961</v>
      </c>
      <c r="B445" s="21" t="s">
        <v>25</v>
      </c>
      <c r="C445" s="175">
        <v>3553000</v>
      </c>
      <c r="D445" s="175">
        <v>3230000</v>
      </c>
      <c r="E445" s="175">
        <v>323000</v>
      </c>
      <c r="F445" s="229"/>
      <c r="G445" s="229"/>
      <c r="H445" s="229"/>
      <c r="I445" s="63" t="s">
        <v>3</v>
      </c>
      <c r="J445" s="186">
        <v>45967</v>
      </c>
      <c r="K445" s="206"/>
      <c r="L445" s="7"/>
    </row>
    <row r="446" spans="1:12">
      <c r="A446" s="93">
        <v>45961</v>
      </c>
      <c r="B446" s="21" t="s">
        <v>17</v>
      </c>
      <c r="C446" s="175">
        <v>412500</v>
      </c>
      <c r="D446" s="175">
        <v>375000</v>
      </c>
      <c r="E446" s="175">
        <v>37500</v>
      </c>
      <c r="F446" s="229"/>
      <c r="G446" s="229"/>
      <c r="H446" s="229"/>
      <c r="I446" s="62" t="s">
        <v>65</v>
      </c>
      <c r="J446" s="186">
        <v>45975</v>
      </c>
      <c r="K446" s="206"/>
      <c r="L446" s="7"/>
    </row>
    <row r="447" spans="1:12">
      <c r="A447" s="93">
        <v>45961</v>
      </c>
      <c r="B447" s="21" t="s">
        <v>24</v>
      </c>
      <c r="C447" s="175">
        <v>4083200</v>
      </c>
      <c r="D447" s="175">
        <v>3712000</v>
      </c>
      <c r="E447" s="175">
        <v>371200</v>
      </c>
      <c r="F447" s="229"/>
      <c r="G447" s="229"/>
      <c r="H447" s="229"/>
      <c r="I447" s="63" t="s">
        <v>47</v>
      </c>
      <c r="J447" s="186">
        <v>45975</v>
      </c>
      <c r="K447" s="206"/>
      <c r="L447" s="7"/>
    </row>
    <row r="448" spans="1:12">
      <c r="A448" s="93">
        <v>45961</v>
      </c>
      <c r="B448" s="21" t="s">
        <v>34</v>
      </c>
      <c r="C448" s="175">
        <v>313500</v>
      </c>
      <c r="D448" s="175">
        <v>285000</v>
      </c>
      <c r="E448" s="175">
        <v>28500</v>
      </c>
      <c r="F448" s="229"/>
      <c r="G448" s="229"/>
      <c r="H448" s="229"/>
      <c r="I448" s="63" t="s">
        <v>48</v>
      </c>
      <c r="J448" s="186">
        <v>45971</v>
      </c>
      <c r="K448" s="206"/>
      <c r="L448" s="7"/>
    </row>
    <row r="449" spans="1:12">
      <c r="A449" s="93">
        <v>45961</v>
      </c>
      <c r="B449" s="21" t="s">
        <v>37</v>
      </c>
      <c r="C449" s="175">
        <v>14851100</v>
      </c>
      <c r="D449" s="175">
        <v>13501000</v>
      </c>
      <c r="E449" s="175">
        <v>1350100</v>
      </c>
      <c r="F449" s="229"/>
      <c r="G449" s="229"/>
      <c r="H449" s="229"/>
      <c r="I449" s="63" t="s">
        <v>54</v>
      </c>
      <c r="J449" s="186">
        <v>45979</v>
      </c>
      <c r="K449" s="206"/>
      <c r="L449" s="7"/>
    </row>
    <row r="450" spans="1:12">
      <c r="A450" s="93">
        <v>45961</v>
      </c>
      <c r="B450" s="21" t="s">
        <v>37</v>
      </c>
      <c r="C450" s="175">
        <v>222200</v>
      </c>
      <c r="D450" s="175">
        <v>202000</v>
      </c>
      <c r="E450" s="175">
        <v>20200</v>
      </c>
      <c r="F450" s="229"/>
      <c r="G450" s="229"/>
      <c r="H450" s="229"/>
      <c r="I450" s="63" t="s">
        <v>45</v>
      </c>
      <c r="J450" s="186">
        <v>45979</v>
      </c>
      <c r="K450" s="206"/>
      <c r="L450" s="7"/>
    </row>
    <row r="451" spans="1:12">
      <c r="A451" s="93">
        <v>45961</v>
      </c>
      <c r="B451" s="21" t="s">
        <v>33</v>
      </c>
      <c r="C451" s="175">
        <v>4125000</v>
      </c>
      <c r="D451" s="175">
        <v>3750000</v>
      </c>
      <c r="E451" s="175">
        <v>375000</v>
      </c>
      <c r="F451" s="229"/>
      <c r="G451" s="229"/>
      <c r="H451" s="229"/>
      <c r="I451" s="63" t="s">
        <v>58</v>
      </c>
      <c r="J451" s="186">
        <v>45971</v>
      </c>
      <c r="K451" s="206"/>
      <c r="L451" s="7"/>
    </row>
    <row r="452" spans="1:12">
      <c r="A452" s="93">
        <v>45961</v>
      </c>
      <c r="B452" s="21" t="s">
        <v>33</v>
      </c>
      <c r="C452" s="175">
        <v>3850000</v>
      </c>
      <c r="D452" s="175">
        <v>3500000</v>
      </c>
      <c r="E452" s="175">
        <v>350000</v>
      </c>
      <c r="F452" s="229"/>
      <c r="G452" s="229"/>
      <c r="H452" s="229"/>
      <c r="I452" s="63" t="s">
        <v>150</v>
      </c>
      <c r="J452" s="186">
        <v>45971</v>
      </c>
      <c r="K452" s="206"/>
      <c r="L452" s="7"/>
    </row>
    <row r="453" spans="1:12">
      <c r="A453" s="93">
        <v>45961</v>
      </c>
      <c r="B453" s="7" t="s">
        <v>33</v>
      </c>
      <c r="C453" s="175">
        <v>1818300</v>
      </c>
      <c r="D453" s="175">
        <v>1653000</v>
      </c>
      <c r="E453" s="175">
        <v>165300</v>
      </c>
      <c r="F453" s="229"/>
      <c r="G453" s="229"/>
      <c r="H453" s="229"/>
      <c r="I453" s="72" t="s">
        <v>151</v>
      </c>
      <c r="J453" s="185">
        <v>45971</v>
      </c>
      <c r="K453" s="205"/>
      <c r="L453" s="7"/>
    </row>
    <row r="454" spans="1:12">
      <c r="A454" s="93">
        <v>45961</v>
      </c>
      <c r="B454" s="7" t="s">
        <v>60</v>
      </c>
      <c r="C454" s="175">
        <v>10015500</v>
      </c>
      <c r="D454" s="175">
        <v>9105000</v>
      </c>
      <c r="E454" s="175">
        <v>910500</v>
      </c>
      <c r="F454" s="229"/>
      <c r="G454" s="229"/>
      <c r="H454" s="229"/>
      <c r="I454" s="72" t="s">
        <v>152</v>
      </c>
      <c r="J454" s="185">
        <v>45966</v>
      </c>
      <c r="K454" s="205"/>
      <c r="L454" s="7"/>
    </row>
    <row r="455" spans="1:12">
      <c r="A455" s="93">
        <v>45961</v>
      </c>
      <c r="B455" s="7" t="s">
        <v>99</v>
      </c>
      <c r="C455" s="175">
        <v>4675000</v>
      </c>
      <c r="D455" s="175">
        <v>4250000</v>
      </c>
      <c r="E455" s="175">
        <v>425000</v>
      </c>
      <c r="F455" s="229"/>
      <c r="G455" s="229"/>
      <c r="H455" s="229"/>
      <c r="I455" s="72" t="s">
        <v>153</v>
      </c>
      <c r="J455" s="185">
        <v>45971</v>
      </c>
      <c r="K455" s="205"/>
      <c r="L455" s="7"/>
    </row>
    <row r="456" spans="1:12">
      <c r="A456" s="93">
        <v>45961</v>
      </c>
      <c r="B456" s="7" t="s">
        <v>18</v>
      </c>
      <c r="C456" s="175">
        <v>2887500</v>
      </c>
      <c r="D456" s="175">
        <v>2625000</v>
      </c>
      <c r="E456" s="175">
        <v>262500</v>
      </c>
      <c r="F456" s="229"/>
      <c r="G456" s="229"/>
      <c r="H456" s="229"/>
      <c r="I456" s="72" t="s">
        <v>128</v>
      </c>
      <c r="J456" s="185">
        <v>45980</v>
      </c>
      <c r="K456" s="205"/>
      <c r="L456" s="7"/>
    </row>
    <row r="457" spans="1:12">
      <c r="A457" s="93">
        <v>45961</v>
      </c>
      <c r="B457" s="21" t="s">
        <v>18</v>
      </c>
      <c r="C457" s="175">
        <v>275000</v>
      </c>
      <c r="D457" s="175">
        <v>250000</v>
      </c>
      <c r="E457" s="175">
        <v>25000</v>
      </c>
      <c r="F457" s="229"/>
      <c r="G457" s="229"/>
      <c r="H457" s="229"/>
      <c r="I457" s="63" t="s">
        <v>154</v>
      </c>
      <c r="J457" s="186"/>
      <c r="K457" s="206"/>
      <c r="L457" s="7"/>
    </row>
    <row r="458" spans="1:12">
      <c r="A458" s="93">
        <v>45961</v>
      </c>
      <c r="B458" s="21" t="s">
        <v>63</v>
      </c>
      <c r="C458" s="175">
        <v>677600</v>
      </c>
      <c r="D458" s="175">
        <v>616000</v>
      </c>
      <c r="E458" s="175">
        <v>61600</v>
      </c>
      <c r="F458" s="229"/>
      <c r="G458" s="229"/>
      <c r="H458" s="229"/>
      <c r="I458" s="63" t="s">
        <v>41</v>
      </c>
      <c r="J458" s="186">
        <v>45982</v>
      </c>
      <c r="K458" s="206"/>
      <c r="L458" s="7"/>
    </row>
    <row r="459" spans="1:12">
      <c r="A459" s="93">
        <v>45961</v>
      </c>
      <c r="B459" s="21" t="s">
        <v>0</v>
      </c>
      <c r="C459" s="175">
        <v>5981800</v>
      </c>
      <c r="D459" s="175">
        <v>5438000</v>
      </c>
      <c r="E459" s="175">
        <v>543800</v>
      </c>
      <c r="F459" s="229"/>
      <c r="G459" s="229"/>
      <c r="H459" s="229"/>
      <c r="I459" s="63" t="s">
        <v>40</v>
      </c>
      <c r="J459" s="186">
        <v>45971</v>
      </c>
      <c r="K459" s="206"/>
      <c r="L459" s="7"/>
    </row>
    <row r="460" spans="1:12">
      <c r="A460" s="93">
        <v>45961</v>
      </c>
      <c r="B460" s="21" t="s">
        <v>0</v>
      </c>
      <c r="C460" s="175">
        <v>16999400</v>
      </c>
      <c r="D460" s="175">
        <v>15454000</v>
      </c>
      <c r="E460" s="175">
        <v>1545400</v>
      </c>
      <c r="F460" s="229"/>
      <c r="G460" s="229"/>
      <c r="H460" s="229"/>
      <c r="I460" s="63" t="s">
        <v>42</v>
      </c>
      <c r="J460" s="186">
        <v>45971</v>
      </c>
      <c r="K460" s="206"/>
      <c r="L460" s="7"/>
    </row>
    <row r="461" spans="1:12">
      <c r="A461" s="93">
        <v>45961</v>
      </c>
      <c r="B461" s="21" t="s">
        <v>0</v>
      </c>
      <c r="C461" s="175">
        <v>1056000</v>
      </c>
      <c r="D461" s="175">
        <v>960000</v>
      </c>
      <c r="E461" s="175">
        <v>96000</v>
      </c>
      <c r="F461" s="229"/>
      <c r="G461" s="229"/>
      <c r="H461" s="229"/>
      <c r="I461" s="63" t="s">
        <v>136</v>
      </c>
      <c r="J461" s="186">
        <v>45971</v>
      </c>
      <c r="K461" s="206"/>
      <c r="L461" s="7"/>
    </row>
    <row r="462" spans="1:12">
      <c r="A462" s="93">
        <v>45961</v>
      </c>
      <c r="B462" s="21" t="s">
        <v>0</v>
      </c>
      <c r="C462" s="175">
        <v>1791900</v>
      </c>
      <c r="D462" s="175">
        <v>1629000</v>
      </c>
      <c r="E462" s="175">
        <v>162900</v>
      </c>
      <c r="F462" s="229"/>
      <c r="G462" s="229"/>
      <c r="H462" s="229"/>
      <c r="I462" s="63" t="s">
        <v>155</v>
      </c>
      <c r="J462" s="186">
        <v>45971</v>
      </c>
      <c r="K462" s="206"/>
      <c r="L462" s="7"/>
    </row>
    <row r="463" spans="1:12">
      <c r="A463" s="93">
        <v>45961</v>
      </c>
      <c r="B463" s="7" t="s">
        <v>61</v>
      </c>
      <c r="C463" s="175">
        <v>1244100</v>
      </c>
      <c r="D463" s="175">
        <v>1131000</v>
      </c>
      <c r="E463" s="175">
        <v>113100</v>
      </c>
      <c r="F463" s="229"/>
      <c r="G463" s="229"/>
      <c r="H463" s="229"/>
      <c r="I463" s="72" t="s">
        <v>62</v>
      </c>
      <c r="J463" s="185">
        <v>45971</v>
      </c>
      <c r="K463" s="205"/>
      <c r="L463" s="7"/>
    </row>
    <row r="464" spans="1:12">
      <c r="A464" s="93">
        <v>45961</v>
      </c>
      <c r="B464" s="7" t="s">
        <v>17</v>
      </c>
      <c r="C464" s="175">
        <v>2802800</v>
      </c>
      <c r="D464" s="175">
        <v>2548000</v>
      </c>
      <c r="E464" s="175">
        <v>254800</v>
      </c>
      <c r="F464" s="229"/>
      <c r="G464" s="229"/>
      <c r="H464" s="229"/>
      <c r="I464" s="72" t="s">
        <v>148</v>
      </c>
      <c r="J464" s="185">
        <v>45968</v>
      </c>
      <c r="K464" s="205"/>
      <c r="L464" s="7"/>
    </row>
    <row r="465" spans="1:12">
      <c r="A465" s="93">
        <v>45961</v>
      </c>
      <c r="B465" s="7" t="s">
        <v>0</v>
      </c>
      <c r="C465" s="175">
        <v>56625030</v>
      </c>
      <c r="D465" s="175">
        <v>51477300</v>
      </c>
      <c r="E465" s="175">
        <v>5147730</v>
      </c>
      <c r="F465" s="229"/>
      <c r="G465" s="229"/>
      <c r="H465" s="229"/>
      <c r="I465" s="72" t="s">
        <v>67</v>
      </c>
      <c r="J465" s="185">
        <v>45971</v>
      </c>
      <c r="K465" s="205"/>
      <c r="L465" s="7"/>
    </row>
    <row r="466" spans="1:12">
      <c r="A466" s="93">
        <v>45961</v>
      </c>
      <c r="B466" s="21" t="s">
        <v>77</v>
      </c>
      <c r="C466" s="175"/>
      <c r="D466" s="175"/>
      <c r="E466" s="175"/>
      <c r="F466" s="229">
        <v>50590100</v>
      </c>
      <c r="G466" s="229">
        <v>45991000</v>
      </c>
      <c r="H466" s="229">
        <v>4599100</v>
      </c>
      <c r="I466" s="63" t="s">
        <v>254</v>
      </c>
      <c r="J466" s="187"/>
      <c r="K466" s="206" t="s">
        <v>304</v>
      </c>
      <c r="L466" s="7"/>
    </row>
    <row r="467" spans="1:12">
      <c r="A467" s="93">
        <v>45962</v>
      </c>
      <c r="B467" s="21" t="s">
        <v>83</v>
      </c>
      <c r="C467" s="175"/>
      <c r="D467" s="175"/>
      <c r="E467" s="175"/>
      <c r="F467" s="229">
        <v>52341300</v>
      </c>
      <c r="G467" s="229">
        <v>47583000</v>
      </c>
      <c r="H467" s="229">
        <v>4758300</v>
      </c>
      <c r="I467" s="63" t="s">
        <v>260</v>
      </c>
      <c r="J467" s="190"/>
      <c r="K467" s="206"/>
      <c r="L467" s="7"/>
    </row>
    <row r="468" spans="1:12">
      <c r="A468" s="93">
        <v>45963</v>
      </c>
      <c r="B468" s="7" t="s">
        <v>18</v>
      </c>
      <c r="C468" s="175">
        <v>6050000</v>
      </c>
      <c r="D468" s="175">
        <v>5500000</v>
      </c>
      <c r="E468" s="175">
        <v>550000</v>
      </c>
      <c r="F468" s="229"/>
      <c r="G468" s="229"/>
      <c r="H468" s="229"/>
      <c r="I468" s="72" t="s">
        <v>43</v>
      </c>
      <c r="J468" s="185">
        <v>45968</v>
      </c>
      <c r="K468" s="205"/>
      <c r="L468" s="7"/>
    </row>
    <row r="469" spans="1:12">
      <c r="A469" s="93">
        <v>45963</v>
      </c>
      <c r="B469" s="7" t="s">
        <v>18</v>
      </c>
      <c r="C469" s="175">
        <v>3872055</v>
      </c>
      <c r="D469" s="175">
        <v>3520050</v>
      </c>
      <c r="E469" s="175">
        <v>352005</v>
      </c>
      <c r="F469" s="229"/>
      <c r="G469" s="229"/>
      <c r="H469" s="229"/>
      <c r="I469" s="72" t="s">
        <v>82</v>
      </c>
      <c r="J469" s="185">
        <v>45968</v>
      </c>
      <c r="K469" s="205"/>
      <c r="L469" s="7"/>
    </row>
    <row r="470" spans="1:12">
      <c r="A470" s="93">
        <v>45970</v>
      </c>
      <c r="B470" s="7" t="s">
        <v>18</v>
      </c>
      <c r="C470" s="175">
        <v>4400000</v>
      </c>
      <c r="D470" s="175">
        <v>4000000</v>
      </c>
      <c r="E470" s="175">
        <v>400000</v>
      </c>
      <c r="F470" s="229"/>
      <c r="G470" s="229"/>
      <c r="H470" s="229"/>
      <c r="I470" s="72" t="s">
        <v>43</v>
      </c>
      <c r="J470" s="185">
        <v>45975</v>
      </c>
      <c r="K470" s="205"/>
      <c r="L470" s="7"/>
    </row>
    <row r="471" spans="1:12">
      <c r="A471" s="93">
        <v>45970</v>
      </c>
      <c r="B471" s="7" t="s">
        <v>18</v>
      </c>
      <c r="C471" s="175">
        <v>11803000</v>
      </c>
      <c r="D471" s="175">
        <v>10730000</v>
      </c>
      <c r="E471" s="175">
        <v>1073000</v>
      </c>
      <c r="F471" s="229"/>
      <c r="G471" s="229"/>
      <c r="H471" s="229"/>
      <c r="I471" s="72" t="s">
        <v>82</v>
      </c>
      <c r="J471" s="185">
        <v>45975</v>
      </c>
      <c r="K471" s="205"/>
      <c r="L471" s="7"/>
    </row>
    <row r="472" spans="1:12">
      <c r="A472" s="93">
        <v>45971</v>
      </c>
      <c r="B472" s="14" t="s">
        <v>77</v>
      </c>
      <c r="C472" s="175"/>
      <c r="D472" s="175"/>
      <c r="E472" s="175"/>
      <c r="F472" s="229">
        <v>16647510</v>
      </c>
      <c r="G472" s="229">
        <v>15134100</v>
      </c>
      <c r="H472" s="229">
        <v>1513410</v>
      </c>
      <c r="I472" s="73" t="s">
        <v>261</v>
      </c>
      <c r="J472" s="185"/>
      <c r="K472" s="207" t="s">
        <v>305</v>
      </c>
      <c r="L472" s="7"/>
    </row>
    <row r="473" spans="1:12">
      <c r="A473" s="93">
        <v>45971</v>
      </c>
      <c r="B473" s="7" t="s">
        <v>77</v>
      </c>
      <c r="C473" s="175"/>
      <c r="D473" s="175"/>
      <c r="E473" s="175"/>
      <c r="F473" s="229">
        <v>27338300</v>
      </c>
      <c r="G473" s="229">
        <v>24853000</v>
      </c>
      <c r="H473" s="229">
        <v>2485300</v>
      </c>
      <c r="I473" s="72" t="s">
        <v>262</v>
      </c>
      <c r="J473" s="185"/>
      <c r="K473" s="205" t="s">
        <v>305</v>
      </c>
      <c r="L473" s="7"/>
    </row>
    <row r="474" spans="1:12">
      <c r="A474" s="93">
        <v>45971</v>
      </c>
      <c r="B474" s="7" t="s">
        <v>176</v>
      </c>
      <c r="C474" s="175"/>
      <c r="D474" s="175"/>
      <c r="E474" s="175"/>
      <c r="F474" s="229">
        <v>594000</v>
      </c>
      <c r="G474" s="229">
        <v>540000</v>
      </c>
      <c r="H474" s="229">
        <v>54000</v>
      </c>
      <c r="I474" s="72" t="s">
        <v>263</v>
      </c>
      <c r="J474" s="185"/>
      <c r="K474" s="205"/>
      <c r="L474" s="7"/>
    </row>
    <row r="475" spans="1:12">
      <c r="A475" s="93">
        <v>45976</v>
      </c>
      <c r="B475" s="21" t="s">
        <v>0</v>
      </c>
      <c r="C475" s="175">
        <v>16602300</v>
      </c>
      <c r="D475" s="175">
        <v>15093000</v>
      </c>
      <c r="E475" s="175">
        <v>1509300</v>
      </c>
      <c r="F475" s="229"/>
      <c r="G475" s="229"/>
      <c r="H475" s="229"/>
      <c r="I475" s="63" t="s">
        <v>42</v>
      </c>
      <c r="J475" s="188">
        <v>45981</v>
      </c>
      <c r="K475" s="206"/>
      <c r="L475" s="7"/>
    </row>
    <row r="476" spans="1:12">
      <c r="A476" s="93">
        <v>45976</v>
      </c>
      <c r="B476" s="21" t="s">
        <v>0</v>
      </c>
      <c r="C476" s="175">
        <v>5831100</v>
      </c>
      <c r="D476" s="175">
        <v>5301000</v>
      </c>
      <c r="E476" s="175">
        <v>530100</v>
      </c>
      <c r="F476" s="229"/>
      <c r="G476" s="229"/>
      <c r="H476" s="229"/>
      <c r="I476" s="63" t="s">
        <v>40</v>
      </c>
      <c r="J476" s="188">
        <v>45986</v>
      </c>
      <c r="K476" s="206"/>
      <c r="L476" s="7"/>
    </row>
    <row r="477" spans="1:12">
      <c r="A477" s="93">
        <v>45976</v>
      </c>
      <c r="B477" s="21" t="s">
        <v>33</v>
      </c>
      <c r="C477" s="175">
        <v>3437500</v>
      </c>
      <c r="D477" s="175">
        <v>3125000</v>
      </c>
      <c r="E477" s="175">
        <v>312500</v>
      </c>
      <c r="F477" s="229"/>
      <c r="G477" s="229"/>
      <c r="H477" s="229"/>
      <c r="I477" s="63" t="s">
        <v>126</v>
      </c>
      <c r="J477" s="186">
        <v>45982</v>
      </c>
      <c r="K477" s="206"/>
      <c r="L477" s="7"/>
    </row>
    <row r="478" spans="1:12">
      <c r="A478" s="93">
        <v>45976</v>
      </c>
      <c r="B478" s="7" t="s">
        <v>33</v>
      </c>
      <c r="C478" s="175">
        <v>2296800</v>
      </c>
      <c r="D478" s="175">
        <v>2088000</v>
      </c>
      <c r="E478" s="175">
        <v>208800</v>
      </c>
      <c r="F478" s="229"/>
      <c r="G478" s="229"/>
      <c r="H478" s="229"/>
      <c r="I478" s="72" t="s">
        <v>127</v>
      </c>
      <c r="J478" s="185">
        <v>45982</v>
      </c>
      <c r="K478" s="205"/>
      <c r="L478" s="7"/>
    </row>
    <row r="479" spans="1:12">
      <c r="A479" s="93">
        <v>45977</v>
      </c>
      <c r="B479" s="21" t="s">
        <v>17</v>
      </c>
      <c r="C479" s="175">
        <v>9961600</v>
      </c>
      <c r="D479" s="175">
        <v>9056000</v>
      </c>
      <c r="E479" s="175">
        <v>905600</v>
      </c>
      <c r="F479" s="229"/>
      <c r="G479" s="229"/>
      <c r="H479" s="229"/>
      <c r="I479" s="63" t="s">
        <v>148</v>
      </c>
      <c r="J479" s="186">
        <v>45981</v>
      </c>
      <c r="K479" s="206"/>
      <c r="L479" s="7"/>
    </row>
    <row r="480" spans="1:12">
      <c r="A480" s="93">
        <v>45977</v>
      </c>
      <c r="B480" s="21" t="s">
        <v>18</v>
      </c>
      <c r="C480" s="175">
        <v>4950000</v>
      </c>
      <c r="D480" s="175">
        <v>4500000</v>
      </c>
      <c r="E480" s="175">
        <v>450000</v>
      </c>
      <c r="F480" s="229"/>
      <c r="G480" s="229"/>
      <c r="H480" s="229"/>
      <c r="I480" s="63" t="s">
        <v>43</v>
      </c>
      <c r="J480" s="186">
        <v>45982</v>
      </c>
      <c r="K480" s="206"/>
      <c r="L480" s="7"/>
    </row>
    <row r="481" spans="1:12">
      <c r="A481" s="93">
        <v>45977</v>
      </c>
      <c r="B481" s="21" t="s">
        <v>18</v>
      </c>
      <c r="C481" s="175">
        <v>11814000</v>
      </c>
      <c r="D481" s="175">
        <v>10740000</v>
      </c>
      <c r="E481" s="175">
        <v>1074000</v>
      </c>
      <c r="F481" s="229"/>
      <c r="G481" s="229"/>
      <c r="H481" s="229"/>
      <c r="I481" s="63" t="s">
        <v>81</v>
      </c>
      <c r="J481" s="186">
        <v>45992</v>
      </c>
      <c r="K481" s="206"/>
      <c r="L481" s="7"/>
    </row>
    <row r="482" spans="1:12">
      <c r="A482" s="93">
        <v>45981</v>
      </c>
      <c r="B482" s="7" t="s">
        <v>83</v>
      </c>
      <c r="C482" s="175"/>
      <c r="D482" s="175"/>
      <c r="E482" s="175"/>
      <c r="F482" s="229">
        <v>50552700</v>
      </c>
      <c r="G482" s="229">
        <v>45957000</v>
      </c>
      <c r="H482" s="229">
        <v>4595700</v>
      </c>
      <c r="I482" s="72" t="s">
        <v>264</v>
      </c>
      <c r="J482" s="185"/>
      <c r="K482" s="205"/>
      <c r="L482" s="7"/>
    </row>
    <row r="483" spans="1:12">
      <c r="A483" s="93">
        <v>45984</v>
      </c>
      <c r="B483" s="21" t="s">
        <v>18</v>
      </c>
      <c r="C483" s="175">
        <v>4262500</v>
      </c>
      <c r="D483" s="175">
        <v>3875000</v>
      </c>
      <c r="E483" s="175">
        <v>387500</v>
      </c>
      <c r="F483" s="229"/>
      <c r="G483" s="229"/>
      <c r="H483" s="229"/>
      <c r="I483" s="63" t="s">
        <v>43</v>
      </c>
      <c r="J483" s="186">
        <v>45989</v>
      </c>
      <c r="K483" s="206"/>
      <c r="L483" s="7"/>
    </row>
    <row r="484" spans="1:12">
      <c r="A484" s="93">
        <v>45984</v>
      </c>
      <c r="B484" s="7" t="s">
        <v>18</v>
      </c>
      <c r="C484" s="175">
        <v>10367500</v>
      </c>
      <c r="D484" s="175">
        <v>9425000</v>
      </c>
      <c r="E484" s="175">
        <v>942500</v>
      </c>
      <c r="F484" s="229"/>
      <c r="G484" s="229"/>
      <c r="H484" s="229"/>
      <c r="I484" s="72" t="s">
        <v>81</v>
      </c>
      <c r="J484" s="185">
        <v>45992</v>
      </c>
      <c r="K484" s="205"/>
      <c r="L484" s="7"/>
    </row>
    <row r="485" spans="1:12">
      <c r="A485" s="93">
        <v>45986</v>
      </c>
      <c r="B485" s="7" t="s">
        <v>185</v>
      </c>
      <c r="C485" s="175"/>
      <c r="D485" s="175"/>
      <c r="E485" s="175"/>
      <c r="F485" s="229">
        <v>305134</v>
      </c>
      <c r="G485" s="229">
        <v>277396</v>
      </c>
      <c r="H485" s="229">
        <v>27738</v>
      </c>
      <c r="I485" s="72" t="s">
        <v>244</v>
      </c>
      <c r="J485" s="185"/>
      <c r="K485" s="205"/>
      <c r="L485" s="7"/>
    </row>
    <row r="486" spans="1:12">
      <c r="A486" s="93">
        <v>45986</v>
      </c>
      <c r="B486" s="7" t="s">
        <v>39</v>
      </c>
      <c r="C486" s="175"/>
      <c r="D486" s="175"/>
      <c r="E486" s="175"/>
      <c r="F486" s="229">
        <v>220000</v>
      </c>
      <c r="G486" s="229">
        <v>200000</v>
      </c>
      <c r="H486" s="229">
        <v>20000</v>
      </c>
      <c r="I486" s="72" t="s">
        <v>56</v>
      </c>
      <c r="J486" s="185"/>
      <c r="K486" s="205"/>
      <c r="L486" s="7"/>
    </row>
    <row r="487" spans="1:12">
      <c r="A487" s="93">
        <v>45991</v>
      </c>
      <c r="B487" s="7" t="s">
        <v>0</v>
      </c>
      <c r="C487" s="175">
        <v>17733100</v>
      </c>
      <c r="D487" s="175">
        <v>16121000</v>
      </c>
      <c r="E487" s="175">
        <v>1612100</v>
      </c>
      <c r="F487" s="229"/>
      <c r="G487" s="229"/>
      <c r="H487" s="229"/>
      <c r="I487" s="72" t="s">
        <v>42</v>
      </c>
      <c r="J487" s="185">
        <v>45996</v>
      </c>
      <c r="K487" s="205"/>
      <c r="L487" s="7"/>
    </row>
    <row r="488" spans="1:12">
      <c r="A488" s="93">
        <v>45991</v>
      </c>
      <c r="B488" s="21" t="s">
        <v>0</v>
      </c>
      <c r="C488" s="175">
        <v>7784700</v>
      </c>
      <c r="D488" s="175">
        <v>7077000</v>
      </c>
      <c r="E488" s="175">
        <v>707700</v>
      </c>
      <c r="F488" s="229"/>
      <c r="G488" s="229"/>
      <c r="H488" s="229"/>
      <c r="I488" s="63" t="s">
        <v>40</v>
      </c>
      <c r="J488" s="186">
        <v>46001</v>
      </c>
      <c r="K488" s="206"/>
      <c r="L488" s="7"/>
    </row>
    <row r="489" spans="1:12">
      <c r="A489" s="93">
        <v>45991</v>
      </c>
      <c r="B489" s="21" t="s">
        <v>0</v>
      </c>
      <c r="C489" s="175">
        <v>1100000</v>
      </c>
      <c r="D489" s="175">
        <v>1000000</v>
      </c>
      <c r="E489" s="175">
        <v>100000</v>
      </c>
      <c r="F489" s="229"/>
      <c r="G489" s="229"/>
      <c r="H489" s="229"/>
      <c r="I489" s="63" t="s">
        <v>136</v>
      </c>
      <c r="J489" s="186">
        <v>46001</v>
      </c>
      <c r="K489" s="206"/>
      <c r="L489" s="7"/>
    </row>
    <row r="490" spans="1:12">
      <c r="A490" s="93">
        <v>45991</v>
      </c>
      <c r="B490" s="21" t="s">
        <v>0</v>
      </c>
      <c r="C490" s="175">
        <v>1215500</v>
      </c>
      <c r="D490" s="175">
        <v>1105000</v>
      </c>
      <c r="E490" s="175">
        <v>110500</v>
      </c>
      <c r="F490" s="229"/>
      <c r="G490" s="229"/>
      <c r="H490" s="229"/>
      <c r="I490" s="63" t="s">
        <v>156</v>
      </c>
      <c r="J490" s="186">
        <v>46001</v>
      </c>
      <c r="K490" s="206"/>
      <c r="L490" s="7"/>
    </row>
    <row r="491" spans="1:12">
      <c r="A491" s="93">
        <v>45991</v>
      </c>
      <c r="B491" s="21" t="s">
        <v>0</v>
      </c>
      <c r="C491" s="175">
        <v>641300</v>
      </c>
      <c r="D491" s="175">
        <v>583000</v>
      </c>
      <c r="E491" s="175">
        <v>58300</v>
      </c>
      <c r="F491" s="229"/>
      <c r="G491" s="229"/>
      <c r="H491" s="229"/>
      <c r="I491" s="63" t="s">
        <v>135</v>
      </c>
      <c r="J491" s="186">
        <v>46001</v>
      </c>
      <c r="K491" s="206"/>
      <c r="L491" s="7"/>
    </row>
    <row r="492" spans="1:12">
      <c r="A492" s="93">
        <v>45991</v>
      </c>
      <c r="B492" s="7" t="s">
        <v>0</v>
      </c>
      <c r="C492" s="175">
        <v>45375583</v>
      </c>
      <c r="D492" s="175">
        <v>41250530</v>
      </c>
      <c r="E492" s="175">
        <v>4125053</v>
      </c>
      <c r="F492" s="229"/>
      <c r="G492" s="229"/>
      <c r="H492" s="229"/>
      <c r="I492" s="72" t="s">
        <v>67</v>
      </c>
      <c r="J492" s="185">
        <v>46001</v>
      </c>
      <c r="K492" s="205"/>
      <c r="L492" s="7"/>
    </row>
    <row r="493" spans="1:12">
      <c r="A493" s="93">
        <v>45991</v>
      </c>
      <c r="B493" s="21" t="s">
        <v>18</v>
      </c>
      <c r="C493" s="175">
        <v>11132550</v>
      </c>
      <c r="D493" s="175">
        <v>10120500</v>
      </c>
      <c r="E493" s="175">
        <v>1012050</v>
      </c>
      <c r="F493" s="229"/>
      <c r="G493" s="229"/>
      <c r="H493" s="229"/>
      <c r="I493" s="63" t="s">
        <v>82</v>
      </c>
      <c r="J493" s="186">
        <v>46001</v>
      </c>
      <c r="K493" s="206"/>
      <c r="L493" s="7"/>
    </row>
    <row r="494" spans="1:12">
      <c r="A494" s="93">
        <v>45991</v>
      </c>
      <c r="B494" s="21" t="s">
        <v>18</v>
      </c>
      <c r="C494" s="175">
        <v>4537500</v>
      </c>
      <c r="D494" s="175">
        <v>4125000</v>
      </c>
      <c r="E494" s="175">
        <v>412500</v>
      </c>
      <c r="F494" s="229"/>
      <c r="G494" s="229"/>
      <c r="H494" s="229"/>
      <c r="I494" s="63" t="s">
        <v>43</v>
      </c>
      <c r="J494" s="186">
        <v>45996</v>
      </c>
      <c r="K494" s="206"/>
      <c r="L494" s="7"/>
    </row>
    <row r="495" spans="1:12">
      <c r="A495" s="93">
        <v>45991</v>
      </c>
      <c r="B495" s="21" t="s">
        <v>18</v>
      </c>
      <c r="C495" s="175">
        <v>3162500</v>
      </c>
      <c r="D495" s="175">
        <v>2875000</v>
      </c>
      <c r="E495" s="175">
        <v>287500</v>
      </c>
      <c r="F495" s="229"/>
      <c r="G495" s="229"/>
      <c r="H495" s="229"/>
      <c r="I495" s="63" t="s">
        <v>128</v>
      </c>
      <c r="J495" s="186">
        <v>46010</v>
      </c>
      <c r="K495" s="206"/>
      <c r="L495" s="7"/>
    </row>
    <row r="496" spans="1:12">
      <c r="A496" s="93">
        <v>45991</v>
      </c>
      <c r="B496" s="21" t="s">
        <v>33</v>
      </c>
      <c r="C496" s="175">
        <v>3025000</v>
      </c>
      <c r="D496" s="175">
        <v>2750000</v>
      </c>
      <c r="E496" s="175">
        <v>275000</v>
      </c>
      <c r="F496" s="229"/>
      <c r="G496" s="229"/>
      <c r="H496" s="229"/>
      <c r="I496" s="63" t="s">
        <v>53</v>
      </c>
      <c r="J496" s="186">
        <v>46001</v>
      </c>
      <c r="K496" s="206"/>
      <c r="L496" s="7"/>
    </row>
    <row r="497" spans="1:12">
      <c r="A497" s="93">
        <v>45991</v>
      </c>
      <c r="B497" s="7" t="s">
        <v>33</v>
      </c>
      <c r="C497" s="175">
        <v>3025000</v>
      </c>
      <c r="D497" s="175">
        <v>2750000</v>
      </c>
      <c r="E497" s="175">
        <v>275000</v>
      </c>
      <c r="F497" s="229"/>
      <c r="G497" s="229"/>
      <c r="H497" s="229"/>
      <c r="I497" s="72" t="s">
        <v>126</v>
      </c>
      <c r="J497" s="185">
        <v>46001</v>
      </c>
      <c r="K497" s="205"/>
      <c r="L497" s="7"/>
    </row>
    <row r="498" spans="1:12">
      <c r="A498" s="93">
        <v>45991</v>
      </c>
      <c r="B498" s="7" t="s">
        <v>17</v>
      </c>
      <c r="C498" s="175">
        <v>8527200</v>
      </c>
      <c r="D498" s="175">
        <v>7752000</v>
      </c>
      <c r="E498" s="175">
        <v>775200</v>
      </c>
      <c r="F498" s="229"/>
      <c r="G498" s="229"/>
      <c r="H498" s="229"/>
      <c r="I498" s="72" t="s">
        <v>148</v>
      </c>
      <c r="J498" s="185">
        <v>45999</v>
      </c>
      <c r="K498" s="205"/>
      <c r="L498" s="7"/>
    </row>
    <row r="499" spans="1:12">
      <c r="A499" s="93">
        <v>45991</v>
      </c>
      <c r="B499" s="21" t="s">
        <v>17</v>
      </c>
      <c r="C499" s="175">
        <v>412500</v>
      </c>
      <c r="D499" s="175">
        <v>375000</v>
      </c>
      <c r="E499" s="175">
        <v>37500</v>
      </c>
      <c r="F499" s="229"/>
      <c r="G499" s="229"/>
      <c r="H499" s="229"/>
      <c r="I499" s="63" t="s">
        <v>65</v>
      </c>
      <c r="J499" s="186">
        <v>46006</v>
      </c>
      <c r="K499" s="206"/>
      <c r="L499" s="7"/>
    </row>
    <row r="500" spans="1:12">
      <c r="A500" s="93">
        <v>45991</v>
      </c>
      <c r="B500" s="21" t="s">
        <v>60</v>
      </c>
      <c r="C500" s="175">
        <v>10186000</v>
      </c>
      <c r="D500" s="175">
        <v>9260000</v>
      </c>
      <c r="E500" s="175">
        <v>926000</v>
      </c>
      <c r="F500" s="229"/>
      <c r="G500" s="229"/>
      <c r="H500" s="229"/>
      <c r="I500" s="63" t="s">
        <v>44</v>
      </c>
      <c r="J500" s="186">
        <v>45994</v>
      </c>
      <c r="K500" s="206"/>
      <c r="L500" s="7"/>
    </row>
    <row r="501" spans="1:12">
      <c r="A501" s="93">
        <v>45991</v>
      </c>
      <c r="B501" s="21" t="s">
        <v>99</v>
      </c>
      <c r="C501" s="175">
        <v>2887500</v>
      </c>
      <c r="D501" s="175">
        <v>2625000</v>
      </c>
      <c r="E501" s="175">
        <v>262500</v>
      </c>
      <c r="F501" s="229"/>
      <c r="G501" s="229"/>
      <c r="H501" s="229"/>
      <c r="I501" s="63" t="s">
        <v>74</v>
      </c>
      <c r="J501" s="186">
        <v>46009</v>
      </c>
      <c r="K501" s="206"/>
      <c r="L501" s="7"/>
    </row>
    <row r="502" spans="1:12">
      <c r="A502" s="93">
        <v>45991</v>
      </c>
      <c r="B502" s="21" t="s">
        <v>24</v>
      </c>
      <c r="C502" s="175">
        <v>3660800</v>
      </c>
      <c r="D502" s="175">
        <v>3328000</v>
      </c>
      <c r="E502" s="175">
        <v>332800</v>
      </c>
      <c r="F502" s="229"/>
      <c r="G502" s="229"/>
      <c r="H502" s="229"/>
      <c r="I502" s="63" t="s">
        <v>47</v>
      </c>
      <c r="J502" s="186">
        <v>46006</v>
      </c>
      <c r="K502" s="206"/>
      <c r="L502" s="7"/>
    </row>
    <row r="503" spans="1:12">
      <c r="A503" s="93">
        <v>45991</v>
      </c>
      <c r="B503" s="21" t="s">
        <v>37</v>
      </c>
      <c r="C503" s="175">
        <v>14421000</v>
      </c>
      <c r="D503" s="175">
        <v>13110000</v>
      </c>
      <c r="E503" s="175">
        <v>1311000</v>
      </c>
      <c r="F503" s="229"/>
      <c r="G503" s="229"/>
      <c r="H503" s="229"/>
      <c r="I503" s="63" t="s">
        <v>54</v>
      </c>
      <c r="J503" s="186">
        <v>46003</v>
      </c>
      <c r="K503" s="206"/>
      <c r="L503" s="7"/>
    </row>
    <row r="504" spans="1:12">
      <c r="A504" s="93">
        <v>45991</v>
      </c>
      <c r="B504" s="21" t="s">
        <v>61</v>
      </c>
      <c r="C504" s="175">
        <v>1531200</v>
      </c>
      <c r="D504" s="175">
        <v>1392000</v>
      </c>
      <c r="E504" s="175">
        <v>139200</v>
      </c>
      <c r="F504" s="229"/>
      <c r="G504" s="229"/>
      <c r="H504" s="229"/>
      <c r="I504" s="63" t="s">
        <v>62</v>
      </c>
      <c r="J504" s="186">
        <v>46001</v>
      </c>
      <c r="K504" s="206"/>
      <c r="L504" s="7"/>
    </row>
    <row r="505" spans="1:12">
      <c r="A505" s="93">
        <v>45991</v>
      </c>
      <c r="B505" s="21" t="s">
        <v>10</v>
      </c>
      <c r="C505" s="175">
        <v>3025000</v>
      </c>
      <c r="D505" s="175">
        <v>2750000</v>
      </c>
      <c r="E505" s="175">
        <v>275000</v>
      </c>
      <c r="F505" s="229"/>
      <c r="G505" s="229"/>
      <c r="H505" s="229"/>
      <c r="I505" s="63" t="s">
        <v>3</v>
      </c>
      <c r="J505" s="186">
        <v>46014</v>
      </c>
      <c r="K505" s="206"/>
      <c r="L505" s="7"/>
    </row>
    <row r="506" spans="1:12">
      <c r="A506" s="93">
        <v>45991</v>
      </c>
      <c r="B506" s="21" t="s">
        <v>100</v>
      </c>
      <c r="C506" s="175">
        <v>1254000</v>
      </c>
      <c r="D506" s="175">
        <v>1140000</v>
      </c>
      <c r="E506" s="175">
        <v>114000</v>
      </c>
      <c r="F506" s="229"/>
      <c r="G506" s="229"/>
      <c r="H506" s="229"/>
      <c r="I506" s="63" t="s">
        <v>3</v>
      </c>
      <c r="J506" s="186">
        <v>45993</v>
      </c>
      <c r="K506" s="206"/>
      <c r="L506" s="7"/>
    </row>
    <row r="507" spans="1:12">
      <c r="A507" s="93">
        <v>45991</v>
      </c>
      <c r="B507" s="21" t="s">
        <v>8</v>
      </c>
      <c r="C507" s="175">
        <v>220000</v>
      </c>
      <c r="D507" s="175">
        <v>200000</v>
      </c>
      <c r="E507" s="175">
        <v>20000</v>
      </c>
      <c r="F507" s="229"/>
      <c r="G507" s="229"/>
      <c r="H507" s="229"/>
      <c r="I507" s="63" t="s">
        <v>3</v>
      </c>
      <c r="J507" s="186">
        <v>46006</v>
      </c>
      <c r="K507" s="206"/>
      <c r="L507" s="7"/>
    </row>
    <row r="508" spans="1:12">
      <c r="A508" s="93">
        <v>45991</v>
      </c>
      <c r="B508" s="21" t="s">
        <v>25</v>
      </c>
      <c r="C508" s="175">
        <v>440000</v>
      </c>
      <c r="D508" s="175">
        <v>400000</v>
      </c>
      <c r="E508" s="175">
        <v>40000</v>
      </c>
      <c r="F508" s="229"/>
      <c r="G508" s="229"/>
      <c r="H508" s="229"/>
      <c r="I508" s="63" t="s">
        <v>3</v>
      </c>
      <c r="J508" s="186">
        <v>46001</v>
      </c>
      <c r="K508" s="206"/>
      <c r="L508" s="7"/>
    </row>
    <row r="509" spans="1:12">
      <c r="A509" s="93">
        <v>45992</v>
      </c>
      <c r="B509" s="21" t="s">
        <v>33</v>
      </c>
      <c r="C509" s="175">
        <v>1339800</v>
      </c>
      <c r="D509" s="175">
        <v>1218000</v>
      </c>
      <c r="E509" s="175">
        <v>121800</v>
      </c>
      <c r="F509" s="229"/>
      <c r="G509" s="229"/>
      <c r="H509" s="229"/>
      <c r="I509" s="63" t="s">
        <v>127</v>
      </c>
      <c r="J509" s="186">
        <v>46003</v>
      </c>
      <c r="K509" s="206"/>
      <c r="L509" s="7"/>
    </row>
    <row r="510" spans="1:12">
      <c r="A510" s="93">
        <v>45992</v>
      </c>
      <c r="B510" s="7" t="s">
        <v>83</v>
      </c>
      <c r="C510" s="175"/>
      <c r="D510" s="175"/>
      <c r="E510" s="175"/>
      <c r="F510" s="229">
        <v>44495990</v>
      </c>
      <c r="G510" s="229">
        <v>40450900</v>
      </c>
      <c r="H510" s="229">
        <v>4045090</v>
      </c>
      <c r="I510" s="72" t="s">
        <v>265</v>
      </c>
      <c r="J510" s="185"/>
      <c r="K510" s="205"/>
      <c r="L510" s="7"/>
    </row>
    <row r="511" spans="1:12">
      <c r="A511" s="93">
        <v>45995</v>
      </c>
      <c r="B511" s="7" t="s">
        <v>184</v>
      </c>
      <c r="C511" s="175"/>
      <c r="D511" s="175"/>
      <c r="E511" s="175"/>
      <c r="F511" s="229">
        <v>149409</v>
      </c>
      <c r="G511" s="229">
        <v>135827</v>
      </c>
      <c r="H511" s="229">
        <v>13582</v>
      </c>
      <c r="I511" s="72" t="s">
        <v>266</v>
      </c>
      <c r="J511" s="185"/>
      <c r="K511" s="205"/>
      <c r="L511" s="7"/>
    </row>
    <row r="512" spans="1:12">
      <c r="A512" s="93">
        <v>45996</v>
      </c>
      <c r="B512" s="7" t="s">
        <v>83</v>
      </c>
      <c r="C512" s="175"/>
      <c r="D512" s="175"/>
      <c r="E512" s="175"/>
      <c r="F512" s="229">
        <v>47682800</v>
      </c>
      <c r="G512" s="229">
        <v>43348000</v>
      </c>
      <c r="H512" s="229">
        <v>4334800</v>
      </c>
      <c r="I512" s="72" t="s">
        <v>267</v>
      </c>
      <c r="J512" s="185"/>
      <c r="K512" s="205"/>
      <c r="L512" s="7"/>
    </row>
    <row r="513" spans="1:12">
      <c r="A513" s="93">
        <v>45998</v>
      </c>
      <c r="B513" s="7" t="s">
        <v>18</v>
      </c>
      <c r="C513" s="175">
        <v>10759375</v>
      </c>
      <c r="D513" s="175">
        <v>9781250</v>
      </c>
      <c r="E513" s="175">
        <v>978125</v>
      </c>
      <c r="F513" s="229"/>
      <c r="G513" s="229"/>
      <c r="H513" s="229"/>
      <c r="I513" s="72" t="s">
        <v>82</v>
      </c>
      <c r="J513" s="185">
        <v>46003</v>
      </c>
      <c r="K513" s="205"/>
      <c r="L513" s="7"/>
    </row>
    <row r="514" spans="1:12">
      <c r="A514" s="93">
        <v>45998</v>
      </c>
      <c r="B514" s="7" t="s">
        <v>18</v>
      </c>
      <c r="C514" s="175">
        <v>3987500</v>
      </c>
      <c r="D514" s="175">
        <v>3625000</v>
      </c>
      <c r="E514" s="175">
        <v>362500</v>
      </c>
      <c r="F514" s="229"/>
      <c r="G514" s="229"/>
      <c r="H514" s="229"/>
      <c r="I514" s="72" t="s">
        <v>43</v>
      </c>
      <c r="J514" s="185">
        <v>46003</v>
      </c>
      <c r="K514" s="205"/>
      <c r="L514" s="7"/>
    </row>
    <row r="515" spans="1:12">
      <c r="A515" s="93">
        <v>46003</v>
      </c>
      <c r="B515" s="7" t="s">
        <v>176</v>
      </c>
      <c r="C515" s="175"/>
      <c r="D515" s="175"/>
      <c r="E515" s="175"/>
      <c r="F515" s="229">
        <v>594000</v>
      </c>
      <c r="G515" s="229">
        <v>540000</v>
      </c>
      <c r="H515" s="229">
        <v>54000</v>
      </c>
      <c r="I515" s="72" t="s">
        <v>268</v>
      </c>
      <c r="J515" s="185"/>
      <c r="K515" s="205"/>
      <c r="L515" s="7"/>
    </row>
    <row r="516" spans="1:12">
      <c r="A516" s="93">
        <v>46005</v>
      </c>
      <c r="B516" s="7" t="s">
        <v>18</v>
      </c>
      <c r="C516" s="175">
        <v>4400000</v>
      </c>
      <c r="D516" s="175">
        <v>4000000</v>
      </c>
      <c r="E516" s="175">
        <v>400000</v>
      </c>
      <c r="F516" s="229"/>
      <c r="G516" s="229"/>
      <c r="H516" s="229"/>
      <c r="I516" s="72" t="s">
        <v>43</v>
      </c>
      <c r="J516" s="185">
        <v>46010</v>
      </c>
      <c r="K516" s="205"/>
      <c r="L516" s="7"/>
    </row>
    <row r="517" spans="1:12">
      <c r="A517" s="93">
        <v>46005</v>
      </c>
      <c r="B517" s="7" t="s">
        <v>18</v>
      </c>
      <c r="C517" s="175">
        <v>11209000</v>
      </c>
      <c r="D517" s="175">
        <v>10190000</v>
      </c>
      <c r="E517" s="175">
        <v>1019000</v>
      </c>
      <c r="F517" s="229"/>
      <c r="G517" s="229"/>
      <c r="H517" s="229"/>
      <c r="I517" s="72" t="s">
        <v>82</v>
      </c>
      <c r="J517" s="185">
        <v>46010</v>
      </c>
      <c r="K517" s="205"/>
      <c r="L517" s="7"/>
    </row>
    <row r="518" spans="1:12">
      <c r="A518" s="93">
        <v>46005</v>
      </c>
      <c r="B518" s="7" t="s">
        <v>17</v>
      </c>
      <c r="C518" s="175">
        <v>5698000</v>
      </c>
      <c r="D518" s="175">
        <v>5180000</v>
      </c>
      <c r="E518" s="175">
        <v>518000</v>
      </c>
      <c r="F518" s="229"/>
      <c r="G518" s="229"/>
      <c r="H518" s="229"/>
      <c r="I518" s="72" t="s">
        <v>148</v>
      </c>
      <c r="J518" s="185">
        <v>46010</v>
      </c>
      <c r="K518" s="205"/>
      <c r="L518" s="7"/>
    </row>
    <row r="519" spans="1:12">
      <c r="A519" s="93">
        <v>46006</v>
      </c>
      <c r="B519" s="21" t="s">
        <v>33</v>
      </c>
      <c r="C519" s="175">
        <v>1435500</v>
      </c>
      <c r="D519" s="175">
        <v>1305000</v>
      </c>
      <c r="E519" s="175">
        <v>130500</v>
      </c>
      <c r="F519" s="229"/>
      <c r="G519" s="229"/>
      <c r="H519" s="229"/>
      <c r="I519" s="63" t="s">
        <v>127</v>
      </c>
      <c r="J519" s="186">
        <v>46010</v>
      </c>
      <c r="K519" s="206"/>
      <c r="L519" s="7"/>
    </row>
    <row r="520" spans="1:12">
      <c r="A520" s="93">
        <v>46006</v>
      </c>
      <c r="B520" s="21" t="s">
        <v>33</v>
      </c>
      <c r="C520" s="175">
        <v>3267000</v>
      </c>
      <c r="D520" s="175">
        <v>2970000</v>
      </c>
      <c r="E520" s="175">
        <v>297000</v>
      </c>
      <c r="F520" s="229"/>
      <c r="G520" s="229"/>
      <c r="H520" s="229"/>
      <c r="I520" s="63" t="s">
        <v>126</v>
      </c>
      <c r="J520" s="186">
        <v>46010</v>
      </c>
      <c r="K520" s="206"/>
      <c r="L520" s="7"/>
    </row>
    <row r="521" spans="1:12">
      <c r="A521" s="93">
        <v>46006</v>
      </c>
      <c r="B521" s="21" t="s">
        <v>0</v>
      </c>
      <c r="C521" s="175">
        <v>6842000</v>
      </c>
      <c r="D521" s="175">
        <v>6220000</v>
      </c>
      <c r="E521" s="175">
        <v>622000</v>
      </c>
      <c r="F521" s="229"/>
      <c r="G521" s="229"/>
      <c r="H521" s="229"/>
      <c r="I521" s="63" t="s">
        <v>40</v>
      </c>
      <c r="J521" s="186" t="s">
        <v>157</v>
      </c>
      <c r="K521" s="206"/>
      <c r="L521" s="7"/>
    </row>
    <row r="522" spans="1:12">
      <c r="A522" s="93">
        <v>46006</v>
      </c>
      <c r="B522" s="21" t="s">
        <v>0</v>
      </c>
      <c r="C522" s="175">
        <v>-6842000</v>
      </c>
      <c r="D522" s="175">
        <v>-6220000</v>
      </c>
      <c r="E522" s="175">
        <v>-622000</v>
      </c>
      <c r="F522" s="229"/>
      <c r="G522" s="229"/>
      <c r="H522" s="229"/>
      <c r="I522" s="63" t="s">
        <v>40</v>
      </c>
      <c r="J522" s="186" t="s">
        <v>157</v>
      </c>
      <c r="K522" s="206"/>
      <c r="L522" s="7"/>
    </row>
    <row r="523" spans="1:12">
      <c r="A523" s="93">
        <v>46006</v>
      </c>
      <c r="B523" s="7" t="s">
        <v>0</v>
      </c>
      <c r="C523" s="175">
        <v>15864200</v>
      </c>
      <c r="D523" s="175">
        <v>14422000</v>
      </c>
      <c r="E523" s="175">
        <v>1442200</v>
      </c>
      <c r="F523" s="229"/>
      <c r="G523" s="229"/>
      <c r="H523" s="229"/>
      <c r="I523" s="72" t="s">
        <v>42</v>
      </c>
      <c r="J523" s="185">
        <v>46017</v>
      </c>
      <c r="K523" s="205"/>
      <c r="L523" s="7"/>
    </row>
    <row r="524" spans="1:12">
      <c r="A524" s="93">
        <v>46012</v>
      </c>
      <c r="B524" s="7" t="s">
        <v>18</v>
      </c>
      <c r="C524" s="175">
        <v>4950000</v>
      </c>
      <c r="D524" s="175">
        <v>4500000</v>
      </c>
      <c r="E524" s="175">
        <v>450000</v>
      </c>
      <c r="F524" s="229"/>
      <c r="G524" s="229"/>
      <c r="H524" s="229"/>
      <c r="I524" s="72" t="s">
        <v>43</v>
      </c>
      <c r="J524" s="185">
        <v>46020</v>
      </c>
      <c r="K524" s="205"/>
      <c r="L524" s="7"/>
    </row>
    <row r="525" spans="1:12">
      <c r="A525" s="93">
        <v>46012</v>
      </c>
      <c r="B525" s="7" t="s">
        <v>18</v>
      </c>
      <c r="C525" s="175">
        <v>12474000</v>
      </c>
      <c r="D525" s="175">
        <v>11340000</v>
      </c>
      <c r="E525" s="175">
        <v>1134000</v>
      </c>
      <c r="F525" s="229"/>
      <c r="G525" s="229"/>
      <c r="H525" s="229"/>
      <c r="I525" s="72" t="s">
        <v>82</v>
      </c>
      <c r="J525" s="185">
        <v>46022</v>
      </c>
      <c r="K525" s="205"/>
      <c r="L525" s="7"/>
    </row>
    <row r="526" spans="1:12">
      <c r="A526" s="93">
        <v>46016</v>
      </c>
      <c r="B526" s="7" t="s">
        <v>185</v>
      </c>
      <c r="C526" s="175"/>
      <c r="D526" s="175"/>
      <c r="E526" s="175"/>
      <c r="F526" s="229">
        <v>305134</v>
      </c>
      <c r="G526" s="229">
        <v>277396</v>
      </c>
      <c r="H526" s="229">
        <v>27738</v>
      </c>
      <c r="I526" s="72" t="s">
        <v>244</v>
      </c>
      <c r="J526" s="185"/>
      <c r="K526" s="205"/>
      <c r="L526" s="7"/>
    </row>
    <row r="527" spans="1:12">
      <c r="A527" s="93">
        <v>46016</v>
      </c>
      <c r="B527" s="7" t="s">
        <v>39</v>
      </c>
      <c r="C527" s="175"/>
      <c r="D527" s="175"/>
      <c r="E527" s="175"/>
      <c r="F527" s="229">
        <v>220000</v>
      </c>
      <c r="G527" s="229">
        <v>200000</v>
      </c>
      <c r="H527" s="229">
        <v>20000</v>
      </c>
      <c r="I527" s="72" t="s">
        <v>56</v>
      </c>
      <c r="J527" s="185"/>
      <c r="K527" s="205"/>
      <c r="L527" s="7"/>
    </row>
    <row r="528" spans="1:12">
      <c r="A528" s="93">
        <v>46019</v>
      </c>
      <c r="B528" s="7" t="s">
        <v>17</v>
      </c>
      <c r="C528" s="175">
        <v>6881050</v>
      </c>
      <c r="D528" s="175">
        <v>6255500</v>
      </c>
      <c r="E528" s="175">
        <v>625550</v>
      </c>
      <c r="F528" s="229"/>
      <c r="G528" s="229"/>
      <c r="H528" s="229"/>
      <c r="I528" s="72" t="s">
        <v>148</v>
      </c>
      <c r="J528" s="185">
        <v>46021</v>
      </c>
      <c r="K528" s="205"/>
      <c r="L528" s="7"/>
    </row>
    <row r="529" spans="1:12">
      <c r="A529" s="93">
        <v>46019</v>
      </c>
      <c r="B529" s="7" t="s">
        <v>18</v>
      </c>
      <c r="C529" s="175">
        <v>7837500</v>
      </c>
      <c r="D529" s="175">
        <v>7125000</v>
      </c>
      <c r="E529" s="175">
        <v>712500</v>
      </c>
      <c r="F529" s="229"/>
      <c r="G529" s="229"/>
      <c r="H529" s="229"/>
      <c r="I529" s="72" t="s">
        <v>43</v>
      </c>
      <c r="J529" s="185">
        <v>46027</v>
      </c>
      <c r="K529" s="205"/>
      <c r="L529" s="7"/>
    </row>
    <row r="530" spans="1:12">
      <c r="A530" s="93">
        <v>46019</v>
      </c>
      <c r="B530" s="7" t="s">
        <v>18</v>
      </c>
      <c r="C530" s="175">
        <v>12078000</v>
      </c>
      <c r="D530" s="175">
        <v>10980000</v>
      </c>
      <c r="E530" s="175">
        <v>1098000</v>
      </c>
      <c r="F530" s="229"/>
      <c r="G530" s="229"/>
      <c r="H530" s="229"/>
      <c r="I530" s="72" t="s">
        <v>82</v>
      </c>
      <c r="J530" s="185">
        <v>46022</v>
      </c>
      <c r="K530" s="205"/>
      <c r="L530" s="7"/>
    </row>
    <row r="531" spans="1:12">
      <c r="A531" s="93">
        <v>46022</v>
      </c>
      <c r="B531" s="21" t="s">
        <v>61</v>
      </c>
      <c r="C531" s="175">
        <v>669900</v>
      </c>
      <c r="D531" s="175">
        <v>609000</v>
      </c>
      <c r="E531" s="175">
        <v>60900</v>
      </c>
      <c r="F531" s="229"/>
      <c r="G531" s="229"/>
      <c r="H531" s="229"/>
      <c r="I531" s="63" t="s">
        <v>62</v>
      </c>
      <c r="J531" s="186">
        <v>46031</v>
      </c>
      <c r="K531" s="206"/>
      <c r="L531" s="7"/>
    </row>
    <row r="532" spans="1:12">
      <c r="A532" s="93">
        <v>46022</v>
      </c>
      <c r="B532" s="21" t="s">
        <v>0</v>
      </c>
      <c r="C532" s="175">
        <v>2860000</v>
      </c>
      <c r="D532" s="175">
        <v>2600000</v>
      </c>
      <c r="E532" s="175">
        <v>260000</v>
      </c>
      <c r="F532" s="229"/>
      <c r="G532" s="229"/>
      <c r="H532" s="229"/>
      <c r="I532" s="63" t="s">
        <v>156</v>
      </c>
      <c r="J532" s="186">
        <v>46031</v>
      </c>
      <c r="K532" s="206"/>
      <c r="L532" s="7"/>
    </row>
    <row r="533" spans="1:12">
      <c r="A533" s="93">
        <v>46022</v>
      </c>
      <c r="B533" s="21" t="s">
        <v>0</v>
      </c>
      <c r="C533" s="175">
        <v>4262500</v>
      </c>
      <c r="D533" s="175">
        <v>3875000</v>
      </c>
      <c r="E533" s="175">
        <v>387500</v>
      </c>
      <c r="F533" s="229"/>
      <c r="G533" s="229"/>
      <c r="H533" s="229"/>
      <c r="I533" s="63" t="s">
        <v>158</v>
      </c>
      <c r="J533" s="186">
        <v>46031</v>
      </c>
      <c r="K533" s="206"/>
      <c r="L533" s="7"/>
    </row>
    <row r="534" spans="1:12">
      <c r="A534" s="93">
        <v>46022</v>
      </c>
      <c r="B534" s="21" t="s">
        <v>0</v>
      </c>
      <c r="C534" s="175">
        <v>4526500</v>
      </c>
      <c r="D534" s="175">
        <v>4115000</v>
      </c>
      <c r="E534" s="175">
        <v>411500</v>
      </c>
      <c r="F534" s="229"/>
      <c r="G534" s="229"/>
      <c r="H534" s="229"/>
      <c r="I534" s="63" t="s">
        <v>155</v>
      </c>
      <c r="J534" s="186">
        <v>46031</v>
      </c>
      <c r="K534" s="206"/>
      <c r="L534" s="7"/>
    </row>
    <row r="535" spans="1:12">
      <c r="A535" s="93">
        <v>46022</v>
      </c>
      <c r="B535" s="21" t="s">
        <v>0</v>
      </c>
      <c r="C535" s="175">
        <v>134200</v>
      </c>
      <c r="D535" s="175">
        <v>122000</v>
      </c>
      <c r="E535" s="175">
        <v>12200</v>
      </c>
      <c r="F535" s="229"/>
      <c r="G535" s="229"/>
      <c r="H535" s="229"/>
      <c r="I535" s="63" t="s">
        <v>49</v>
      </c>
      <c r="J535" s="186">
        <v>46031</v>
      </c>
      <c r="K535" s="206"/>
      <c r="L535" s="7"/>
    </row>
    <row r="536" spans="1:12">
      <c r="A536" s="93">
        <v>46022</v>
      </c>
      <c r="B536" s="21" t="s">
        <v>0</v>
      </c>
      <c r="C536" s="175">
        <v>104500</v>
      </c>
      <c r="D536" s="175">
        <v>95000</v>
      </c>
      <c r="E536" s="175">
        <v>9500</v>
      </c>
      <c r="F536" s="229"/>
      <c r="G536" s="229"/>
      <c r="H536" s="229"/>
      <c r="I536" s="63" t="s">
        <v>136</v>
      </c>
      <c r="J536" s="186">
        <v>46031</v>
      </c>
      <c r="K536" s="206"/>
      <c r="L536" s="7"/>
    </row>
    <row r="537" spans="1:12">
      <c r="A537" s="93">
        <v>46022</v>
      </c>
      <c r="B537" s="21" t="s">
        <v>0</v>
      </c>
      <c r="C537" s="175">
        <v>9381900</v>
      </c>
      <c r="D537" s="175">
        <v>8529000</v>
      </c>
      <c r="E537" s="175">
        <v>852900</v>
      </c>
      <c r="F537" s="229"/>
      <c r="G537" s="229"/>
      <c r="H537" s="229"/>
      <c r="I537" s="63" t="s">
        <v>40</v>
      </c>
      <c r="J537" s="186">
        <v>46037</v>
      </c>
      <c r="K537" s="206"/>
      <c r="L537" s="7"/>
    </row>
    <row r="538" spans="1:12">
      <c r="A538" s="93">
        <v>46022</v>
      </c>
      <c r="B538" s="21" t="s">
        <v>0</v>
      </c>
      <c r="C538" s="175">
        <v>15441800</v>
      </c>
      <c r="D538" s="175">
        <v>14038000</v>
      </c>
      <c r="E538" s="175">
        <v>1403800</v>
      </c>
      <c r="F538" s="229"/>
      <c r="G538" s="229"/>
      <c r="H538" s="229"/>
      <c r="I538" s="63" t="s">
        <v>42</v>
      </c>
      <c r="J538" s="186">
        <v>46031</v>
      </c>
      <c r="K538" s="206"/>
      <c r="L538" s="7"/>
    </row>
    <row r="539" spans="1:12">
      <c r="A539" s="93">
        <v>46022</v>
      </c>
      <c r="B539" s="21" t="s">
        <v>18</v>
      </c>
      <c r="C539" s="175">
        <v>2750000</v>
      </c>
      <c r="D539" s="175">
        <v>2500000</v>
      </c>
      <c r="E539" s="175">
        <v>250000</v>
      </c>
      <c r="F539" s="229"/>
      <c r="G539" s="229"/>
      <c r="H539" s="229"/>
      <c r="I539" s="63" t="s">
        <v>57</v>
      </c>
      <c r="J539" s="186">
        <v>46038</v>
      </c>
      <c r="K539" s="206"/>
      <c r="L539" s="7"/>
    </row>
    <row r="540" spans="1:12">
      <c r="A540" s="93">
        <v>46022</v>
      </c>
      <c r="B540" s="21" t="s">
        <v>99</v>
      </c>
      <c r="C540" s="175">
        <v>3162500</v>
      </c>
      <c r="D540" s="175">
        <v>2875000</v>
      </c>
      <c r="E540" s="175">
        <v>287500</v>
      </c>
      <c r="F540" s="229"/>
      <c r="G540" s="229"/>
      <c r="H540" s="229"/>
      <c r="I540" s="63" t="s">
        <v>74</v>
      </c>
      <c r="J540" s="186">
        <v>46035</v>
      </c>
      <c r="K540" s="206"/>
      <c r="L540" s="7"/>
    </row>
    <row r="541" spans="1:12">
      <c r="A541" s="93">
        <v>46022</v>
      </c>
      <c r="B541" s="21" t="s">
        <v>60</v>
      </c>
      <c r="C541" s="175">
        <v>7337000</v>
      </c>
      <c r="D541" s="175">
        <v>6670000</v>
      </c>
      <c r="E541" s="175">
        <v>667000</v>
      </c>
      <c r="F541" s="229"/>
      <c r="G541" s="229"/>
      <c r="H541" s="229"/>
      <c r="I541" s="63" t="s">
        <v>44</v>
      </c>
      <c r="J541" s="186">
        <v>46028</v>
      </c>
      <c r="K541" s="206"/>
      <c r="L541" s="7"/>
    </row>
    <row r="542" spans="1:12">
      <c r="A542" s="93">
        <v>46022</v>
      </c>
      <c r="B542" s="21" t="s">
        <v>33</v>
      </c>
      <c r="C542" s="175">
        <v>2775300</v>
      </c>
      <c r="D542" s="175">
        <v>2523000</v>
      </c>
      <c r="E542" s="175">
        <v>252300</v>
      </c>
      <c r="F542" s="229"/>
      <c r="G542" s="229"/>
      <c r="H542" s="229"/>
      <c r="I542" s="63" t="s">
        <v>127</v>
      </c>
      <c r="J542" s="186">
        <v>46031</v>
      </c>
      <c r="K542" s="206"/>
      <c r="L542" s="7"/>
    </row>
    <row r="543" spans="1:12">
      <c r="A543" s="93">
        <v>46022</v>
      </c>
      <c r="B543" s="21" t="s">
        <v>33</v>
      </c>
      <c r="C543" s="175">
        <v>3162500</v>
      </c>
      <c r="D543" s="175">
        <v>2875000</v>
      </c>
      <c r="E543" s="175">
        <v>287500</v>
      </c>
      <c r="F543" s="229"/>
      <c r="G543" s="229"/>
      <c r="H543" s="229"/>
      <c r="I543" s="63" t="s">
        <v>126</v>
      </c>
      <c r="J543" s="186">
        <v>46031</v>
      </c>
      <c r="K543" s="206"/>
      <c r="L543" s="7"/>
    </row>
    <row r="544" spans="1:12">
      <c r="A544" s="93">
        <v>46022</v>
      </c>
      <c r="B544" s="7" t="s">
        <v>33</v>
      </c>
      <c r="C544" s="175">
        <v>1925000</v>
      </c>
      <c r="D544" s="175">
        <v>1750000</v>
      </c>
      <c r="E544" s="175">
        <v>175000</v>
      </c>
      <c r="F544" s="229"/>
      <c r="G544" s="229"/>
      <c r="H544" s="229"/>
      <c r="I544" s="72" t="s">
        <v>53</v>
      </c>
      <c r="J544" s="185">
        <v>46031</v>
      </c>
      <c r="K544" s="205"/>
      <c r="L544" s="7"/>
    </row>
    <row r="545" spans="1:12">
      <c r="A545" s="93">
        <v>46022</v>
      </c>
      <c r="B545" s="7" t="s">
        <v>37</v>
      </c>
      <c r="C545" s="175">
        <v>222200</v>
      </c>
      <c r="D545" s="175">
        <v>202000</v>
      </c>
      <c r="E545" s="175">
        <v>20200</v>
      </c>
      <c r="F545" s="229"/>
      <c r="G545" s="229"/>
      <c r="H545" s="229"/>
      <c r="I545" s="72" t="s">
        <v>59</v>
      </c>
      <c r="J545" s="185">
        <v>46035</v>
      </c>
      <c r="K545" s="205"/>
      <c r="L545" s="7"/>
    </row>
    <row r="546" spans="1:12">
      <c r="A546" s="93">
        <v>46022</v>
      </c>
      <c r="B546" s="21" t="s">
        <v>37</v>
      </c>
      <c r="C546" s="175">
        <v>13827000</v>
      </c>
      <c r="D546" s="175">
        <v>12570000</v>
      </c>
      <c r="E546" s="175">
        <v>1257000</v>
      </c>
      <c r="F546" s="229"/>
      <c r="G546" s="229"/>
      <c r="H546" s="229"/>
      <c r="I546" s="63" t="s">
        <v>54</v>
      </c>
      <c r="J546" s="188">
        <v>46035</v>
      </c>
      <c r="K546" s="206"/>
      <c r="L546" s="7"/>
    </row>
    <row r="547" spans="1:12">
      <c r="A547" s="93">
        <v>46022</v>
      </c>
      <c r="B547" s="21" t="s">
        <v>63</v>
      </c>
      <c r="C547" s="175">
        <v>1650000</v>
      </c>
      <c r="D547" s="175">
        <v>1500000</v>
      </c>
      <c r="E547" s="175">
        <v>150000</v>
      </c>
      <c r="F547" s="229"/>
      <c r="G547" s="229"/>
      <c r="H547" s="229"/>
      <c r="I547" s="63" t="s">
        <v>125</v>
      </c>
      <c r="J547" s="186">
        <v>46037</v>
      </c>
      <c r="K547" s="206"/>
      <c r="L547" s="7"/>
    </row>
    <row r="548" spans="1:12">
      <c r="A548" s="93">
        <v>46022</v>
      </c>
      <c r="B548" s="21" t="s">
        <v>63</v>
      </c>
      <c r="C548" s="175">
        <v>633600</v>
      </c>
      <c r="D548" s="175">
        <v>576000</v>
      </c>
      <c r="E548" s="175">
        <v>57600</v>
      </c>
      <c r="F548" s="229"/>
      <c r="G548" s="229"/>
      <c r="H548" s="229"/>
      <c r="I548" s="63" t="s">
        <v>41</v>
      </c>
      <c r="J548" s="186">
        <v>46037</v>
      </c>
      <c r="K548" s="206"/>
      <c r="L548" s="7"/>
    </row>
    <row r="549" spans="1:12">
      <c r="A549" s="93">
        <v>46022</v>
      </c>
      <c r="B549" s="21" t="s">
        <v>24</v>
      </c>
      <c r="C549" s="175">
        <v>3351700</v>
      </c>
      <c r="D549" s="175">
        <v>3047000</v>
      </c>
      <c r="E549" s="175">
        <v>304700</v>
      </c>
      <c r="F549" s="229"/>
      <c r="G549" s="229"/>
      <c r="H549" s="229"/>
      <c r="I549" s="63" t="s">
        <v>47</v>
      </c>
      <c r="J549" s="186">
        <v>46037</v>
      </c>
      <c r="K549" s="206"/>
      <c r="L549" s="7"/>
    </row>
    <row r="550" spans="1:12">
      <c r="A550" s="93">
        <v>46022</v>
      </c>
      <c r="B550" s="21" t="s">
        <v>17</v>
      </c>
      <c r="C550" s="175">
        <v>412500</v>
      </c>
      <c r="D550" s="175">
        <v>375000</v>
      </c>
      <c r="E550" s="175">
        <v>37500</v>
      </c>
      <c r="F550" s="229"/>
      <c r="G550" s="229"/>
      <c r="H550" s="229"/>
      <c r="I550" s="63" t="s">
        <v>65</v>
      </c>
      <c r="J550" s="186">
        <v>46037</v>
      </c>
      <c r="K550" s="206"/>
      <c r="L550" s="7"/>
    </row>
    <row r="551" spans="1:12">
      <c r="A551" s="93">
        <v>46022</v>
      </c>
      <c r="B551" s="21" t="s">
        <v>0</v>
      </c>
      <c r="C551" s="175">
        <v>39829603</v>
      </c>
      <c r="D551" s="175">
        <v>36208730</v>
      </c>
      <c r="E551" s="175">
        <v>3620873</v>
      </c>
      <c r="F551" s="229"/>
      <c r="G551" s="229"/>
      <c r="H551" s="229"/>
      <c r="I551" s="63" t="s">
        <v>67</v>
      </c>
      <c r="J551" s="186">
        <v>46031</v>
      </c>
      <c r="K551" s="206"/>
      <c r="L551" s="7"/>
    </row>
    <row r="552" spans="1:12" ht="14.25" thickBot="1">
      <c r="A552" s="124">
        <v>46022</v>
      </c>
      <c r="B552" s="125" t="s">
        <v>184</v>
      </c>
      <c r="C552" s="176"/>
      <c r="D552" s="176"/>
      <c r="E552" s="176"/>
      <c r="F552" s="230">
        <v>149749</v>
      </c>
      <c r="G552" s="230">
        <v>136136</v>
      </c>
      <c r="H552" s="230">
        <v>13613</v>
      </c>
      <c r="I552" s="126" t="s">
        <v>269</v>
      </c>
      <c r="J552" s="192"/>
      <c r="K552" s="209"/>
      <c r="L552" s="125"/>
    </row>
    <row r="553" spans="1:12" s="131" customFormat="1" ht="14.25" thickTop="1">
      <c r="A553" s="127">
        <v>46026</v>
      </c>
      <c r="B553" s="128" t="s">
        <v>18</v>
      </c>
      <c r="C553" s="177">
        <v>11324500</v>
      </c>
      <c r="D553" s="177">
        <v>10295000</v>
      </c>
      <c r="E553" s="177">
        <v>1029500</v>
      </c>
      <c r="F553" s="231"/>
      <c r="G553" s="231"/>
      <c r="H553" s="231"/>
      <c r="I553" s="129" t="s">
        <v>43</v>
      </c>
      <c r="J553" s="193">
        <v>46031</v>
      </c>
      <c r="K553" s="210"/>
      <c r="L553" s="130"/>
    </row>
    <row r="554" spans="1:12">
      <c r="A554" s="93">
        <v>46026</v>
      </c>
      <c r="B554" s="21" t="s">
        <v>18</v>
      </c>
      <c r="C554" s="175">
        <v>10673685</v>
      </c>
      <c r="D554" s="175">
        <v>9703350</v>
      </c>
      <c r="E554" s="175">
        <v>970335</v>
      </c>
      <c r="F554" s="229"/>
      <c r="G554" s="229"/>
      <c r="H554" s="229"/>
      <c r="I554" s="63" t="s">
        <v>82</v>
      </c>
      <c r="J554" s="186">
        <v>46031</v>
      </c>
      <c r="K554" s="206"/>
      <c r="L554" s="7"/>
    </row>
    <row r="555" spans="1:12">
      <c r="A555" s="93">
        <v>46026</v>
      </c>
      <c r="B555" s="21" t="s">
        <v>17</v>
      </c>
      <c r="C555" s="175">
        <v>3117290</v>
      </c>
      <c r="D555" s="175">
        <v>2833900</v>
      </c>
      <c r="E555" s="175">
        <v>283390</v>
      </c>
      <c r="F555" s="229"/>
      <c r="G555" s="229"/>
      <c r="H555" s="229"/>
      <c r="I555" s="63" t="s">
        <v>148</v>
      </c>
      <c r="J555" s="186">
        <v>46037</v>
      </c>
      <c r="K555" s="206"/>
      <c r="L555" s="7"/>
    </row>
    <row r="556" spans="1:12">
      <c r="A556" s="93">
        <v>46031</v>
      </c>
      <c r="B556" s="7" t="s">
        <v>176</v>
      </c>
      <c r="C556" s="175"/>
      <c r="D556" s="175"/>
      <c r="E556" s="175"/>
      <c r="F556" s="229">
        <v>594000</v>
      </c>
      <c r="G556" s="229">
        <v>540000</v>
      </c>
      <c r="H556" s="229">
        <v>54000</v>
      </c>
      <c r="I556" s="72" t="s">
        <v>270</v>
      </c>
      <c r="J556" s="185"/>
      <c r="K556" s="205"/>
      <c r="L556" s="7"/>
    </row>
    <row r="557" spans="1:12">
      <c r="A557" s="93">
        <v>46033</v>
      </c>
      <c r="B557" s="21" t="s">
        <v>18</v>
      </c>
      <c r="C557" s="175">
        <v>8525000</v>
      </c>
      <c r="D557" s="175">
        <v>7750000</v>
      </c>
      <c r="E557" s="175">
        <v>775000</v>
      </c>
      <c r="F557" s="229"/>
      <c r="G557" s="229"/>
      <c r="H557" s="229"/>
      <c r="I557" s="63" t="s">
        <v>43</v>
      </c>
      <c r="J557" s="186">
        <v>46038</v>
      </c>
      <c r="K557" s="206"/>
      <c r="L557" s="7"/>
    </row>
    <row r="558" spans="1:12">
      <c r="A558" s="93">
        <v>46033</v>
      </c>
      <c r="B558" s="7" t="s">
        <v>18</v>
      </c>
      <c r="C558" s="175">
        <v>9910065</v>
      </c>
      <c r="D558" s="175">
        <v>9009150</v>
      </c>
      <c r="E558" s="175">
        <v>900915</v>
      </c>
      <c r="F558" s="229"/>
      <c r="G558" s="229"/>
      <c r="H558" s="229"/>
      <c r="I558" s="72" t="s">
        <v>82</v>
      </c>
      <c r="J558" s="185">
        <v>46048</v>
      </c>
      <c r="K558" s="205"/>
      <c r="L558" s="7"/>
    </row>
    <row r="559" spans="1:12">
      <c r="A559" s="93">
        <v>46037</v>
      </c>
      <c r="B559" s="21" t="s">
        <v>33</v>
      </c>
      <c r="C559" s="175">
        <v>3300000</v>
      </c>
      <c r="D559" s="175">
        <v>3000000</v>
      </c>
      <c r="E559" s="175">
        <v>300000</v>
      </c>
      <c r="F559" s="229"/>
      <c r="G559" s="229"/>
      <c r="H559" s="229"/>
      <c r="I559" s="63" t="s">
        <v>126</v>
      </c>
      <c r="J559" s="186">
        <v>46052</v>
      </c>
      <c r="K559" s="206"/>
      <c r="L559" s="7"/>
    </row>
    <row r="560" spans="1:12">
      <c r="A560" s="93">
        <v>46037</v>
      </c>
      <c r="B560" s="21" t="s">
        <v>0</v>
      </c>
      <c r="C560" s="175">
        <v>10168400</v>
      </c>
      <c r="D560" s="175">
        <v>9244000</v>
      </c>
      <c r="E560" s="175">
        <v>924400</v>
      </c>
      <c r="F560" s="229"/>
      <c r="G560" s="229"/>
      <c r="H560" s="229"/>
      <c r="I560" s="63" t="s">
        <v>40</v>
      </c>
      <c r="J560" s="186">
        <v>46052</v>
      </c>
      <c r="K560" s="206"/>
      <c r="L560" s="7"/>
    </row>
    <row r="561" spans="1:12">
      <c r="A561" s="93">
        <v>46037</v>
      </c>
      <c r="B561" s="21" t="s">
        <v>0</v>
      </c>
      <c r="C561" s="175">
        <v>13512950</v>
      </c>
      <c r="D561" s="175">
        <v>12284500</v>
      </c>
      <c r="E561" s="175">
        <v>1228450</v>
      </c>
      <c r="F561" s="229"/>
      <c r="G561" s="229"/>
      <c r="H561" s="229"/>
      <c r="I561" s="63" t="s">
        <v>42</v>
      </c>
      <c r="J561" s="186">
        <v>46042</v>
      </c>
      <c r="K561" s="206"/>
      <c r="L561" s="7"/>
    </row>
    <row r="562" spans="1:12">
      <c r="A562" s="93">
        <v>46040</v>
      </c>
      <c r="B562" s="7" t="s">
        <v>18</v>
      </c>
      <c r="C562" s="175">
        <v>8387500</v>
      </c>
      <c r="D562" s="175">
        <v>7625000</v>
      </c>
      <c r="E562" s="175">
        <v>762500</v>
      </c>
      <c r="F562" s="229"/>
      <c r="G562" s="229"/>
      <c r="H562" s="229"/>
      <c r="I562" s="72" t="s">
        <v>43</v>
      </c>
      <c r="J562" s="185">
        <v>46048</v>
      </c>
      <c r="K562" s="205"/>
      <c r="L562" s="7"/>
    </row>
    <row r="563" spans="1:12">
      <c r="A563" s="93">
        <v>46040</v>
      </c>
      <c r="B563" s="7" t="s">
        <v>18</v>
      </c>
      <c r="C563" s="175">
        <v>9005150</v>
      </c>
      <c r="D563" s="175">
        <v>8186500</v>
      </c>
      <c r="E563" s="175">
        <v>818650</v>
      </c>
      <c r="F563" s="229"/>
      <c r="G563" s="229"/>
      <c r="H563" s="229"/>
      <c r="I563" s="72" t="s">
        <v>82</v>
      </c>
      <c r="J563" s="185">
        <v>46048</v>
      </c>
      <c r="K563" s="205"/>
      <c r="L563" s="7"/>
    </row>
    <row r="564" spans="1:12">
      <c r="A564" s="93">
        <v>46040</v>
      </c>
      <c r="B564" s="7" t="s">
        <v>17</v>
      </c>
      <c r="C564" s="175">
        <v>9095130</v>
      </c>
      <c r="D564" s="175">
        <v>8268300</v>
      </c>
      <c r="E564" s="175">
        <v>826830</v>
      </c>
      <c r="F564" s="229"/>
      <c r="G564" s="229"/>
      <c r="H564" s="229"/>
      <c r="I564" s="72" t="s">
        <v>148</v>
      </c>
      <c r="J564" s="185">
        <v>46042</v>
      </c>
      <c r="K564" s="205"/>
      <c r="L564" s="7"/>
    </row>
    <row r="565" spans="1:12">
      <c r="A565" s="93">
        <v>46047</v>
      </c>
      <c r="B565" s="7" t="s">
        <v>18</v>
      </c>
      <c r="C565" s="175">
        <v>8387500</v>
      </c>
      <c r="D565" s="175">
        <v>7625000</v>
      </c>
      <c r="E565" s="175">
        <v>762500</v>
      </c>
      <c r="F565" s="229"/>
      <c r="G565" s="229"/>
      <c r="H565" s="229"/>
      <c r="I565" s="72" t="s">
        <v>43</v>
      </c>
      <c r="J565" s="185">
        <v>46052</v>
      </c>
      <c r="K565" s="205"/>
      <c r="L565" s="7"/>
    </row>
    <row r="566" spans="1:12">
      <c r="A566" s="93">
        <v>46047</v>
      </c>
      <c r="B566" s="7" t="s">
        <v>18</v>
      </c>
      <c r="C566" s="175">
        <v>9167675</v>
      </c>
      <c r="D566" s="175">
        <v>8334250</v>
      </c>
      <c r="E566" s="175">
        <v>833425</v>
      </c>
      <c r="F566" s="229"/>
      <c r="G566" s="229"/>
      <c r="H566" s="229"/>
      <c r="I566" s="72" t="s">
        <v>82</v>
      </c>
      <c r="J566" s="185">
        <v>46057</v>
      </c>
      <c r="K566" s="205"/>
      <c r="L566" s="7"/>
    </row>
    <row r="567" spans="1:12">
      <c r="A567" s="93">
        <v>46047</v>
      </c>
      <c r="B567" s="7" t="s">
        <v>185</v>
      </c>
      <c r="C567" s="175"/>
      <c r="D567" s="175"/>
      <c r="E567" s="175"/>
      <c r="F567" s="229">
        <v>305134</v>
      </c>
      <c r="G567" s="229">
        <v>277396</v>
      </c>
      <c r="H567" s="229">
        <v>27738</v>
      </c>
      <c r="I567" s="72" t="s">
        <v>244</v>
      </c>
      <c r="J567" s="185"/>
      <c r="K567" s="205"/>
      <c r="L567" s="7"/>
    </row>
    <row r="568" spans="1:12">
      <c r="A568" s="93">
        <v>46047</v>
      </c>
      <c r="B568" s="7" t="s">
        <v>39</v>
      </c>
      <c r="C568" s="175"/>
      <c r="D568" s="175"/>
      <c r="E568" s="175"/>
      <c r="F568" s="229">
        <v>220000</v>
      </c>
      <c r="G568" s="229">
        <v>200000</v>
      </c>
      <c r="H568" s="229">
        <v>20000</v>
      </c>
      <c r="I568" s="72" t="s">
        <v>56</v>
      </c>
      <c r="J568" s="185"/>
      <c r="K568" s="205"/>
      <c r="L568" s="7"/>
    </row>
    <row r="569" spans="1:12">
      <c r="A569" s="93">
        <v>46048</v>
      </c>
      <c r="B569" s="7" t="s">
        <v>84</v>
      </c>
      <c r="C569" s="175">
        <v>687500</v>
      </c>
      <c r="D569" s="175">
        <v>625000</v>
      </c>
      <c r="E569" s="175">
        <v>62500</v>
      </c>
      <c r="F569" s="229"/>
      <c r="G569" s="229"/>
      <c r="H569" s="229"/>
      <c r="I569" s="72" t="s">
        <v>159</v>
      </c>
      <c r="J569" s="185">
        <v>46066</v>
      </c>
      <c r="K569" s="205"/>
      <c r="L569" s="7"/>
    </row>
    <row r="570" spans="1:12">
      <c r="A570" s="93">
        <v>46053</v>
      </c>
      <c r="B570" s="21" t="s">
        <v>0</v>
      </c>
      <c r="C570" s="175">
        <v>44448943</v>
      </c>
      <c r="D570" s="175">
        <v>40408130</v>
      </c>
      <c r="E570" s="175">
        <v>4040813</v>
      </c>
      <c r="F570" s="229"/>
      <c r="G570" s="229"/>
      <c r="H570" s="229"/>
      <c r="I570" s="63" t="s">
        <v>67</v>
      </c>
      <c r="J570" s="186">
        <v>46063</v>
      </c>
      <c r="K570" s="206"/>
      <c r="L570" s="7"/>
    </row>
    <row r="571" spans="1:12">
      <c r="A571" s="93">
        <v>46053</v>
      </c>
      <c r="B571" s="21" t="s">
        <v>0</v>
      </c>
      <c r="C571" s="175">
        <v>8633900</v>
      </c>
      <c r="D571" s="175">
        <v>7849000</v>
      </c>
      <c r="E571" s="175">
        <v>784900</v>
      </c>
      <c r="F571" s="229"/>
      <c r="G571" s="229"/>
      <c r="H571" s="229"/>
      <c r="I571" s="63" t="s">
        <v>40</v>
      </c>
      <c r="J571" s="186">
        <v>46063</v>
      </c>
      <c r="K571" s="206"/>
      <c r="L571" s="7"/>
    </row>
    <row r="572" spans="1:12">
      <c r="A572" s="93">
        <v>46053</v>
      </c>
      <c r="B572" s="21" t="s">
        <v>0</v>
      </c>
      <c r="C572" s="175">
        <v>11545600</v>
      </c>
      <c r="D572" s="175">
        <v>10496000</v>
      </c>
      <c r="E572" s="175">
        <v>1049600</v>
      </c>
      <c r="F572" s="229"/>
      <c r="G572" s="229"/>
      <c r="H572" s="229"/>
      <c r="I572" s="63" t="s">
        <v>41</v>
      </c>
      <c r="J572" s="186">
        <v>46063</v>
      </c>
      <c r="K572" s="206"/>
      <c r="L572" s="7"/>
    </row>
    <row r="573" spans="1:12">
      <c r="A573" s="93">
        <v>46053</v>
      </c>
      <c r="B573" s="7" t="s">
        <v>0</v>
      </c>
      <c r="C573" s="175">
        <v>4719000</v>
      </c>
      <c r="D573" s="175">
        <v>4290000</v>
      </c>
      <c r="E573" s="175">
        <v>429000</v>
      </c>
      <c r="F573" s="229"/>
      <c r="G573" s="229"/>
      <c r="H573" s="229"/>
      <c r="I573" s="72" t="s">
        <v>160</v>
      </c>
      <c r="J573" s="191">
        <v>46063</v>
      </c>
      <c r="K573" s="205"/>
      <c r="L573" s="7"/>
    </row>
    <row r="574" spans="1:12">
      <c r="A574" s="93">
        <v>46053</v>
      </c>
      <c r="B574" s="21" t="s">
        <v>0</v>
      </c>
      <c r="C574" s="175">
        <v>12507000</v>
      </c>
      <c r="D574" s="175">
        <v>11370000</v>
      </c>
      <c r="E574" s="175">
        <v>1137000</v>
      </c>
      <c r="F574" s="229"/>
      <c r="G574" s="229"/>
      <c r="H574" s="229"/>
      <c r="I574" s="63" t="s">
        <v>42</v>
      </c>
      <c r="J574" s="186">
        <v>46063</v>
      </c>
      <c r="K574" s="206"/>
      <c r="L574" s="7"/>
    </row>
    <row r="575" spans="1:12">
      <c r="A575" s="93">
        <v>46053</v>
      </c>
      <c r="B575" s="21" t="s">
        <v>0</v>
      </c>
      <c r="C575" s="175">
        <v>260700</v>
      </c>
      <c r="D575" s="175">
        <v>237000</v>
      </c>
      <c r="E575" s="175">
        <v>23700</v>
      </c>
      <c r="F575" s="229"/>
      <c r="G575" s="229"/>
      <c r="H575" s="229"/>
      <c r="I575" s="63" t="s">
        <v>161</v>
      </c>
      <c r="J575" s="186">
        <v>46063</v>
      </c>
      <c r="K575" s="206"/>
      <c r="L575" s="7"/>
    </row>
    <row r="576" spans="1:12">
      <c r="A576" s="93">
        <v>46053</v>
      </c>
      <c r="B576" s="21" t="s">
        <v>0</v>
      </c>
      <c r="C576" s="175">
        <v>550000</v>
      </c>
      <c r="D576" s="175">
        <v>500000</v>
      </c>
      <c r="E576" s="175">
        <v>50000</v>
      </c>
      <c r="F576" s="229"/>
      <c r="G576" s="229"/>
      <c r="H576" s="229"/>
      <c r="I576" s="63" t="s">
        <v>156</v>
      </c>
      <c r="J576" s="186">
        <v>46063</v>
      </c>
      <c r="K576" s="206"/>
      <c r="L576" s="7"/>
    </row>
    <row r="577" spans="1:12">
      <c r="A577" s="93">
        <v>46053</v>
      </c>
      <c r="B577" s="21" t="s">
        <v>0</v>
      </c>
      <c r="C577" s="175">
        <v>3025000</v>
      </c>
      <c r="D577" s="175">
        <v>2750000</v>
      </c>
      <c r="E577" s="175">
        <v>275000</v>
      </c>
      <c r="F577" s="229"/>
      <c r="G577" s="229"/>
      <c r="H577" s="229"/>
      <c r="I577" s="63" t="s">
        <v>158</v>
      </c>
      <c r="J577" s="186">
        <v>46063</v>
      </c>
      <c r="K577" s="206"/>
      <c r="L577" s="7"/>
    </row>
    <row r="578" spans="1:12">
      <c r="A578" s="93">
        <v>46053</v>
      </c>
      <c r="B578" s="21" t="s">
        <v>18</v>
      </c>
      <c r="C578" s="175">
        <v>2200000</v>
      </c>
      <c r="D578" s="175">
        <v>2000000</v>
      </c>
      <c r="E578" s="175">
        <v>200000</v>
      </c>
      <c r="F578" s="229"/>
      <c r="G578" s="229"/>
      <c r="H578" s="229"/>
      <c r="I578" s="63" t="s">
        <v>57</v>
      </c>
      <c r="J578" s="186">
        <v>46076</v>
      </c>
      <c r="K578" s="206"/>
      <c r="L578" s="7"/>
    </row>
    <row r="579" spans="1:12">
      <c r="A579" s="93">
        <v>46053</v>
      </c>
      <c r="B579" s="21" t="s">
        <v>18</v>
      </c>
      <c r="C579" s="175">
        <v>1056000</v>
      </c>
      <c r="D579" s="175">
        <v>960000</v>
      </c>
      <c r="E579" s="175">
        <v>96000</v>
      </c>
      <c r="F579" s="229"/>
      <c r="G579" s="229"/>
      <c r="H579" s="229"/>
      <c r="I579" s="63" t="s">
        <v>130</v>
      </c>
      <c r="J579" s="186">
        <v>46073</v>
      </c>
      <c r="K579" s="206"/>
      <c r="L579" s="7"/>
    </row>
    <row r="580" spans="1:12">
      <c r="A580" s="93">
        <v>46053</v>
      </c>
      <c r="B580" s="21" t="s">
        <v>17</v>
      </c>
      <c r="C580" s="175">
        <v>6003360</v>
      </c>
      <c r="D580" s="175">
        <v>5457600</v>
      </c>
      <c r="E580" s="175">
        <v>545760</v>
      </c>
      <c r="F580" s="229"/>
      <c r="G580" s="229"/>
      <c r="H580" s="229"/>
      <c r="I580" s="63" t="s">
        <v>148</v>
      </c>
      <c r="J580" s="186">
        <v>46062</v>
      </c>
      <c r="K580" s="206"/>
      <c r="L580" s="7"/>
    </row>
    <row r="581" spans="1:12">
      <c r="A581" s="93">
        <v>46053</v>
      </c>
      <c r="B581" s="21" t="s">
        <v>17</v>
      </c>
      <c r="C581" s="175">
        <v>2750000</v>
      </c>
      <c r="D581" s="175">
        <v>2500000</v>
      </c>
      <c r="E581" s="175">
        <v>250000</v>
      </c>
      <c r="F581" s="229"/>
      <c r="G581" s="229"/>
      <c r="H581" s="229"/>
      <c r="I581" s="63" t="s">
        <v>65</v>
      </c>
      <c r="J581" s="186">
        <v>46062</v>
      </c>
      <c r="K581" s="206"/>
      <c r="L581" s="7"/>
    </row>
    <row r="582" spans="1:12">
      <c r="A582" s="93">
        <v>46053</v>
      </c>
      <c r="B582" s="21" t="s">
        <v>33</v>
      </c>
      <c r="C582" s="175">
        <v>1357400</v>
      </c>
      <c r="D582" s="175">
        <v>1234000</v>
      </c>
      <c r="E582" s="175">
        <v>123400</v>
      </c>
      <c r="F582" s="229"/>
      <c r="G582" s="229"/>
      <c r="H582" s="229"/>
      <c r="I582" s="63" t="s">
        <v>162</v>
      </c>
      <c r="J582" s="186">
        <v>46063</v>
      </c>
      <c r="K582" s="206"/>
      <c r="L582" s="7"/>
    </row>
    <row r="583" spans="1:12">
      <c r="A583" s="93">
        <v>46053</v>
      </c>
      <c r="B583" s="21" t="s">
        <v>33</v>
      </c>
      <c r="C583" s="175">
        <v>3025000</v>
      </c>
      <c r="D583" s="175">
        <v>2750000</v>
      </c>
      <c r="E583" s="175">
        <v>275000</v>
      </c>
      <c r="F583" s="229"/>
      <c r="G583" s="229"/>
      <c r="H583" s="229"/>
      <c r="I583" s="63" t="s">
        <v>126</v>
      </c>
      <c r="J583" s="186">
        <v>46063</v>
      </c>
      <c r="K583" s="206"/>
      <c r="L583" s="7"/>
    </row>
    <row r="584" spans="1:12">
      <c r="A584" s="93">
        <v>46053</v>
      </c>
      <c r="B584" s="21" t="s">
        <v>33</v>
      </c>
      <c r="C584" s="175">
        <v>1244100</v>
      </c>
      <c r="D584" s="175">
        <v>1131000</v>
      </c>
      <c r="E584" s="175">
        <v>113100</v>
      </c>
      <c r="F584" s="229"/>
      <c r="G584" s="229"/>
      <c r="H584" s="229"/>
      <c r="I584" s="63" t="s">
        <v>127</v>
      </c>
      <c r="J584" s="186">
        <v>46063</v>
      </c>
      <c r="K584" s="206"/>
      <c r="L584" s="7"/>
    </row>
    <row r="585" spans="1:12">
      <c r="A585" s="93">
        <v>46053</v>
      </c>
      <c r="B585" s="21" t="s">
        <v>33</v>
      </c>
      <c r="C585" s="175">
        <v>550000</v>
      </c>
      <c r="D585" s="175">
        <v>500000</v>
      </c>
      <c r="E585" s="175">
        <v>50000</v>
      </c>
      <c r="F585" s="229"/>
      <c r="G585" s="229"/>
      <c r="H585" s="229"/>
      <c r="I585" s="63" t="s">
        <v>53</v>
      </c>
      <c r="J585" s="186">
        <v>46063</v>
      </c>
      <c r="K585" s="206"/>
      <c r="L585" s="7"/>
    </row>
    <row r="586" spans="1:12">
      <c r="A586" s="93">
        <v>46053</v>
      </c>
      <c r="B586" s="7" t="s">
        <v>63</v>
      </c>
      <c r="C586" s="175">
        <v>99000</v>
      </c>
      <c r="D586" s="175">
        <v>90000</v>
      </c>
      <c r="E586" s="175">
        <v>9000</v>
      </c>
      <c r="F586" s="229"/>
      <c r="G586" s="229"/>
      <c r="H586" s="229"/>
      <c r="I586" s="72" t="s">
        <v>125</v>
      </c>
      <c r="J586" s="185">
        <v>46072</v>
      </c>
      <c r="K586" s="205"/>
      <c r="L586" s="7"/>
    </row>
    <row r="587" spans="1:12">
      <c r="A587" s="93">
        <v>46053</v>
      </c>
      <c r="B587" s="21" t="s">
        <v>63</v>
      </c>
      <c r="C587" s="175">
        <v>770000</v>
      </c>
      <c r="D587" s="175">
        <v>700000</v>
      </c>
      <c r="E587" s="175">
        <v>70000</v>
      </c>
      <c r="F587" s="229"/>
      <c r="G587" s="229"/>
      <c r="H587" s="229"/>
      <c r="I587" s="63" t="s">
        <v>163</v>
      </c>
      <c r="J587" s="186">
        <v>46072</v>
      </c>
      <c r="K587" s="206"/>
      <c r="L587" s="7"/>
    </row>
    <row r="588" spans="1:12">
      <c r="A588" s="93">
        <v>46053</v>
      </c>
      <c r="B588" s="21" t="s">
        <v>63</v>
      </c>
      <c r="C588" s="175">
        <v>6259000</v>
      </c>
      <c r="D588" s="175">
        <v>5690000</v>
      </c>
      <c r="E588" s="175">
        <v>569000</v>
      </c>
      <c r="F588" s="229"/>
      <c r="G588" s="229"/>
      <c r="H588" s="229"/>
      <c r="I588" s="63" t="s">
        <v>44</v>
      </c>
      <c r="J588" s="186">
        <v>46072</v>
      </c>
      <c r="K588" s="206"/>
      <c r="L588" s="7"/>
    </row>
    <row r="589" spans="1:12">
      <c r="A589" s="93">
        <v>46053</v>
      </c>
      <c r="B589" s="21" t="s">
        <v>63</v>
      </c>
      <c r="C589" s="175">
        <v>12974500</v>
      </c>
      <c r="D589" s="175">
        <v>11795000</v>
      </c>
      <c r="E589" s="175">
        <v>1179500</v>
      </c>
      <c r="F589" s="229"/>
      <c r="G589" s="229"/>
      <c r="H589" s="229"/>
      <c r="I589" s="63" t="s">
        <v>46</v>
      </c>
      <c r="J589" s="186">
        <v>46072</v>
      </c>
      <c r="K589" s="206"/>
      <c r="L589" s="7"/>
    </row>
    <row r="590" spans="1:12">
      <c r="A590" s="93">
        <v>46053</v>
      </c>
      <c r="B590" s="21" t="s">
        <v>63</v>
      </c>
      <c r="C590" s="175">
        <v>1650000</v>
      </c>
      <c r="D590" s="175">
        <v>1500000</v>
      </c>
      <c r="E590" s="175">
        <v>150000</v>
      </c>
      <c r="F590" s="229"/>
      <c r="G590" s="229"/>
      <c r="H590" s="229"/>
      <c r="I590" s="63" t="s">
        <v>164</v>
      </c>
      <c r="J590" s="186">
        <v>46072</v>
      </c>
      <c r="K590" s="206"/>
      <c r="L590" s="7"/>
    </row>
    <row r="591" spans="1:12">
      <c r="A591" s="93">
        <v>46053</v>
      </c>
      <c r="B591" s="21" t="s">
        <v>34</v>
      </c>
      <c r="C591" s="175">
        <v>5692500</v>
      </c>
      <c r="D591" s="175">
        <v>5175000</v>
      </c>
      <c r="E591" s="175">
        <v>517500</v>
      </c>
      <c r="F591" s="229"/>
      <c r="G591" s="229"/>
      <c r="H591" s="229"/>
      <c r="I591" s="63" t="s">
        <v>147</v>
      </c>
      <c r="J591" s="186">
        <v>46066</v>
      </c>
      <c r="K591" s="206"/>
      <c r="L591" s="7"/>
    </row>
    <row r="592" spans="1:12">
      <c r="A592" s="93">
        <v>46053</v>
      </c>
      <c r="B592" s="21" t="s">
        <v>24</v>
      </c>
      <c r="C592" s="175">
        <v>4483600</v>
      </c>
      <c r="D592" s="175">
        <v>4076000</v>
      </c>
      <c r="E592" s="175">
        <v>407600</v>
      </c>
      <c r="F592" s="229"/>
      <c r="G592" s="229"/>
      <c r="H592" s="229"/>
      <c r="I592" s="63" t="s">
        <v>47</v>
      </c>
      <c r="J592" s="186">
        <v>46066</v>
      </c>
      <c r="K592" s="206"/>
      <c r="L592" s="7"/>
    </row>
    <row r="593" spans="1:12">
      <c r="A593" s="93">
        <v>46053</v>
      </c>
      <c r="B593" s="21" t="s">
        <v>23</v>
      </c>
      <c r="C593" s="175">
        <v>3850000</v>
      </c>
      <c r="D593" s="175">
        <v>3500000</v>
      </c>
      <c r="E593" s="175">
        <v>350000</v>
      </c>
      <c r="F593" s="229"/>
      <c r="G593" s="229"/>
      <c r="H593" s="229"/>
      <c r="I593" s="63" t="s">
        <v>165</v>
      </c>
      <c r="J593" s="186">
        <v>46057</v>
      </c>
      <c r="K593" s="206"/>
      <c r="L593" s="7"/>
    </row>
    <row r="594" spans="1:12">
      <c r="A594" s="93">
        <v>46053</v>
      </c>
      <c r="B594" s="7" t="s">
        <v>61</v>
      </c>
      <c r="C594" s="175">
        <v>1573000</v>
      </c>
      <c r="D594" s="175">
        <v>1430000</v>
      </c>
      <c r="E594" s="175">
        <v>143000</v>
      </c>
      <c r="F594" s="229"/>
      <c r="G594" s="229"/>
      <c r="H594" s="229"/>
      <c r="I594" s="72" t="s">
        <v>62</v>
      </c>
      <c r="J594" s="185">
        <v>46063</v>
      </c>
      <c r="K594" s="205"/>
      <c r="L594" s="7"/>
    </row>
    <row r="595" spans="1:12">
      <c r="A595" s="93">
        <v>46053</v>
      </c>
      <c r="B595" s="21" t="s">
        <v>10</v>
      </c>
      <c r="C595" s="175">
        <v>506000</v>
      </c>
      <c r="D595" s="175">
        <v>460000</v>
      </c>
      <c r="E595" s="175">
        <v>46000</v>
      </c>
      <c r="F595" s="229"/>
      <c r="G595" s="229"/>
      <c r="H595" s="229"/>
      <c r="I595" s="63" t="s">
        <v>3</v>
      </c>
      <c r="J595" s="186">
        <v>46064</v>
      </c>
      <c r="K595" s="206"/>
      <c r="L595" s="7"/>
    </row>
    <row r="596" spans="1:12" ht="14.25" thickBot="1">
      <c r="A596" s="124">
        <v>46053</v>
      </c>
      <c r="B596" s="125" t="s">
        <v>77</v>
      </c>
      <c r="C596" s="176"/>
      <c r="D596" s="176"/>
      <c r="E596" s="176"/>
      <c r="F596" s="230">
        <v>58705350</v>
      </c>
      <c r="G596" s="230">
        <v>53368500</v>
      </c>
      <c r="H596" s="230">
        <v>5336850</v>
      </c>
      <c r="I596" s="126" t="s">
        <v>271</v>
      </c>
      <c r="J596" s="192"/>
      <c r="K596" s="211">
        <v>46063</v>
      </c>
      <c r="L596" s="125"/>
    </row>
    <row r="597" spans="1:12" s="131" customFormat="1" ht="14.25" thickTop="1">
      <c r="A597" s="127">
        <v>46054</v>
      </c>
      <c r="B597" s="128" t="s">
        <v>18</v>
      </c>
      <c r="C597" s="177">
        <v>8800000</v>
      </c>
      <c r="D597" s="177">
        <v>8000000</v>
      </c>
      <c r="E597" s="177">
        <v>800000</v>
      </c>
      <c r="F597" s="231"/>
      <c r="G597" s="231"/>
      <c r="H597" s="231"/>
      <c r="I597" s="129" t="s">
        <v>43</v>
      </c>
      <c r="J597" s="193">
        <v>46059</v>
      </c>
      <c r="K597" s="210"/>
      <c r="L597" s="130"/>
    </row>
    <row r="598" spans="1:12">
      <c r="A598" s="93">
        <v>46054</v>
      </c>
      <c r="B598" s="21" t="s">
        <v>18</v>
      </c>
      <c r="C598" s="175">
        <v>9090455</v>
      </c>
      <c r="D598" s="175">
        <v>8264050</v>
      </c>
      <c r="E598" s="175">
        <v>826405</v>
      </c>
      <c r="F598" s="229"/>
      <c r="G598" s="229"/>
      <c r="H598" s="229"/>
      <c r="I598" s="63" t="s">
        <v>82</v>
      </c>
      <c r="J598" s="186">
        <v>46066</v>
      </c>
      <c r="K598" s="206"/>
      <c r="L598" s="7"/>
    </row>
    <row r="599" spans="1:12">
      <c r="A599" s="93">
        <v>46055</v>
      </c>
      <c r="B599" s="7" t="s">
        <v>184</v>
      </c>
      <c r="C599" s="175"/>
      <c r="D599" s="175"/>
      <c r="E599" s="175"/>
      <c r="F599" s="229">
        <v>150340</v>
      </c>
      <c r="G599" s="229">
        <v>136673</v>
      </c>
      <c r="H599" s="229">
        <v>13667</v>
      </c>
      <c r="I599" s="72" t="s">
        <v>272</v>
      </c>
      <c r="J599" s="185"/>
      <c r="K599" s="205"/>
      <c r="L599" s="7"/>
    </row>
    <row r="600" spans="1:12">
      <c r="A600" s="93">
        <v>46061</v>
      </c>
      <c r="B600" s="21" t="s">
        <v>18</v>
      </c>
      <c r="C600" s="175">
        <v>8387500</v>
      </c>
      <c r="D600" s="175">
        <v>7625000</v>
      </c>
      <c r="E600" s="175">
        <v>762500</v>
      </c>
      <c r="F600" s="229"/>
      <c r="G600" s="229"/>
      <c r="H600" s="229"/>
      <c r="I600" s="63" t="s">
        <v>43</v>
      </c>
      <c r="J600" s="186">
        <v>46066</v>
      </c>
      <c r="K600" s="206"/>
      <c r="L600" s="7"/>
    </row>
    <row r="601" spans="1:12">
      <c r="A601" s="93">
        <v>46061</v>
      </c>
      <c r="B601" s="21" t="s">
        <v>18</v>
      </c>
      <c r="C601" s="175">
        <v>13252250</v>
      </c>
      <c r="D601" s="175">
        <v>12047500</v>
      </c>
      <c r="E601" s="175">
        <v>1204750</v>
      </c>
      <c r="F601" s="229"/>
      <c r="G601" s="229"/>
      <c r="H601" s="229"/>
      <c r="I601" s="63" t="s">
        <v>82</v>
      </c>
      <c r="J601" s="186">
        <v>46066</v>
      </c>
      <c r="K601" s="206"/>
      <c r="L601" s="7"/>
    </row>
    <row r="602" spans="1:12">
      <c r="A602" s="93">
        <v>46063</v>
      </c>
      <c r="B602" s="7" t="s">
        <v>176</v>
      </c>
      <c r="C602" s="175"/>
      <c r="D602" s="175"/>
      <c r="E602" s="175"/>
      <c r="F602" s="229">
        <v>594000</v>
      </c>
      <c r="G602" s="229">
        <v>540000</v>
      </c>
      <c r="H602" s="229">
        <v>54000</v>
      </c>
      <c r="I602" s="72" t="s">
        <v>273</v>
      </c>
      <c r="J602" s="185"/>
      <c r="K602" s="205"/>
      <c r="L602" s="7"/>
    </row>
    <row r="603" spans="1:12">
      <c r="A603" s="93">
        <v>46065</v>
      </c>
      <c r="B603" s="7" t="s">
        <v>105</v>
      </c>
      <c r="C603" s="175">
        <v>330000</v>
      </c>
      <c r="D603" s="175">
        <v>300000</v>
      </c>
      <c r="E603" s="175">
        <v>30000</v>
      </c>
      <c r="F603" s="229"/>
      <c r="G603" s="229"/>
      <c r="H603" s="229"/>
      <c r="I603" s="72" t="s">
        <v>3</v>
      </c>
      <c r="J603" s="185">
        <v>46066</v>
      </c>
      <c r="K603" s="205"/>
      <c r="L603" s="7"/>
    </row>
    <row r="604" spans="1:12">
      <c r="A604" s="93">
        <v>46068</v>
      </c>
      <c r="B604" s="7" t="s">
        <v>18</v>
      </c>
      <c r="C604" s="175">
        <v>7975000</v>
      </c>
      <c r="D604" s="175">
        <v>7250000</v>
      </c>
      <c r="E604" s="175">
        <v>725000</v>
      </c>
      <c r="F604" s="229"/>
      <c r="G604" s="229"/>
      <c r="H604" s="229"/>
      <c r="I604" s="72" t="s">
        <v>43</v>
      </c>
      <c r="J604" s="185">
        <v>46076</v>
      </c>
      <c r="K604" s="205"/>
      <c r="L604" s="7"/>
    </row>
    <row r="605" spans="1:12">
      <c r="A605" s="93">
        <v>46068</v>
      </c>
      <c r="B605" s="7" t="s">
        <v>18</v>
      </c>
      <c r="C605" s="175">
        <v>6970645</v>
      </c>
      <c r="D605" s="175">
        <v>6336950</v>
      </c>
      <c r="E605" s="175">
        <v>633695</v>
      </c>
      <c r="F605" s="229"/>
      <c r="G605" s="229"/>
      <c r="H605" s="229"/>
      <c r="I605" s="72" t="s">
        <v>81</v>
      </c>
      <c r="J605" s="185">
        <v>46076</v>
      </c>
      <c r="K605" s="205"/>
      <c r="L605" s="7"/>
    </row>
    <row r="606" spans="1:12">
      <c r="A606" s="93">
        <v>46068</v>
      </c>
      <c r="B606" s="7" t="s">
        <v>0</v>
      </c>
      <c r="C606" s="175">
        <v>5140300</v>
      </c>
      <c r="D606" s="175">
        <v>4673000</v>
      </c>
      <c r="E606" s="175">
        <v>467300</v>
      </c>
      <c r="F606" s="229"/>
      <c r="G606" s="229"/>
      <c r="H606" s="229"/>
      <c r="I606" s="72" t="s">
        <v>40</v>
      </c>
      <c r="J606" s="185">
        <v>46080</v>
      </c>
      <c r="K606" s="205"/>
      <c r="L606" s="7"/>
    </row>
    <row r="607" spans="1:12">
      <c r="A607" s="93">
        <v>46068</v>
      </c>
      <c r="B607" s="7" t="s">
        <v>0</v>
      </c>
      <c r="C607" s="175">
        <v>13486550</v>
      </c>
      <c r="D607" s="175">
        <v>12260500</v>
      </c>
      <c r="E607" s="175">
        <v>1226050</v>
      </c>
      <c r="F607" s="229"/>
      <c r="G607" s="229"/>
      <c r="H607" s="229"/>
      <c r="I607" s="72" t="s">
        <v>42</v>
      </c>
      <c r="J607" s="185">
        <v>46080</v>
      </c>
      <c r="K607" s="205"/>
      <c r="L607" s="7"/>
    </row>
    <row r="608" spans="1:12">
      <c r="A608" s="93">
        <v>46068</v>
      </c>
      <c r="B608" s="7" t="s">
        <v>33</v>
      </c>
      <c r="C608" s="175">
        <v>3300000</v>
      </c>
      <c r="D608" s="175">
        <v>3000000</v>
      </c>
      <c r="E608" s="175">
        <v>300000</v>
      </c>
      <c r="F608" s="229"/>
      <c r="G608" s="229"/>
      <c r="H608" s="229"/>
      <c r="I608" s="72" t="s">
        <v>126</v>
      </c>
      <c r="J608" s="185">
        <v>46073</v>
      </c>
      <c r="K608" s="205"/>
      <c r="L608" s="7"/>
    </row>
    <row r="609" spans="1:12">
      <c r="A609" s="93">
        <v>46068</v>
      </c>
      <c r="B609" s="21" t="s">
        <v>33</v>
      </c>
      <c r="C609" s="175">
        <v>680900</v>
      </c>
      <c r="D609" s="175">
        <v>619000</v>
      </c>
      <c r="E609" s="175">
        <v>61900</v>
      </c>
      <c r="F609" s="229"/>
      <c r="G609" s="229"/>
      <c r="H609" s="229"/>
      <c r="I609" s="63" t="s">
        <v>127</v>
      </c>
      <c r="J609" s="186">
        <v>46073</v>
      </c>
      <c r="K609" s="206"/>
      <c r="L609" s="7"/>
    </row>
    <row r="610" spans="1:12">
      <c r="A610" s="93">
        <v>46068</v>
      </c>
      <c r="B610" s="21" t="s">
        <v>17</v>
      </c>
      <c r="C610" s="175">
        <v>7584280</v>
      </c>
      <c r="D610" s="175">
        <v>6894800</v>
      </c>
      <c r="E610" s="175">
        <v>689480</v>
      </c>
      <c r="F610" s="229"/>
      <c r="G610" s="229"/>
      <c r="H610" s="229"/>
      <c r="I610" s="63" t="s">
        <v>148</v>
      </c>
      <c r="J610" s="186">
        <v>46079</v>
      </c>
      <c r="K610" s="206"/>
      <c r="L610" s="7"/>
    </row>
    <row r="611" spans="1:12">
      <c r="A611" s="93">
        <v>46075</v>
      </c>
      <c r="B611" s="7" t="s">
        <v>18</v>
      </c>
      <c r="C611" s="175">
        <v>12639000</v>
      </c>
      <c r="D611" s="175">
        <v>11490000</v>
      </c>
      <c r="E611" s="175">
        <v>1149000</v>
      </c>
      <c r="F611" s="229"/>
      <c r="G611" s="229"/>
      <c r="H611" s="229"/>
      <c r="I611" s="72" t="s">
        <v>43</v>
      </c>
      <c r="J611" s="185">
        <v>46085</v>
      </c>
      <c r="K611" s="205"/>
      <c r="L611" s="7"/>
    </row>
    <row r="612" spans="1:12">
      <c r="A612" s="93">
        <v>46075</v>
      </c>
      <c r="B612" s="7" t="s">
        <v>18</v>
      </c>
      <c r="C612" s="175">
        <v>10433500</v>
      </c>
      <c r="D612" s="175">
        <v>9485000</v>
      </c>
      <c r="E612" s="175">
        <v>948500</v>
      </c>
      <c r="F612" s="229"/>
      <c r="G612" s="229"/>
      <c r="H612" s="229"/>
      <c r="I612" s="72" t="s">
        <v>81</v>
      </c>
      <c r="J612" s="185">
        <v>46085</v>
      </c>
      <c r="K612" s="205"/>
      <c r="L612" s="7"/>
    </row>
    <row r="613" spans="1:12">
      <c r="A613" s="93">
        <v>46078</v>
      </c>
      <c r="B613" s="7" t="s">
        <v>185</v>
      </c>
      <c r="C613" s="175"/>
      <c r="D613" s="175"/>
      <c r="E613" s="175"/>
      <c r="F613" s="229">
        <v>305134</v>
      </c>
      <c r="G613" s="229">
        <v>277396</v>
      </c>
      <c r="H613" s="229">
        <v>27738</v>
      </c>
      <c r="I613" s="72" t="s">
        <v>244</v>
      </c>
      <c r="J613" s="185"/>
      <c r="K613" s="205"/>
      <c r="L613" s="7"/>
    </row>
    <row r="614" spans="1:12">
      <c r="A614" s="93">
        <v>46078</v>
      </c>
      <c r="B614" s="7" t="s">
        <v>39</v>
      </c>
      <c r="C614" s="175"/>
      <c r="D614" s="175"/>
      <c r="E614" s="175"/>
      <c r="F614" s="229">
        <v>220000</v>
      </c>
      <c r="G614" s="229">
        <v>200000</v>
      </c>
      <c r="H614" s="229">
        <v>20000</v>
      </c>
      <c r="I614" s="72" t="s">
        <v>56</v>
      </c>
      <c r="J614" s="185"/>
      <c r="K614" s="205"/>
      <c r="L614" s="7"/>
    </row>
    <row r="615" spans="1:12">
      <c r="A615" s="93">
        <v>46079</v>
      </c>
      <c r="B615" s="21" t="s">
        <v>84</v>
      </c>
      <c r="C615" s="175">
        <v>1581250</v>
      </c>
      <c r="D615" s="175">
        <v>1437500</v>
      </c>
      <c r="E615" s="175">
        <v>143750</v>
      </c>
      <c r="F615" s="229"/>
      <c r="G615" s="229"/>
      <c r="H615" s="229"/>
      <c r="I615" s="63" t="s">
        <v>159</v>
      </c>
      <c r="J615" s="186">
        <v>46093</v>
      </c>
      <c r="K615" s="206"/>
      <c r="L615" s="7"/>
    </row>
    <row r="616" spans="1:12">
      <c r="A616" s="93">
        <v>46081</v>
      </c>
      <c r="B616" s="21" t="s">
        <v>61</v>
      </c>
      <c r="C616" s="175">
        <v>1148400</v>
      </c>
      <c r="D616" s="175">
        <v>1044000</v>
      </c>
      <c r="E616" s="175">
        <v>104400</v>
      </c>
      <c r="F616" s="229"/>
      <c r="G616" s="229"/>
      <c r="H616" s="229"/>
      <c r="I616" s="63" t="s">
        <v>62</v>
      </c>
      <c r="J616" s="186">
        <v>46091</v>
      </c>
      <c r="K616" s="206"/>
      <c r="L616" s="7"/>
    </row>
    <row r="617" spans="1:12">
      <c r="A617" s="93">
        <v>46081</v>
      </c>
      <c r="B617" s="21" t="s">
        <v>0</v>
      </c>
      <c r="C617" s="175">
        <v>5951000</v>
      </c>
      <c r="D617" s="175">
        <v>5410000</v>
      </c>
      <c r="E617" s="175">
        <v>541000</v>
      </c>
      <c r="F617" s="229"/>
      <c r="G617" s="229"/>
      <c r="H617" s="229"/>
      <c r="I617" s="63" t="s">
        <v>40</v>
      </c>
      <c r="J617" s="186">
        <v>46091</v>
      </c>
      <c r="K617" s="206"/>
      <c r="L617" s="7"/>
    </row>
    <row r="618" spans="1:12">
      <c r="A618" s="93">
        <v>46081</v>
      </c>
      <c r="B618" s="21" t="s">
        <v>0</v>
      </c>
      <c r="C618" s="175">
        <v>9023960</v>
      </c>
      <c r="D618" s="175">
        <v>8203600</v>
      </c>
      <c r="E618" s="175">
        <v>820360</v>
      </c>
      <c r="F618" s="229"/>
      <c r="G618" s="229"/>
      <c r="H618" s="229"/>
      <c r="I618" s="63" t="s">
        <v>41</v>
      </c>
      <c r="J618" s="186">
        <v>46091</v>
      </c>
      <c r="K618" s="206"/>
      <c r="L618" s="7"/>
    </row>
    <row r="619" spans="1:12">
      <c r="A619" s="93">
        <v>46081</v>
      </c>
      <c r="B619" s="21" t="s">
        <v>0</v>
      </c>
      <c r="C619" s="175">
        <v>4221800</v>
      </c>
      <c r="D619" s="175">
        <v>3838000</v>
      </c>
      <c r="E619" s="175">
        <v>383800</v>
      </c>
      <c r="F619" s="229"/>
      <c r="G619" s="229"/>
      <c r="H619" s="229"/>
      <c r="I619" s="63" t="s">
        <v>160</v>
      </c>
      <c r="J619" s="186">
        <v>46091</v>
      </c>
      <c r="K619" s="206"/>
      <c r="L619" s="7"/>
    </row>
    <row r="620" spans="1:12">
      <c r="A620" s="93">
        <v>46081</v>
      </c>
      <c r="B620" s="21" t="s">
        <v>0</v>
      </c>
      <c r="C620" s="175">
        <v>10206350</v>
      </c>
      <c r="D620" s="175">
        <v>9278500</v>
      </c>
      <c r="E620" s="175">
        <v>927850</v>
      </c>
      <c r="F620" s="229"/>
      <c r="G620" s="229"/>
      <c r="H620" s="229"/>
      <c r="I620" s="63" t="s">
        <v>42</v>
      </c>
      <c r="J620" s="186">
        <v>46091</v>
      </c>
      <c r="K620" s="206"/>
      <c r="L620" s="7"/>
    </row>
    <row r="621" spans="1:12">
      <c r="A621" s="93">
        <v>46081</v>
      </c>
      <c r="B621" s="7" t="s">
        <v>0</v>
      </c>
      <c r="C621" s="175">
        <v>86900</v>
      </c>
      <c r="D621" s="175">
        <v>79000</v>
      </c>
      <c r="E621" s="175">
        <v>7900</v>
      </c>
      <c r="F621" s="229"/>
      <c r="G621" s="229"/>
      <c r="H621" s="229"/>
      <c r="I621" s="72" t="s">
        <v>166</v>
      </c>
      <c r="J621" s="185">
        <v>46091</v>
      </c>
      <c r="K621" s="205"/>
      <c r="L621" s="7"/>
    </row>
    <row r="622" spans="1:12">
      <c r="A622" s="93">
        <v>46081</v>
      </c>
      <c r="B622" s="21" t="s">
        <v>0</v>
      </c>
      <c r="C622" s="175">
        <v>2612500</v>
      </c>
      <c r="D622" s="175">
        <v>2375000</v>
      </c>
      <c r="E622" s="175">
        <v>237500</v>
      </c>
      <c r="F622" s="229"/>
      <c r="G622" s="229"/>
      <c r="H622" s="229"/>
      <c r="I622" s="63" t="s">
        <v>156</v>
      </c>
      <c r="J622" s="186">
        <v>46091</v>
      </c>
      <c r="K622" s="206"/>
      <c r="L622" s="7"/>
    </row>
    <row r="623" spans="1:12">
      <c r="A623" s="93">
        <v>46081</v>
      </c>
      <c r="B623" s="21" t="s">
        <v>0</v>
      </c>
      <c r="C623" s="175">
        <v>2062500</v>
      </c>
      <c r="D623" s="175">
        <v>1875000</v>
      </c>
      <c r="E623" s="175">
        <v>187500</v>
      </c>
      <c r="F623" s="229"/>
      <c r="G623" s="229"/>
      <c r="H623" s="229"/>
      <c r="I623" s="63" t="s">
        <v>158</v>
      </c>
      <c r="J623" s="186">
        <v>46101</v>
      </c>
      <c r="K623" s="206"/>
      <c r="L623" s="7"/>
    </row>
    <row r="624" spans="1:12">
      <c r="A624" s="93">
        <v>46081</v>
      </c>
      <c r="B624" s="21" t="s">
        <v>0</v>
      </c>
      <c r="C624" s="175">
        <v>35224200</v>
      </c>
      <c r="D624" s="175">
        <v>32022000</v>
      </c>
      <c r="E624" s="175">
        <v>3202200</v>
      </c>
      <c r="F624" s="229"/>
      <c r="G624" s="229"/>
      <c r="H624" s="229"/>
      <c r="I624" s="63" t="s">
        <v>67</v>
      </c>
      <c r="J624" s="186">
        <v>46091</v>
      </c>
      <c r="K624" s="206"/>
      <c r="L624" s="7"/>
    </row>
    <row r="625" spans="1:12">
      <c r="A625" s="93">
        <v>46081</v>
      </c>
      <c r="B625" s="21" t="s">
        <v>33</v>
      </c>
      <c r="C625" s="175">
        <v>412500</v>
      </c>
      <c r="D625" s="175">
        <v>375000</v>
      </c>
      <c r="E625" s="175">
        <v>37500</v>
      </c>
      <c r="F625" s="229"/>
      <c r="G625" s="229"/>
      <c r="H625" s="229"/>
      <c r="I625" s="63" t="s">
        <v>53</v>
      </c>
      <c r="J625" s="186">
        <v>46091</v>
      </c>
      <c r="K625" s="206"/>
      <c r="L625" s="7"/>
    </row>
    <row r="626" spans="1:12">
      <c r="A626" s="93">
        <v>46081</v>
      </c>
      <c r="B626" s="21" t="s">
        <v>33</v>
      </c>
      <c r="C626" s="175">
        <v>478500</v>
      </c>
      <c r="D626" s="175">
        <v>435000</v>
      </c>
      <c r="E626" s="175">
        <v>43500</v>
      </c>
      <c r="F626" s="229"/>
      <c r="G626" s="229"/>
      <c r="H626" s="229"/>
      <c r="I626" s="63" t="s">
        <v>167</v>
      </c>
      <c r="J626" s="186">
        <v>46091</v>
      </c>
      <c r="K626" s="206"/>
      <c r="L626" s="7"/>
    </row>
    <row r="627" spans="1:12">
      <c r="A627" s="93">
        <v>46081</v>
      </c>
      <c r="B627" s="21" t="s">
        <v>33</v>
      </c>
      <c r="C627" s="175">
        <v>2475000</v>
      </c>
      <c r="D627" s="175">
        <v>2250000</v>
      </c>
      <c r="E627" s="175">
        <v>225000</v>
      </c>
      <c r="F627" s="229"/>
      <c r="G627" s="229"/>
      <c r="H627" s="229"/>
      <c r="I627" s="63" t="s">
        <v>126</v>
      </c>
      <c r="J627" s="186">
        <v>46091</v>
      </c>
      <c r="K627" s="206"/>
      <c r="L627" s="7"/>
    </row>
    <row r="628" spans="1:12">
      <c r="A628" s="93">
        <v>46081</v>
      </c>
      <c r="B628" s="21" t="s">
        <v>33</v>
      </c>
      <c r="C628" s="175">
        <v>2105400</v>
      </c>
      <c r="D628" s="175">
        <v>1914000</v>
      </c>
      <c r="E628" s="175">
        <v>191400</v>
      </c>
      <c r="F628" s="229"/>
      <c r="G628" s="229"/>
      <c r="H628" s="229"/>
      <c r="I628" s="63" t="s">
        <v>127</v>
      </c>
      <c r="J628" s="186">
        <v>46091</v>
      </c>
      <c r="K628" s="206"/>
      <c r="L628" s="7"/>
    </row>
    <row r="629" spans="1:12">
      <c r="A629" s="93">
        <v>46081</v>
      </c>
      <c r="B629" s="21" t="s">
        <v>63</v>
      </c>
      <c r="C629" s="175">
        <v>1237500</v>
      </c>
      <c r="D629" s="175">
        <v>1125000</v>
      </c>
      <c r="E629" s="175">
        <v>112500</v>
      </c>
      <c r="F629" s="229"/>
      <c r="G629" s="229"/>
      <c r="H629" s="229"/>
      <c r="I629" s="63" t="s">
        <v>125</v>
      </c>
      <c r="J629" s="186">
        <v>46097</v>
      </c>
      <c r="K629" s="206"/>
      <c r="L629" s="7"/>
    </row>
    <row r="630" spans="1:12">
      <c r="A630" s="93">
        <v>46081</v>
      </c>
      <c r="B630" s="7" t="s">
        <v>63</v>
      </c>
      <c r="C630" s="175">
        <v>1386000</v>
      </c>
      <c r="D630" s="175">
        <v>1260000</v>
      </c>
      <c r="E630" s="175">
        <v>126000</v>
      </c>
      <c r="F630" s="229"/>
      <c r="G630" s="229"/>
      <c r="H630" s="229"/>
      <c r="I630" s="72" t="s">
        <v>163</v>
      </c>
      <c r="J630" s="185">
        <v>46097</v>
      </c>
      <c r="K630" s="205"/>
      <c r="L630" s="7"/>
    </row>
    <row r="631" spans="1:12">
      <c r="A631" s="93">
        <v>46081</v>
      </c>
      <c r="B631" s="7" t="s">
        <v>63</v>
      </c>
      <c r="C631" s="175">
        <v>5181000</v>
      </c>
      <c r="D631" s="175">
        <v>4710000</v>
      </c>
      <c r="E631" s="175">
        <v>471000</v>
      </c>
      <c r="F631" s="229"/>
      <c r="G631" s="229"/>
      <c r="H631" s="229"/>
      <c r="I631" s="72" t="s">
        <v>44</v>
      </c>
      <c r="J631" s="185">
        <v>46097</v>
      </c>
      <c r="K631" s="205"/>
      <c r="L631" s="7"/>
    </row>
    <row r="632" spans="1:12">
      <c r="A632" s="93">
        <v>46081</v>
      </c>
      <c r="B632" s="21" t="s">
        <v>63</v>
      </c>
      <c r="C632" s="175">
        <v>5346000</v>
      </c>
      <c r="D632" s="175">
        <v>4860000</v>
      </c>
      <c r="E632" s="175">
        <v>486000</v>
      </c>
      <c r="F632" s="229"/>
      <c r="G632" s="229"/>
      <c r="H632" s="229"/>
      <c r="I632" s="63" t="s">
        <v>46</v>
      </c>
      <c r="J632" s="186">
        <v>46097</v>
      </c>
      <c r="K632" s="206"/>
      <c r="L632" s="7"/>
    </row>
    <row r="633" spans="1:12">
      <c r="A633" s="93">
        <v>46081</v>
      </c>
      <c r="B633" s="21" t="s">
        <v>63</v>
      </c>
      <c r="C633" s="175">
        <v>2645500</v>
      </c>
      <c r="D633" s="175">
        <v>2405000</v>
      </c>
      <c r="E633" s="175">
        <v>240500</v>
      </c>
      <c r="F633" s="229"/>
      <c r="G633" s="229"/>
      <c r="H633" s="229"/>
      <c r="I633" s="63" t="s">
        <v>168</v>
      </c>
      <c r="J633" s="186">
        <v>46097</v>
      </c>
      <c r="K633" s="206"/>
      <c r="L633" s="7"/>
    </row>
    <row r="634" spans="1:12">
      <c r="A634" s="93">
        <v>46081</v>
      </c>
      <c r="B634" s="7" t="s">
        <v>63</v>
      </c>
      <c r="C634" s="175">
        <v>2702700</v>
      </c>
      <c r="D634" s="175">
        <v>2457000</v>
      </c>
      <c r="E634" s="175">
        <v>245700</v>
      </c>
      <c r="F634" s="229"/>
      <c r="G634" s="229"/>
      <c r="H634" s="229"/>
      <c r="I634" s="72" t="s">
        <v>164</v>
      </c>
      <c r="J634" s="185">
        <v>46097</v>
      </c>
      <c r="K634" s="205"/>
      <c r="L634" s="7"/>
    </row>
    <row r="635" spans="1:12">
      <c r="A635" s="93">
        <v>46081</v>
      </c>
      <c r="B635" s="7" t="s">
        <v>17</v>
      </c>
      <c r="C635" s="175">
        <v>7379130</v>
      </c>
      <c r="D635" s="175">
        <v>6708300</v>
      </c>
      <c r="E635" s="175">
        <v>670830</v>
      </c>
      <c r="F635" s="229"/>
      <c r="G635" s="229"/>
      <c r="H635" s="229"/>
      <c r="I635" s="72" t="s">
        <v>169</v>
      </c>
      <c r="J635" s="185">
        <v>46090</v>
      </c>
      <c r="K635" s="205"/>
      <c r="L635" s="7"/>
    </row>
    <row r="636" spans="1:12">
      <c r="A636" s="93">
        <v>46081</v>
      </c>
      <c r="B636" s="7" t="s">
        <v>17</v>
      </c>
      <c r="C636" s="175">
        <v>412500</v>
      </c>
      <c r="D636" s="175">
        <v>375000</v>
      </c>
      <c r="E636" s="175">
        <v>37500</v>
      </c>
      <c r="F636" s="229"/>
      <c r="G636" s="229"/>
      <c r="H636" s="229"/>
      <c r="I636" s="72" t="s">
        <v>65</v>
      </c>
      <c r="J636" s="185">
        <v>46090</v>
      </c>
      <c r="K636" s="205"/>
      <c r="L636" s="7"/>
    </row>
    <row r="637" spans="1:12">
      <c r="A637" s="93">
        <v>46081</v>
      </c>
      <c r="B637" s="7" t="s">
        <v>23</v>
      </c>
      <c r="C637" s="175">
        <v>3025000</v>
      </c>
      <c r="D637" s="175">
        <v>2750000</v>
      </c>
      <c r="E637" s="175">
        <v>275000</v>
      </c>
      <c r="F637" s="229"/>
      <c r="G637" s="229"/>
      <c r="H637" s="229"/>
      <c r="I637" s="72" t="s">
        <v>74</v>
      </c>
      <c r="J637" s="185">
        <v>46085</v>
      </c>
      <c r="K637" s="205"/>
      <c r="L637" s="7"/>
    </row>
    <row r="638" spans="1:12">
      <c r="A638" s="93">
        <v>46081</v>
      </c>
      <c r="B638" s="7" t="s">
        <v>24</v>
      </c>
      <c r="C638" s="175">
        <v>2393600</v>
      </c>
      <c r="D638" s="175">
        <v>2176000</v>
      </c>
      <c r="E638" s="175">
        <v>217600</v>
      </c>
      <c r="F638" s="229"/>
      <c r="G638" s="229"/>
      <c r="H638" s="229"/>
      <c r="I638" s="72" t="s">
        <v>47</v>
      </c>
      <c r="J638" s="185">
        <v>46094</v>
      </c>
      <c r="K638" s="205"/>
      <c r="L638" s="7"/>
    </row>
    <row r="639" spans="1:12">
      <c r="A639" s="93">
        <v>46081</v>
      </c>
      <c r="B639" s="7" t="s">
        <v>34</v>
      </c>
      <c r="C639" s="175">
        <v>1138500</v>
      </c>
      <c r="D639" s="175">
        <v>1035000</v>
      </c>
      <c r="E639" s="175">
        <v>103500</v>
      </c>
      <c r="F639" s="229"/>
      <c r="G639" s="229"/>
      <c r="H639" s="229"/>
      <c r="I639" s="72" t="s">
        <v>147</v>
      </c>
      <c r="J639" s="185">
        <v>46091</v>
      </c>
      <c r="K639" s="205"/>
      <c r="L639" s="7"/>
    </row>
    <row r="640" spans="1:12">
      <c r="A640" s="93">
        <v>46081</v>
      </c>
      <c r="B640" s="7" t="s">
        <v>10</v>
      </c>
      <c r="C640" s="175">
        <v>1298000</v>
      </c>
      <c r="D640" s="175">
        <v>1180000</v>
      </c>
      <c r="E640" s="175">
        <v>118000</v>
      </c>
      <c r="F640" s="229"/>
      <c r="G640" s="229"/>
      <c r="H640" s="229"/>
      <c r="I640" s="72" t="s">
        <v>3</v>
      </c>
      <c r="J640" s="185">
        <v>46114</v>
      </c>
      <c r="K640" s="205"/>
      <c r="L640" s="7"/>
    </row>
    <row r="641" spans="1:12">
      <c r="A641" s="93">
        <v>46081</v>
      </c>
      <c r="B641" s="21" t="s">
        <v>18</v>
      </c>
      <c r="C641" s="175">
        <v>3162500</v>
      </c>
      <c r="D641" s="175">
        <v>2875000</v>
      </c>
      <c r="E641" s="175">
        <v>287500</v>
      </c>
      <c r="F641" s="229"/>
      <c r="G641" s="229"/>
      <c r="H641" s="229"/>
      <c r="I641" s="63" t="s">
        <v>128</v>
      </c>
      <c r="J641" s="186">
        <v>46099</v>
      </c>
      <c r="K641" s="206"/>
      <c r="L641" s="7"/>
    </row>
    <row r="642" spans="1:12">
      <c r="A642" s="93">
        <v>46081</v>
      </c>
      <c r="B642" s="21" t="s">
        <v>18</v>
      </c>
      <c r="C642" s="175">
        <v>275000</v>
      </c>
      <c r="D642" s="175">
        <v>250000</v>
      </c>
      <c r="E642" s="175">
        <v>25000</v>
      </c>
      <c r="F642" s="229"/>
      <c r="G642" s="229"/>
      <c r="H642" s="229"/>
      <c r="I642" s="63" t="s">
        <v>64</v>
      </c>
      <c r="J642" s="186">
        <v>46099</v>
      </c>
      <c r="K642" s="206"/>
      <c r="L642" s="7"/>
    </row>
    <row r="643" spans="1:12">
      <c r="A643" s="93">
        <v>46081</v>
      </c>
      <c r="B643" s="7" t="s">
        <v>77</v>
      </c>
      <c r="C643" s="175"/>
      <c r="D643" s="175"/>
      <c r="E643" s="175"/>
      <c r="F643" s="229">
        <v>40063100</v>
      </c>
      <c r="G643" s="229">
        <v>36421000</v>
      </c>
      <c r="H643" s="229">
        <v>3642100</v>
      </c>
      <c r="I643" s="72" t="s">
        <v>274</v>
      </c>
      <c r="J643" s="185"/>
      <c r="K643" s="211">
        <v>46091</v>
      </c>
      <c r="L643" s="7"/>
    </row>
    <row r="644" spans="1:12" ht="14.25" thickBot="1">
      <c r="A644" s="124">
        <v>46081</v>
      </c>
      <c r="B644" s="125" t="s">
        <v>184</v>
      </c>
      <c r="C644" s="176"/>
      <c r="D644" s="176"/>
      <c r="E644" s="176"/>
      <c r="F644" s="230">
        <v>151609</v>
      </c>
      <c r="G644" s="230">
        <v>137827</v>
      </c>
      <c r="H644" s="230">
        <v>13782</v>
      </c>
      <c r="I644" s="126" t="s">
        <v>275</v>
      </c>
      <c r="J644" s="192"/>
      <c r="K644" s="209"/>
      <c r="L644" s="125"/>
    </row>
    <row r="645" spans="1:12" s="131" customFormat="1" ht="14.25" thickTop="1">
      <c r="A645" s="127">
        <v>46082</v>
      </c>
      <c r="B645" s="128" t="s">
        <v>18</v>
      </c>
      <c r="C645" s="177">
        <v>10728300</v>
      </c>
      <c r="D645" s="177">
        <v>9753000</v>
      </c>
      <c r="E645" s="177">
        <v>975300</v>
      </c>
      <c r="F645" s="231"/>
      <c r="G645" s="231"/>
      <c r="H645" s="231"/>
      <c r="I645" s="129" t="s">
        <v>82</v>
      </c>
      <c r="J645" s="193">
        <v>46099</v>
      </c>
      <c r="K645" s="210"/>
      <c r="L645" s="130"/>
    </row>
    <row r="646" spans="1:12">
      <c r="A646" s="93">
        <v>46082</v>
      </c>
      <c r="B646" s="21" t="s">
        <v>18</v>
      </c>
      <c r="C646" s="175">
        <v>8679550</v>
      </c>
      <c r="D646" s="175">
        <v>7890500</v>
      </c>
      <c r="E646" s="175">
        <v>789050</v>
      </c>
      <c r="F646" s="229"/>
      <c r="G646" s="229"/>
      <c r="H646" s="229"/>
      <c r="I646" s="63" t="s">
        <v>43</v>
      </c>
      <c r="J646" s="186">
        <v>46097</v>
      </c>
      <c r="K646" s="206"/>
      <c r="L646" s="7"/>
    </row>
    <row r="647" spans="1:12">
      <c r="A647" s="93">
        <v>46088</v>
      </c>
      <c r="B647" s="7" t="s">
        <v>176</v>
      </c>
      <c r="C647" s="175"/>
      <c r="D647" s="175"/>
      <c r="E647" s="175"/>
      <c r="F647" s="229">
        <v>594000</v>
      </c>
      <c r="G647" s="229">
        <v>540000</v>
      </c>
      <c r="H647" s="229">
        <v>54000</v>
      </c>
      <c r="I647" s="72" t="s">
        <v>276</v>
      </c>
      <c r="J647" s="185"/>
      <c r="K647" s="205"/>
      <c r="L647" s="7"/>
    </row>
    <row r="648" spans="1:12">
      <c r="A648" s="93">
        <v>46089</v>
      </c>
      <c r="B648" s="7" t="s">
        <v>18</v>
      </c>
      <c r="C648" s="175">
        <v>11016500</v>
      </c>
      <c r="D648" s="175">
        <v>10015000</v>
      </c>
      <c r="E648" s="175">
        <v>1001500</v>
      </c>
      <c r="F648" s="229"/>
      <c r="G648" s="229"/>
      <c r="H648" s="229"/>
      <c r="I648" s="72" t="s">
        <v>82</v>
      </c>
      <c r="J648" s="185">
        <v>46099</v>
      </c>
      <c r="K648" s="205"/>
      <c r="L648" s="7"/>
    </row>
    <row r="649" spans="1:12">
      <c r="A649" s="93">
        <v>46089</v>
      </c>
      <c r="B649" s="7" t="s">
        <v>18</v>
      </c>
      <c r="C649" s="175">
        <v>2371600</v>
      </c>
      <c r="D649" s="175">
        <v>2156000</v>
      </c>
      <c r="E649" s="175">
        <v>215600</v>
      </c>
      <c r="F649" s="229"/>
      <c r="G649" s="229"/>
      <c r="H649" s="229"/>
      <c r="I649" s="72" t="s">
        <v>43</v>
      </c>
      <c r="J649" s="185">
        <v>46094</v>
      </c>
      <c r="K649" s="205"/>
      <c r="L649" s="7"/>
    </row>
    <row r="650" spans="1:12">
      <c r="A650" s="93">
        <v>46092</v>
      </c>
      <c r="B650" s="21" t="s">
        <v>18</v>
      </c>
      <c r="C650" s="175">
        <v>1100000</v>
      </c>
      <c r="D650" s="175">
        <v>1000000</v>
      </c>
      <c r="E650" s="175">
        <v>100000</v>
      </c>
      <c r="F650" s="229"/>
      <c r="G650" s="229"/>
      <c r="H650" s="229"/>
      <c r="I650" s="63" t="s">
        <v>130</v>
      </c>
      <c r="J650" s="187">
        <v>46099</v>
      </c>
      <c r="K650" s="206"/>
      <c r="L650" s="7"/>
    </row>
    <row r="651" spans="1:12">
      <c r="A651" s="93">
        <v>46094</v>
      </c>
      <c r="B651" s="21" t="s">
        <v>18</v>
      </c>
      <c r="C651" s="175">
        <v>4675000</v>
      </c>
      <c r="D651" s="175">
        <v>4250000</v>
      </c>
      <c r="E651" s="175">
        <v>425000</v>
      </c>
      <c r="F651" s="229"/>
      <c r="G651" s="229"/>
      <c r="H651" s="229"/>
      <c r="I651" s="63" t="s">
        <v>130</v>
      </c>
      <c r="J651" s="186">
        <v>46099</v>
      </c>
      <c r="K651" s="206"/>
      <c r="L651" s="7"/>
    </row>
    <row r="652" spans="1:12">
      <c r="A652" s="93">
        <v>46095</v>
      </c>
      <c r="B652" s="7" t="s">
        <v>84</v>
      </c>
      <c r="C652" s="175">
        <v>1650000</v>
      </c>
      <c r="D652" s="175">
        <v>1500000</v>
      </c>
      <c r="E652" s="175">
        <v>150000</v>
      </c>
      <c r="F652" s="229"/>
      <c r="G652" s="229"/>
      <c r="H652" s="229"/>
      <c r="I652" s="72" t="s">
        <v>170</v>
      </c>
      <c r="J652" s="185">
        <v>46125</v>
      </c>
      <c r="K652" s="205"/>
      <c r="L652" s="7" t="s">
        <v>317</v>
      </c>
    </row>
    <row r="653" spans="1:12">
      <c r="A653" s="93">
        <v>46096</v>
      </c>
      <c r="B653" s="7" t="s">
        <v>18</v>
      </c>
      <c r="C653" s="175">
        <v>2200000</v>
      </c>
      <c r="D653" s="175">
        <v>2000000</v>
      </c>
      <c r="E653" s="175">
        <v>200000</v>
      </c>
      <c r="F653" s="229"/>
      <c r="G653" s="229"/>
      <c r="H653" s="229"/>
      <c r="I653" s="72" t="s">
        <v>43</v>
      </c>
      <c r="J653" s="185">
        <v>46106</v>
      </c>
      <c r="K653" s="205"/>
      <c r="L653" s="7"/>
    </row>
    <row r="654" spans="1:12">
      <c r="A654" s="93">
        <v>46096</v>
      </c>
      <c r="B654" s="7" t="s">
        <v>18</v>
      </c>
      <c r="C654" s="175">
        <v>10119450</v>
      </c>
      <c r="D654" s="175">
        <v>9199500</v>
      </c>
      <c r="E654" s="175">
        <v>919950</v>
      </c>
      <c r="F654" s="229"/>
      <c r="G654" s="229"/>
      <c r="H654" s="229"/>
      <c r="I654" s="72" t="s">
        <v>82</v>
      </c>
      <c r="J654" s="185">
        <v>46120</v>
      </c>
      <c r="K654" s="205"/>
      <c r="L654" s="7" t="s">
        <v>438</v>
      </c>
    </row>
    <row r="655" spans="1:12">
      <c r="A655" s="93">
        <v>46096</v>
      </c>
      <c r="B655" s="21" t="s">
        <v>17</v>
      </c>
      <c r="C655" s="175">
        <v>8633790</v>
      </c>
      <c r="D655" s="175">
        <v>7848900</v>
      </c>
      <c r="E655" s="175">
        <v>784890</v>
      </c>
      <c r="F655" s="229"/>
      <c r="G655" s="229"/>
      <c r="H655" s="229"/>
      <c r="I655" s="63" t="s">
        <v>171</v>
      </c>
      <c r="J655" s="186">
        <v>46101</v>
      </c>
      <c r="K655" s="206"/>
      <c r="L655" s="7"/>
    </row>
    <row r="656" spans="1:12">
      <c r="A656" s="93">
        <v>46096</v>
      </c>
      <c r="B656" s="7" t="s">
        <v>17</v>
      </c>
      <c r="C656" s="175">
        <v>4675000</v>
      </c>
      <c r="D656" s="175">
        <v>4250000</v>
      </c>
      <c r="E656" s="175">
        <v>425000</v>
      </c>
      <c r="F656" s="229"/>
      <c r="G656" s="229"/>
      <c r="H656" s="229"/>
      <c r="I656" s="72" t="s">
        <v>172</v>
      </c>
      <c r="J656" s="185">
        <v>46101</v>
      </c>
      <c r="K656" s="205"/>
      <c r="L656" s="7"/>
    </row>
    <row r="657" spans="1:12">
      <c r="A657" s="93">
        <v>46096</v>
      </c>
      <c r="B657" s="21" t="s">
        <v>0</v>
      </c>
      <c r="C657" s="175">
        <v>2874300</v>
      </c>
      <c r="D657" s="175">
        <v>2613000</v>
      </c>
      <c r="E657" s="175">
        <v>261300</v>
      </c>
      <c r="F657" s="229"/>
      <c r="G657" s="229"/>
      <c r="H657" s="229"/>
      <c r="I657" s="63" t="s">
        <v>40</v>
      </c>
      <c r="J657" s="188">
        <v>46111</v>
      </c>
      <c r="K657" s="206"/>
      <c r="L657" s="7"/>
    </row>
    <row r="658" spans="1:12">
      <c r="A658" s="93">
        <v>46096</v>
      </c>
      <c r="B658" s="21" t="s">
        <v>0</v>
      </c>
      <c r="C658" s="175">
        <v>1988800</v>
      </c>
      <c r="D658" s="175">
        <v>1808000</v>
      </c>
      <c r="E658" s="175">
        <v>180800</v>
      </c>
      <c r="F658" s="229"/>
      <c r="G658" s="229"/>
      <c r="H658" s="229"/>
      <c r="I658" s="63" t="s">
        <v>160</v>
      </c>
      <c r="J658" s="186">
        <v>46101</v>
      </c>
      <c r="K658" s="206"/>
      <c r="L658" s="7"/>
    </row>
    <row r="659" spans="1:12">
      <c r="A659" s="93">
        <v>46096</v>
      </c>
      <c r="B659" s="21" t="s">
        <v>0</v>
      </c>
      <c r="C659" s="175">
        <v>14902250</v>
      </c>
      <c r="D659" s="175">
        <v>13547500</v>
      </c>
      <c r="E659" s="175">
        <v>1354750</v>
      </c>
      <c r="F659" s="229"/>
      <c r="G659" s="229"/>
      <c r="H659" s="229"/>
      <c r="I659" s="63" t="s">
        <v>42</v>
      </c>
      <c r="J659" s="186">
        <v>46101</v>
      </c>
      <c r="K659" s="206"/>
      <c r="L659" s="7"/>
    </row>
    <row r="660" spans="1:12">
      <c r="A660" s="93">
        <v>46096</v>
      </c>
      <c r="B660" s="21" t="s">
        <v>0</v>
      </c>
      <c r="C660" s="175">
        <v>1237500</v>
      </c>
      <c r="D660" s="175">
        <v>1125000</v>
      </c>
      <c r="E660" s="175">
        <v>112500</v>
      </c>
      <c r="F660" s="229"/>
      <c r="G660" s="229"/>
      <c r="H660" s="229"/>
      <c r="I660" s="63" t="s">
        <v>156</v>
      </c>
      <c r="J660" s="186">
        <v>46101</v>
      </c>
      <c r="K660" s="206"/>
      <c r="L660" s="7"/>
    </row>
    <row r="661" spans="1:12">
      <c r="A661" s="93">
        <v>46096</v>
      </c>
      <c r="B661" s="21" t="s">
        <v>33</v>
      </c>
      <c r="C661" s="175">
        <v>3667400</v>
      </c>
      <c r="D661" s="175">
        <v>3334000</v>
      </c>
      <c r="E661" s="175">
        <v>333400</v>
      </c>
      <c r="F661" s="229"/>
      <c r="G661" s="229"/>
      <c r="H661" s="229"/>
      <c r="I661" s="63" t="s">
        <v>126</v>
      </c>
      <c r="J661" s="186">
        <v>46101</v>
      </c>
      <c r="K661" s="206"/>
      <c r="L661" s="7"/>
    </row>
    <row r="662" spans="1:12">
      <c r="A662" s="93">
        <v>46096</v>
      </c>
      <c r="B662" s="21" t="s">
        <v>33</v>
      </c>
      <c r="C662" s="175">
        <v>1626900</v>
      </c>
      <c r="D662" s="175">
        <v>1479000</v>
      </c>
      <c r="E662" s="175">
        <v>147900</v>
      </c>
      <c r="F662" s="229"/>
      <c r="G662" s="229"/>
      <c r="H662" s="229"/>
      <c r="I662" s="63" t="s">
        <v>127</v>
      </c>
      <c r="J662" s="186">
        <v>46101</v>
      </c>
      <c r="K662" s="206"/>
      <c r="L662" s="7"/>
    </row>
    <row r="663" spans="1:12">
      <c r="A663" s="93">
        <v>46097</v>
      </c>
      <c r="B663" s="7" t="s">
        <v>77</v>
      </c>
      <c r="C663" s="175"/>
      <c r="D663" s="175"/>
      <c r="E663" s="175"/>
      <c r="F663" s="229">
        <v>18815830</v>
      </c>
      <c r="G663" s="229">
        <v>17105300</v>
      </c>
      <c r="H663" s="229">
        <v>1710530</v>
      </c>
      <c r="I663" s="72" t="s">
        <v>85</v>
      </c>
      <c r="J663" s="185"/>
      <c r="K663" s="212">
        <v>46105</v>
      </c>
      <c r="L663" s="7"/>
    </row>
    <row r="664" spans="1:12">
      <c r="A664" s="93">
        <v>46100</v>
      </c>
      <c r="B664" s="7" t="s">
        <v>106</v>
      </c>
      <c r="C664" s="175">
        <v>176000</v>
      </c>
      <c r="D664" s="175">
        <v>160000</v>
      </c>
      <c r="E664" s="175">
        <v>16000</v>
      </c>
      <c r="F664" s="229"/>
      <c r="G664" s="229"/>
      <c r="H664" s="229"/>
      <c r="I664" s="72" t="s">
        <v>3</v>
      </c>
      <c r="J664" s="185">
        <v>46114</v>
      </c>
      <c r="K664" s="205"/>
      <c r="L664" s="7" t="s">
        <v>317</v>
      </c>
    </row>
    <row r="665" spans="1:12">
      <c r="A665" s="93">
        <v>46101</v>
      </c>
      <c r="B665" s="7" t="s">
        <v>77</v>
      </c>
      <c r="C665" s="175"/>
      <c r="D665" s="175"/>
      <c r="E665" s="175"/>
      <c r="F665" s="229">
        <v>12447600</v>
      </c>
      <c r="G665" s="229">
        <v>11316000</v>
      </c>
      <c r="H665" s="229">
        <v>1131600</v>
      </c>
      <c r="I665" s="72" t="s">
        <v>277</v>
      </c>
      <c r="J665" s="185"/>
      <c r="K665" s="205"/>
      <c r="L665" s="7"/>
    </row>
    <row r="666" spans="1:12">
      <c r="A666" s="93">
        <v>46103</v>
      </c>
      <c r="B666" s="7" t="s">
        <v>18</v>
      </c>
      <c r="C666" s="175">
        <v>2475000</v>
      </c>
      <c r="D666" s="175">
        <v>2250000</v>
      </c>
      <c r="E666" s="175">
        <v>225000</v>
      </c>
      <c r="F666" s="229"/>
      <c r="G666" s="229"/>
      <c r="H666" s="229"/>
      <c r="I666" s="72" t="s">
        <v>43</v>
      </c>
      <c r="J666" s="185">
        <v>46111</v>
      </c>
      <c r="K666" s="205"/>
      <c r="L666" s="7"/>
    </row>
    <row r="667" spans="1:12">
      <c r="A667" s="93">
        <v>46103</v>
      </c>
      <c r="B667" s="7" t="s">
        <v>18</v>
      </c>
      <c r="C667" s="175">
        <v>12105775</v>
      </c>
      <c r="D667" s="175">
        <v>11005250</v>
      </c>
      <c r="E667" s="175">
        <v>1100525</v>
      </c>
      <c r="F667" s="229"/>
      <c r="G667" s="229"/>
      <c r="H667" s="229"/>
      <c r="I667" s="72" t="s">
        <v>82</v>
      </c>
      <c r="J667" s="185">
        <v>46120</v>
      </c>
      <c r="K667" s="205"/>
      <c r="L667" s="7" t="s">
        <v>438</v>
      </c>
    </row>
    <row r="668" spans="1:12">
      <c r="A668" s="93">
        <v>46106</v>
      </c>
      <c r="B668" s="7" t="s">
        <v>105</v>
      </c>
      <c r="C668" s="175">
        <v>1270500</v>
      </c>
      <c r="D668" s="175">
        <v>1155000</v>
      </c>
      <c r="E668" s="175">
        <v>115500</v>
      </c>
      <c r="F668" s="229"/>
      <c r="G668" s="229"/>
      <c r="H668" s="229"/>
      <c r="I668" s="72" t="s">
        <v>3</v>
      </c>
      <c r="J668" s="185">
        <v>46108</v>
      </c>
      <c r="K668" s="205"/>
      <c r="L668" s="7"/>
    </row>
    <row r="669" spans="1:12">
      <c r="A669" s="93">
        <v>46106</v>
      </c>
      <c r="B669" s="7" t="s">
        <v>185</v>
      </c>
      <c r="C669" s="175"/>
      <c r="D669" s="175"/>
      <c r="E669" s="175"/>
      <c r="F669" s="229">
        <v>305134</v>
      </c>
      <c r="G669" s="229">
        <v>277396</v>
      </c>
      <c r="H669" s="229">
        <v>27738</v>
      </c>
      <c r="I669" s="72" t="s">
        <v>244</v>
      </c>
      <c r="J669" s="185"/>
      <c r="K669" s="205"/>
      <c r="L669" s="7"/>
    </row>
    <row r="670" spans="1:12">
      <c r="A670" s="93">
        <v>46106</v>
      </c>
      <c r="B670" s="108" t="s">
        <v>319</v>
      </c>
      <c r="C670" s="175"/>
      <c r="D670" s="175"/>
      <c r="E670" s="175"/>
      <c r="F670" s="229">
        <v>220000</v>
      </c>
      <c r="G670" s="229">
        <v>200000</v>
      </c>
      <c r="H670" s="229">
        <v>20000</v>
      </c>
      <c r="I670" s="109" t="s">
        <v>320</v>
      </c>
      <c r="J670" s="186"/>
      <c r="K670" s="206">
        <v>46137</v>
      </c>
      <c r="L670" s="152" t="s">
        <v>455</v>
      </c>
    </row>
    <row r="671" spans="1:12">
      <c r="A671" s="93">
        <v>46109</v>
      </c>
      <c r="B671" s="7" t="s">
        <v>33</v>
      </c>
      <c r="C671" s="175">
        <v>382800</v>
      </c>
      <c r="D671" s="175">
        <v>348000</v>
      </c>
      <c r="E671" s="175">
        <v>34800</v>
      </c>
      <c r="F671" s="229"/>
      <c r="G671" s="229"/>
      <c r="H671" s="229"/>
      <c r="I671" s="72" t="s">
        <v>173</v>
      </c>
      <c r="J671" s="185">
        <v>46122</v>
      </c>
      <c r="K671" s="205"/>
      <c r="L671" s="7" t="s">
        <v>317</v>
      </c>
    </row>
    <row r="672" spans="1:12">
      <c r="A672" s="93">
        <v>46110</v>
      </c>
      <c r="B672" s="7" t="s">
        <v>18</v>
      </c>
      <c r="C672" s="175">
        <v>2200000</v>
      </c>
      <c r="D672" s="175">
        <v>2000000</v>
      </c>
      <c r="E672" s="175">
        <v>200000</v>
      </c>
      <c r="F672" s="229"/>
      <c r="G672" s="229"/>
      <c r="H672" s="229"/>
      <c r="I672" s="72" t="s">
        <v>43</v>
      </c>
      <c r="J672" s="185">
        <v>46115</v>
      </c>
      <c r="K672" s="205"/>
      <c r="L672" s="7" t="s">
        <v>317</v>
      </c>
    </row>
    <row r="673" spans="1:12">
      <c r="A673" s="93">
        <v>46110</v>
      </c>
      <c r="B673" s="7" t="s">
        <v>17</v>
      </c>
      <c r="C673" s="175">
        <v>5362500</v>
      </c>
      <c r="D673" s="175">
        <v>4875000</v>
      </c>
      <c r="E673" s="175">
        <v>487500</v>
      </c>
      <c r="F673" s="229"/>
      <c r="G673" s="229"/>
      <c r="H673" s="229"/>
      <c r="I673" s="72" t="s">
        <v>174</v>
      </c>
      <c r="J673" s="185">
        <v>46112</v>
      </c>
      <c r="K673" s="205"/>
      <c r="L673" s="7"/>
    </row>
    <row r="674" spans="1:12">
      <c r="A674" s="93">
        <v>46110</v>
      </c>
      <c r="B674" s="7" t="s">
        <v>17</v>
      </c>
      <c r="C674" s="175">
        <v>10466500</v>
      </c>
      <c r="D674" s="175">
        <v>9515000</v>
      </c>
      <c r="E674" s="175">
        <v>951500</v>
      </c>
      <c r="F674" s="229"/>
      <c r="G674" s="229"/>
      <c r="H674" s="229"/>
      <c r="I674" s="72" t="s">
        <v>171</v>
      </c>
      <c r="J674" s="185">
        <v>46112</v>
      </c>
      <c r="K674" s="205"/>
      <c r="L674" s="7"/>
    </row>
    <row r="675" spans="1:12">
      <c r="A675" s="93">
        <v>46112</v>
      </c>
      <c r="B675" s="7" t="s">
        <v>61</v>
      </c>
      <c r="C675" s="175">
        <v>861300</v>
      </c>
      <c r="D675" s="175">
        <v>783000</v>
      </c>
      <c r="E675" s="175">
        <v>78300</v>
      </c>
      <c r="F675" s="229"/>
      <c r="G675" s="229"/>
      <c r="H675" s="229"/>
      <c r="I675" s="72" t="s">
        <v>62</v>
      </c>
      <c r="J675" s="185">
        <v>46122</v>
      </c>
      <c r="K675" s="205"/>
      <c r="L675" s="7" t="s">
        <v>353</v>
      </c>
    </row>
    <row r="676" spans="1:12">
      <c r="A676" s="93">
        <v>46112</v>
      </c>
      <c r="B676" s="7" t="s">
        <v>0</v>
      </c>
      <c r="C676" s="175">
        <v>19458703</v>
      </c>
      <c r="D676" s="175">
        <v>17689730</v>
      </c>
      <c r="E676" s="175">
        <v>1768973</v>
      </c>
      <c r="F676" s="229"/>
      <c r="G676" s="229"/>
      <c r="H676" s="229"/>
      <c r="I676" s="72" t="s">
        <v>67</v>
      </c>
      <c r="J676" s="185">
        <v>46122</v>
      </c>
      <c r="K676" s="205"/>
      <c r="L676" s="7" t="s">
        <v>317</v>
      </c>
    </row>
    <row r="677" spans="1:12">
      <c r="A677" s="93">
        <v>46112</v>
      </c>
      <c r="B677" s="7" t="s">
        <v>18</v>
      </c>
      <c r="C677" s="175">
        <v>1787500</v>
      </c>
      <c r="D677" s="175">
        <v>1625000</v>
      </c>
      <c r="E677" s="175">
        <v>162500</v>
      </c>
      <c r="F677" s="229"/>
      <c r="G677" s="229"/>
      <c r="H677" s="229"/>
      <c r="I677" s="72" t="s">
        <v>130</v>
      </c>
      <c r="J677" s="185">
        <v>46120</v>
      </c>
      <c r="K677" s="205"/>
      <c r="L677" s="7" t="s">
        <v>353</v>
      </c>
    </row>
    <row r="678" spans="1:12">
      <c r="A678" s="93">
        <v>46112</v>
      </c>
      <c r="B678" s="7" t="s">
        <v>100</v>
      </c>
      <c r="C678" s="175">
        <v>4136000</v>
      </c>
      <c r="D678" s="175">
        <v>3760000</v>
      </c>
      <c r="E678" s="175">
        <v>376000</v>
      </c>
      <c r="F678" s="229"/>
      <c r="G678" s="229"/>
      <c r="H678" s="229"/>
      <c r="I678" s="72" t="s">
        <v>175</v>
      </c>
      <c r="J678" s="185">
        <v>46124</v>
      </c>
      <c r="K678" s="205"/>
      <c r="L678" s="7" t="s">
        <v>368</v>
      </c>
    </row>
    <row r="679" spans="1:12">
      <c r="A679" s="93">
        <v>46112</v>
      </c>
      <c r="B679" s="7" t="s">
        <v>17</v>
      </c>
      <c r="C679" s="175">
        <v>1787500</v>
      </c>
      <c r="D679" s="175">
        <v>1625000</v>
      </c>
      <c r="E679" s="175">
        <v>162500</v>
      </c>
      <c r="F679" s="229"/>
      <c r="G679" s="229"/>
      <c r="H679" s="229"/>
      <c r="I679" s="72" t="s">
        <v>65</v>
      </c>
      <c r="J679" s="185">
        <v>46132</v>
      </c>
      <c r="K679" s="205"/>
      <c r="L679" s="7" t="s">
        <v>441</v>
      </c>
    </row>
    <row r="680" spans="1:12">
      <c r="A680" s="93">
        <v>46112</v>
      </c>
      <c r="B680" s="7" t="s">
        <v>24</v>
      </c>
      <c r="C680" s="175">
        <v>2956800</v>
      </c>
      <c r="D680" s="175">
        <v>2688000</v>
      </c>
      <c r="E680" s="175">
        <v>268800</v>
      </c>
      <c r="F680" s="229"/>
      <c r="G680" s="229"/>
      <c r="H680" s="229"/>
      <c r="I680" s="72" t="s">
        <v>47</v>
      </c>
      <c r="J680" s="185">
        <v>46127</v>
      </c>
      <c r="K680" s="205"/>
      <c r="L680" s="7" t="s">
        <v>399</v>
      </c>
    </row>
    <row r="681" spans="1:12">
      <c r="A681" s="93">
        <v>46112</v>
      </c>
      <c r="B681" s="7" t="s">
        <v>63</v>
      </c>
      <c r="C681" s="175">
        <v>962500</v>
      </c>
      <c r="D681" s="175">
        <v>875000</v>
      </c>
      <c r="E681" s="175">
        <v>87500</v>
      </c>
      <c r="F681" s="229"/>
      <c r="G681" s="229"/>
      <c r="H681" s="229"/>
      <c r="I681" s="72" t="s">
        <v>125</v>
      </c>
      <c r="J681" s="185">
        <v>46127</v>
      </c>
      <c r="K681" s="205"/>
      <c r="L681" s="7" t="s">
        <v>401</v>
      </c>
    </row>
    <row r="682" spans="1:12">
      <c r="A682" s="93">
        <v>46112</v>
      </c>
      <c r="B682" s="7" t="s">
        <v>63</v>
      </c>
      <c r="C682" s="175">
        <v>154000</v>
      </c>
      <c r="D682" s="175">
        <v>140000</v>
      </c>
      <c r="E682" s="175">
        <v>14000</v>
      </c>
      <c r="F682" s="229"/>
      <c r="G682" s="229"/>
      <c r="H682" s="229"/>
      <c r="I682" s="72" t="s">
        <v>163</v>
      </c>
      <c r="J682" s="185">
        <v>46127</v>
      </c>
      <c r="K682" s="205"/>
      <c r="L682" s="7" t="s">
        <v>401</v>
      </c>
    </row>
    <row r="683" spans="1:12">
      <c r="A683" s="93">
        <v>46112</v>
      </c>
      <c r="B683" s="7" t="s">
        <v>63</v>
      </c>
      <c r="C683" s="175">
        <v>3795000</v>
      </c>
      <c r="D683" s="175">
        <v>3450000</v>
      </c>
      <c r="E683" s="175">
        <v>345000</v>
      </c>
      <c r="F683" s="229"/>
      <c r="G683" s="229"/>
      <c r="H683" s="229"/>
      <c r="I683" s="72" t="s">
        <v>168</v>
      </c>
      <c r="J683" s="185">
        <v>46127</v>
      </c>
      <c r="K683" s="205"/>
      <c r="L683" s="7" t="s">
        <v>401</v>
      </c>
    </row>
    <row r="684" spans="1:12">
      <c r="A684" s="93">
        <v>46112</v>
      </c>
      <c r="B684" s="7" t="s">
        <v>63</v>
      </c>
      <c r="C684" s="175">
        <v>5005000</v>
      </c>
      <c r="D684" s="175">
        <v>4550000</v>
      </c>
      <c r="E684" s="175">
        <v>455000</v>
      </c>
      <c r="F684" s="229"/>
      <c r="G684" s="229"/>
      <c r="H684" s="229"/>
      <c r="I684" s="72" t="s">
        <v>46</v>
      </c>
      <c r="J684" s="185">
        <v>46127</v>
      </c>
      <c r="K684" s="205"/>
      <c r="L684" s="7" t="s">
        <v>401</v>
      </c>
    </row>
    <row r="685" spans="1:12">
      <c r="A685" s="93">
        <v>46112</v>
      </c>
      <c r="B685" s="7" t="s">
        <v>33</v>
      </c>
      <c r="C685" s="175">
        <v>1364000</v>
      </c>
      <c r="D685" s="175">
        <v>1240000</v>
      </c>
      <c r="E685" s="175">
        <v>124000</v>
      </c>
      <c r="F685" s="229"/>
      <c r="G685" s="229"/>
      <c r="H685" s="229"/>
      <c r="I685" s="72" t="s">
        <v>53</v>
      </c>
      <c r="J685" s="185">
        <v>46122</v>
      </c>
      <c r="K685" s="205"/>
      <c r="L685" s="7" t="s">
        <v>317</v>
      </c>
    </row>
    <row r="686" spans="1:12">
      <c r="A686" s="93">
        <v>46112</v>
      </c>
      <c r="B686" s="7" t="s">
        <v>33</v>
      </c>
      <c r="C686" s="175">
        <v>6696800</v>
      </c>
      <c r="D686" s="175">
        <v>6088000</v>
      </c>
      <c r="E686" s="175">
        <v>608800</v>
      </c>
      <c r="F686" s="229"/>
      <c r="G686" s="229"/>
      <c r="H686" s="229"/>
      <c r="I686" s="72" t="s">
        <v>126</v>
      </c>
      <c r="J686" s="185">
        <v>46122</v>
      </c>
      <c r="K686" s="205"/>
      <c r="L686" s="7" t="s">
        <v>317</v>
      </c>
    </row>
    <row r="687" spans="1:12">
      <c r="A687" s="93">
        <v>46112</v>
      </c>
      <c r="B687" s="7" t="s">
        <v>33</v>
      </c>
      <c r="C687" s="175">
        <v>1339800</v>
      </c>
      <c r="D687" s="175">
        <v>1218000</v>
      </c>
      <c r="E687" s="175">
        <v>121800</v>
      </c>
      <c r="F687" s="229"/>
      <c r="G687" s="229"/>
      <c r="H687" s="229"/>
      <c r="I687" s="72" t="s">
        <v>127</v>
      </c>
      <c r="J687" s="185">
        <v>46122</v>
      </c>
      <c r="K687" s="205"/>
      <c r="L687" s="7" t="s">
        <v>317</v>
      </c>
    </row>
    <row r="688" spans="1:12">
      <c r="A688" s="93">
        <v>46112</v>
      </c>
      <c r="B688" s="7" t="s">
        <v>23</v>
      </c>
      <c r="C688" s="175">
        <v>825000</v>
      </c>
      <c r="D688" s="175">
        <v>750000</v>
      </c>
      <c r="E688" s="175">
        <v>75000</v>
      </c>
      <c r="F688" s="229"/>
      <c r="G688" s="229"/>
      <c r="H688" s="229"/>
      <c r="I688" s="72" t="s">
        <v>165</v>
      </c>
      <c r="J688" s="185">
        <v>46118</v>
      </c>
      <c r="K688" s="205"/>
      <c r="L688" s="7" t="s">
        <v>317</v>
      </c>
    </row>
    <row r="689" spans="1:12">
      <c r="A689" s="93">
        <v>46112</v>
      </c>
      <c r="B689" s="7" t="s">
        <v>18</v>
      </c>
      <c r="C689" s="175">
        <v>3300000</v>
      </c>
      <c r="D689" s="175">
        <v>3000000</v>
      </c>
      <c r="E689" s="175">
        <v>300000</v>
      </c>
      <c r="F689" s="229"/>
      <c r="G689" s="229"/>
      <c r="H689" s="229"/>
      <c r="I689" s="72" t="s">
        <v>128</v>
      </c>
      <c r="J689" s="185">
        <v>46129</v>
      </c>
      <c r="K689" s="205"/>
      <c r="L689" s="7" t="s">
        <v>317</v>
      </c>
    </row>
    <row r="690" spans="1:12">
      <c r="A690" s="93">
        <v>46112</v>
      </c>
      <c r="B690" s="7" t="s">
        <v>18</v>
      </c>
      <c r="C690" s="175">
        <v>2321000</v>
      </c>
      <c r="D690" s="175">
        <v>2110000</v>
      </c>
      <c r="E690" s="175">
        <v>211000</v>
      </c>
      <c r="F690" s="229"/>
      <c r="G690" s="229"/>
      <c r="H690" s="229"/>
      <c r="I690" s="72" t="s">
        <v>64</v>
      </c>
      <c r="J690" s="185">
        <v>46132</v>
      </c>
      <c r="K690" s="205"/>
      <c r="L690" s="7" t="s">
        <v>438</v>
      </c>
    </row>
    <row r="691" spans="1:12">
      <c r="A691" s="93">
        <v>46112</v>
      </c>
      <c r="B691" s="7" t="s">
        <v>0</v>
      </c>
      <c r="C691" s="175">
        <v>753500</v>
      </c>
      <c r="D691" s="175">
        <v>685000</v>
      </c>
      <c r="E691" s="175">
        <v>68500</v>
      </c>
      <c r="F691" s="229"/>
      <c r="G691" s="229"/>
      <c r="H691" s="229"/>
      <c r="I691" s="72" t="s">
        <v>40</v>
      </c>
      <c r="J691" s="185">
        <v>46122</v>
      </c>
      <c r="K691" s="205"/>
      <c r="L691" s="7" t="s">
        <v>317</v>
      </c>
    </row>
    <row r="692" spans="1:12">
      <c r="A692" s="93">
        <v>46112</v>
      </c>
      <c r="B692" s="7" t="s">
        <v>0</v>
      </c>
      <c r="C692" s="175">
        <v>9485520</v>
      </c>
      <c r="D692" s="175">
        <v>8623200</v>
      </c>
      <c r="E692" s="175">
        <v>862320</v>
      </c>
      <c r="F692" s="229"/>
      <c r="G692" s="229"/>
      <c r="H692" s="229"/>
      <c r="I692" s="72" t="s">
        <v>41</v>
      </c>
      <c r="J692" s="185">
        <v>46122</v>
      </c>
      <c r="K692" s="205"/>
      <c r="L692" s="7" t="s">
        <v>317</v>
      </c>
    </row>
    <row r="693" spans="1:12">
      <c r="A693" s="93">
        <v>46112</v>
      </c>
      <c r="B693" s="21" t="s">
        <v>0</v>
      </c>
      <c r="C693" s="175">
        <v>2401300</v>
      </c>
      <c r="D693" s="175">
        <v>2183000</v>
      </c>
      <c r="E693" s="175">
        <v>218300</v>
      </c>
      <c r="F693" s="229"/>
      <c r="G693" s="229"/>
      <c r="H693" s="229"/>
      <c r="I693" s="63" t="s">
        <v>160</v>
      </c>
      <c r="J693" s="185">
        <v>46122</v>
      </c>
      <c r="K693" s="205"/>
      <c r="L693" s="7" t="s">
        <v>317</v>
      </c>
    </row>
    <row r="694" spans="1:12">
      <c r="A694" s="93">
        <v>46112</v>
      </c>
      <c r="B694" s="7" t="s">
        <v>0</v>
      </c>
      <c r="C694" s="175">
        <v>11217800</v>
      </c>
      <c r="D694" s="175">
        <v>10198000</v>
      </c>
      <c r="E694" s="175">
        <v>1019800</v>
      </c>
      <c r="F694" s="229"/>
      <c r="G694" s="229"/>
      <c r="H694" s="229"/>
      <c r="I694" s="72" t="s">
        <v>42</v>
      </c>
      <c r="J694" s="185">
        <v>46122</v>
      </c>
      <c r="K694" s="205"/>
      <c r="L694" s="7" t="s">
        <v>317</v>
      </c>
    </row>
    <row r="695" spans="1:12">
      <c r="A695" s="93">
        <v>46112</v>
      </c>
      <c r="B695" s="7" t="s">
        <v>0</v>
      </c>
      <c r="C695" s="175">
        <v>1512500</v>
      </c>
      <c r="D695" s="175">
        <v>1375000</v>
      </c>
      <c r="E695" s="175">
        <v>137500</v>
      </c>
      <c r="F695" s="229"/>
      <c r="G695" s="229"/>
      <c r="H695" s="229"/>
      <c r="I695" s="72" t="s">
        <v>156</v>
      </c>
      <c r="J695" s="185">
        <v>46122</v>
      </c>
      <c r="K695" s="205"/>
      <c r="L695" s="7" t="s">
        <v>317</v>
      </c>
    </row>
    <row r="696" spans="1:12">
      <c r="A696" s="93">
        <v>46112</v>
      </c>
      <c r="B696" s="7" t="s">
        <v>17</v>
      </c>
      <c r="C696" s="175">
        <v>550000</v>
      </c>
      <c r="D696" s="175">
        <v>500000</v>
      </c>
      <c r="E696" s="175">
        <v>50000</v>
      </c>
      <c r="F696" s="229"/>
      <c r="G696" s="229"/>
      <c r="H696" s="229"/>
      <c r="I696" s="72" t="s">
        <v>174</v>
      </c>
      <c r="J696" s="185">
        <v>46132</v>
      </c>
      <c r="K696" s="205"/>
      <c r="L696" s="7" t="s">
        <v>317</v>
      </c>
    </row>
    <row r="697" spans="1:12">
      <c r="A697" s="93">
        <v>46112</v>
      </c>
      <c r="B697" s="7" t="s">
        <v>17</v>
      </c>
      <c r="C697" s="175">
        <v>1223750</v>
      </c>
      <c r="D697" s="175">
        <v>1112500</v>
      </c>
      <c r="E697" s="175">
        <v>111250</v>
      </c>
      <c r="F697" s="229"/>
      <c r="G697" s="229"/>
      <c r="H697" s="229"/>
      <c r="I697" s="72" t="s">
        <v>171</v>
      </c>
      <c r="J697" s="185">
        <v>46132</v>
      </c>
      <c r="K697" s="205"/>
      <c r="L697" s="14" t="s">
        <v>441</v>
      </c>
    </row>
    <row r="698" spans="1:12">
      <c r="A698" s="93">
        <v>46112</v>
      </c>
      <c r="B698" s="7" t="s">
        <v>350</v>
      </c>
      <c r="C698" s="175">
        <v>935000</v>
      </c>
      <c r="D698" s="175">
        <v>850000</v>
      </c>
      <c r="E698" s="175">
        <v>85000</v>
      </c>
      <c r="F698" s="229"/>
      <c r="G698" s="229"/>
      <c r="H698" s="229"/>
      <c r="I698" s="72" t="s">
        <v>358</v>
      </c>
      <c r="J698" s="185">
        <v>46127</v>
      </c>
      <c r="K698" s="205"/>
      <c r="L698" s="14" t="s">
        <v>399</v>
      </c>
    </row>
    <row r="699" spans="1:12">
      <c r="A699" s="93">
        <v>46112</v>
      </c>
      <c r="B699" s="7" t="s">
        <v>18</v>
      </c>
      <c r="C699" s="175">
        <v>15638700</v>
      </c>
      <c r="D699" s="175">
        <v>14217000</v>
      </c>
      <c r="E699" s="175">
        <v>1421700</v>
      </c>
      <c r="F699" s="229"/>
      <c r="G699" s="229"/>
      <c r="H699" s="229"/>
      <c r="I699" s="72" t="s">
        <v>81</v>
      </c>
      <c r="J699" s="185">
        <v>46120</v>
      </c>
      <c r="K699" s="205"/>
      <c r="L699" s="7" t="s">
        <v>438</v>
      </c>
    </row>
    <row r="700" spans="1:12">
      <c r="A700" s="93">
        <v>46112</v>
      </c>
      <c r="B700" s="7" t="s">
        <v>359</v>
      </c>
      <c r="C700" s="175"/>
      <c r="D700" s="175"/>
      <c r="E700" s="175"/>
      <c r="F700" s="229">
        <v>20691660</v>
      </c>
      <c r="G700" s="229">
        <v>18810600</v>
      </c>
      <c r="H700" s="229">
        <v>1881060</v>
      </c>
      <c r="I700" s="72" t="s">
        <v>352</v>
      </c>
      <c r="J700" s="185"/>
      <c r="K700" s="211">
        <v>46122</v>
      </c>
      <c r="L700" s="14" t="s">
        <v>317</v>
      </c>
    </row>
    <row r="701" spans="1:12">
      <c r="A701" s="93">
        <v>46112</v>
      </c>
      <c r="B701" s="7" t="s">
        <v>359</v>
      </c>
      <c r="C701" s="175"/>
      <c r="D701" s="175"/>
      <c r="E701" s="175"/>
      <c r="F701" s="229">
        <v>21048500</v>
      </c>
      <c r="G701" s="229">
        <v>19135000</v>
      </c>
      <c r="H701" s="229">
        <v>1913500</v>
      </c>
      <c r="I701" s="72" t="s">
        <v>360</v>
      </c>
      <c r="J701" s="185"/>
      <c r="K701" s="211">
        <v>46122</v>
      </c>
      <c r="L701" s="14" t="s">
        <v>317</v>
      </c>
    </row>
    <row r="702" spans="1:12" ht="14.25" thickBot="1">
      <c r="A702" s="124">
        <v>46112</v>
      </c>
      <c r="B702" s="125" t="s">
        <v>184</v>
      </c>
      <c r="C702" s="176"/>
      <c r="D702" s="176"/>
      <c r="E702" s="176"/>
      <c r="F702" s="230">
        <v>135549</v>
      </c>
      <c r="G702" s="230">
        <v>123227</v>
      </c>
      <c r="H702" s="230">
        <v>12322</v>
      </c>
      <c r="I702" s="126" t="s">
        <v>278</v>
      </c>
      <c r="J702" s="192"/>
      <c r="K702" s="209"/>
      <c r="L702" s="125"/>
    </row>
    <row r="703" spans="1:12" s="131" customFormat="1" ht="14.25" thickTop="1">
      <c r="A703" s="127">
        <v>46113</v>
      </c>
      <c r="B703" s="130" t="s">
        <v>176</v>
      </c>
      <c r="C703" s="177"/>
      <c r="D703" s="177"/>
      <c r="E703" s="177"/>
      <c r="F703" s="231">
        <v>594000</v>
      </c>
      <c r="G703" s="231">
        <v>540000</v>
      </c>
      <c r="H703" s="231">
        <v>54000</v>
      </c>
      <c r="I703" s="132" t="s">
        <v>279</v>
      </c>
      <c r="J703" s="194"/>
      <c r="K703" s="213"/>
      <c r="L703" s="130"/>
    </row>
    <row r="704" spans="1:12">
      <c r="A704" s="93">
        <v>46117</v>
      </c>
      <c r="B704" s="7" t="s">
        <v>18</v>
      </c>
      <c r="C704" s="175">
        <v>3025000</v>
      </c>
      <c r="D704" s="175">
        <v>2750000</v>
      </c>
      <c r="E704" s="175">
        <v>275000</v>
      </c>
      <c r="F704" s="229"/>
      <c r="G704" s="229"/>
      <c r="H704" s="229"/>
      <c r="I704" s="107" t="s">
        <v>318</v>
      </c>
      <c r="J704" s="186">
        <v>46122</v>
      </c>
      <c r="K704" s="206"/>
      <c r="L704" s="152" t="s">
        <v>317</v>
      </c>
    </row>
    <row r="705" spans="1:12">
      <c r="A705" s="93">
        <v>46117</v>
      </c>
      <c r="B705" s="7" t="s">
        <v>18</v>
      </c>
      <c r="C705" s="175">
        <v>8492000</v>
      </c>
      <c r="D705" s="175">
        <v>7720000</v>
      </c>
      <c r="E705" s="175">
        <v>772000</v>
      </c>
      <c r="F705" s="229"/>
      <c r="G705" s="229"/>
      <c r="H705" s="229"/>
      <c r="I705" s="72" t="s">
        <v>351</v>
      </c>
      <c r="J705" s="185">
        <v>46132</v>
      </c>
      <c r="K705" s="205"/>
      <c r="L705" s="13" t="s">
        <v>438</v>
      </c>
    </row>
    <row r="706" spans="1:12">
      <c r="A706" s="93">
        <v>46124</v>
      </c>
      <c r="B706" s="7" t="s">
        <v>18</v>
      </c>
      <c r="C706" s="175">
        <v>3437500</v>
      </c>
      <c r="D706" s="175">
        <v>3125000</v>
      </c>
      <c r="E706" s="175">
        <v>312500</v>
      </c>
      <c r="F706" s="229"/>
      <c r="G706" s="229"/>
      <c r="H706" s="229"/>
      <c r="I706" s="107" t="s">
        <v>318</v>
      </c>
      <c r="J706" s="186">
        <v>46129</v>
      </c>
      <c r="K706" s="206"/>
      <c r="L706" s="152" t="s">
        <v>419</v>
      </c>
    </row>
    <row r="707" spans="1:12">
      <c r="A707" s="93" t="s">
        <v>381</v>
      </c>
      <c r="B707" s="7" t="s">
        <v>17</v>
      </c>
      <c r="C707" s="175">
        <v>9175980</v>
      </c>
      <c r="D707" s="175">
        <v>8341800</v>
      </c>
      <c r="E707" s="175">
        <v>834180</v>
      </c>
      <c r="F707" s="229"/>
      <c r="G707" s="229"/>
      <c r="H707" s="229"/>
      <c r="I707" s="72" t="s">
        <v>171</v>
      </c>
      <c r="J707" s="186">
        <v>46127</v>
      </c>
      <c r="K707" s="206"/>
      <c r="L707" s="152" t="s">
        <v>399</v>
      </c>
    </row>
    <row r="708" spans="1:12">
      <c r="A708" s="93" t="s">
        <v>381</v>
      </c>
      <c r="B708" s="7" t="s">
        <v>17</v>
      </c>
      <c r="C708" s="175">
        <v>4537500</v>
      </c>
      <c r="D708" s="175">
        <v>4125000</v>
      </c>
      <c r="E708" s="175">
        <v>412500</v>
      </c>
      <c r="F708" s="229"/>
      <c r="G708" s="229"/>
      <c r="H708" s="229"/>
      <c r="I708" s="72" t="s">
        <v>382</v>
      </c>
      <c r="J708" s="186">
        <v>46127</v>
      </c>
      <c r="K708" s="206"/>
      <c r="L708" s="152" t="s">
        <v>399</v>
      </c>
    </row>
    <row r="709" spans="1:12">
      <c r="A709" s="93" t="s">
        <v>381</v>
      </c>
      <c r="B709" s="7" t="s">
        <v>18</v>
      </c>
      <c r="C709" s="175">
        <v>11014850</v>
      </c>
      <c r="D709" s="175">
        <v>10013500</v>
      </c>
      <c r="E709" s="175">
        <v>1001350</v>
      </c>
      <c r="F709" s="229"/>
      <c r="G709" s="229"/>
      <c r="H709" s="229"/>
      <c r="I709" s="72" t="s">
        <v>81</v>
      </c>
      <c r="J709" s="186">
        <v>46132</v>
      </c>
      <c r="K709" s="206"/>
      <c r="L709" s="152" t="s">
        <v>317</v>
      </c>
    </row>
    <row r="710" spans="1:12">
      <c r="A710" s="93">
        <v>46127</v>
      </c>
      <c r="B710" s="7" t="s">
        <v>359</v>
      </c>
      <c r="C710" s="175"/>
      <c r="D710" s="175"/>
      <c r="E710" s="175"/>
      <c r="F710" s="229">
        <v>12910700</v>
      </c>
      <c r="G710" s="229">
        <v>11737000</v>
      </c>
      <c r="H710" s="229">
        <v>1173700</v>
      </c>
      <c r="I710" s="72" t="s">
        <v>402</v>
      </c>
      <c r="J710" s="185"/>
      <c r="K710" s="211">
        <v>46127</v>
      </c>
      <c r="L710" s="13" t="s">
        <v>403</v>
      </c>
    </row>
    <row r="711" spans="1:12">
      <c r="A711" s="93">
        <v>46127</v>
      </c>
      <c r="B711" s="7" t="s">
        <v>359</v>
      </c>
      <c r="C711" s="175"/>
      <c r="D711" s="175"/>
      <c r="E711" s="175"/>
      <c r="F711" s="229">
        <v>1320000</v>
      </c>
      <c r="G711" s="229">
        <v>1200000</v>
      </c>
      <c r="H711" s="229">
        <v>120000</v>
      </c>
      <c r="I711" s="72" t="s">
        <v>405</v>
      </c>
      <c r="J711" s="185"/>
      <c r="K711" s="211">
        <v>46129</v>
      </c>
      <c r="L711" s="13" t="s">
        <v>317</v>
      </c>
    </row>
    <row r="712" spans="1:12">
      <c r="A712" s="93" t="s">
        <v>406</v>
      </c>
      <c r="B712" s="21" t="s">
        <v>33</v>
      </c>
      <c r="C712" s="175">
        <v>1287000</v>
      </c>
      <c r="D712" s="175">
        <v>1170000</v>
      </c>
      <c r="E712" s="175">
        <v>117000</v>
      </c>
      <c r="F712" s="229"/>
      <c r="G712" s="229"/>
      <c r="H712" s="229"/>
      <c r="I712" s="63" t="s">
        <v>408</v>
      </c>
      <c r="J712" s="186">
        <v>46136</v>
      </c>
      <c r="K712" s="206"/>
      <c r="L712" s="173" t="s">
        <v>353</v>
      </c>
    </row>
    <row r="713" spans="1:12">
      <c r="A713" s="93" t="s">
        <v>406</v>
      </c>
      <c r="B713" s="21" t="s">
        <v>0</v>
      </c>
      <c r="C713" s="175">
        <v>5091460</v>
      </c>
      <c r="D713" s="175">
        <v>4628600</v>
      </c>
      <c r="E713" s="175">
        <v>462860</v>
      </c>
      <c r="F713" s="229"/>
      <c r="G713" s="229"/>
      <c r="H713" s="229"/>
      <c r="I713" s="63" t="s">
        <v>409</v>
      </c>
      <c r="J713" s="186"/>
      <c r="K713" s="206"/>
      <c r="L713" s="57"/>
    </row>
    <row r="714" spans="1:12">
      <c r="A714" s="93" t="s">
        <v>406</v>
      </c>
      <c r="B714" s="21" t="s">
        <v>0</v>
      </c>
      <c r="C714" s="175">
        <v>2849000</v>
      </c>
      <c r="D714" s="175">
        <v>2590000</v>
      </c>
      <c r="E714" s="175">
        <v>259000</v>
      </c>
      <c r="F714" s="229"/>
      <c r="G714" s="229"/>
      <c r="H714" s="229"/>
      <c r="I714" s="63" t="s">
        <v>410</v>
      </c>
      <c r="J714" s="186"/>
      <c r="K714" s="206"/>
      <c r="L714" s="57"/>
    </row>
    <row r="715" spans="1:12">
      <c r="A715" s="93" t="s">
        <v>406</v>
      </c>
      <c r="B715" s="21" t="s">
        <v>33</v>
      </c>
      <c r="C715" s="175">
        <v>382800</v>
      </c>
      <c r="D715" s="175">
        <v>348000</v>
      </c>
      <c r="E715" s="175">
        <v>34800</v>
      </c>
      <c r="F715" s="229"/>
      <c r="G715" s="229"/>
      <c r="H715" s="229"/>
      <c r="I715" s="63" t="s">
        <v>411</v>
      </c>
      <c r="J715" s="186">
        <v>46136</v>
      </c>
      <c r="K715" s="206"/>
      <c r="L715" s="173" t="s">
        <v>353</v>
      </c>
    </row>
    <row r="716" spans="1:12">
      <c r="A716" s="93" t="s">
        <v>406</v>
      </c>
      <c r="B716" s="21" t="s">
        <v>0</v>
      </c>
      <c r="C716" s="175">
        <v>1054900</v>
      </c>
      <c r="D716" s="175">
        <v>959000</v>
      </c>
      <c r="E716" s="175">
        <v>95900</v>
      </c>
      <c r="F716" s="229"/>
      <c r="G716" s="229"/>
      <c r="H716" s="229"/>
      <c r="I716" s="63" t="s">
        <v>412</v>
      </c>
      <c r="J716" s="186"/>
      <c r="K716" s="206"/>
      <c r="L716" s="57"/>
    </row>
    <row r="717" spans="1:12">
      <c r="A717" s="93" t="s">
        <v>406</v>
      </c>
      <c r="B717" s="21" t="s">
        <v>33</v>
      </c>
      <c r="C717" s="175">
        <v>4143700</v>
      </c>
      <c r="D717" s="175">
        <v>3767000</v>
      </c>
      <c r="E717" s="175">
        <v>376700</v>
      </c>
      <c r="F717" s="229"/>
      <c r="G717" s="229"/>
      <c r="H717" s="229"/>
      <c r="I717" s="63" t="s">
        <v>413</v>
      </c>
      <c r="J717" s="186">
        <v>46136</v>
      </c>
      <c r="K717" s="206"/>
      <c r="L717" s="57" t="s">
        <v>353</v>
      </c>
    </row>
    <row r="718" spans="1:12">
      <c r="A718" s="93" t="s">
        <v>406</v>
      </c>
      <c r="B718" s="21" t="s">
        <v>33</v>
      </c>
      <c r="C718" s="175">
        <v>691900</v>
      </c>
      <c r="D718" s="175">
        <v>629000</v>
      </c>
      <c r="E718" s="175">
        <v>62900</v>
      </c>
      <c r="F718" s="229"/>
      <c r="G718" s="229"/>
      <c r="H718" s="229"/>
      <c r="I718" s="63" t="s">
        <v>414</v>
      </c>
      <c r="J718" s="186">
        <v>46136</v>
      </c>
      <c r="K718" s="206"/>
      <c r="L718" s="57" t="s">
        <v>353</v>
      </c>
    </row>
    <row r="719" spans="1:12">
      <c r="A719" s="93" t="s">
        <v>406</v>
      </c>
      <c r="B719" s="21" t="s">
        <v>0</v>
      </c>
      <c r="C719" s="175">
        <v>301400</v>
      </c>
      <c r="D719" s="175">
        <v>274000</v>
      </c>
      <c r="E719" s="175">
        <v>27400</v>
      </c>
      <c r="F719" s="229"/>
      <c r="G719" s="229"/>
      <c r="H719" s="229"/>
      <c r="I719" s="63" t="s">
        <v>415</v>
      </c>
      <c r="J719" s="186"/>
      <c r="K719" s="206"/>
      <c r="L719" s="57"/>
    </row>
    <row r="720" spans="1:12">
      <c r="A720" s="93" t="s">
        <v>406</v>
      </c>
      <c r="B720" s="21" t="s">
        <v>0</v>
      </c>
      <c r="C720" s="175">
        <v>10916950</v>
      </c>
      <c r="D720" s="175">
        <v>9924500</v>
      </c>
      <c r="E720" s="175">
        <v>992450</v>
      </c>
      <c r="F720" s="229"/>
      <c r="G720" s="229"/>
      <c r="H720" s="229"/>
      <c r="I720" s="63" t="s">
        <v>416</v>
      </c>
      <c r="J720" s="186">
        <v>46132</v>
      </c>
      <c r="K720" s="206"/>
      <c r="L720" s="152" t="s">
        <v>438</v>
      </c>
    </row>
    <row r="721" spans="1:12">
      <c r="A721" s="93" t="s">
        <v>407</v>
      </c>
      <c r="B721" s="22" t="s">
        <v>17</v>
      </c>
      <c r="C721" s="175">
        <v>467500</v>
      </c>
      <c r="D721" s="175">
        <v>425000</v>
      </c>
      <c r="E721" s="175">
        <v>42500</v>
      </c>
      <c r="F721" s="229"/>
      <c r="G721" s="229"/>
      <c r="H721" s="229"/>
      <c r="I721" s="72" t="s">
        <v>417</v>
      </c>
      <c r="J721" s="185">
        <v>46136</v>
      </c>
      <c r="K721" s="205"/>
      <c r="L721" s="152" t="s">
        <v>317</v>
      </c>
    </row>
    <row r="722" spans="1:12">
      <c r="A722" s="93">
        <v>46131</v>
      </c>
      <c r="B722" s="7" t="s">
        <v>442</v>
      </c>
      <c r="C722" s="175">
        <v>3586550</v>
      </c>
      <c r="D722" s="175">
        <v>3260500</v>
      </c>
      <c r="E722" s="175">
        <v>326050</v>
      </c>
      <c r="F722" s="229"/>
      <c r="G722" s="229"/>
      <c r="H722" s="229"/>
      <c r="I722" s="107" t="s">
        <v>443</v>
      </c>
      <c r="J722" s="186"/>
      <c r="K722" s="206"/>
      <c r="L722" s="57"/>
    </row>
    <row r="723" spans="1:12">
      <c r="A723" s="93">
        <v>46131</v>
      </c>
      <c r="B723" s="7" t="s">
        <v>442</v>
      </c>
      <c r="C723" s="175">
        <v>10244300</v>
      </c>
      <c r="D723" s="175">
        <v>9313000</v>
      </c>
      <c r="E723" s="175">
        <v>931300</v>
      </c>
      <c r="F723" s="229"/>
      <c r="G723" s="229"/>
      <c r="H723" s="229"/>
      <c r="I723" s="72" t="s">
        <v>82</v>
      </c>
      <c r="J723" s="185"/>
      <c r="K723" s="205"/>
      <c r="L723" s="7"/>
    </row>
    <row r="724" spans="1:12">
      <c r="A724" s="93">
        <v>46134</v>
      </c>
      <c r="B724" s="7" t="s">
        <v>105</v>
      </c>
      <c r="C724" s="175">
        <v>1131350</v>
      </c>
      <c r="D724" s="175">
        <v>1028500</v>
      </c>
      <c r="E724" s="175">
        <v>102850</v>
      </c>
      <c r="F724" s="229"/>
      <c r="G724" s="229"/>
      <c r="H724" s="229"/>
      <c r="I724" s="72" t="s">
        <v>447</v>
      </c>
      <c r="J724" s="185"/>
      <c r="K724" s="205"/>
      <c r="L724" s="7"/>
    </row>
    <row r="725" spans="1:12">
      <c r="A725" s="93" t="s">
        <v>451</v>
      </c>
      <c r="B725" s="7" t="s">
        <v>185</v>
      </c>
      <c r="C725" s="175"/>
      <c r="D725" s="175"/>
      <c r="E725" s="175"/>
      <c r="F725" s="229">
        <v>305134</v>
      </c>
      <c r="G725" s="229">
        <v>277396</v>
      </c>
      <c r="H725" s="229">
        <v>27738</v>
      </c>
      <c r="I725" s="72" t="s">
        <v>244</v>
      </c>
      <c r="J725" s="185"/>
      <c r="K725" s="205"/>
      <c r="L725" s="7"/>
    </row>
    <row r="726" spans="1:12">
      <c r="A726" s="93" t="s">
        <v>452</v>
      </c>
      <c r="B726" s="7" t="s">
        <v>77</v>
      </c>
      <c r="C726" s="175"/>
      <c r="D726" s="175"/>
      <c r="E726" s="175"/>
      <c r="F726" s="229">
        <v>924000</v>
      </c>
      <c r="G726" s="229">
        <v>840000</v>
      </c>
      <c r="H726" s="229">
        <v>84000</v>
      </c>
      <c r="I726" s="72" t="s">
        <v>448</v>
      </c>
      <c r="J726" s="185"/>
      <c r="K726" s="211">
        <v>46136</v>
      </c>
      <c r="L726" s="14" t="s">
        <v>450</v>
      </c>
    </row>
    <row r="727" spans="1:12">
      <c r="A727" s="93" t="s">
        <v>452</v>
      </c>
      <c r="B727" s="7" t="s">
        <v>77</v>
      </c>
      <c r="C727" s="175"/>
      <c r="D727" s="175"/>
      <c r="E727" s="175"/>
      <c r="F727" s="229">
        <v>4208050</v>
      </c>
      <c r="G727" s="229">
        <v>3825500</v>
      </c>
      <c r="H727" s="229">
        <v>382550</v>
      </c>
      <c r="I727" s="72" t="s">
        <v>449</v>
      </c>
      <c r="J727" s="185"/>
      <c r="K727" s="211">
        <v>46136</v>
      </c>
      <c r="L727" s="14" t="s">
        <v>450</v>
      </c>
    </row>
    <row r="728" spans="1:12">
      <c r="A728" s="93"/>
      <c r="B728" s="7"/>
      <c r="C728" s="175"/>
      <c r="D728" s="175"/>
      <c r="E728" s="175"/>
      <c r="F728" s="232"/>
      <c r="G728" s="232"/>
      <c r="H728" s="232"/>
      <c r="I728" s="63"/>
      <c r="J728" s="189"/>
      <c r="K728" s="206"/>
      <c r="L728" s="7"/>
    </row>
    <row r="729" spans="1:12">
      <c r="A729" s="93"/>
      <c r="B729" s="7"/>
      <c r="C729" s="175"/>
      <c r="D729" s="175"/>
      <c r="E729" s="175"/>
      <c r="F729" s="229"/>
      <c r="G729" s="229"/>
      <c r="H729" s="229"/>
      <c r="I729" s="72"/>
      <c r="J729" s="185"/>
      <c r="K729" s="205"/>
      <c r="L729" s="14"/>
    </row>
    <row r="730" spans="1:12">
      <c r="A730" s="93"/>
      <c r="B730" s="7"/>
      <c r="C730" s="175"/>
      <c r="D730" s="175"/>
      <c r="E730" s="175"/>
      <c r="F730" s="229"/>
      <c r="G730" s="229"/>
      <c r="H730" s="229"/>
      <c r="I730" s="72"/>
      <c r="J730" s="185"/>
      <c r="K730" s="205"/>
      <c r="L730" s="7"/>
    </row>
    <row r="731" spans="1:12">
      <c r="A731" s="93"/>
      <c r="B731" s="7"/>
      <c r="C731" s="175"/>
      <c r="D731" s="175"/>
      <c r="E731" s="175"/>
      <c r="F731" s="229"/>
      <c r="G731" s="229"/>
      <c r="H731" s="229"/>
      <c r="I731" s="72"/>
      <c r="J731" s="185"/>
      <c r="K731" s="205"/>
      <c r="L731" s="7"/>
    </row>
    <row r="732" spans="1:12">
      <c r="A732" s="93"/>
      <c r="B732" s="7"/>
      <c r="C732" s="175"/>
      <c r="D732" s="175"/>
      <c r="E732" s="175"/>
      <c r="F732" s="229"/>
      <c r="G732" s="229"/>
      <c r="H732" s="229"/>
      <c r="I732" s="72"/>
      <c r="J732" s="185"/>
      <c r="K732" s="205"/>
      <c r="L732" s="7"/>
    </row>
    <row r="733" spans="1:12">
      <c r="A733" s="93"/>
      <c r="B733" s="7"/>
      <c r="C733" s="175"/>
      <c r="D733" s="175"/>
      <c r="E733" s="175"/>
      <c r="F733" s="229"/>
      <c r="G733" s="229"/>
      <c r="H733" s="229"/>
      <c r="I733" s="72"/>
      <c r="J733" s="185"/>
      <c r="K733" s="205"/>
      <c r="L733" s="7"/>
    </row>
    <row r="734" spans="1:12">
      <c r="A734" s="93"/>
      <c r="B734" s="7"/>
      <c r="C734" s="175"/>
      <c r="D734" s="175"/>
      <c r="E734" s="175"/>
      <c r="F734" s="229"/>
      <c r="G734" s="229"/>
      <c r="H734" s="229"/>
      <c r="I734" s="72"/>
      <c r="J734" s="185"/>
      <c r="K734" s="205"/>
      <c r="L734" s="7"/>
    </row>
    <row r="735" spans="1:12">
      <c r="A735" s="93"/>
      <c r="B735" s="7"/>
      <c r="C735" s="175"/>
      <c r="D735" s="175"/>
      <c r="E735" s="175"/>
      <c r="F735" s="229"/>
      <c r="G735" s="229"/>
      <c r="H735" s="229"/>
      <c r="I735" s="72"/>
      <c r="J735" s="185"/>
      <c r="K735" s="205"/>
      <c r="L735" s="7"/>
    </row>
    <row r="736" spans="1:12">
      <c r="A736" s="93"/>
      <c r="B736" s="7"/>
      <c r="C736" s="175"/>
      <c r="D736" s="175"/>
      <c r="E736" s="175"/>
      <c r="F736" s="229"/>
      <c r="G736" s="229"/>
      <c r="H736" s="229"/>
      <c r="I736" s="72"/>
      <c r="J736" s="185"/>
      <c r="K736" s="205"/>
      <c r="L736" s="7"/>
    </row>
    <row r="737" spans="1:12">
      <c r="A737" s="93"/>
      <c r="B737" s="7"/>
      <c r="C737" s="175"/>
      <c r="D737" s="175"/>
      <c r="E737" s="175"/>
      <c r="F737" s="229"/>
      <c r="G737" s="229"/>
      <c r="H737" s="229"/>
      <c r="I737" s="72"/>
      <c r="J737" s="185"/>
      <c r="K737" s="205"/>
      <c r="L737" s="7"/>
    </row>
    <row r="738" spans="1:12">
      <c r="A738" s="93"/>
      <c r="B738" s="7"/>
      <c r="C738" s="175"/>
      <c r="D738" s="175"/>
      <c r="E738" s="175"/>
      <c r="F738" s="229"/>
      <c r="G738" s="229"/>
      <c r="H738" s="229"/>
      <c r="I738" s="72"/>
      <c r="J738" s="185"/>
      <c r="K738" s="205"/>
      <c r="L738" s="7"/>
    </row>
    <row r="739" spans="1:12">
      <c r="A739" s="93"/>
      <c r="B739" s="7"/>
      <c r="C739" s="178"/>
      <c r="D739" s="178"/>
      <c r="E739" s="178"/>
      <c r="F739" s="233"/>
      <c r="G739" s="233"/>
      <c r="H739" s="233"/>
      <c r="I739" s="73"/>
      <c r="J739" s="191"/>
      <c r="K739" s="207"/>
      <c r="L739" s="7"/>
    </row>
    <row r="740" spans="1:12">
      <c r="A740" s="93"/>
      <c r="B740" s="7"/>
      <c r="C740" s="175"/>
      <c r="D740" s="175"/>
      <c r="E740" s="175"/>
      <c r="F740" s="229"/>
      <c r="G740" s="229"/>
      <c r="H740" s="229"/>
      <c r="I740" s="72"/>
      <c r="J740" s="185"/>
      <c r="K740" s="205"/>
      <c r="L740" s="7"/>
    </row>
    <row r="741" spans="1:12">
      <c r="A741" s="93"/>
      <c r="B741" s="7"/>
      <c r="C741" s="175"/>
      <c r="D741" s="175"/>
      <c r="E741" s="175"/>
      <c r="F741" s="229"/>
      <c r="G741" s="229"/>
      <c r="H741" s="229"/>
      <c r="I741" s="72"/>
      <c r="J741" s="185"/>
      <c r="K741" s="205"/>
      <c r="L741" s="7"/>
    </row>
    <row r="742" spans="1:12">
      <c r="A742" s="93"/>
      <c r="B742" s="7"/>
      <c r="C742" s="175"/>
      <c r="D742" s="175"/>
      <c r="E742" s="175"/>
      <c r="F742" s="232"/>
      <c r="G742" s="232"/>
      <c r="H742" s="232"/>
      <c r="I742" s="63"/>
      <c r="J742" s="191"/>
      <c r="K742" s="206"/>
      <c r="L742" s="7"/>
    </row>
    <row r="743" spans="1:12">
      <c r="A743" s="93"/>
      <c r="B743" s="7"/>
      <c r="C743" s="175"/>
      <c r="D743" s="175"/>
      <c r="E743" s="175"/>
      <c r="F743" s="232"/>
      <c r="G743" s="232"/>
      <c r="H743" s="232"/>
      <c r="I743" s="63"/>
      <c r="J743" s="190"/>
      <c r="K743" s="206"/>
      <c r="L743" s="7"/>
    </row>
    <row r="744" spans="1:12">
      <c r="A744" s="93"/>
      <c r="B744" s="7"/>
      <c r="C744" s="175"/>
      <c r="D744" s="175"/>
      <c r="E744" s="175"/>
      <c r="F744" s="232"/>
      <c r="G744" s="232"/>
      <c r="H744" s="232"/>
      <c r="I744" s="63"/>
      <c r="J744" s="190"/>
      <c r="K744" s="206"/>
      <c r="L744" s="7"/>
    </row>
    <row r="745" spans="1:12">
      <c r="A745" s="93"/>
      <c r="B745" s="7"/>
      <c r="C745" s="175"/>
      <c r="D745" s="175"/>
      <c r="E745" s="175"/>
      <c r="F745" s="229"/>
      <c r="G745" s="229"/>
      <c r="H745" s="229"/>
      <c r="I745" s="72"/>
      <c r="J745" s="185"/>
      <c r="K745" s="205"/>
      <c r="L745" s="7"/>
    </row>
    <row r="746" spans="1:12">
      <c r="A746" s="93"/>
      <c r="B746" s="7"/>
      <c r="C746" s="175"/>
      <c r="D746" s="175"/>
      <c r="E746" s="175"/>
      <c r="F746" s="229"/>
      <c r="G746" s="229"/>
      <c r="H746" s="229"/>
      <c r="I746" s="72"/>
      <c r="J746" s="185"/>
      <c r="K746" s="205"/>
      <c r="L746" s="7"/>
    </row>
    <row r="747" spans="1:12">
      <c r="A747" s="93"/>
      <c r="B747" s="7"/>
      <c r="C747" s="175"/>
      <c r="D747" s="175"/>
      <c r="E747" s="175"/>
      <c r="F747" s="229"/>
      <c r="G747" s="229"/>
      <c r="H747" s="229"/>
      <c r="I747" s="72"/>
      <c r="J747" s="185"/>
      <c r="K747" s="205"/>
      <c r="L747" s="7"/>
    </row>
    <row r="748" spans="1:12">
      <c r="A748" s="93"/>
      <c r="B748" s="7"/>
      <c r="C748" s="175"/>
      <c r="D748" s="175"/>
      <c r="E748" s="175"/>
      <c r="F748" s="229"/>
      <c r="G748" s="229"/>
      <c r="H748" s="229"/>
      <c r="I748" s="72"/>
      <c r="J748" s="185"/>
      <c r="K748" s="205"/>
      <c r="L748" s="7"/>
    </row>
    <row r="749" spans="1:12">
      <c r="A749" s="93"/>
      <c r="B749" s="7"/>
      <c r="C749" s="175"/>
      <c r="D749" s="175"/>
      <c r="E749" s="175"/>
      <c r="F749" s="229"/>
      <c r="G749" s="229"/>
      <c r="H749" s="229"/>
      <c r="I749" s="72"/>
      <c r="J749" s="185"/>
      <c r="K749" s="205"/>
      <c r="L749" s="7"/>
    </row>
    <row r="750" spans="1:12">
      <c r="A750" s="93"/>
      <c r="B750" s="7"/>
      <c r="C750" s="175"/>
      <c r="D750" s="175"/>
      <c r="E750" s="175"/>
      <c r="F750" s="229"/>
      <c r="G750" s="229"/>
      <c r="H750" s="229"/>
      <c r="I750" s="72"/>
      <c r="J750" s="185"/>
      <c r="K750" s="205"/>
      <c r="L750" s="7"/>
    </row>
    <row r="751" spans="1:12">
      <c r="A751" s="93"/>
      <c r="B751" s="7"/>
      <c r="C751" s="175"/>
      <c r="D751" s="175"/>
      <c r="E751" s="175"/>
      <c r="F751" s="229"/>
      <c r="G751" s="229"/>
      <c r="H751" s="229"/>
      <c r="I751" s="72"/>
      <c r="J751" s="185"/>
      <c r="K751" s="205"/>
      <c r="L751" s="7"/>
    </row>
    <row r="752" spans="1:12">
      <c r="A752" s="93"/>
      <c r="B752" s="7"/>
      <c r="C752" s="175"/>
      <c r="D752" s="175"/>
      <c r="E752" s="175"/>
      <c r="F752" s="232"/>
      <c r="G752" s="232"/>
      <c r="H752" s="232"/>
      <c r="I752" s="63"/>
      <c r="J752" s="190"/>
      <c r="K752" s="206"/>
      <c r="L752" s="7"/>
    </row>
    <row r="753" spans="1:12">
      <c r="A753" s="93"/>
      <c r="B753" s="7"/>
      <c r="C753" s="175"/>
      <c r="D753" s="175"/>
      <c r="E753" s="175"/>
      <c r="F753" s="229"/>
      <c r="G753" s="229"/>
      <c r="H753" s="229"/>
      <c r="I753" s="72"/>
      <c r="J753" s="185"/>
      <c r="K753" s="205"/>
      <c r="L753" s="7"/>
    </row>
    <row r="754" spans="1:12">
      <c r="A754" s="93"/>
      <c r="B754" s="7"/>
      <c r="C754" s="175"/>
      <c r="D754" s="175"/>
      <c r="E754" s="175"/>
      <c r="F754" s="229"/>
      <c r="G754" s="229"/>
      <c r="H754" s="229"/>
      <c r="I754" s="72"/>
      <c r="J754" s="185"/>
      <c r="K754" s="205"/>
      <c r="L754" s="7"/>
    </row>
    <row r="755" spans="1:12">
      <c r="A755" s="93"/>
      <c r="B755" s="7"/>
      <c r="C755" s="178"/>
      <c r="D755" s="178"/>
      <c r="E755" s="178"/>
      <c r="F755" s="233"/>
      <c r="G755" s="233"/>
      <c r="H755" s="233"/>
      <c r="I755" s="73"/>
      <c r="J755" s="191"/>
      <c r="K755" s="207"/>
      <c r="L755" s="7"/>
    </row>
    <row r="756" spans="1:12">
      <c r="A756" s="93"/>
      <c r="B756" s="7"/>
      <c r="C756" s="175"/>
      <c r="D756" s="175"/>
      <c r="E756" s="175"/>
      <c r="F756" s="229"/>
      <c r="G756" s="229"/>
      <c r="H756" s="229"/>
      <c r="I756" s="72"/>
      <c r="J756" s="185"/>
      <c r="K756" s="205"/>
      <c r="L756" s="7"/>
    </row>
    <row r="757" spans="1:12">
      <c r="A757" s="93"/>
      <c r="B757" s="7"/>
      <c r="C757" s="175"/>
      <c r="D757" s="175"/>
      <c r="E757" s="175"/>
      <c r="F757" s="232"/>
      <c r="G757" s="232"/>
      <c r="H757" s="232"/>
      <c r="I757" s="63"/>
      <c r="J757" s="190"/>
      <c r="K757" s="206"/>
      <c r="L757" s="7"/>
    </row>
    <row r="758" spans="1:12">
      <c r="A758" s="93"/>
      <c r="B758" s="7"/>
      <c r="C758" s="175"/>
      <c r="D758" s="175"/>
      <c r="E758" s="175"/>
      <c r="F758" s="232"/>
      <c r="G758" s="232"/>
      <c r="H758" s="232"/>
      <c r="I758" s="63"/>
      <c r="J758" s="190"/>
      <c r="K758" s="206"/>
      <c r="L758" s="7"/>
    </row>
    <row r="759" spans="1:12">
      <c r="A759" s="93"/>
      <c r="B759" s="7"/>
      <c r="C759" s="175"/>
      <c r="D759" s="175"/>
      <c r="E759" s="175"/>
      <c r="F759" s="229"/>
      <c r="G759" s="229"/>
      <c r="H759" s="229"/>
      <c r="I759" s="72"/>
      <c r="J759" s="185"/>
      <c r="K759" s="205"/>
      <c r="L759" s="7"/>
    </row>
    <row r="760" spans="1:12">
      <c r="A760" s="93"/>
      <c r="B760" s="7"/>
      <c r="C760" s="175"/>
      <c r="D760" s="175"/>
      <c r="E760" s="175"/>
      <c r="F760" s="232"/>
      <c r="G760" s="232"/>
      <c r="H760" s="232"/>
      <c r="I760" s="63"/>
      <c r="J760" s="190"/>
      <c r="K760" s="206"/>
      <c r="L760" s="7"/>
    </row>
    <row r="761" spans="1:12">
      <c r="A761" s="93"/>
      <c r="B761" s="7"/>
      <c r="C761" s="175"/>
      <c r="D761" s="175"/>
      <c r="E761" s="175"/>
      <c r="F761" s="229"/>
      <c r="G761" s="229"/>
      <c r="H761" s="229"/>
      <c r="I761" s="72"/>
      <c r="J761" s="185"/>
      <c r="K761" s="205"/>
      <c r="L761" s="7"/>
    </row>
    <row r="762" spans="1:12">
      <c r="A762" s="93"/>
      <c r="B762" s="7"/>
      <c r="C762" s="175"/>
      <c r="D762" s="175"/>
      <c r="E762" s="175"/>
      <c r="F762" s="232"/>
      <c r="G762" s="232"/>
      <c r="H762" s="232"/>
      <c r="I762" s="63"/>
      <c r="J762" s="190"/>
      <c r="K762" s="206"/>
      <c r="L762" s="7"/>
    </row>
    <row r="763" spans="1:12">
      <c r="A763" s="93"/>
      <c r="B763" s="7"/>
      <c r="C763" s="175"/>
      <c r="D763" s="175"/>
      <c r="E763" s="175"/>
      <c r="F763" s="232"/>
      <c r="G763" s="232"/>
      <c r="H763" s="232"/>
      <c r="I763" s="63"/>
      <c r="J763" s="190"/>
      <c r="K763" s="206"/>
      <c r="L763" s="7"/>
    </row>
    <row r="764" spans="1:12">
      <c r="A764" s="93"/>
      <c r="B764" s="7"/>
      <c r="C764" s="175"/>
      <c r="D764" s="175"/>
      <c r="E764" s="175"/>
      <c r="F764" s="229"/>
      <c r="G764" s="229"/>
      <c r="H764" s="229"/>
      <c r="I764" s="72"/>
      <c r="J764" s="185"/>
      <c r="K764" s="205"/>
      <c r="L764" s="7"/>
    </row>
    <row r="765" spans="1:12">
      <c r="A765" s="93"/>
      <c r="B765" s="7"/>
      <c r="C765" s="175"/>
      <c r="D765" s="175"/>
      <c r="E765" s="175"/>
      <c r="F765" s="229"/>
      <c r="G765" s="229"/>
      <c r="H765" s="229"/>
      <c r="I765" s="72"/>
      <c r="J765" s="185"/>
      <c r="K765" s="205"/>
      <c r="L765" s="7"/>
    </row>
    <row r="766" spans="1:12">
      <c r="A766" s="93"/>
      <c r="B766" s="7"/>
      <c r="C766" s="175"/>
      <c r="D766" s="175"/>
      <c r="E766" s="175"/>
      <c r="F766" s="229"/>
      <c r="G766" s="229"/>
      <c r="H766" s="229"/>
      <c r="I766" s="72"/>
      <c r="J766" s="185"/>
      <c r="K766" s="205"/>
      <c r="L766" s="7"/>
    </row>
    <row r="767" spans="1:12">
      <c r="A767" s="93"/>
      <c r="B767" s="7"/>
      <c r="C767" s="175"/>
      <c r="D767" s="175"/>
      <c r="E767" s="175"/>
      <c r="F767" s="229"/>
      <c r="G767" s="229"/>
      <c r="H767" s="229"/>
      <c r="I767" s="72"/>
      <c r="J767" s="185"/>
      <c r="K767" s="205"/>
      <c r="L767" s="7"/>
    </row>
    <row r="768" spans="1:12">
      <c r="A768" s="93"/>
      <c r="B768" s="7"/>
      <c r="C768" s="175"/>
      <c r="D768" s="175"/>
      <c r="E768" s="175"/>
      <c r="F768" s="229"/>
      <c r="G768" s="229"/>
      <c r="H768" s="229"/>
      <c r="I768" s="72"/>
      <c r="J768" s="185"/>
      <c r="K768" s="205"/>
      <c r="L768" s="7"/>
    </row>
    <row r="769" spans="1:12">
      <c r="A769" s="93"/>
      <c r="B769" s="7"/>
      <c r="C769" s="175"/>
      <c r="D769" s="175"/>
      <c r="E769" s="175"/>
      <c r="F769" s="229"/>
      <c r="G769" s="229"/>
      <c r="H769" s="229"/>
      <c r="I769" s="72"/>
      <c r="J769" s="185"/>
      <c r="K769" s="205"/>
      <c r="L769" s="7"/>
    </row>
    <row r="770" spans="1:12">
      <c r="A770" s="93"/>
      <c r="B770" s="7"/>
      <c r="C770" s="175"/>
      <c r="D770" s="175"/>
      <c r="E770" s="175"/>
      <c r="F770" s="229"/>
      <c r="G770" s="229"/>
      <c r="H770" s="229"/>
      <c r="I770" s="72"/>
      <c r="J770" s="185"/>
      <c r="K770" s="205"/>
      <c r="L770" s="7"/>
    </row>
    <row r="771" spans="1:12">
      <c r="A771" s="93"/>
      <c r="B771" s="7"/>
      <c r="C771" s="175"/>
      <c r="D771" s="175"/>
      <c r="E771" s="175"/>
      <c r="F771" s="229"/>
      <c r="G771" s="229"/>
      <c r="H771" s="229"/>
      <c r="I771" s="72"/>
      <c r="J771" s="185"/>
      <c r="K771" s="205"/>
      <c r="L771" s="7"/>
    </row>
    <row r="772" spans="1:12">
      <c r="A772" s="93"/>
      <c r="B772" s="7"/>
      <c r="C772" s="175"/>
      <c r="D772" s="175"/>
      <c r="E772" s="175"/>
      <c r="F772" s="229"/>
      <c r="G772" s="229"/>
      <c r="H772" s="229"/>
      <c r="I772" s="72"/>
      <c r="J772" s="185"/>
      <c r="K772" s="205"/>
      <c r="L772" s="7"/>
    </row>
    <row r="773" spans="1:12">
      <c r="A773" s="93"/>
      <c r="B773" s="7"/>
      <c r="C773" s="175"/>
      <c r="D773" s="175"/>
      <c r="E773" s="175"/>
      <c r="F773" s="229"/>
      <c r="G773" s="229"/>
      <c r="H773" s="229"/>
      <c r="I773" s="72"/>
      <c r="J773" s="185"/>
      <c r="K773" s="205"/>
      <c r="L773" s="7"/>
    </row>
    <row r="774" spans="1:12">
      <c r="A774" s="93"/>
      <c r="B774" s="7"/>
      <c r="C774" s="175"/>
      <c r="D774" s="175"/>
      <c r="E774" s="175"/>
      <c r="F774" s="229"/>
      <c r="G774" s="229"/>
      <c r="H774" s="229"/>
      <c r="I774" s="72"/>
      <c r="J774" s="185"/>
      <c r="K774" s="205"/>
      <c r="L774" s="7"/>
    </row>
    <row r="775" spans="1:12">
      <c r="A775" s="93"/>
      <c r="B775" s="7"/>
      <c r="C775" s="175"/>
      <c r="D775" s="175"/>
      <c r="E775" s="175"/>
      <c r="F775" s="229"/>
      <c r="G775" s="229"/>
      <c r="H775" s="229"/>
      <c r="I775" s="72"/>
      <c r="J775" s="185"/>
      <c r="K775" s="205"/>
      <c r="L775" s="7"/>
    </row>
    <row r="776" spans="1:12">
      <c r="A776" s="93"/>
      <c r="B776" s="7"/>
      <c r="C776" s="175"/>
      <c r="D776" s="175"/>
      <c r="E776" s="175"/>
      <c r="F776" s="229"/>
      <c r="G776" s="229"/>
      <c r="H776" s="229"/>
      <c r="I776" s="72"/>
      <c r="J776" s="185"/>
      <c r="K776" s="205"/>
      <c r="L776" s="14"/>
    </row>
    <row r="777" spans="1:12">
      <c r="A777" s="93"/>
      <c r="B777" s="7"/>
      <c r="C777" s="175"/>
      <c r="D777" s="175"/>
      <c r="E777" s="175"/>
      <c r="F777" s="229"/>
      <c r="G777" s="229"/>
      <c r="H777" s="229"/>
      <c r="I777" s="72"/>
      <c r="J777" s="185"/>
      <c r="K777" s="205"/>
      <c r="L777" s="7"/>
    </row>
    <row r="778" spans="1:12">
      <c r="A778" s="93"/>
      <c r="B778" s="7"/>
      <c r="C778" s="175"/>
      <c r="D778" s="175"/>
      <c r="E778" s="175"/>
      <c r="F778" s="229"/>
      <c r="G778" s="229"/>
      <c r="H778" s="229"/>
      <c r="I778" s="72"/>
      <c r="J778" s="185"/>
      <c r="K778" s="205"/>
      <c r="L778" s="14"/>
    </row>
    <row r="779" spans="1:12">
      <c r="A779" s="93"/>
      <c r="B779" s="7"/>
      <c r="C779" s="175"/>
      <c r="D779" s="175"/>
      <c r="E779" s="175"/>
      <c r="F779" s="229"/>
      <c r="G779" s="229"/>
      <c r="H779" s="229"/>
      <c r="I779" s="72"/>
      <c r="J779" s="185"/>
      <c r="K779" s="205"/>
      <c r="L779" s="7"/>
    </row>
    <row r="780" spans="1:12">
      <c r="A780" s="93"/>
      <c r="B780" s="7"/>
      <c r="C780" s="175"/>
      <c r="D780" s="175"/>
      <c r="E780" s="175"/>
      <c r="F780" s="229"/>
      <c r="G780" s="229"/>
      <c r="H780" s="229"/>
      <c r="I780" s="72"/>
      <c r="J780" s="185"/>
      <c r="K780" s="205"/>
      <c r="L780" s="7"/>
    </row>
    <row r="781" spans="1:12">
      <c r="A781" s="93"/>
      <c r="B781" s="7"/>
      <c r="C781" s="175"/>
      <c r="D781" s="175"/>
      <c r="E781" s="175"/>
      <c r="F781" s="229"/>
      <c r="G781" s="229"/>
      <c r="H781" s="229"/>
      <c r="I781" s="72"/>
      <c r="J781" s="185"/>
      <c r="K781" s="205"/>
      <c r="L781" s="14"/>
    </row>
    <row r="782" spans="1:12">
      <c r="A782" s="93"/>
      <c r="B782" s="7"/>
      <c r="C782" s="175"/>
      <c r="D782" s="175"/>
      <c r="E782" s="175"/>
      <c r="F782" s="229"/>
      <c r="G782" s="229"/>
      <c r="H782" s="229"/>
      <c r="I782" s="72"/>
      <c r="J782" s="185"/>
      <c r="K782" s="205"/>
      <c r="L782" s="7"/>
    </row>
    <row r="783" spans="1:12">
      <c r="A783" s="93"/>
      <c r="B783" s="7"/>
      <c r="C783" s="175"/>
      <c r="D783" s="175"/>
      <c r="E783" s="175"/>
      <c r="F783" s="229"/>
      <c r="G783" s="229"/>
      <c r="H783" s="229"/>
      <c r="I783" s="72"/>
      <c r="J783" s="185"/>
      <c r="K783" s="205"/>
      <c r="L783" s="7"/>
    </row>
    <row r="784" spans="1:12">
      <c r="A784" s="93"/>
      <c r="B784" s="7"/>
      <c r="C784" s="175"/>
      <c r="D784" s="175"/>
      <c r="E784" s="175"/>
      <c r="F784" s="229"/>
      <c r="G784" s="229"/>
      <c r="H784" s="229"/>
      <c r="I784" s="72"/>
      <c r="J784" s="185"/>
      <c r="K784" s="205"/>
      <c r="L784" s="7"/>
    </row>
    <row r="785" spans="1:12">
      <c r="A785" s="93"/>
      <c r="B785" s="7"/>
      <c r="C785" s="175"/>
      <c r="D785" s="175"/>
      <c r="E785" s="175"/>
      <c r="F785" s="229"/>
      <c r="G785" s="229"/>
      <c r="H785" s="229"/>
      <c r="I785" s="72"/>
      <c r="J785" s="185"/>
      <c r="K785" s="205"/>
      <c r="L785" s="14"/>
    </row>
    <row r="786" spans="1:12">
      <c r="A786" s="93"/>
      <c r="B786" s="7"/>
      <c r="C786" s="175"/>
      <c r="D786" s="175"/>
      <c r="E786" s="175"/>
      <c r="F786" s="229"/>
      <c r="G786" s="229"/>
      <c r="H786" s="229"/>
      <c r="I786" s="72"/>
      <c r="J786" s="185"/>
      <c r="K786" s="205"/>
      <c r="L786" s="7"/>
    </row>
    <row r="787" spans="1:12">
      <c r="A787" s="93"/>
      <c r="B787" s="7"/>
      <c r="C787" s="175"/>
      <c r="D787" s="175"/>
      <c r="E787" s="175"/>
      <c r="F787" s="229"/>
      <c r="G787" s="229"/>
      <c r="H787" s="229"/>
      <c r="I787" s="72"/>
      <c r="J787" s="185"/>
      <c r="K787" s="205"/>
      <c r="L787" s="7"/>
    </row>
    <row r="788" spans="1:12">
      <c r="A788" s="93"/>
      <c r="B788" s="7"/>
      <c r="C788" s="175"/>
      <c r="D788" s="175"/>
      <c r="E788" s="175"/>
      <c r="F788" s="229"/>
      <c r="G788" s="229"/>
      <c r="H788" s="229"/>
      <c r="I788" s="72"/>
      <c r="J788" s="185"/>
      <c r="K788" s="205"/>
      <c r="L788" s="7"/>
    </row>
    <row r="789" spans="1:12">
      <c r="A789" s="93"/>
      <c r="B789" s="7"/>
      <c r="C789" s="175"/>
      <c r="D789" s="175"/>
      <c r="E789" s="175"/>
      <c r="F789" s="229"/>
      <c r="G789" s="229"/>
      <c r="H789" s="229"/>
      <c r="I789" s="72"/>
      <c r="J789" s="185"/>
      <c r="K789" s="205"/>
      <c r="L789" s="7"/>
    </row>
    <row r="790" spans="1:12">
      <c r="A790" s="93"/>
      <c r="B790" s="7"/>
      <c r="C790" s="175"/>
      <c r="D790" s="175"/>
      <c r="E790" s="175"/>
      <c r="F790" s="229"/>
      <c r="G790" s="229"/>
      <c r="H790" s="229"/>
      <c r="I790" s="72"/>
      <c r="J790" s="185"/>
      <c r="K790" s="205"/>
      <c r="L790" s="7"/>
    </row>
    <row r="791" spans="1:12">
      <c r="A791" s="93"/>
      <c r="B791" s="7"/>
      <c r="C791" s="175"/>
      <c r="D791" s="175"/>
      <c r="E791" s="175"/>
      <c r="F791" s="229"/>
      <c r="G791" s="229"/>
      <c r="H791" s="229"/>
      <c r="I791" s="72"/>
      <c r="J791" s="185"/>
      <c r="K791" s="205"/>
      <c r="L791" s="7"/>
    </row>
    <row r="792" spans="1:12">
      <c r="A792" s="93"/>
      <c r="B792" s="7"/>
      <c r="C792" s="175"/>
      <c r="D792" s="175"/>
      <c r="E792" s="175"/>
      <c r="F792" s="229"/>
      <c r="G792" s="229"/>
      <c r="H792" s="229"/>
      <c r="I792" s="72"/>
      <c r="J792" s="185"/>
      <c r="K792" s="205"/>
      <c r="L792" s="7"/>
    </row>
    <row r="793" spans="1:12">
      <c r="A793" s="93"/>
      <c r="B793" s="7"/>
      <c r="C793" s="175"/>
      <c r="D793" s="175"/>
      <c r="E793" s="175"/>
      <c r="F793" s="229"/>
      <c r="G793" s="229"/>
      <c r="H793" s="229"/>
      <c r="I793" s="72"/>
      <c r="J793" s="185"/>
      <c r="K793" s="205"/>
      <c r="L793" s="7"/>
    </row>
    <row r="794" spans="1:12">
      <c r="A794" s="93"/>
      <c r="B794" s="7"/>
      <c r="C794" s="175"/>
      <c r="D794" s="175"/>
      <c r="E794" s="175"/>
      <c r="F794" s="229"/>
      <c r="G794" s="229"/>
      <c r="H794" s="229"/>
      <c r="I794" s="72"/>
      <c r="J794" s="185"/>
      <c r="K794" s="205"/>
      <c r="L794" s="7"/>
    </row>
    <row r="795" spans="1:12">
      <c r="A795" s="93"/>
      <c r="B795" s="7"/>
      <c r="C795" s="175"/>
      <c r="D795" s="175"/>
      <c r="E795" s="175"/>
      <c r="F795" s="229"/>
      <c r="G795" s="229"/>
      <c r="H795" s="229"/>
      <c r="I795" s="72"/>
      <c r="J795" s="185"/>
      <c r="K795" s="205"/>
      <c r="L795" s="7"/>
    </row>
    <row r="796" spans="1:12">
      <c r="A796" s="93"/>
      <c r="B796" s="7"/>
      <c r="C796" s="175"/>
      <c r="D796" s="175"/>
      <c r="E796" s="175"/>
      <c r="F796" s="232"/>
      <c r="G796" s="232"/>
      <c r="H796" s="232"/>
      <c r="I796" s="63"/>
      <c r="J796" s="190"/>
      <c r="K796" s="206"/>
      <c r="L796" s="7"/>
    </row>
    <row r="797" spans="1:12">
      <c r="A797" s="93"/>
      <c r="B797" s="7"/>
      <c r="C797" s="175"/>
      <c r="D797" s="175"/>
      <c r="E797" s="175"/>
      <c r="F797" s="229"/>
      <c r="G797" s="229"/>
      <c r="H797" s="229"/>
      <c r="I797" s="72"/>
      <c r="J797" s="185"/>
      <c r="K797" s="205"/>
      <c r="L797" s="7"/>
    </row>
    <row r="798" spans="1:12">
      <c r="A798" s="93"/>
      <c r="B798" s="7"/>
      <c r="C798" s="175"/>
      <c r="D798" s="175"/>
      <c r="E798" s="175"/>
      <c r="F798" s="229"/>
      <c r="G798" s="229"/>
      <c r="H798" s="229"/>
      <c r="I798" s="72"/>
      <c r="J798" s="185"/>
      <c r="K798" s="205"/>
      <c r="L798" s="7"/>
    </row>
    <row r="799" spans="1:12">
      <c r="A799" s="93"/>
      <c r="B799" s="7"/>
      <c r="C799" s="175"/>
      <c r="D799" s="175"/>
      <c r="E799" s="175"/>
      <c r="F799" s="229"/>
      <c r="G799" s="229"/>
      <c r="H799" s="229"/>
      <c r="I799" s="72"/>
      <c r="J799" s="185"/>
      <c r="K799" s="205"/>
      <c r="L799" s="7"/>
    </row>
    <row r="800" spans="1:12">
      <c r="A800" s="93"/>
      <c r="B800" s="7"/>
      <c r="C800" s="175"/>
      <c r="D800" s="175"/>
      <c r="E800" s="175"/>
      <c r="F800" s="229"/>
      <c r="G800" s="229"/>
      <c r="H800" s="229"/>
      <c r="I800" s="72"/>
      <c r="J800" s="185"/>
      <c r="K800" s="205"/>
      <c r="L800" s="7"/>
    </row>
    <row r="801" spans="1:12">
      <c r="A801" s="93"/>
      <c r="B801" s="7"/>
      <c r="C801" s="175"/>
      <c r="D801" s="175"/>
      <c r="E801" s="175"/>
      <c r="F801" s="229"/>
      <c r="G801" s="229"/>
      <c r="H801" s="229"/>
      <c r="I801" s="72"/>
      <c r="J801" s="185"/>
      <c r="K801" s="205"/>
      <c r="L801" s="7"/>
    </row>
    <row r="802" spans="1:12">
      <c r="A802" s="93"/>
      <c r="B802" s="7"/>
      <c r="C802" s="175"/>
      <c r="D802" s="175"/>
      <c r="E802" s="175"/>
      <c r="F802" s="229"/>
      <c r="G802" s="229"/>
      <c r="H802" s="229"/>
      <c r="I802" s="72"/>
      <c r="J802" s="185"/>
      <c r="K802" s="205"/>
      <c r="L802" s="7"/>
    </row>
    <row r="803" spans="1:12">
      <c r="A803" s="93"/>
      <c r="B803" s="7"/>
      <c r="C803" s="175"/>
      <c r="D803" s="175"/>
      <c r="E803" s="175"/>
      <c r="F803" s="229"/>
      <c r="G803" s="229"/>
      <c r="H803" s="229"/>
      <c r="I803" s="72"/>
      <c r="J803" s="185"/>
      <c r="K803" s="205"/>
      <c r="L803" s="7"/>
    </row>
    <row r="804" spans="1:12">
      <c r="A804" s="93"/>
      <c r="B804" s="7"/>
      <c r="C804" s="175"/>
      <c r="D804" s="175"/>
      <c r="E804" s="175"/>
      <c r="F804" s="229"/>
      <c r="G804" s="229"/>
      <c r="H804" s="229"/>
      <c r="I804" s="72"/>
      <c r="J804" s="185"/>
      <c r="K804" s="205"/>
      <c r="L804" s="7"/>
    </row>
    <row r="805" spans="1:12">
      <c r="A805" s="93"/>
      <c r="B805" s="7"/>
      <c r="C805" s="175"/>
      <c r="D805" s="175"/>
      <c r="E805" s="175"/>
      <c r="F805" s="229"/>
      <c r="G805" s="229"/>
      <c r="H805" s="229"/>
      <c r="I805" s="72"/>
      <c r="J805" s="185"/>
      <c r="K805" s="205"/>
      <c r="L805" s="7"/>
    </row>
    <row r="806" spans="1:12">
      <c r="A806" s="93"/>
      <c r="B806" s="7"/>
      <c r="C806" s="175"/>
      <c r="D806" s="175"/>
      <c r="E806" s="175"/>
      <c r="F806" s="229"/>
      <c r="G806" s="229"/>
      <c r="H806" s="229"/>
      <c r="I806" s="72"/>
      <c r="J806" s="185"/>
      <c r="K806" s="205"/>
      <c r="L806" s="7"/>
    </row>
    <row r="807" spans="1:12">
      <c r="A807" s="93"/>
      <c r="B807" s="7"/>
      <c r="C807" s="175"/>
      <c r="D807" s="175"/>
      <c r="E807" s="175"/>
      <c r="F807" s="229"/>
      <c r="G807" s="229"/>
      <c r="H807" s="229"/>
      <c r="I807" s="72"/>
      <c r="J807" s="185"/>
      <c r="K807" s="205"/>
      <c r="L807" s="7"/>
    </row>
    <row r="808" spans="1:12">
      <c r="A808" s="93"/>
      <c r="B808" s="7"/>
      <c r="C808" s="175"/>
      <c r="D808" s="175"/>
      <c r="E808" s="175"/>
      <c r="F808" s="229"/>
      <c r="G808" s="229"/>
      <c r="H808" s="229"/>
      <c r="I808" s="72"/>
      <c r="J808" s="185"/>
      <c r="K808" s="205"/>
      <c r="L808" s="7"/>
    </row>
    <row r="809" spans="1:12">
      <c r="A809" s="93"/>
      <c r="B809" s="7"/>
      <c r="C809" s="175"/>
      <c r="D809" s="175"/>
      <c r="E809" s="175"/>
      <c r="F809" s="232"/>
      <c r="G809" s="232"/>
      <c r="H809" s="232"/>
      <c r="I809" s="63"/>
      <c r="J809" s="190"/>
      <c r="K809" s="206"/>
      <c r="L809" s="7"/>
    </row>
    <row r="810" spans="1:12">
      <c r="A810" s="93"/>
      <c r="B810" s="7"/>
      <c r="C810" s="175"/>
      <c r="D810" s="175"/>
      <c r="E810" s="175"/>
      <c r="F810" s="232"/>
      <c r="G810" s="232"/>
      <c r="H810" s="232"/>
      <c r="I810" s="63"/>
      <c r="J810" s="190"/>
      <c r="K810" s="206"/>
      <c r="L810" s="7"/>
    </row>
    <row r="811" spans="1:12">
      <c r="A811" s="93"/>
      <c r="B811" s="7"/>
      <c r="C811" s="175"/>
      <c r="D811" s="175"/>
      <c r="E811" s="175"/>
      <c r="F811" s="232"/>
      <c r="G811" s="232"/>
      <c r="H811" s="232"/>
      <c r="I811" s="63"/>
      <c r="J811" s="190"/>
      <c r="K811" s="206"/>
      <c r="L811" s="7"/>
    </row>
    <row r="812" spans="1:12">
      <c r="A812" s="93"/>
      <c r="B812" s="7"/>
      <c r="C812" s="175"/>
      <c r="D812" s="175"/>
      <c r="E812" s="175"/>
      <c r="F812" s="229"/>
      <c r="G812" s="229"/>
      <c r="H812" s="229"/>
      <c r="I812" s="72"/>
      <c r="J812" s="185"/>
      <c r="K812" s="205"/>
      <c r="L812" s="7"/>
    </row>
    <row r="813" spans="1:12">
      <c r="A813" s="93"/>
      <c r="B813" s="7"/>
      <c r="C813" s="175"/>
      <c r="D813" s="175"/>
      <c r="E813" s="175"/>
      <c r="F813" s="229"/>
      <c r="G813" s="229"/>
      <c r="H813" s="229"/>
      <c r="I813" s="72"/>
      <c r="J813" s="185"/>
      <c r="K813" s="205"/>
      <c r="L813" s="7"/>
    </row>
    <row r="814" spans="1:12">
      <c r="A814" s="93"/>
      <c r="B814" s="7"/>
      <c r="C814" s="175"/>
      <c r="D814" s="175"/>
      <c r="E814" s="175"/>
      <c r="F814" s="229"/>
      <c r="G814" s="229"/>
      <c r="H814" s="229"/>
      <c r="I814" s="72"/>
      <c r="J814" s="185"/>
      <c r="K814" s="205"/>
      <c r="L814" s="7"/>
    </row>
    <row r="815" spans="1:12">
      <c r="A815" s="93"/>
      <c r="B815" s="7"/>
      <c r="C815" s="175"/>
      <c r="D815" s="175"/>
      <c r="E815" s="175"/>
      <c r="F815" s="229"/>
      <c r="G815" s="229"/>
      <c r="H815" s="229"/>
      <c r="I815" s="72"/>
      <c r="J815" s="185"/>
      <c r="K815" s="205"/>
      <c r="L815" s="7"/>
    </row>
    <row r="816" spans="1:12">
      <c r="A816" s="93"/>
      <c r="B816" s="7"/>
      <c r="C816" s="175"/>
      <c r="D816" s="175"/>
      <c r="E816" s="175"/>
      <c r="F816" s="229"/>
      <c r="G816" s="229"/>
      <c r="H816" s="229"/>
      <c r="I816" s="72"/>
      <c r="J816" s="185"/>
      <c r="K816" s="205"/>
      <c r="L816" s="7"/>
    </row>
    <row r="817" spans="1:12">
      <c r="A817" s="93"/>
      <c r="B817" s="7"/>
      <c r="C817" s="175"/>
      <c r="D817" s="175"/>
      <c r="E817" s="175"/>
      <c r="F817" s="229"/>
      <c r="G817" s="229"/>
      <c r="H817" s="229"/>
      <c r="I817" s="72"/>
      <c r="J817" s="185"/>
      <c r="K817" s="205"/>
      <c r="L817" s="7"/>
    </row>
    <row r="818" spans="1:12">
      <c r="A818" s="93"/>
      <c r="B818" s="7"/>
      <c r="C818" s="175"/>
      <c r="D818" s="175"/>
      <c r="E818" s="175"/>
      <c r="F818" s="229"/>
      <c r="G818" s="229"/>
      <c r="H818" s="229"/>
      <c r="I818" s="72"/>
      <c r="J818" s="185"/>
      <c r="K818" s="205"/>
      <c r="L818" s="7"/>
    </row>
    <row r="819" spans="1:12">
      <c r="A819" s="93"/>
      <c r="B819" s="7"/>
      <c r="C819" s="175"/>
      <c r="D819" s="175"/>
      <c r="E819" s="175"/>
      <c r="F819" s="232"/>
      <c r="G819" s="232"/>
      <c r="H819" s="232"/>
      <c r="I819" s="63"/>
      <c r="J819" s="190"/>
      <c r="K819" s="206"/>
      <c r="L819" s="7"/>
    </row>
    <row r="820" spans="1:12">
      <c r="A820" s="93"/>
      <c r="B820" s="7"/>
      <c r="C820" s="175"/>
      <c r="D820" s="175"/>
      <c r="E820" s="175"/>
      <c r="F820" s="229"/>
      <c r="G820" s="229"/>
      <c r="H820" s="229"/>
      <c r="I820" s="72"/>
      <c r="J820" s="185"/>
      <c r="K820" s="205"/>
      <c r="L820" s="7"/>
    </row>
    <row r="821" spans="1:12">
      <c r="A821" s="93"/>
      <c r="B821" s="7"/>
      <c r="C821" s="175"/>
      <c r="D821" s="175"/>
      <c r="E821" s="175"/>
      <c r="F821" s="229"/>
      <c r="G821" s="229"/>
      <c r="H821" s="229"/>
      <c r="I821" s="72"/>
      <c r="J821" s="185"/>
      <c r="K821" s="205"/>
      <c r="L821" s="7"/>
    </row>
    <row r="822" spans="1:12">
      <c r="A822" s="93"/>
      <c r="B822" s="7"/>
      <c r="C822" s="175"/>
      <c r="D822" s="175"/>
      <c r="E822" s="175"/>
      <c r="F822" s="229"/>
      <c r="G822" s="229"/>
      <c r="H822" s="229"/>
      <c r="I822" s="72"/>
      <c r="J822" s="185"/>
      <c r="K822" s="205"/>
      <c r="L822" s="7"/>
    </row>
    <row r="823" spans="1:12">
      <c r="A823" s="93"/>
      <c r="B823" s="7"/>
      <c r="C823" s="175"/>
      <c r="D823" s="175"/>
      <c r="E823" s="175"/>
      <c r="F823" s="232"/>
      <c r="G823" s="232"/>
      <c r="H823" s="232"/>
      <c r="I823" s="63"/>
      <c r="J823" s="190"/>
      <c r="K823" s="206"/>
      <c r="L823" s="7"/>
    </row>
    <row r="824" spans="1:12">
      <c r="A824" s="93"/>
      <c r="B824" s="7"/>
      <c r="C824" s="175"/>
      <c r="D824" s="175"/>
      <c r="E824" s="175"/>
      <c r="F824" s="232"/>
      <c r="G824" s="232"/>
      <c r="H824" s="232"/>
      <c r="I824" s="63"/>
      <c r="J824" s="190"/>
      <c r="K824" s="206"/>
      <c r="L824" s="7"/>
    </row>
    <row r="825" spans="1:12">
      <c r="A825" s="93"/>
      <c r="B825" s="7"/>
      <c r="C825" s="175"/>
      <c r="D825" s="175"/>
      <c r="E825" s="175"/>
      <c r="F825" s="232"/>
      <c r="G825" s="232"/>
      <c r="H825" s="232"/>
      <c r="I825" s="63"/>
      <c r="J825" s="190"/>
      <c r="K825" s="206"/>
      <c r="L825" s="7"/>
    </row>
    <row r="826" spans="1:12">
      <c r="A826" s="93"/>
      <c r="B826" s="7"/>
      <c r="C826" s="175"/>
      <c r="D826" s="175"/>
      <c r="E826" s="175"/>
      <c r="F826" s="232"/>
      <c r="G826" s="232"/>
      <c r="H826" s="232"/>
      <c r="I826" s="63"/>
      <c r="J826" s="190"/>
      <c r="K826" s="206"/>
      <c r="L826" s="7"/>
    </row>
    <row r="827" spans="1:12">
      <c r="A827" s="93"/>
      <c r="B827" s="7"/>
      <c r="C827" s="175"/>
      <c r="D827" s="175"/>
      <c r="E827" s="175"/>
      <c r="F827" s="232"/>
      <c r="G827" s="232"/>
      <c r="H827" s="232"/>
      <c r="I827" s="63"/>
      <c r="J827" s="190"/>
      <c r="K827" s="206"/>
      <c r="L827" s="7"/>
    </row>
    <row r="828" spans="1:12">
      <c r="A828" s="93"/>
      <c r="B828" s="7"/>
      <c r="C828" s="175"/>
      <c r="D828" s="175"/>
      <c r="E828" s="175"/>
      <c r="F828" s="229"/>
      <c r="G828" s="229"/>
      <c r="H828" s="229"/>
      <c r="I828" s="72"/>
      <c r="J828" s="185"/>
      <c r="K828" s="205"/>
      <c r="L828" s="7"/>
    </row>
    <row r="829" spans="1:12">
      <c r="A829" s="93"/>
      <c r="B829" s="7"/>
      <c r="C829" s="175"/>
      <c r="D829" s="175"/>
      <c r="E829" s="175"/>
      <c r="F829" s="232"/>
      <c r="G829" s="232"/>
      <c r="H829" s="232"/>
      <c r="I829" s="63"/>
      <c r="J829" s="190"/>
      <c r="K829" s="206"/>
      <c r="L829" s="7"/>
    </row>
    <row r="830" spans="1:12">
      <c r="A830" s="93"/>
      <c r="B830" s="7"/>
      <c r="C830" s="175"/>
      <c r="D830" s="175"/>
      <c r="E830" s="175"/>
      <c r="F830" s="229"/>
      <c r="G830" s="229"/>
      <c r="H830" s="229"/>
      <c r="I830" s="72"/>
      <c r="J830" s="185"/>
      <c r="K830" s="205"/>
      <c r="L830" s="7"/>
    </row>
    <row r="831" spans="1:12">
      <c r="A831" s="93"/>
      <c r="B831" s="7"/>
      <c r="C831" s="175"/>
      <c r="D831" s="175"/>
      <c r="E831" s="175"/>
      <c r="F831" s="232"/>
      <c r="G831" s="232"/>
      <c r="H831" s="232"/>
      <c r="I831" s="63"/>
      <c r="J831" s="190"/>
      <c r="K831" s="206"/>
      <c r="L831" s="7"/>
    </row>
    <row r="832" spans="1:12">
      <c r="A832" s="93"/>
      <c r="B832" s="7"/>
      <c r="C832" s="175"/>
      <c r="D832" s="175"/>
      <c r="E832" s="175"/>
      <c r="F832" s="232"/>
      <c r="G832" s="232"/>
      <c r="H832" s="232"/>
      <c r="I832" s="63"/>
      <c r="J832" s="190"/>
      <c r="K832" s="206"/>
      <c r="L832" s="7"/>
    </row>
    <row r="833" spans="1:12">
      <c r="A833" s="93"/>
      <c r="B833" s="7"/>
      <c r="C833" s="175"/>
      <c r="D833" s="175"/>
      <c r="E833" s="175"/>
      <c r="F833" s="229"/>
      <c r="G833" s="229"/>
      <c r="H833" s="229"/>
      <c r="I833" s="72"/>
      <c r="J833" s="185"/>
      <c r="K833" s="205"/>
      <c r="L833" s="7"/>
    </row>
    <row r="834" spans="1:12">
      <c r="A834" s="93"/>
      <c r="B834" s="7"/>
      <c r="C834" s="175"/>
      <c r="D834" s="175"/>
      <c r="E834" s="175"/>
      <c r="F834" s="229"/>
      <c r="G834" s="229"/>
      <c r="H834" s="229"/>
      <c r="I834" s="72"/>
      <c r="J834" s="185"/>
      <c r="K834" s="205"/>
      <c r="L834" s="7"/>
    </row>
    <row r="835" spans="1:12">
      <c r="A835" s="93"/>
      <c r="B835" s="7"/>
      <c r="C835" s="175"/>
      <c r="D835" s="175"/>
      <c r="E835" s="175"/>
      <c r="F835" s="229"/>
      <c r="G835" s="229"/>
      <c r="H835" s="229"/>
      <c r="I835" s="72"/>
      <c r="J835" s="185"/>
      <c r="K835" s="205"/>
      <c r="L835" s="7"/>
    </row>
    <row r="836" spans="1:12">
      <c r="A836" s="93"/>
      <c r="B836" s="7"/>
      <c r="C836" s="175"/>
      <c r="D836" s="175"/>
      <c r="E836" s="175"/>
      <c r="F836" s="229"/>
      <c r="G836" s="229"/>
      <c r="H836" s="229"/>
      <c r="I836" s="72"/>
      <c r="J836" s="185"/>
      <c r="K836" s="205"/>
      <c r="L836" s="7"/>
    </row>
    <row r="837" spans="1:12">
      <c r="A837" s="93"/>
      <c r="B837" s="7"/>
      <c r="C837" s="175"/>
      <c r="D837" s="175"/>
      <c r="E837" s="175"/>
      <c r="F837" s="229"/>
      <c r="G837" s="229"/>
      <c r="H837" s="229"/>
      <c r="I837" s="72"/>
      <c r="J837" s="185"/>
      <c r="K837" s="205"/>
      <c r="L837" s="7"/>
    </row>
    <row r="838" spans="1:12">
      <c r="A838" s="93"/>
      <c r="B838" s="7"/>
      <c r="C838" s="175"/>
      <c r="D838" s="175"/>
      <c r="E838" s="175"/>
      <c r="F838" s="229"/>
      <c r="G838" s="229"/>
      <c r="H838" s="229"/>
      <c r="I838" s="72"/>
      <c r="J838" s="185"/>
      <c r="K838" s="205"/>
      <c r="L838" s="7"/>
    </row>
    <row r="839" spans="1:12">
      <c r="A839" s="93"/>
      <c r="B839" s="7"/>
      <c r="C839" s="175"/>
      <c r="D839" s="175"/>
      <c r="E839" s="175"/>
      <c r="F839" s="229"/>
      <c r="G839" s="229"/>
      <c r="H839" s="229"/>
      <c r="I839" s="72"/>
      <c r="J839" s="185"/>
      <c r="K839" s="205"/>
      <c r="L839" s="7"/>
    </row>
    <row r="840" spans="1:12">
      <c r="A840" s="93"/>
      <c r="B840" s="7"/>
      <c r="C840" s="175"/>
      <c r="D840" s="175"/>
      <c r="E840" s="175"/>
      <c r="F840" s="229"/>
      <c r="G840" s="229"/>
      <c r="H840" s="229"/>
      <c r="I840" s="72"/>
      <c r="J840" s="185"/>
      <c r="K840" s="205"/>
      <c r="L840" s="7"/>
    </row>
    <row r="841" spans="1:12">
      <c r="A841" s="93"/>
      <c r="B841" s="7"/>
      <c r="C841" s="175"/>
      <c r="D841" s="175"/>
      <c r="E841" s="175"/>
      <c r="F841" s="229"/>
      <c r="G841" s="229"/>
      <c r="H841" s="229"/>
      <c r="I841" s="72"/>
      <c r="J841" s="185"/>
      <c r="K841" s="205"/>
      <c r="L841" s="14"/>
    </row>
    <row r="842" spans="1:12">
      <c r="A842" s="93"/>
      <c r="B842" s="7"/>
      <c r="C842" s="175"/>
      <c r="D842" s="175"/>
      <c r="E842" s="175"/>
      <c r="F842" s="229"/>
      <c r="G842" s="229"/>
      <c r="H842" s="229"/>
      <c r="I842" s="72"/>
      <c r="J842" s="185"/>
      <c r="K842" s="205"/>
      <c r="L842" s="7"/>
    </row>
    <row r="843" spans="1:12">
      <c r="A843" s="93"/>
      <c r="B843" s="7"/>
      <c r="C843" s="175"/>
      <c r="D843" s="175"/>
      <c r="E843" s="175"/>
      <c r="F843" s="229"/>
      <c r="G843" s="229"/>
      <c r="H843" s="229"/>
      <c r="I843" s="72"/>
      <c r="J843" s="185"/>
      <c r="K843" s="205"/>
      <c r="L843" s="14"/>
    </row>
    <row r="844" spans="1:12">
      <c r="A844" s="93"/>
      <c r="B844" s="7"/>
      <c r="C844" s="175"/>
      <c r="D844" s="175"/>
      <c r="E844" s="175"/>
      <c r="F844" s="229"/>
      <c r="G844" s="229"/>
      <c r="H844" s="229"/>
      <c r="I844" s="72"/>
      <c r="J844" s="185"/>
      <c r="K844" s="205"/>
      <c r="L844" s="7"/>
    </row>
    <row r="845" spans="1:12">
      <c r="A845" s="93"/>
      <c r="B845" s="7"/>
      <c r="C845" s="175"/>
      <c r="D845" s="175"/>
      <c r="E845" s="175"/>
      <c r="F845" s="229"/>
      <c r="G845" s="229"/>
      <c r="H845" s="229"/>
      <c r="I845" s="72"/>
      <c r="J845" s="185"/>
      <c r="K845" s="205"/>
      <c r="L845" s="7"/>
    </row>
    <row r="846" spans="1:12">
      <c r="A846" s="93"/>
      <c r="B846" s="7"/>
      <c r="C846" s="175"/>
      <c r="D846" s="175"/>
      <c r="E846" s="175"/>
      <c r="F846" s="229"/>
      <c r="G846" s="229"/>
      <c r="H846" s="229"/>
      <c r="I846" s="72"/>
      <c r="J846" s="185"/>
      <c r="K846" s="205"/>
      <c r="L846" s="7"/>
    </row>
    <row r="847" spans="1:12">
      <c r="A847" s="93"/>
      <c r="B847" s="7"/>
      <c r="C847" s="175"/>
      <c r="D847" s="175"/>
      <c r="E847" s="175"/>
      <c r="F847" s="229"/>
      <c r="G847" s="229"/>
      <c r="H847" s="229"/>
      <c r="I847" s="72"/>
      <c r="J847" s="185"/>
      <c r="K847" s="205"/>
      <c r="L847" s="7"/>
    </row>
    <row r="848" spans="1:12">
      <c r="A848" s="93"/>
      <c r="B848" s="7"/>
      <c r="C848" s="175"/>
      <c r="D848" s="175"/>
      <c r="E848" s="175"/>
      <c r="F848" s="229"/>
      <c r="G848" s="229"/>
      <c r="H848" s="229"/>
      <c r="I848" s="72"/>
      <c r="J848" s="185"/>
      <c r="K848" s="205"/>
      <c r="L848" s="7"/>
    </row>
    <row r="849" spans="1:12">
      <c r="A849" s="93"/>
      <c r="B849" s="7"/>
      <c r="C849" s="175"/>
      <c r="D849" s="175"/>
      <c r="E849" s="175"/>
      <c r="F849" s="229"/>
      <c r="G849" s="229"/>
      <c r="H849" s="229"/>
      <c r="I849" s="72"/>
      <c r="J849" s="185"/>
      <c r="K849" s="205"/>
      <c r="L849" s="7"/>
    </row>
    <row r="850" spans="1:12">
      <c r="A850" s="93"/>
      <c r="B850" s="7"/>
      <c r="C850" s="175"/>
      <c r="D850" s="175"/>
      <c r="E850" s="175"/>
      <c r="F850" s="229"/>
      <c r="G850" s="229"/>
      <c r="H850" s="229"/>
      <c r="I850" s="72"/>
      <c r="J850" s="185"/>
      <c r="K850" s="205"/>
      <c r="L850" s="7"/>
    </row>
    <row r="851" spans="1:12">
      <c r="A851" s="93"/>
      <c r="B851" s="7"/>
      <c r="C851" s="175"/>
      <c r="D851" s="175"/>
      <c r="E851" s="175"/>
      <c r="F851" s="229"/>
      <c r="G851" s="229"/>
      <c r="H851" s="229"/>
      <c r="I851" s="72"/>
      <c r="J851" s="185"/>
      <c r="K851" s="205"/>
      <c r="L851" s="7"/>
    </row>
    <row r="852" spans="1:12">
      <c r="A852" s="93"/>
      <c r="B852" s="7"/>
      <c r="C852" s="175"/>
      <c r="D852" s="175"/>
      <c r="E852" s="175"/>
      <c r="F852" s="229"/>
      <c r="G852" s="229"/>
      <c r="H852" s="229"/>
      <c r="I852" s="72"/>
      <c r="J852" s="185"/>
      <c r="K852" s="205"/>
      <c r="L852" s="14"/>
    </row>
    <row r="853" spans="1:12">
      <c r="A853" s="93"/>
      <c r="B853" s="7"/>
      <c r="C853" s="175"/>
      <c r="D853" s="175"/>
      <c r="E853" s="175"/>
      <c r="F853" s="229"/>
      <c r="G853" s="229"/>
      <c r="H853" s="229"/>
      <c r="I853" s="72"/>
      <c r="J853" s="185"/>
      <c r="K853" s="205"/>
      <c r="L853" s="7"/>
    </row>
    <row r="854" spans="1:12">
      <c r="A854" s="19"/>
      <c r="B854" s="7"/>
      <c r="C854" s="175"/>
      <c r="D854" s="175"/>
      <c r="E854" s="175"/>
      <c r="F854" s="229"/>
      <c r="G854" s="229"/>
      <c r="H854" s="229"/>
      <c r="I854" s="72"/>
      <c r="J854" s="185"/>
      <c r="K854" s="205"/>
      <c r="L854" s="7"/>
    </row>
    <row r="855" spans="1:12">
      <c r="A855" s="19"/>
      <c r="B855" s="7"/>
      <c r="C855" s="175"/>
      <c r="D855" s="175"/>
      <c r="E855" s="175"/>
      <c r="F855" s="229"/>
      <c r="G855" s="229"/>
      <c r="H855" s="229"/>
      <c r="I855" s="72"/>
      <c r="J855" s="185"/>
      <c r="K855" s="205"/>
      <c r="L855" s="7"/>
    </row>
    <row r="856" spans="1:12">
      <c r="A856" s="19"/>
      <c r="B856" s="7"/>
      <c r="C856" s="175"/>
      <c r="D856" s="175"/>
      <c r="E856" s="175"/>
      <c r="F856" s="229"/>
      <c r="G856" s="229"/>
      <c r="H856" s="229"/>
      <c r="I856" s="72"/>
      <c r="J856" s="185"/>
      <c r="K856" s="205"/>
      <c r="L856" s="7"/>
    </row>
    <row r="857" spans="1:12">
      <c r="A857" s="19"/>
      <c r="B857" s="7"/>
      <c r="C857" s="175"/>
      <c r="D857" s="175"/>
      <c r="E857" s="175"/>
      <c r="F857" s="229"/>
      <c r="G857" s="229"/>
      <c r="H857" s="229"/>
      <c r="I857" s="72"/>
      <c r="J857" s="185"/>
      <c r="K857" s="205"/>
      <c r="L857" s="7"/>
    </row>
    <row r="858" spans="1:12">
      <c r="A858" s="19"/>
      <c r="B858" s="7"/>
      <c r="C858" s="175"/>
      <c r="D858" s="175"/>
      <c r="E858" s="175"/>
      <c r="F858" s="229"/>
      <c r="G858" s="229"/>
      <c r="H858" s="229"/>
      <c r="I858" s="72"/>
      <c r="J858" s="185"/>
      <c r="K858" s="205"/>
      <c r="L858" s="7"/>
    </row>
    <row r="859" spans="1:12">
      <c r="A859" s="19"/>
      <c r="B859" s="7"/>
      <c r="C859" s="175"/>
      <c r="D859" s="175"/>
      <c r="E859" s="175"/>
      <c r="F859" s="229"/>
      <c r="G859" s="229"/>
      <c r="H859" s="229"/>
      <c r="I859" s="72"/>
      <c r="J859" s="185"/>
      <c r="K859" s="205"/>
      <c r="L859" s="7"/>
    </row>
    <row r="860" spans="1:12">
      <c r="A860" s="20"/>
      <c r="B860" s="24"/>
      <c r="C860" s="175"/>
      <c r="D860" s="175"/>
      <c r="E860" s="175"/>
      <c r="F860" s="232"/>
      <c r="G860" s="232"/>
      <c r="H860" s="232"/>
      <c r="I860" s="62"/>
      <c r="J860" s="190"/>
      <c r="K860" s="206"/>
      <c r="L860" s="7"/>
    </row>
    <row r="861" spans="1:12">
      <c r="A861" s="20"/>
      <c r="B861" s="21"/>
      <c r="C861" s="175"/>
      <c r="D861" s="175"/>
      <c r="E861" s="175"/>
      <c r="F861" s="232"/>
      <c r="G861" s="232"/>
      <c r="H861" s="232"/>
      <c r="I861" s="62"/>
      <c r="J861" s="190"/>
      <c r="K861" s="206"/>
      <c r="L861" s="7"/>
    </row>
    <row r="862" spans="1:12">
      <c r="A862" s="19"/>
      <c r="B862" s="7"/>
      <c r="C862" s="175"/>
      <c r="D862" s="175"/>
      <c r="E862" s="175"/>
      <c r="F862" s="229"/>
      <c r="G862" s="229"/>
      <c r="H862" s="229"/>
      <c r="I862" s="72"/>
      <c r="J862" s="185"/>
      <c r="K862" s="205"/>
      <c r="L862" s="7"/>
    </row>
    <row r="863" spans="1:12">
      <c r="A863" s="19"/>
      <c r="B863" s="7"/>
      <c r="C863" s="175"/>
      <c r="D863" s="175"/>
      <c r="E863" s="175"/>
      <c r="F863" s="229"/>
      <c r="G863" s="229"/>
      <c r="H863" s="229"/>
      <c r="I863" s="72"/>
      <c r="J863" s="185"/>
      <c r="K863" s="205"/>
      <c r="L863" s="7"/>
    </row>
    <row r="864" spans="1:12">
      <c r="A864" s="19"/>
      <c r="B864" s="7"/>
      <c r="C864" s="175"/>
      <c r="D864" s="175"/>
      <c r="E864" s="175"/>
      <c r="F864" s="229"/>
      <c r="G864" s="229"/>
      <c r="H864" s="229"/>
      <c r="I864" s="72"/>
      <c r="J864" s="185"/>
      <c r="K864" s="205"/>
      <c r="L864" s="7"/>
    </row>
    <row r="865" spans="1:12">
      <c r="A865" s="19"/>
      <c r="B865" s="7"/>
      <c r="C865" s="175"/>
      <c r="D865" s="175"/>
      <c r="E865" s="175"/>
      <c r="F865" s="229"/>
      <c r="G865" s="229"/>
      <c r="H865" s="229"/>
      <c r="I865" s="72"/>
      <c r="J865" s="185"/>
      <c r="K865" s="205"/>
      <c r="L865" s="7"/>
    </row>
    <row r="866" spans="1:12">
      <c r="A866" s="19"/>
      <c r="B866" s="7"/>
      <c r="C866" s="175"/>
      <c r="D866" s="175"/>
      <c r="E866" s="175"/>
      <c r="F866" s="229"/>
      <c r="G866" s="229"/>
      <c r="H866" s="229"/>
      <c r="I866" s="72"/>
      <c r="J866" s="185"/>
      <c r="K866" s="205"/>
      <c r="L866" s="7"/>
    </row>
    <row r="867" spans="1:12">
      <c r="A867" s="19"/>
      <c r="B867" s="7"/>
      <c r="C867" s="175"/>
      <c r="D867" s="175"/>
      <c r="E867" s="175"/>
      <c r="F867" s="229"/>
      <c r="G867" s="229"/>
      <c r="H867" s="229"/>
      <c r="I867" s="72"/>
      <c r="J867" s="185"/>
      <c r="K867" s="205"/>
      <c r="L867" s="7"/>
    </row>
    <row r="868" spans="1:12">
      <c r="A868" s="19"/>
      <c r="B868" s="7"/>
      <c r="C868" s="175"/>
      <c r="D868" s="175"/>
      <c r="E868" s="175"/>
      <c r="F868" s="229"/>
      <c r="G868" s="229"/>
      <c r="H868" s="229"/>
      <c r="I868" s="72"/>
      <c r="J868" s="185"/>
      <c r="K868" s="205"/>
      <c r="L868" s="7"/>
    </row>
    <row r="869" spans="1:12">
      <c r="A869" s="20"/>
      <c r="B869" s="24"/>
      <c r="C869" s="175"/>
      <c r="D869" s="175"/>
      <c r="E869" s="175"/>
      <c r="F869" s="232"/>
      <c r="G869" s="232"/>
      <c r="H869" s="232"/>
      <c r="I869" s="62"/>
      <c r="J869" s="190"/>
      <c r="K869" s="206"/>
      <c r="L869" s="7"/>
    </row>
    <row r="870" spans="1:12">
      <c r="A870" s="20"/>
      <c r="B870" s="21"/>
      <c r="C870" s="175"/>
      <c r="D870" s="175"/>
      <c r="E870" s="175"/>
      <c r="F870" s="232"/>
      <c r="G870" s="232"/>
      <c r="H870" s="232"/>
      <c r="I870" s="63"/>
      <c r="J870" s="190"/>
      <c r="K870" s="206"/>
      <c r="L870" s="7"/>
    </row>
    <row r="871" spans="1:12">
      <c r="A871" s="20"/>
      <c r="B871" s="24"/>
      <c r="C871" s="175"/>
      <c r="D871" s="175"/>
      <c r="E871" s="175"/>
      <c r="F871" s="232"/>
      <c r="G871" s="232"/>
      <c r="H871" s="232"/>
      <c r="I871" s="62"/>
      <c r="J871" s="190"/>
      <c r="K871" s="206"/>
      <c r="L871" s="7"/>
    </row>
    <row r="872" spans="1:12">
      <c r="A872" s="20"/>
      <c r="B872" s="24"/>
      <c r="C872" s="175"/>
      <c r="D872" s="175"/>
      <c r="E872" s="175"/>
      <c r="F872" s="232"/>
      <c r="G872" s="232"/>
      <c r="H872" s="232"/>
      <c r="I872" s="62"/>
      <c r="J872" s="190"/>
      <c r="K872" s="206"/>
      <c r="L872" s="7"/>
    </row>
    <row r="873" spans="1:12">
      <c r="A873" s="19"/>
      <c r="B873" s="7"/>
      <c r="C873" s="175"/>
      <c r="D873" s="175"/>
      <c r="E873" s="175"/>
      <c r="F873" s="229"/>
      <c r="G873" s="229"/>
      <c r="H873" s="229"/>
      <c r="I873" s="72"/>
      <c r="J873" s="185"/>
      <c r="K873" s="205"/>
      <c r="L873" s="7"/>
    </row>
    <row r="874" spans="1:12">
      <c r="A874" s="19"/>
      <c r="B874" s="7"/>
      <c r="C874" s="175"/>
      <c r="D874" s="175"/>
      <c r="E874" s="175"/>
      <c r="F874" s="229"/>
      <c r="G874" s="229"/>
      <c r="H874" s="229"/>
      <c r="I874" s="72"/>
      <c r="J874" s="185"/>
      <c r="K874" s="205"/>
      <c r="L874" s="7"/>
    </row>
    <row r="875" spans="1:12">
      <c r="A875" s="19"/>
      <c r="B875" s="7"/>
      <c r="C875" s="175"/>
      <c r="D875" s="175"/>
      <c r="E875" s="175"/>
      <c r="F875" s="229"/>
      <c r="G875" s="229"/>
      <c r="H875" s="229"/>
      <c r="I875" s="72"/>
      <c r="J875" s="185"/>
      <c r="K875" s="205"/>
      <c r="L875" s="7"/>
    </row>
    <row r="876" spans="1:12">
      <c r="A876" s="19"/>
      <c r="B876" s="7"/>
      <c r="C876" s="175"/>
      <c r="D876" s="175"/>
      <c r="E876" s="175"/>
      <c r="F876" s="229"/>
      <c r="G876" s="229"/>
      <c r="H876" s="229"/>
      <c r="I876" s="72"/>
      <c r="J876" s="185"/>
      <c r="K876" s="205"/>
      <c r="L876" s="7"/>
    </row>
    <row r="877" spans="1:12">
      <c r="A877" s="19"/>
      <c r="B877" s="7"/>
      <c r="C877" s="175"/>
      <c r="D877" s="175"/>
      <c r="E877" s="175"/>
      <c r="F877" s="229"/>
      <c r="G877" s="229"/>
      <c r="H877" s="229"/>
      <c r="I877" s="72"/>
      <c r="J877" s="185"/>
      <c r="K877" s="205"/>
      <c r="L877" s="7"/>
    </row>
    <row r="878" spans="1:12">
      <c r="A878" s="19"/>
      <c r="B878" s="7"/>
      <c r="C878" s="175"/>
      <c r="D878" s="175"/>
      <c r="E878" s="175"/>
      <c r="F878" s="229"/>
      <c r="G878" s="229"/>
      <c r="H878" s="229"/>
      <c r="I878" s="72"/>
      <c r="J878" s="185"/>
      <c r="K878" s="205"/>
      <c r="L878" s="7"/>
    </row>
    <row r="879" spans="1:12">
      <c r="A879" s="20"/>
      <c r="B879" s="21"/>
      <c r="C879" s="175"/>
      <c r="D879" s="175"/>
      <c r="E879" s="175"/>
      <c r="F879" s="232"/>
      <c r="G879" s="232"/>
      <c r="H879" s="232"/>
      <c r="I879" s="63"/>
      <c r="J879" s="190"/>
      <c r="K879" s="206"/>
      <c r="L879" s="7"/>
    </row>
    <row r="880" spans="1:12">
      <c r="A880" s="20"/>
      <c r="B880" s="21"/>
      <c r="C880" s="175"/>
      <c r="D880" s="175"/>
      <c r="E880" s="175"/>
      <c r="F880" s="232"/>
      <c r="G880" s="232"/>
      <c r="H880" s="232"/>
      <c r="I880" s="63"/>
      <c r="J880" s="190"/>
      <c r="K880" s="206"/>
      <c r="L880" s="7"/>
    </row>
    <row r="881" spans="1:12">
      <c r="A881" s="20"/>
      <c r="B881" s="21"/>
      <c r="C881" s="175"/>
      <c r="D881" s="175"/>
      <c r="E881" s="175"/>
      <c r="F881" s="232"/>
      <c r="G881" s="232"/>
      <c r="H881" s="232"/>
      <c r="I881" s="63"/>
      <c r="J881" s="190"/>
      <c r="K881" s="206"/>
      <c r="L881" s="7"/>
    </row>
    <row r="882" spans="1:12">
      <c r="A882" s="20"/>
      <c r="B882" s="21"/>
      <c r="C882" s="175"/>
      <c r="D882" s="175"/>
      <c r="E882" s="175"/>
      <c r="F882" s="232"/>
      <c r="G882" s="232"/>
      <c r="H882" s="232"/>
      <c r="I882" s="63"/>
      <c r="J882" s="190"/>
      <c r="K882" s="206"/>
      <c r="L882" s="7"/>
    </row>
    <row r="883" spans="1:12">
      <c r="A883" s="20"/>
      <c r="B883" s="21"/>
      <c r="C883" s="175"/>
      <c r="D883" s="175"/>
      <c r="E883" s="175"/>
      <c r="F883" s="232"/>
      <c r="G883" s="232"/>
      <c r="H883" s="232"/>
      <c r="I883" s="63"/>
      <c r="J883" s="190"/>
      <c r="K883" s="206"/>
      <c r="L883" s="7"/>
    </row>
    <row r="884" spans="1:12">
      <c r="A884" s="19"/>
      <c r="B884" s="7"/>
      <c r="C884" s="175"/>
      <c r="D884" s="175"/>
      <c r="E884" s="175"/>
      <c r="F884" s="229"/>
      <c r="G884" s="229"/>
      <c r="H884" s="229"/>
      <c r="I884" s="72"/>
      <c r="J884" s="185"/>
      <c r="K884" s="205"/>
      <c r="L884" s="7"/>
    </row>
    <row r="885" spans="1:12">
      <c r="A885" s="20"/>
      <c r="B885" s="21"/>
      <c r="C885" s="175"/>
      <c r="D885" s="175"/>
      <c r="E885" s="175"/>
      <c r="F885" s="232"/>
      <c r="G885" s="232"/>
      <c r="H885" s="232"/>
      <c r="I885" s="63"/>
      <c r="J885" s="190"/>
      <c r="K885" s="206"/>
      <c r="L885" s="7"/>
    </row>
    <row r="886" spans="1:12">
      <c r="A886" s="20"/>
      <c r="B886" s="21"/>
      <c r="C886" s="175"/>
      <c r="D886" s="175"/>
      <c r="E886" s="175"/>
      <c r="F886" s="232"/>
      <c r="G886" s="232"/>
      <c r="H886" s="232"/>
      <c r="I886" s="63"/>
      <c r="J886" s="190"/>
      <c r="K886" s="206"/>
      <c r="L886" s="7"/>
    </row>
    <row r="887" spans="1:12">
      <c r="A887" s="20"/>
      <c r="B887" s="21"/>
      <c r="C887" s="175"/>
      <c r="D887" s="175"/>
      <c r="E887" s="175"/>
      <c r="F887" s="232"/>
      <c r="G887" s="232"/>
      <c r="H887" s="232"/>
      <c r="I887" s="63"/>
      <c r="J887" s="190"/>
      <c r="K887" s="206"/>
      <c r="L887" s="7"/>
    </row>
    <row r="888" spans="1:12">
      <c r="A888" s="19"/>
      <c r="B888" s="7"/>
      <c r="C888" s="175"/>
      <c r="D888" s="175"/>
      <c r="E888" s="175"/>
      <c r="F888" s="229"/>
      <c r="G888" s="229"/>
      <c r="H888" s="229"/>
      <c r="I888" s="72"/>
      <c r="J888" s="185"/>
      <c r="K888" s="205"/>
      <c r="L888" s="7"/>
    </row>
    <row r="889" spans="1:12">
      <c r="A889" s="19"/>
      <c r="B889" s="7"/>
      <c r="C889" s="175"/>
      <c r="D889" s="175"/>
      <c r="E889" s="175"/>
      <c r="F889" s="229"/>
      <c r="G889" s="229"/>
      <c r="H889" s="229"/>
      <c r="I889" s="72"/>
      <c r="J889" s="185"/>
      <c r="K889" s="205"/>
      <c r="L889" s="7"/>
    </row>
    <row r="890" spans="1:12">
      <c r="A890" s="19"/>
      <c r="B890" s="7"/>
      <c r="C890" s="175"/>
      <c r="D890" s="175"/>
      <c r="E890" s="175"/>
      <c r="F890" s="229"/>
      <c r="G890" s="229"/>
      <c r="H890" s="229"/>
      <c r="I890" s="72"/>
      <c r="J890" s="185"/>
      <c r="K890" s="205"/>
      <c r="L890" s="7"/>
    </row>
    <row r="891" spans="1:12">
      <c r="A891" s="19"/>
      <c r="B891" s="7"/>
      <c r="C891" s="175"/>
      <c r="D891" s="175"/>
      <c r="E891" s="175"/>
      <c r="F891" s="229"/>
      <c r="G891" s="229"/>
      <c r="H891" s="229"/>
      <c r="I891" s="72"/>
      <c r="J891" s="185"/>
      <c r="K891" s="205"/>
      <c r="L891" s="7"/>
    </row>
    <row r="892" spans="1:12">
      <c r="A892" s="19"/>
      <c r="B892" s="7"/>
      <c r="C892" s="175"/>
      <c r="D892" s="175"/>
      <c r="E892" s="175"/>
      <c r="F892" s="229"/>
      <c r="G892" s="229"/>
      <c r="H892" s="229"/>
      <c r="I892" s="72"/>
      <c r="J892" s="185"/>
      <c r="K892" s="205"/>
      <c r="L892" s="7"/>
    </row>
    <row r="893" spans="1:12">
      <c r="A893" s="19"/>
      <c r="B893" s="7"/>
      <c r="C893" s="175"/>
      <c r="D893" s="175"/>
      <c r="E893" s="175"/>
      <c r="F893" s="229"/>
      <c r="G893" s="229"/>
      <c r="H893" s="229"/>
      <c r="I893" s="72"/>
      <c r="J893" s="185"/>
      <c r="K893" s="205"/>
      <c r="L893" s="7"/>
    </row>
    <row r="894" spans="1:12">
      <c r="A894" s="19"/>
      <c r="B894" s="7"/>
      <c r="C894" s="175"/>
      <c r="D894" s="175"/>
      <c r="E894" s="175"/>
      <c r="F894" s="229"/>
      <c r="G894" s="229"/>
      <c r="H894" s="229"/>
      <c r="I894" s="72"/>
      <c r="J894" s="185"/>
      <c r="K894" s="205"/>
      <c r="L894" s="7"/>
    </row>
    <row r="895" spans="1:12">
      <c r="A895" s="19"/>
      <c r="B895" s="7"/>
      <c r="C895" s="175"/>
      <c r="D895" s="175"/>
      <c r="E895" s="175"/>
      <c r="F895" s="229"/>
      <c r="G895" s="229"/>
      <c r="H895" s="229"/>
      <c r="I895" s="72"/>
      <c r="J895" s="185"/>
      <c r="K895" s="205"/>
      <c r="L895" s="7"/>
    </row>
    <row r="896" spans="1:12">
      <c r="A896" s="19"/>
      <c r="B896" s="7"/>
      <c r="C896" s="175"/>
      <c r="D896" s="175"/>
      <c r="E896" s="175"/>
      <c r="F896" s="229"/>
      <c r="G896" s="229"/>
      <c r="H896" s="229"/>
      <c r="I896" s="72"/>
      <c r="J896" s="185"/>
      <c r="K896" s="205"/>
      <c r="L896" s="7"/>
    </row>
    <row r="897" spans="1:12">
      <c r="A897" s="19"/>
      <c r="B897" s="7"/>
      <c r="C897" s="175"/>
      <c r="D897" s="175"/>
      <c r="E897" s="175"/>
      <c r="F897" s="229"/>
      <c r="G897" s="229"/>
      <c r="H897" s="229"/>
      <c r="I897" s="72"/>
      <c r="J897" s="185"/>
      <c r="K897" s="205"/>
      <c r="L897" s="7"/>
    </row>
    <row r="898" spans="1:12">
      <c r="A898" s="19"/>
      <c r="B898" s="7"/>
      <c r="C898" s="175"/>
      <c r="D898" s="175"/>
      <c r="E898" s="175"/>
      <c r="F898" s="229"/>
      <c r="G898" s="229"/>
      <c r="H898" s="229"/>
      <c r="I898" s="72"/>
      <c r="J898" s="185"/>
      <c r="K898" s="205"/>
      <c r="L898" s="7"/>
    </row>
    <row r="899" spans="1:12">
      <c r="A899" s="19"/>
      <c r="B899" s="7"/>
      <c r="C899" s="175"/>
      <c r="D899" s="175"/>
      <c r="E899" s="175"/>
      <c r="F899" s="229"/>
      <c r="G899" s="229"/>
      <c r="H899" s="229"/>
      <c r="I899" s="72"/>
      <c r="J899" s="185"/>
      <c r="K899" s="205"/>
      <c r="L899" s="7"/>
    </row>
    <row r="900" spans="1:12">
      <c r="A900" s="19"/>
      <c r="B900" s="7"/>
      <c r="C900" s="175"/>
      <c r="D900" s="175"/>
      <c r="E900" s="175"/>
      <c r="F900" s="229"/>
      <c r="G900" s="229"/>
      <c r="H900" s="229"/>
      <c r="I900" s="72"/>
      <c r="J900" s="185"/>
      <c r="K900" s="205"/>
      <c r="L900" s="7"/>
    </row>
    <row r="901" spans="1:12">
      <c r="A901" s="19"/>
      <c r="B901" s="7"/>
      <c r="C901" s="175"/>
      <c r="D901" s="175"/>
      <c r="E901" s="175"/>
      <c r="F901" s="229"/>
      <c r="G901" s="229"/>
      <c r="H901" s="229"/>
      <c r="I901" s="72"/>
      <c r="J901" s="185"/>
      <c r="K901" s="205"/>
      <c r="L901" s="7"/>
    </row>
    <row r="902" spans="1:12">
      <c r="A902" s="19"/>
      <c r="B902" s="7"/>
      <c r="C902" s="175"/>
      <c r="D902" s="175"/>
      <c r="E902" s="175"/>
      <c r="F902" s="229"/>
      <c r="G902" s="229"/>
      <c r="H902" s="229"/>
      <c r="I902" s="72"/>
      <c r="J902" s="185"/>
      <c r="K902" s="205"/>
      <c r="L902" s="7"/>
    </row>
    <row r="903" spans="1:12">
      <c r="A903" s="19"/>
      <c r="B903" s="7"/>
      <c r="C903" s="175"/>
      <c r="D903" s="175"/>
      <c r="E903" s="175"/>
      <c r="F903" s="229"/>
      <c r="G903" s="229"/>
      <c r="H903" s="229"/>
      <c r="I903" s="72"/>
      <c r="J903" s="185"/>
      <c r="K903" s="205"/>
      <c r="L903" s="7"/>
    </row>
    <row r="904" spans="1:12">
      <c r="A904" s="19"/>
      <c r="B904" s="7"/>
      <c r="C904" s="175"/>
      <c r="D904" s="175"/>
      <c r="E904" s="175"/>
      <c r="F904" s="229"/>
      <c r="G904" s="229"/>
      <c r="H904" s="229"/>
      <c r="I904" s="72"/>
      <c r="J904" s="185"/>
      <c r="K904" s="205"/>
      <c r="L904" s="7"/>
    </row>
    <row r="905" spans="1:12">
      <c r="A905" s="19"/>
      <c r="B905" s="7"/>
      <c r="C905" s="175"/>
      <c r="D905" s="175"/>
      <c r="E905" s="175"/>
      <c r="F905" s="229"/>
      <c r="G905" s="229"/>
      <c r="H905" s="229"/>
      <c r="I905" s="72"/>
      <c r="J905" s="185"/>
      <c r="K905" s="205"/>
      <c r="L905" s="7"/>
    </row>
    <row r="906" spans="1:12">
      <c r="A906" s="19"/>
      <c r="B906" s="7"/>
      <c r="C906" s="175"/>
      <c r="D906" s="175"/>
      <c r="E906" s="175"/>
      <c r="F906" s="229"/>
      <c r="G906" s="229"/>
      <c r="H906" s="229"/>
      <c r="I906" s="72"/>
      <c r="J906" s="185"/>
      <c r="K906" s="205"/>
      <c r="L906" s="7"/>
    </row>
    <row r="907" spans="1:12">
      <c r="A907" s="19"/>
      <c r="B907" s="7"/>
      <c r="C907" s="175"/>
      <c r="D907" s="175"/>
      <c r="E907" s="175"/>
      <c r="F907" s="229"/>
      <c r="G907" s="229"/>
      <c r="H907" s="229"/>
      <c r="I907" s="72"/>
      <c r="J907" s="185"/>
      <c r="K907" s="205"/>
      <c r="L907" s="7"/>
    </row>
    <row r="908" spans="1:12">
      <c r="A908" s="19"/>
      <c r="B908" s="7"/>
      <c r="C908" s="175"/>
      <c r="D908" s="175"/>
      <c r="E908" s="175"/>
      <c r="F908" s="229"/>
      <c r="G908" s="229"/>
      <c r="H908" s="229"/>
      <c r="I908" s="72"/>
      <c r="J908" s="185"/>
      <c r="K908" s="205"/>
      <c r="L908" s="7"/>
    </row>
    <row r="909" spans="1:12">
      <c r="A909" s="19"/>
      <c r="B909" s="7"/>
      <c r="C909" s="175"/>
      <c r="D909" s="175"/>
      <c r="E909" s="175"/>
      <c r="F909" s="229"/>
      <c r="G909" s="229"/>
      <c r="H909" s="229"/>
      <c r="I909" s="72"/>
      <c r="J909" s="185"/>
      <c r="K909" s="205"/>
      <c r="L909" s="7"/>
    </row>
    <row r="910" spans="1:12">
      <c r="A910" s="19"/>
      <c r="B910" s="7"/>
      <c r="C910" s="175"/>
      <c r="D910" s="175"/>
      <c r="E910" s="175"/>
      <c r="F910" s="229"/>
      <c r="G910" s="229"/>
      <c r="H910" s="229"/>
      <c r="I910" s="72"/>
      <c r="J910" s="185"/>
      <c r="K910" s="205"/>
      <c r="L910" s="7"/>
    </row>
    <row r="911" spans="1:12">
      <c r="A911" s="19"/>
      <c r="B911" s="7"/>
      <c r="C911" s="175"/>
      <c r="D911" s="175"/>
      <c r="E911" s="175"/>
      <c r="F911" s="229"/>
      <c r="G911" s="229"/>
      <c r="H911" s="229"/>
      <c r="I911" s="72"/>
      <c r="J911" s="185"/>
      <c r="K911" s="205"/>
      <c r="L911" s="7"/>
    </row>
    <row r="912" spans="1:12">
      <c r="A912" s="19"/>
      <c r="B912" s="7"/>
      <c r="C912" s="175"/>
      <c r="D912" s="175"/>
      <c r="E912" s="175"/>
      <c r="F912" s="229"/>
      <c r="G912" s="229"/>
      <c r="H912" s="229"/>
      <c r="I912" s="72"/>
      <c r="J912" s="185"/>
      <c r="K912" s="205"/>
      <c r="L912" s="7"/>
    </row>
    <row r="913" spans="1:12">
      <c r="A913" s="19"/>
      <c r="B913" s="7"/>
      <c r="C913" s="175"/>
      <c r="D913" s="175"/>
      <c r="E913" s="175"/>
      <c r="F913" s="229"/>
      <c r="G913" s="229"/>
      <c r="H913" s="229"/>
      <c r="I913" s="72"/>
      <c r="J913" s="185"/>
      <c r="K913" s="205"/>
      <c r="L913" s="7"/>
    </row>
    <row r="914" spans="1:12">
      <c r="A914" s="19"/>
      <c r="B914" s="7"/>
      <c r="C914" s="175"/>
      <c r="D914" s="175"/>
      <c r="E914" s="175"/>
      <c r="F914" s="229"/>
      <c r="G914" s="229"/>
      <c r="H914" s="229"/>
      <c r="I914" s="72"/>
      <c r="J914" s="185"/>
      <c r="K914" s="205"/>
      <c r="L914" s="7"/>
    </row>
    <row r="915" spans="1:12">
      <c r="A915" s="19"/>
      <c r="B915" s="7"/>
      <c r="C915" s="175"/>
      <c r="D915" s="175"/>
      <c r="E915" s="175"/>
      <c r="F915" s="229"/>
      <c r="G915" s="229"/>
      <c r="H915" s="229"/>
      <c r="I915" s="72"/>
      <c r="J915" s="185"/>
      <c r="K915" s="205"/>
      <c r="L915" s="7"/>
    </row>
    <row r="916" spans="1:12">
      <c r="A916" s="19"/>
      <c r="B916" s="7"/>
      <c r="C916" s="175"/>
      <c r="D916" s="175"/>
      <c r="E916" s="175"/>
      <c r="F916" s="229"/>
      <c r="G916" s="229"/>
      <c r="H916" s="229"/>
      <c r="I916" s="72"/>
      <c r="J916" s="185"/>
      <c r="K916" s="205"/>
      <c r="L916" s="7"/>
    </row>
    <row r="917" spans="1:12">
      <c r="A917" s="19"/>
      <c r="B917" s="7"/>
      <c r="C917" s="175"/>
      <c r="D917" s="175"/>
      <c r="E917" s="175"/>
      <c r="F917" s="229"/>
      <c r="G917" s="229"/>
      <c r="H917" s="229"/>
      <c r="I917" s="72"/>
      <c r="J917" s="185"/>
      <c r="K917" s="205"/>
      <c r="L917" s="7"/>
    </row>
    <row r="918" spans="1:12">
      <c r="A918" s="19"/>
      <c r="B918" s="7"/>
      <c r="C918" s="175"/>
      <c r="D918" s="175"/>
      <c r="E918" s="175"/>
      <c r="F918" s="229"/>
      <c r="G918" s="229"/>
      <c r="H918" s="229"/>
      <c r="I918" s="72"/>
      <c r="J918" s="185"/>
      <c r="K918" s="205"/>
      <c r="L918" s="7"/>
    </row>
    <row r="919" spans="1:12">
      <c r="A919" s="19"/>
      <c r="B919" s="7"/>
      <c r="C919" s="175"/>
      <c r="D919" s="175"/>
      <c r="E919" s="175"/>
      <c r="F919" s="229"/>
      <c r="G919" s="229"/>
      <c r="H919" s="229"/>
      <c r="I919" s="72"/>
      <c r="J919" s="185"/>
      <c r="K919" s="205"/>
      <c r="L919" s="7"/>
    </row>
    <row r="920" spans="1:12">
      <c r="A920" s="19"/>
      <c r="B920" s="7"/>
      <c r="C920" s="175"/>
      <c r="D920" s="175"/>
      <c r="E920" s="175"/>
      <c r="F920" s="229"/>
      <c r="G920" s="229"/>
      <c r="H920" s="229"/>
      <c r="I920" s="72"/>
      <c r="J920" s="185"/>
      <c r="K920" s="205"/>
      <c r="L920" s="7"/>
    </row>
    <row r="921" spans="1:12">
      <c r="A921" s="19"/>
      <c r="B921" s="7"/>
      <c r="C921" s="175"/>
      <c r="D921" s="175"/>
      <c r="E921" s="175"/>
      <c r="F921" s="229"/>
      <c r="G921" s="229"/>
      <c r="H921" s="229"/>
      <c r="I921" s="72"/>
      <c r="J921" s="185"/>
      <c r="K921" s="205"/>
      <c r="L921" s="7"/>
    </row>
    <row r="922" spans="1:12">
      <c r="A922" s="20"/>
      <c r="B922" s="21"/>
      <c r="C922" s="175"/>
      <c r="D922" s="175"/>
      <c r="E922" s="175"/>
      <c r="F922" s="232"/>
      <c r="G922" s="232"/>
      <c r="H922" s="232"/>
      <c r="I922" s="63"/>
      <c r="J922" s="190"/>
      <c r="K922" s="206"/>
      <c r="L922" s="7"/>
    </row>
    <row r="923" spans="1:12">
      <c r="A923" s="20"/>
      <c r="B923" s="21"/>
      <c r="C923" s="175"/>
      <c r="D923" s="175"/>
      <c r="E923" s="175"/>
      <c r="F923" s="232"/>
      <c r="G923" s="232"/>
      <c r="H923" s="232"/>
      <c r="I923" s="63"/>
      <c r="J923" s="190"/>
      <c r="K923" s="206"/>
      <c r="L923" s="7"/>
    </row>
    <row r="924" spans="1:12">
      <c r="A924" s="19"/>
      <c r="B924" s="7"/>
      <c r="C924" s="175"/>
      <c r="D924" s="175"/>
      <c r="E924" s="175"/>
      <c r="F924" s="229"/>
      <c r="G924" s="229"/>
      <c r="H924" s="229"/>
      <c r="I924" s="72"/>
      <c r="J924" s="185"/>
      <c r="K924" s="205"/>
      <c r="L924" s="7"/>
    </row>
    <row r="925" spans="1:12">
      <c r="A925" s="19"/>
      <c r="B925" s="7"/>
      <c r="C925" s="175"/>
      <c r="D925" s="175"/>
      <c r="E925" s="175"/>
      <c r="F925" s="229"/>
      <c r="G925" s="229"/>
      <c r="H925" s="229"/>
      <c r="I925" s="72"/>
      <c r="J925" s="185"/>
      <c r="K925" s="205"/>
      <c r="L925" s="7"/>
    </row>
    <row r="926" spans="1:12">
      <c r="A926" s="19"/>
      <c r="B926" s="7"/>
      <c r="C926" s="175"/>
      <c r="D926" s="175"/>
      <c r="E926" s="175"/>
      <c r="F926" s="229"/>
      <c r="G926" s="229"/>
      <c r="H926" s="229"/>
      <c r="I926" s="72"/>
      <c r="J926" s="185"/>
      <c r="K926" s="205"/>
      <c r="L926" s="7"/>
    </row>
    <row r="927" spans="1:12">
      <c r="A927" s="19"/>
      <c r="B927" s="7"/>
      <c r="C927" s="175"/>
      <c r="D927" s="175"/>
      <c r="E927" s="175"/>
      <c r="F927" s="229"/>
      <c r="G927" s="229"/>
      <c r="H927" s="229"/>
      <c r="I927" s="72"/>
      <c r="J927" s="185"/>
      <c r="K927" s="205"/>
      <c r="L927" s="7"/>
    </row>
    <row r="928" spans="1:12">
      <c r="A928" s="19"/>
      <c r="B928" s="7"/>
      <c r="C928" s="175"/>
      <c r="D928" s="175"/>
      <c r="E928" s="175"/>
      <c r="F928" s="229"/>
      <c r="G928" s="229"/>
      <c r="H928" s="229"/>
      <c r="I928" s="72"/>
      <c r="J928" s="185"/>
      <c r="K928" s="205"/>
      <c r="L928" s="14"/>
    </row>
    <row r="929" spans="1:12">
      <c r="A929" s="19"/>
      <c r="B929" s="7"/>
      <c r="C929" s="175"/>
      <c r="D929" s="175"/>
      <c r="E929" s="175"/>
      <c r="F929" s="229"/>
      <c r="G929" s="229"/>
      <c r="H929" s="229"/>
      <c r="I929" s="72"/>
      <c r="J929" s="185"/>
      <c r="K929" s="205"/>
      <c r="L929" s="7"/>
    </row>
    <row r="930" spans="1:12">
      <c r="A930" s="19"/>
      <c r="B930" s="7"/>
      <c r="C930" s="175"/>
      <c r="D930" s="175"/>
      <c r="E930" s="175"/>
      <c r="F930" s="229"/>
      <c r="G930" s="229"/>
      <c r="H930" s="229"/>
      <c r="I930" s="72"/>
      <c r="J930" s="185"/>
      <c r="K930" s="205"/>
      <c r="L930" s="14"/>
    </row>
    <row r="931" spans="1:12">
      <c r="A931" s="19"/>
      <c r="B931" s="7"/>
      <c r="C931" s="175"/>
      <c r="D931" s="175"/>
      <c r="E931" s="175"/>
      <c r="F931" s="229"/>
      <c r="G931" s="229"/>
      <c r="H931" s="229"/>
      <c r="I931" s="72"/>
      <c r="J931" s="185"/>
      <c r="K931" s="205"/>
      <c r="L931" s="7"/>
    </row>
    <row r="932" spans="1:12">
      <c r="A932" s="20"/>
      <c r="B932" s="21"/>
      <c r="C932" s="175"/>
      <c r="D932" s="175"/>
      <c r="E932" s="175"/>
      <c r="F932" s="232"/>
      <c r="G932" s="232"/>
      <c r="H932" s="232"/>
      <c r="I932" s="63"/>
      <c r="J932" s="190"/>
      <c r="K932" s="206"/>
      <c r="L932" s="7"/>
    </row>
    <row r="933" spans="1:12">
      <c r="A933" s="20"/>
      <c r="B933" s="21"/>
      <c r="C933" s="175"/>
      <c r="D933" s="175"/>
      <c r="E933" s="175"/>
      <c r="F933" s="232"/>
      <c r="G933" s="232"/>
      <c r="H933" s="232"/>
      <c r="I933" s="63"/>
      <c r="J933" s="190"/>
      <c r="K933" s="206"/>
      <c r="L933" s="7"/>
    </row>
    <row r="934" spans="1:12">
      <c r="A934" s="19"/>
      <c r="B934" s="7"/>
      <c r="C934" s="175"/>
      <c r="D934" s="175"/>
      <c r="E934" s="175"/>
      <c r="F934" s="229"/>
      <c r="G934" s="229"/>
      <c r="H934" s="229"/>
      <c r="I934" s="72"/>
      <c r="J934" s="185"/>
      <c r="K934" s="205"/>
      <c r="L934" s="14"/>
    </row>
    <row r="935" spans="1:12">
      <c r="A935" s="19"/>
      <c r="B935" s="7"/>
      <c r="C935" s="175"/>
      <c r="D935" s="175"/>
      <c r="E935" s="175"/>
      <c r="F935" s="229"/>
      <c r="G935" s="229"/>
      <c r="H935" s="229"/>
      <c r="I935" s="72"/>
      <c r="J935" s="185"/>
      <c r="K935" s="205"/>
      <c r="L935" s="7"/>
    </row>
    <row r="936" spans="1:12">
      <c r="A936" s="19"/>
      <c r="B936" s="7"/>
      <c r="C936" s="175"/>
      <c r="D936" s="175"/>
      <c r="E936" s="175"/>
      <c r="F936" s="229"/>
      <c r="G936" s="229"/>
      <c r="H936" s="229"/>
      <c r="I936" s="72"/>
      <c r="J936" s="185"/>
      <c r="K936" s="205"/>
      <c r="L936" s="14"/>
    </row>
    <row r="937" spans="1:12">
      <c r="A937" s="19"/>
      <c r="B937" s="7"/>
      <c r="C937" s="175"/>
      <c r="D937" s="175"/>
      <c r="E937" s="175"/>
      <c r="F937" s="229"/>
      <c r="G937" s="229"/>
      <c r="H937" s="229"/>
      <c r="I937" s="72"/>
      <c r="J937" s="185"/>
      <c r="K937" s="205"/>
      <c r="L937" s="7"/>
    </row>
    <row r="938" spans="1:12">
      <c r="A938" s="19"/>
      <c r="B938" s="7"/>
      <c r="C938" s="175"/>
      <c r="D938" s="175"/>
      <c r="E938" s="175"/>
      <c r="F938" s="229"/>
      <c r="G938" s="229"/>
      <c r="H938" s="229"/>
      <c r="I938" s="72"/>
      <c r="J938" s="185"/>
      <c r="K938" s="205"/>
      <c r="L938" s="7"/>
    </row>
    <row r="939" spans="1:12">
      <c r="A939" s="19"/>
      <c r="B939" s="7"/>
      <c r="C939" s="175"/>
      <c r="D939" s="175"/>
      <c r="E939" s="175"/>
      <c r="F939" s="229"/>
      <c r="G939" s="229"/>
      <c r="H939" s="229"/>
      <c r="I939" s="72"/>
      <c r="J939" s="185"/>
      <c r="K939" s="205"/>
      <c r="L939" s="7"/>
    </row>
    <row r="940" spans="1:12">
      <c r="A940" s="20"/>
      <c r="B940" s="21"/>
      <c r="C940" s="175"/>
      <c r="D940" s="175"/>
      <c r="E940" s="175"/>
      <c r="F940" s="232"/>
      <c r="G940" s="232"/>
      <c r="H940" s="232"/>
      <c r="I940" s="63"/>
      <c r="J940" s="190"/>
      <c r="K940" s="206"/>
      <c r="L940" s="7"/>
    </row>
    <row r="941" spans="1:12">
      <c r="A941" s="20"/>
      <c r="B941" s="21"/>
      <c r="C941" s="175"/>
      <c r="D941" s="175"/>
      <c r="E941" s="175"/>
      <c r="F941" s="232"/>
      <c r="G941" s="232"/>
      <c r="H941" s="232"/>
      <c r="I941" s="63"/>
      <c r="J941" s="190"/>
      <c r="K941" s="206"/>
      <c r="L941" s="7"/>
    </row>
    <row r="942" spans="1:12">
      <c r="A942" s="20"/>
      <c r="B942" s="21"/>
      <c r="C942" s="175"/>
      <c r="D942" s="175"/>
      <c r="E942" s="175"/>
      <c r="F942" s="232"/>
      <c r="G942" s="232"/>
      <c r="H942" s="232"/>
      <c r="I942" s="63"/>
      <c r="J942" s="190"/>
      <c r="K942" s="206"/>
      <c r="L942" s="7"/>
    </row>
    <row r="943" spans="1:12">
      <c r="A943" s="20"/>
      <c r="B943" s="21"/>
      <c r="C943" s="175"/>
      <c r="D943" s="175"/>
      <c r="E943" s="175"/>
      <c r="F943" s="232"/>
      <c r="G943" s="232"/>
      <c r="H943" s="232"/>
      <c r="I943" s="63"/>
      <c r="J943" s="190"/>
      <c r="K943" s="206"/>
      <c r="L943" s="7"/>
    </row>
    <row r="944" spans="1:12">
      <c r="A944" s="20"/>
      <c r="B944" s="21"/>
      <c r="C944" s="175"/>
      <c r="D944" s="175"/>
      <c r="E944" s="175"/>
      <c r="F944" s="232"/>
      <c r="G944" s="232"/>
      <c r="H944" s="232"/>
      <c r="I944" s="63"/>
      <c r="J944" s="190"/>
      <c r="K944" s="206"/>
      <c r="L944" s="7"/>
    </row>
    <row r="945" spans="1:12">
      <c r="A945" s="19"/>
      <c r="B945" s="7"/>
      <c r="C945" s="175"/>
      <c r="D945" s="175"/>
      <c r="E945" s="175"/>
      <c r="F945" s="229"/>
      <c r="G945" s="229"/>
      <c r="H945" s="229"/>
      <c r="I945" s="72"/>
      <c r="J945" s="185"/>
      <c r="K945" s="205"/>
      <c r="L945" s="7"/>
    </row>
    <row r="946" spans="1:12">
      <c r="A946" s="19"/>
      <c r="B946" s="7"/>
      <c r="C946" s="175"/>
      <c r="D946" s="175"/>
      <c r="E946" s="175"/>
      <c r="F946" s="229"/>
      <c r="G946" s="229"/>
      <c r="H946" s="229"/>
      <c r="I946" s="72"/>
      <c r="J946" s="185"/>
      <c r="K946" s="205"/>
      <c r="L946" s="7"/>
    </row>
    <row r="947" spans="1:12">
      <c r="A947" s="20"/>
      <c r="B947" s="21"/>
      <c r="C947" s="175"/>
      <c r="D947" s="175"/>
      <c r="E947" s="175"/>
      <c r="F947" s="232"/>
      <c r="G947" s="232"/>
      <c r="H947" s="232"/>
      <c r="I947" s="63"/>
      <c r="J947" s="190"/>
      <c r="K947" s="206"/>
      <c r="L947" s="7"/>
    </row>
    <row r="948" spans="1:12">
      <c r="A948" s="20"/>
      <c r="B948" s="21"/>
      <c r="C948" s="175"/>
      <c r="D948" s="175"/>
      <c r="E948" s="175"/>
      <c r="F948" s="232"/>
      <c r="G948" s="232"/>
      <c r="H948" s="232"/>
      <c r="I948" s="63"/>
      <c r="J948" s="190"/>
      <c r="K948" s="206"/>
      <c r="L948" s="7"/>
    </row>
    <row r="949" spans="1:12">
      <c r="A949" s="20"/>
      <c r="B949" s="21"/>
      <c r="C949" s="175"/>
      <c r="D949" s="175"/>
      <c r="E949" s="175"/>
      <c r="F949" s="232"/>
      <c r="G949" s="232"/>
      <c r="H949" s="232"/>
      <c r="I949" s="63"/>
      <c r="J949" s="190"/>
      <c r="K949" s="206"/>
      <c r="L949" s="7"/>
    </row>
    <row r="950" spans="1:12">
      <c r="A950" s="19"/>
      <c r="B950" s="7"/>
      <c r="C950" s="175"/>
      <c r="D950" s="175"/>
      <c r="E950" s="175"/>
      <c r="F950" s="229"/>
      <c r="G950" s="229"/>
      <c r="H950" s="229"/>
      <c r="I950" s="72"/>
      <c r="J950" s="185"/>
      <c r="K950" s="205"/>
      <c r="L950" s="7"/>
    </row>
    <row r="951" spans="1:12">
      <c r="A951" s="19"/>
      <c r="B951" s="7"/>
      <c r="C951" s="175"/>
      <c r="D951" s="175"/>
      <c r="E951" s="175"/>
      <c r="F951" s="229"/>
      <c r="G951" s="229"/>
      <c r="H951" s="229"/>
      <c r="I951" s="72"/>
      <c r="J951" s="185"/>
      <c r="K951" s="205"/>
      <c r="L951" s="7"/>
    </row>
    <row r="952" spans="1:12">
      <c r="A952" s="19"/>
      <c r="B952" s="7"/>
      <c r="C952" s="175"/>
      <c r="D952" s="175"/>
      <c r="E952" s="175"/>
      <c r="F952" s="229"/>
      <c r="G952" s="229"/>
      <c r="H952" s="229"/>
      <c r="I952" s="72"/>
      <c r="J952" s="185"/>
      <c r="K952" s="205"/>
      <c r="L952" s="7"/>
    </row>
    <row r="953" spans="1:12">
      <c r="A953" s="19"/>
      <c r="B953" s="7"/>
      <c r="C953" s="175"/>
      <c r="D953" s="175"/>
      <c r="E953" s="175"/>
      <c r="F953" s="229"/>
      <c r="G953" s="229"/>
      <c r="H953" s="229"/>
      <c r="I953" s="72"/>
      <c r="J953" s="185"/>
      <c r="K953" s="205"/>
      <c r="L953" s="7"/>
    </row>
    <row r="954" spans="1:12">
      <c r="A954" s="19"/>
      <c r="B954" s="7"/>
      <c r="C954" s="175"/>
      <c r="D954" s="175"/>
      <c r="E954" s="175"/>
      <c r="F954" s="229"/>
      <c r="G954" s="229"/>
      <c r="H954" s="229"/>
      <c r="I954" s="72"/>
      <c r="J954" s="185"/>
      <c r="K954" s="205"/>
      <c r="L954" s="7"/>
    </row>
    <row r="955" spans="1:12">
      <c r="A955" s="19"/>
      <c r="B955" s="7"/>
      <c r="C955" s="175"/>
      <c r="D955" s="175"/>
      <c r="E955" s="175"/>
      <c r="F955" s="229"/>
      <c r="G955" s="229"/>
      <c r="H955" s="229"/>
      <c r="I955" s="72"/>
      <c r="J955" s="185"/>
      <c r="K955" s="205"/>
      <c r="L955" s="7"/>
    </row>
    <row r="956" spans="1:12">
      <c r="A956" s="19"/>
      <c r="B956" s="7"/>
      <c r="C956" s="175"/>
      <c r="D956" s="175"/>
      <c r="E956" s="175"/>
      <c r="F956" s="229"/>
      <c r="G956" s="229"/>
      <c r="H956" s="229"/>
      <c r="I956" s="72"/>
      <c r="J956" s="185"/>
      <c r="K956" s="205"/>
      <c r="L956" s="7"/>
    </row>
    <row r="957" spans="1:12">
      <c r="A957" s="19"/>
      <c r="B957" s="7"/>
      <c r="C957" s="175"/>
      <c r="D957" s="175"/>
      <c r="E957" s="175"/>
      <c r="F957" s="229"/>
      <c r="G957" s="229"/>
      <c r="H957" s="229"/>
      <c r="I957" s="72"/>
      <c r="J957" s="185"/>
      <c r="K957" s="205"/>
      <c r="L957" s="7"/>
    </row>
    <row r="958" spans="1:12">
      <c r="A958" s="19"/>
      <c r="B958" s="7"/>
      <c r="C958" s="175"/>
      <c r="D958" s="175"/>
      <c r="E958" s="175"/>
      <c r="F958" s="229"/>
      <c r="G958" s="229"/>
      <c r="H958" s="229"/>
      <c r="I958" s="72"/>
      <c r="J958" s="185"/>
      <c r="K958" s="205"/>
      <c r="L958" s="7"/>
    </row>
    <row r="959" spans="1:12">
      <c r="A959" s="19"/>
      <c r="B959" s="7"/>
      <c r="C959" s="175"/>
      <c r="D959" s="175"/>
      <c r="E959" s="175"/>
      <c r="F959" s="229"/>
      <c r="G959" s="229"/>
      <c r="H959" s="229"/>
      <c r="I959" s="72"/>
      <c r="J959" s="185"/>
      <c r="K959" s="205"/>
      <c r="L959" s="7"/>
    </row>
    <row r="960" spans="1:12">
      <c r="A960" s="19"/>
      <c r="B960" s="7"/>
      <c r="C960" s="175"/>
      <c r="D960" s="175"/>
      <c r="E960" s="175"/>
      <c r="F960" s="229"/>
      <c r="G960" s="229"/>
      <c r="H960" s="229"/>
      <c r="I960" s="72"/>
      <c r="J960" s="185"/>
      <c r="K960" s="205"/>
      <c r="L960" s="7"/>
    </row>
    <row r="961" spans="1:12">
      <c r="A961" s="19"/>
      <c r="B961" s="7"/>
      <c r="C961" s="175"/>
      <c r="D961" s="175"/>
      <c r="E961" s="175"/>
      <c r="F961" s="229"/>
      <c r="G961" s="229"/>
      <c r="H961" s="229"/>
      <c r="I961" s="72"/>
      <c r="J961" s="185"/>
      <c r="K961" s="205"/>
      <c r="L961" s="7"/>
    </row>
    <row r="962" spans="1:12">
      <c r="A962" s="19"/>
      <c r="B962" s="7"/>
      <c r="C962" s="175"/>
      <c r="D962" s="175"/>
      <c r="E962" s="175"/>
      <c r="F962" s="229"/>
      <c r="G962" s="229"/>
      <c r="H962" s="229"/>
      <c r="I962" s="72"/>
      <c r="J962" s="185"/>
      <c r="K962" s="205"/>
      <c r="L962" s="7"/>
    </row>
    <row r="963" spans="1:12">
      <c r="A963" s="19"/>
      <c r="B963" s="7"/>
      <c r="C963" s="175"/>
      <c r="D963" s="175"/>
      <c r="E963" s="175"/>
      <c r="F963" s="229"/>
      <c r="G963" s="229"/>
      <c r="H963" s="229"/>
      <c r="I963" s="72"/>
      <c r="J963" s="185"/>
      <c r="K963" s="205"/>
      <c r="L963" s="7"/>
    </row>
    <row r="964" spans="1:12">
      <c r="A964" s="19"/>
      <c r="B964" s="7"/>
      <c r="C964" s="175"/>
      <c r="D964" s="175"/>
      <c r="E964" s="175"/>
      <c r="F964" s="229"/>
      <c r="G964" s="229"/>
      <c r="H964" s="229"/>
      <c r="I964" s="72"/>
      <c r="J964" s="185"/>
      <c r="K964" s="205"/>
      <c r="L964" s="7"/>
    </row>
    <row r="965" spans="1:12">
      <c r="A965" s="19"/>
      <c r="B965" s="7"/>
      <c r="C965" s="175"/>
      <c r="D965" s="175"/>
      <c r="E965" s="175"/>
      <c r="F965" s="229"/>
      <c r="G965" s="229"/>
      <c r="H965" s="229"/>
      <c r="I965" s="72"/>
      <c r="J965" s="185"/>
      <c r="K965" s="205"/>
      <c r="L965" s="7"/>
    </row>
    <row r="966" spans="1:12">
      <c r="A966" s="19"/>
      <c r="B966" s="7"/>
      <c r="C966" s="175"/>
      <c r="D966" s="175"/>
      <c r="E966" s="175"/>
      <c r="F966" s="229"/>
      <c r="G966" s="229"/>
      <c r="H966" s="229"/>
      <c r="I966" s="72"/>
      <c r="J966" s="185"/>
      <c r="K966" s="205"/>
      <c r="L966" s="7"/>
    </row>
    <row r="967" spans="1:12">
      <c r="A967" s="19"/>
      <c r="B967" s="7"/>
      <c r="C967" s="175"/>
      <c r="D967" s="175"/>
      <c r="E967" s="175"/>
      <c r="F967" s="229"/>
      <c r="G967" s="229"/>
      <c r="H967" s="229"/>
      <c r="I967" s="72"/>
      <c r="J967" s="185"/>
      <c r="K967" s="205"/>
      <c r="L967" s="7"/>
    </row>
    <row r="968" spans="1:12">
      <c r="A968" s="19"/>
      <c r="B968" s="7"/>
      <c r="C968" s="175"/>
      <c r="D968" s="175"/>
      <c r="E968" s="175"/>
      <c r="F968" s="229"/>
      <c r="G968" s="229"/>
      <c r="H968" s="229"/>
      <c r="I968" s="72"/>
      <c r="J968" s="185"/>
      <c r="K968" s="205"/>
      <c r="L968" s="7"/>
    </row>
    <row r="969" spans="1:12">
      <c r="A969" s="19"/>
      <c r="B969" s="7"/>
      <c r="C969" s="175"/>
      <c r="D969" s="175"/>
      <c r="E969" s="175"/>
      <c r="F969" s="229"/>
      <c r="G969" s="229"/>
      <c r="H969" s="229"/>
      <c r="I969" s="72"/>
      <c r="J969" s="185"/>
      <c r="K969" s="205"/>
      <c r="L969" s="7"/>
    </row>
    <row r="970" spans="1:12">
      <c r="A970" s="19"/>
      <c r="B970" s="7"/>
      <c r="C970" s="175"/>
      <c r="D970" s="175"/>
      <c r="E970" s="175"/>
      <c r="F970" s="229"/>
      <c r="G970" s="229"/>
      <c r="H970" s="229"/>
      <c r="I970" s="72"/>
      <c r="J970" s="185"/>
      <c r="K970" s="205"/>
      <c r="L970" s="7"/>
    </row>
    <row r="971" spans="1:12">
      <c r="A971" s="19"/>
      <c r="B971" s="7"/>
      <c r="C971" s="175"/>
      <c r="D971" s="175"/>
      <c r="E971" s="175"/>
      <c r="F971" s="229"/>
      <c r="G971" s="229"/>
      <c r="H971" s="229"/>
      <c r="I971" s="72"/>
      <c r="J971" s="185"/>
      <c r="K971" s="205"/>
      <c r="L971" s="7"/>
    </row>
    <row r="972" spans="1:12">
      <c r="A972" s="19"/>
      <c r="B972" s="7"/>
      <c r="C972" s="175"/>
      <c r="D972" s="175"/>
      <c r="E972" s="175"/>
      <c r="F972" s="229"/>
      <c r="G972" s="229"/>
      <c r="H972" s="229"/>
      <c r="I972" s="72"/>
      <c r="J972" s="185"/>
      <c r="K972" s="205"/>
      <c r="L972" s="7"/>
    </row>
    <row r="973" spans="1:12">
      <c r="A973" s="19"/>
      <c r="B973" s="7"/>
      <c r="C973" s="175"/>
      <c r="D973" s="175"/>
      <c r="E973" s="175"/>
      <c r="F973" s="229"/>
      <c r="G973" s="229"/>
      <c r="H973" s="229"/>
      <c r="I973" s="72"/>
      <c r="J973" s="185"/>
      <c r="K973" s="205"/>
      <c r="L973" s="7"/>
    </row>
    <row r="974" spans="1:12">
      <c r="A974" s="19"/>
      <c r="B974" s="7"/>
      <c r="C974" s="175"/>
      <c r="D974" s="175"/>
      <c r="E974" s="175"/>
      <c r="F974" s="229"/>
      <c r="G974" s="229"/>
      <c r="H974" s="229"/>
      <c r="I974" s="72"/>
      <c r="J974" s="185"/>
      <c r="K974" s="205"/>
      <c r="L974" s="7"/>
    </row>
    <row r="975" spans="1:12">
      <c r="A975" s="19"/>
      <c r="B975" s="7"/>
      <c r="C975" s="175"/>
      <c r="D975" s="175"/>
      <c r="E975" s="175"/>
      <c r="F975" s="229"/>
      <c r="G975" s="229"/>
      <c r="H975" s="229"/>
      <c r="I975" s="72"/>
      <c r="J975" s="185"/>
      <c r="K975" s="205"/>
      <c r="L975" s="7"/>
    </row>
    <row r="976" spans="1:12">
      <c r="A976" s="19"/>
      <c r="B976" s="7"/>
      <c r="C976" s="175"/>
      <c r="D976" s="175"/>
      <c r="E976" s="175"/>
      <c r="F976" s="229"/>
      <c r="G976" s="229"/>
      <c r="H976" s="229"/>
      <c r="I976" s="72"/>
      <c r="J976" s="185"/>
      <c r="K976" s="205"/>
      <c r="L976" s="7"/>
    </row>
    <row r="977" spans="1:12">
      <c r="A977" s="19"/>
      <c r="B977" s="7"/>
      <c r="C977" s="175"/>
      <c r="D977" s="175"/>
      <c r="E977" s="175"/>
      <c r="F977" s="229"/>
      <c r="G977" s="229"/>
      <c r="H977" s="229"/>
      <c r="I977" s="72"/>
      <c r="J977" s="185"/>
      <c r="K977" s="205"/>
      <c r="L977" s="7"/>
    </row>
    <row r="978" spans="1:12">
      <c r="A978" s="19"/>
      <c r="B978" s="7"/>
      <c r="C978" s="175"/>
      <c r="D978" s="175"/>
      <c r="E978" s="175"/>
      <c r="F978" s="229"/>
      <c r="G978" s="229"/>
      <c r="H978" s="229"/>
      <c r="I978" s="72"/>
      <c r="J978" s="185"/>
      <c r="K978" s="205"/>
      <c r="L978" s="74"/>
    </row>
    <row r="979" spans="1:12">
      <c r="A979" s="19"/>
      <c r="B979" s="7"/>
      <c r="C979" s="175"/>
      <c r="D979" s="175"/>
      <c r="E979" s="175"/>
      <c r="F979" s="229"/>
      <c r="G979" s="229"/>
      <c r="H979" s="229"/>
      <c r="I979" s="72"/>
      <c r="J979" s="185"/>
      <c r="K979" s="205"/>
      <c r="L979" s="7"/>
    </row>
    <row r="980" spans="1:12">
      <c r="A980" s="19"/>
      <c r="B980" s="7"/>
      <c r="C980" s="175"/>
      <c r="D980" s="175"/>
      <c r="E980" s="175"/>
      <c r="F980" s="229"/>
      <c r="G980" s="229"/>
      <c r="H980" s="229"/>
      <c r="I980" s="72"/>
      <c r="J980" s="185"/>
      <c r="K980" s="205"/>
      <c r="L980" s="7"/>
    </row>
    <row r="981" spans="1:12">
      <c r="A981" s="20"/>
      <c r="B981" s="21"/>
      <c r="C981" s="175"/>
      <c r="D981" s="175"/>
      <c r="E981" s="175"/>
      <c r="F981" s="232"/>
      <c r="G981" s="232"/>
      <c r="H981" s="232"/>
      <c r="I981" s="63"/>
      <c r="J981" s="190"/>
      <c r="K981" s="206"/>
      <c r="L981" s="7"/>
    </row>
    <row r="982" spans="1:12">
      <c r="A982" s="19"/>
      <c r="B982" s="7"/>
      <c r="C982" s="175"/>
      <c r="D982" s="175"/>
      <c r="E982" s="175"/>
      <c r="F982" s="229"/>
      <c r="G982" s="229"/>
      <c r="H982" s="229"/>
      <c r="I982" s="72"/>
      <c r="J982" s="185"/>
      <c r="K982" s="205"/>
      <c r="L982" s="7"/>
    </row>
    <row r="983" spans="1:12">
      <c r="A983" s="19"/>
      <c r="B983" s="7"/>
      <c r="C983" s="175"/>
      <c r="D983" s="175"/>
      <c r="E983" s="175"/>
      <c r="F983" s="229"/>
      <c r="G983" s="229"/>
      <c r="H983" s="229"/>
      <c r="I983" s="72"/>
      <c r="J983" s="185"/>
      <c r="K983" s="205"/>
      <c r="L983" s="7"/>
    </row>
    <row r="984" spans="1:12">
      <c r="A984" s="19"/>
      <c r="B984" s="7"/>
      <c r="C984" s="175"/>
      <c r="D984" s="175"/>
      <c r="E984" s="175"/>
      <c r="F984" s="229"/>
      <c r="G984" s="229"/>
      <c r="H984" s="229"/>
      <c r="I984" s="72"/>
      <c r="J984" s="185"/>
      <c r="K984" s="205"/>
      <c r="L984" s="7"/>
    </row>
    <row r="985" spans="1:12">
      <c r="A985" s="19"/>
      <c r="B985" s="7"/>
      <c r="C985" s="175"/>
      <c r="D985" s="175"/>
      <c r="E985" s="175"/>
      <c r="F985" s="229"/>
      <c r="G985" s="229"/>
      <c r="H985" s="229"/>
      <c r="I985" s="72"/>
      <c r="J985" s="185"/>
      <c r="K985" s="205"/>
      <c r="L985" s="7"/>
    </row>
    <row r="986" spans="1:12">
      <c r="A986" s="19"/>
      <c r="B986" s="7"/>
      <c r="C986" s="175"/>
      <c r="D986" s="175"/>
      <c r="E986" s="175"/>
      <c r="F986" s="229"/>
      <c r="G986" s="229"/>
      <c r="H986" s="229"/>
      <c r="I986" s="72"/>
      <c r="J986" s="185"/>
      <c r="K986" s="205"/>
      <c r="L986" s="7"/>
    </row>
    <row r="987" spans="1:12">
      <c r="A987" s="19"/>
      <c r="B987" s="7"/>
      <c r="C987" s="175"/>
      <c r="D987" s="175"/>
      <c r="E987" s="175"/>
      <c r="F987" s="229"/>
      <c r="G987" s="229"/>
      <c r="H987" s="229"/>
      <c r="I987" s="72"/>
      <c r="J987" s="185"/>
      <c r="K987" s="205"/>
      <c r="L987" s="7"/>
    </row>
    <row r="988" spans="1:12">
      <c r="A988" s="19"/>
      <c r="B988" s="7"/>
      <c r="C988" s="175"/>
      <c r="D988" s="175"/>
      <c r="E988" s="175"/>
      <c r="F988" s="229"/>
      <c r="G988" s="229"/>
      <c r="H988" s="229"/>
      <c r="I988" s="72"/>
      <c r="J988" s="185"/>
      <c r="K988" s="205"/>
      <c r="L988" s="7"/>
    </row>
    <row r="989" spans="1:12">
      <c r="A989" s="19"/>
      <c r="B989" s="7"/>
      <c r="C989" s="175"/>
      <c r="D989" s="175"/>
      <c r="E989" s="175"/>
      <c r="F989" s="229"/>
      <c r="G989" s="229"/>
      <c r="H989" s="229"/>
      <c r="I989" s="72"/>
      <c r="J989" s="185"/>
      <c r="K989" s="205"/>
      <c r="L989" s="7"/>
    </row>
    <row r="990" spans="1:12">
      <c r="A990" s="20"/>
      <c r="B990" s="21"/>
      <c r="C990" s="175"/>
      <c r="D990" s="175"/>
      <c r="E990" s="175"/>
      <c r="F990" s="232"/>
      <c r="G990" s="232"/>
      <c r="H990" s="232"/>
      <c r="I990" s="63"/>
      <c r="J990" s="190"/>
      <c r="K990" s="206"/>
      <c r="L990" s="7"/>
    </row>
    <row r="991" spans="1:12">
      <c r="A991" s="20"/>
      <c r="B991" s="21"/>
      <c r="C991" s="175"/>
      <c r="D991" s="175"/>
      <c r="E991" s="175"/>
      <c r="F991" s="232"/>
      <c r="G991" s="232"/>
      <c r="H991" s="232"/>
      <c r="I991" s="63"/>
      <c r="J991" s="190"/>
      <c r="K991" s="206"/>
      <c r="L991" s="7"/>
    </row>
    <row r="992" spans="1:12">
      <c r="A992" s="20"/>
      <c r="B992" s="21"/>
      <c r="C992" s="175"/>
      <c r="D992" s="175"/>
      <c r="E992" s="175"/>
      <c r="F992" s="232"/>
      <c r="G992" s="232"/>
      <c r="H992" s="232"/>
      <c r="I992" s="63"/>
      <c r="J992" s="190"/>
      <c r="K992" s="206"/>
      <c r="L992" s="7"/>
    </row>
    <row r="993" spans="1:12">
      <c r="A993" s="19"/>
      <c r="B993" s="7"/>
      <c r="C993" s="175"/>
      <c r="D993" s="175"/>
      <c r="E993" s="175"/>
      <c r="F993" s="229"/>
      <c r="G993" s="229"/>
      <c r="H993" s="229"/>
      <c r="I993" s="72"/>
      <c r="J993" s="185"/>
      <c r="K993" s="205"/>
      <c r="L993" s="7"/>
    </row>
    <row r="994" spans="1:12">
      <c r="A994" s="19"/>
      <c r="B994" s="7"/>
      <c r="C994" s="175"/>
      <c r="D994" s="175"/>
      <c r="E994" s="175"/>
      <c r="F994" s="229"/>
      <c r="G994" s="229"/>
      <c r="H994" s="229"/>
      <c r="I994" s="72"/>
      <c r="J994" s="185"/>
      <c r="K994" s="205"/>
      <c r="L994" s="7"/>
    </row>
    <row r="995" spans="1:12">
      <c r="A995" s="19"/>
      <c r="B995" s="7"/>
      <c r="C995" s="175"/>
      <c r="D995" s="175"/>
      <c r="E995" s="175"/>
      <c r="F995" s="229"/>
      <c r="G995" s="229"/>
      <c r="H995" s="229"/>
      <c r="I995" s="72"/>
      <c r="J995" s="185"/>
      <c r="K995" s="205"/>
      <c r="L995" s="7"/>
    </row>
    <row r="996" spans="1:12">
      <c r="A996" s="19"/>
      <c r="B996" s="7"/>
      <c r="C996" s="175"/>
      <c r="D996" s="175"/>
      <c r="E996" s="175"/>
      <c r="F996" s="229"/>
      <c r="G996" s="229"/>
      <c r="H996" s="229"/>
      <c r="I996" s="72"/>
      <c r="J996" s="185"/>
      <c r="K996" s="205"/>
      <c r="L996" s="7"/>
    </row>
    <row r="997" spans="1:12">
      <c r="A997" s="19"/>
      <c r="B997" s="7"/>
      <c r="C997" s="175"/>
      <c r="D997" s="175"/>
      <c r="E997" s="175"/>
      <c r="F997" s="229"/>
      <c r="G997" s="229"/>
      <c r="H997" s="229"/>
      <c r="I997" s="72"/>
      <c r="J997" s="185"/>
      <c r="K997" s="205"/>
      <c r="L997" s="7"/>
    </row>
    <row r="998" spans="1:12">
      <c r="A998" s="20"/>
      <c r="B998" s="21"/>
      <c r="C998" s="175"/>
      <c r="D998" s="175"/>
      <c r="E998" s="175"/>
      <c r="F998" s="232"/>
      <c r="G998" s="232"/>
      <c r="H998" s="232"/>
      <c r="I998" s="63"/>
      <c r="J998" s="190"/>
      <c r="K998" s="206"/>
      <c r="L998" s="7"/>
    </row>
    <row r="999" spans="1:12">
      <c r="A999" s="20"/>
      <c r="B999" s="24"/>
      <c r="C999" s="175"/>
      <c r="D999" s="175"/>
      <c r="E999" s="175"/>
      <c r="F999" s="232"/>
      <c r="G999" s="232"/>
      <c r="H999" s="232"/>
      <c r="I999" s="62"/>
      <c r="J999" s="190"/>
      <c r="K999" s="206"/>
      <c r="L999" s="7"/>
    </row>
    <row r="1000" spans="1:12">
      <c r="A1000" s="19"/>
      <c r="B1000" s="7"/>
      <c r="C1000" s="175"/>
      <c r="D1000" s="175"/>
      <c r="E1000" s="175"/>
      <c r="F1000" s="229"/>
      <c r="G1000" s="229"/>
      <c r="H1000" s="229"/>
      <c r="I1000" s="72"/>
      <c r="J1000" s="185"/>
      <c r="K1000" s="205"/>
      <c r="L1000" s="7"/>
    </row>
    <row r="1001" spans="1:12">
      <c r="A1001" s="20"/>
      <c r="B1001" s="24"/>
      <c r="C1001" s="175"/>
      <c r="D1001" s="175"/>
      <c r="E1001" s="175"/>
      <c r="F1001" s="232"/>
      <c r="G1001" s="232"/>
      <c r="H1001" s="232"/>
      <c r="I1001" s="63"/>
      <c r="J1001" s="190"/>
      <c r="K1001" s="206"/>
      <c r="L1001" s="7"/>
    </row>
    <row r="1002" spans="1:12">
      <c r="A1002" s="20"/>
      <c r="B1002" s="24"/>
      <c r="C1002" s="175"/>
      <c r="D1002" s="175"/>
      <c r="E1002" s="175"/>
      <c r="F1002" s="232"/>
      <c r="G1002" s="232"/>
      <c r="H1002" s="232"/>
      <c r="I1002" s="62"/>
      <c r="J1002" s="190"/>
      <c r="K1002" s="206"/>
      <c r="L1002" s="7"/>
    </row>
    <row r="1003" spans="1:12">
      <c r="A1003" s="20"/>
      <c r="B1003" s="24"/>
      <c r="C1003" s="175"/>
      <c r="D1003" s="175"/>
      <c r="E1003" s="175"/>
      <c r="F1003" s="232"/>
      <c r="G1003" s="232"/>
      <c r="H1003" s="232"/>
      <c r="I1003" s="62"/>
      <c r="J1003" s="190"/>
      <c r="K1003" s="206"/>
      <c r="L1003" s="7"/>
    </row>
    <row r="1004" spans="1:12">
      <c r="A1004" s="19"/>
      <c r="B1004" s="7"/>
      <c r="C1004" s="175"/>
      <c r="D1004" s="175"/>
      <c r="E1004" s="175"/>
      <c r="F1004" s="229"/>
      <c r="G1004" s="229"/>
      <c r="H1004" s="229"/>
      <c r="I1004" s="72"/>
      <c r="J1004" s="185"/>
      <c r="K1004" s="205"/>
      <c r="L1004" s="7"/>
    </row>
    <row r="1005" spans="1:12">
      <c r="A1005" s="20"/>
      <c r="B1005" s="21"/>
      <c r="C1005" s="175"/>
      <c r="D1005" s="175"/>
      <c r="E1005" s="175"/>
      <c r="F1005" s="232"/>
      <c r="G1005" s="232"/>
      <c r="H1005" s="232"/>
      <c r="I1005" s="63"/>
      <c r="J1005" s="190"/>
      <c r="K1005" s="206"/>
      <c r="L1005" s="7"/>
    </row>
    <row r="1006" spans="1:12">
      <c r="A1006" s="19"/>
      <c r="B1006" s="7"/>
      <c r="C1006" s="175"/>
      <c r="D1006" s="175"/>
      <c r="E1006" s="175"/>
      <c r="F1006" s="229"/>
      <c r="G1006" s="229"/>
      <c r="H1006" s="229"/>
      <c r="I1006" s="72"/>
      <c r="J1006" s="185"/>
      <c r="K1006" s="205"/>
      <c r="L1006" s="7"/>
    </row>
    <row r="1007" spans="1:12">
      <c r="A1007" s="19"/>
      <c r="B1007" s="7"/>
      <c r="C1007" s="175"/>
      <c r="D1007" s="175"/>
      <c r="E1007" s="175"/>
      <c r="F1007" s="229"/>
      <c r="G1007" s="229"/>
      <c r="H1007" s="229"/>
      <c r="I1007" s="72"/>
      <c r="J1007" s="185"/>
      <c r="K1007" s="205"/>
      <c r="L1007" s="7"/>
    </row>
    <row r="1008" spans="1:12">
      <c r="A1008" s="19"/>
      <c r="B1008" s="7"/>
      <c r="C1008" s="175"/>
      <c r="D1008" s="175"/>
      <c r="E1008" s="175"/>
      <c r="F1008" s="229"/>
      <c r="G1008" s="229"/>
      <c r="H1008" s="229"/>
      <c r="I1008" s="72"/>
      <c r="J1008" s="185"/>
      <c r="K1008" s="205"/>
      <c r="L1008" s="7"/>
    </row>
    <row r="1009" spans="1:12">
      <c r="A1009" s="19"/>
      <c r="B1009" s="7"/>
      <c r="C1009" s="175"/>
      <c r="D1009" s="175"/>
      <c r="E1009" s="175"/>
      <c r="F1009" s="229"/>
      <c r="G1009" s="229"/>
      <c r="H1009" s="229"/>
      <c r="I1009" s="72"/>
      <c r="J1009" s="185"/>
      <c r="K1009" s="205"/>
      <c r="L1009" s="7"/>
    </row>
    <row r="1010" spans="1:12">
      <c r="A1010" s="19"/>
      <c r="B1010" s="7"/>
      <c r="C1010" s="175"/>
      <c r="D1010" s="175"/>
      <c r="E1010" s="175"/>
      <c r="F1010" s="229"/>
      <c r="G1010" s="229"/>
      <c r="H1010" s="229"/>
      <c r="I1010" s="72"/>
      <c r="J1010" s="185"/>
      <c r="K1010" s="205"/>
      <c r="L1010" s="7"/>
    </row>
    <row r="1011" spans="1:12">
      <c r="A1011" s="19"/>
      <c r="B1011" s="7"/>
      <c r="C1011" s="175"/>
      <c r="D1011" s="175"/>
      <c r="E1011" s="175"/>
      <c r="F1011" s="229"/>
      <c r="G1011" s="229"/>
      <c r="H1011" s="229"/>
      <c r="I1011" s="72"/>
      <c r="J1011" s="185"/>
      <c r="K1011" s="205"/>
      <c r="L1011" s="7"/>
    </row>
    <row r="1012" spans="1:12">
      <c r="A1012" s="19"/>
      <c r="B1012" s="7"/>
      <c r="C1012" s="175"/>
      <c r="D1012" s="175"/>
      <c r="E1012" s="175"/>
      <c r="F1012" s="229"/>
      <c r="G1012" s="229"/>
      <c r="H1012" s="229"/>
      <c r="I1012" s="72"/>
      <c r="J1012" s="185"/>
      <c r="K1012" s="205"/>
      <c r="L1012" s="7"/>
    </row>
    <row r="1013" spans="1:12">
      <c r="A1013" s="19"/>
      <c r="B1013" s="7"/>
      <c r="C1013" s="175"/>
      <c r="D1013" s="175"/>
      <c r="E1013" s="175"/>
      <c r="F1013" s="229"/>
      <c r="G1013" s="229"/>
      <c r="H1013" s="229"/>
      <c r="I1013" s="72"/>
      <c r="J1013" s="185"/>
      <c r="K1013" s="205"/>
      <c r="L1013" s="7"/>
    </row>
    <row r="1014" spans="1:12">
      <c r="A1014" s="19"/>
      <c r="B1014" s="7"/>
      <c r="C1014" s="175"/>
      <c r="D1014" s="175"/>
      <c r="E1014" s="175"/>
      <c r="F1014" s="229"/>
      <c r="G1014" s="229"/>
      <c r="H1014" s="229"/>
      <c r="I1014" s="72"/>
      <c r="J1014" s="185"/>
      <c r="K1014" s="205"/>
      <c r="L1014" s="7"/>
    </row>
    <row r="1015" spans="1:12">
      <c r="A1015" s="19"/>
      <c r="B1015" s="7"/>
      <c r="C1015" s="175"/>
      <c r="D1015" s="175"/>
      <c r="E1015" s="175"/>
      <c r="F1015" s="229"/>
      <c r="G1015" s="229"/>
      <c r="H1015" s="229"/>
      <c r="I1015" s="72"/>
      <c r="J1015" s="185"/>
      <c r="K1015" s="205"/>
      <c r="L1015" s="7"/>
    </row>
    <row r="1016" spans="1:12">
      <c r="A1016" s="19"/>
      <c r="B1016" s="7"/>
      <c r="C1016" s="175"/>
      <c r="D1016" s="175"/>
      <c r="E1016" s="175"/>
      <c r="F1016" s="229"/>
      <c r="G1016" s="229"/>
      <c r="H1016" s="229"/>
      <c r="I1016" s="72"/>
      <c r="J1016" s="185"/>
      <c r="K1016" s="205"/>
      <c r="L1016" s="7"/>
    </row>
    <row r="1017" spans="1:12">
      <c r="A1017" s="19"/>
      <c r="B1017" s="7"/>
      <c r="C1017" s="175"/>
      <c r="D1017" s="175"/>
      <c r="E1017" s="175"/>
      <c r="F1017" s="229"/>
      <c r="G1017" s="229"/>
      <c r="H1017" s="229"/>
      <c r="I1017" s="72"/>
      <c r="J1017" s="185"/>
      <c r="K1017" s="205"/>
      <c r="L1017" s="7"/>
    </row>
    <row r="1018" spans="1:12">
      <c r="A1018" s="19"/>
      <c r="B1018" s="7"/>
      <c r="C1018" s="175"/>
      <c r="D1018" s="175"/>
      <c r="E1018" s="175"/>
      <c r="F1018" s="229"/>
      <c r="G1018" s="229"/>
      <c r="H1018" s="229"/>
      <c r="I1018" s="72"/>
      <c r="J1018" s="185"/>
      <c r="K1018" s="205"/>
      <c r="L1018" s="7"/>
    </row>
    <row r="1019" spans="1:12">
      <c r="A1019" s="19"/>
      <c r="B1019" s="7"/>
      <c r="C1019" s="175"/>
      <c r="D1019" s="175"/>
      <c r="E1019" s="175"/>
      <c r="F1019" s="229"/>
      <c r="G1019" s="229"/>
      <c r="H1019" s="229"/>
      <c r="I1019" s="72"/>
      <c r="J1019" s="185"/>
      <c r="K1019" s="205"/>
      <c r="L1019" s="7"/>
    </row>
    <row r="1020" spans="1:12">
      <c r="A1020" s="19"/>
      <c r="B1020" s="7"/>
      <c r="C1020" s="175"/>
      <c r="D1020" s="175"/>
      <c r="E1020" s="175"/>
      <c r="F1020" s="229"/>
      <c r="G1020" s="229"/>
      <c r="H1020" s="229"/>
      <c r="I1020" s="72"/>
      <c r="J1020" s="185"/>
      <c r="K1020" s="205"/>
      <c r="L1020" s="7"/>
    </row>
    <row r="1021" spans="1:12">
      <c r="A1021" s="19"/>
      <c r="B1021" s="7"/>
      <c r="C1021" s="175"/>
      <c r="D1021" s="175"/>
      <c r="E1021" s="175"/>
      <c r="F1021" s="229"/>
      <c r="G1021" s="229"/>
      <c r="H1021" s="229"/>
      <c r="I1021" s="72"/>
      <c r="J1021" s="185"/>
      <c r="K1021" s="205"/>
      <c r="L1021" s="7"/>
    </row>
    <row r="1022" spans="1:12">
      <c r="A1022" s="19"/>
      <c r="B1022" s="7"/>
      <c r="C1022" s="175"/>
      <c r="D1022" s="175"/>
      <c r="E1022" s="175"/>
      <c r="F1022" s="229"/>
      <c r="G1022" s="229"/>
      <c r="H1022" s="229"/>
      <c r="I1022" s="72"/>
      <c r="J1022" s="185"/>
      <c r="K1022" s="205"/>
      <c r="L1022" s="7"/>
    </row>
    <row r="1023" spans="1:12">
      <c r="A1023" s="19"/>
      <c r="B1023" s="7"/>
      <c r="C1023" s="175"/>
      <c r="D1023" s="175"/>
      <c r="E1023" s="175"/>
      <c r="F1023" s="229"/>
      <c r="G1023" s="229"/>
      <c r="H1023" s="229"/>
      <c r="I1023" s="72"/>
      <c r="J1023" s="185"/>
      <c r="K1023" s="205"/>
      <c r="L1023" s="7"/>
    </row>
    <row r="1024" spans="1:12">
      <c r="A1024" s="19"/>
      <c r="B1024" s="7"/>
      <c r="C1024" s="175"/>
      <c r="D1024" s="175"/>
      <c r="E1024" s="175"/>
      <c r="F1024" s="229"/>
      <c r="G1024" s="229"/>
      <c r="H1024" s="229"/>
      <c r="I1024" s="72"/>
      <c r="J1024" s="185"/>
      <c r="K1024" s="205"/>
      <c r="L1024" s="7"/>
    </row>
    <row r="1025" spans="1:12">
      <c r="A1025" s="19"/>
      <c r="B1025" s="7"/>
      <c r="C1025" s="175"/>
      <c r="D1025" s="175"/>
      <c r="E1025" s="175"/>
      <c r="F1025" s="229"/>
      <c r="G1025" s="229"/>
      <c r="H1025" s="229"/>
      <c r="I1025" s="72"/>
      <c r="J1025" s="185"/>
      <c r="K1025" s="205"/>
      <c r="L1025" s="7"/>
    </row>
    <row r="1026" spans="1:12">
      <c r="A1026" s="19"/>
      <c r="B1026" s="7"/>
      <c r="C1026" s="175"/>
      <c r="D1026" s="175"/>
      <c r="E1026" s="175"/>
      <c r="F1026" s="229"/>
      <c r="G1026" s="229"/>
      <c r="H1026" s="229"/>
      <c r="I1026" s="72"/>
      <c r="J1026" s="185"/>
      <c r="K1026" s="205"/>
      <c r="L1026" s="7"/>
    </row>
    <row r="1027" spans="1:12">
      <c r="A1027" s="19"/>
      <c r="B1027" s="7"/>
      <c r="C1027" s="175"/>
      <c r="D1027" s="175"/>
      <c r="E1027" s="175"/>
      <c r="F1027" s="229"/>
      <c r="G1027" s="229"/>
      <c r="H1027" s="229"/>
      <c r="I1027" s="72"/>
      <c r="J1027" s="185"/>
      <c r="K1027" s="205"/>
      <c r="L1027" s="7"/>
    </row>
    <row r="1028" spans="1:12">
      <c r="A1028" s="19"/>
      <c r="B1028" s="7"/>
      <c r="C1028" s="175"/>
      <c r="D1028" s="175"/>
      <c r="E1028" s="175"/>
      <c r="F1028" s="229"/>
      <c r="G1028" s="229"/>
      <c r="H1028" s="229"/>
      <c r="I1028" s="72"/>
      <c r="J1028" s="185"/>
      <c r="K1028" s="205"/>
      <c r="L1028" s="7"/>
    </row>
    <row r="1029" spans="1:12">
      <c r="A1029" s="19"/>
      <c r="B1029" s="7"/>
      <c r="C1029" s="175"/>
      <c r="D1029" s="175"/>
      <c r="E1029" s="175"/>
      <c r="F1029" s="229"/>
      <c r="G1029" s="229"/>
      <c r="H1029" s="229"/>
      <c r="I1029" s="72"/>
      <c r="J1029" s="185"/>
      <c r="K1029" s="205"/>
      <c r="L1029" s="37"/>
    </row>
    <row r="1030" spans="1:12">
      <c r="A1030" s="19"/>
      <c r="B1030" s="7"/>
      <c r="C1030" s="175"/>
      <c r="D1030" s="175"/>
      <c r="E1030" s="175"/>
      <c r="F1030" s="229"/>
      <c r="G1030" s="229"/>
      <c r="H1030" s="229"/>
      <c r="I1030" s="72"/>
      <c r="J1030" s="185"/>
      <c r="K1030" s="205"/>
      <c r="L1030" s="37"/>
    </row>
    <row r="1031" spans="1:12">
      <c r="A1031" s="19"/>
      <c r="B1031" s="7"/>
      <c r="C1031" s="175"/>
      <c r="D1031" s="175"/>
      <c r="E1031" s="175"/>
      <c r="F1031" s="229"/>
      <c r="G1031" s="229"/>
      <c r="H1031" s="229"/>
      <c r="I1031" s="72"/>
      <c r="J1031" s="185"/>
      <c r="K1031" s="205"/>
      <c r="L1031" s="14"/>
    </row>
    <row r="1032" spans="1:12">
      <c r="A1032" s="19"/>
      <c r="B1032" s="7"/>
      <c r="C1032" s="175"/>
      <c r="D1032" s="175"/>
      <c r="E1032" s="175"/>
      <c r="F1032" s="229"/>
      <c r="G1032" s="229"/>
      <c r="H1032" s="229"/>
      <c r="I1032" s="72"/>
      <c r="J1032" s="185"/>
      <c r="K1032" s="205"/>
      <c r="L1032" s="37"/>
    </row>
    <row r="1033" spans="1:12">
      <c r="A1033" s="19"/>
      <c r="B1033" s="7"/>
      <c r="C1033" s="175"/>
      <c r="D1033" s="175"/>
      <c r="E1033" s="175"/>
      <c r="F1033" s="229"/>
      <c r="G1033" s="229"/>
      <c r="H1033" s="229"/>
      <c r="I1033" s="72"/>
      <c r="J1033" s="185"/>
      <c r="K1033" s="205"/>
      <c r="L1033" s="37"/>
    </row>
    <row r="1034" spans="1:12">
      <c r="A1034" s="20"/>
      <c r="B1034" s="21"/>
      <c r="C1034" s="175"/>
      <c r="D1034" s="175"/>
      <c r="E1034" s="175"/>
      <c r="F1034" s="232"/>
      <c r="G1034" s="232"/>
      <c r="H1034" s="232"/>
      <c r="I1034" s="63"/>
      <c r="J1034" s="190"/>
      <c r="K1034" s="206"/>
      <c r="L1034" s="7"/>
    </row>
    <row r="1035" spans="1:12">
      <c r="A1035" s="19"/>
      <c r="B1035" s="7"/>
      <c r="C1035" s="175"/>
      <c r="D1035" s="175"/>
      <c r="E1035" s="175"/>
      <c r="F1035" s="229"/>
      <c r="G1035" s="229"/>
      <c r="H1035" s="229"/>
      <c r="I1035" s="72"/>
      <c r="J1035" s="185"/>
      <c r="K1035" s="205"/>
      <c r="L1035" s="14"/>
    </row>
    <row r="1036" spans="1:12">
      <c r="A1036" s="19"/>
      <c r="B1036" s="7"/>
      <c r="C1036" s="175"/>
      <c r="D1036" s="175"/>
      <c r="E1036" s="175"/>
      <c r="F1036" s="229"/>
      <c r="G1036" s="229"/>
      <c r="H1036" s="229"/>
      <c r="I1036" s="72"/>
      <c r="J1036" s="185"/>
      <c r="K1036" s="205"/>
      <c r="L1036" s="7"/>
    </row>
    <row r="1037" spans="1:12">
      <c r="A1037" s="19"/>
      <c r="B1037" s="7"/>
      <c r="C1037" s="175"/>
      <c r="D1037" s="175"/>
      <c r="E1037" s="175"/>
      <c r="F1037" s="229"/>
      <c r="G1037" s="229"/>
      <c r="H1037" s="229"/>
      <c r="I1037" s="72"/>
      <c r="J1037" s="185"/>
      <c r="K1037" s="205"/>
      <c r="L1037" s="7"/>
    </row>
    <row r="1038" spans="1:12">
      <c r="A1038" s="19"/>
      <c r="B1038" s="7"/>
      <c r="C1038" s="175"/>
      <c r="D1038" s="175"/>
      <c r="E1038" s="175"/>
      <c r="F1038" s="229"/>
      <c r="G1038" s="229"/>
      <c r="H1038" s="229"/>
      <c r="I1038" s="72"/>
      <c r="J1038" s="185"/>
      <c r="K1038" s="205"/>
      <c r="L1038" s="7"/>
    </row>
    <row r="1039" spans="1:12">
      <c r="A1039" s="19"/>
      <c r="B1039" s="7"/>
      <c r="C1039" s="175"/>
      <c r="D1039" s="175"/>
      <c r="E1039" s="175"/>
      <c r="F1039" s="229"/>
      <c r="G1039" s="229"/>
      <c r="H1039" s="229"/>
      <c r="I1039" s="72"/>
      <c r="J1039" s="185"/>
      <c r="K1039" s="205"/>
      <c r="L1039" s="7"/>
    </row>
    <row r="1040" spans="1:12">
      <c r="A1040" s="19"/>
      <c r="B1040" s="7"/>
      <c r="C1040" s="175"/>
      <c r="D1040" s="175"/>
      <c r="E1040" s="175"/>
      <c r="F1040" s="229"/>
      <c r="G1040" s="229"/>
      <c r="H1040" s="229"/>
      <c r="I1040" s="72"/>
      <c r="J1040" s="185"/>
      <c r="K1040" s="205"/>
      <c r="L1040" s="7"/>
    </row>
    <row r="1041" spans="1:12">
      <c r="A1041" s="19"/>
      <c r="B1041" s="7"/>
      <c r="C1041" s="175"/>
      <c r="D1041" s="175"/>
      <c r="E1041" s="175"/>
      <c r="F1041" s="229"/>
      <c r="G1041" s="229"/>
      <c r="H1041" s="229"/>
      <c r="I1041" s="72"/>
      <c r="J1041" s="185"/>
      <c r="K1041" s="205"/>
      <c r="L1041" s="7"/>
    </row>
    <row r="1042" spans="1:12">
      <c r="A1042" s="19"/>
      <c r="B1042" s="7"/>
      <c r="C1042" s="175"/>
      <c r="D1042" s="175"/>
      <c r="E1042" s="175"/>
      <c r="F1042" s="229"/>
      <c r="G1042" s="229"/>
      <c r="H1042" s="229"/>
      <c r="I1042" s="72"/>
      <c r="J1042" s="185"/>
      <c r="K1042" s="205"/>
      <c r="L1042" s="7"/>
    </row>
    <row r="1043" spans="1:12">
      <c r="A1043" s="19"/>
      <c r="B1043" s="7"/>
      <c r="C1043" s="175"/>
      <c r="D1043" s="175"/>
      <c r="E1043" s="175"/>
      <c r="F1043" s="229"/>
      <c r="G1043" s="229"/>
      <c r="H1043" s="229"/>
      <c r="I1043" s="72"/>
      <c r="J1043" s="185"/>
      <c r="K1043" s="205"/>
      <c r="L1043" s="7"/>
    </row>
    <row r="1044" spans="1:12">
      <c r="A1044" s="20"/>
      <c r="B1044" s="21"/>
      <c r="C1044" s="175"/>
      <c r="D1044" s="175"/>
      <c r="E1044" s="175"/>
      <c r="F1044" s="232"/>
      <c r="G1044" s="232"/>
      <c r="H1044" s="232"/>
      <c r="I1044" s="63"/>
      <c r="J1044" s="190"/>
      <c r="K1044" s="206"/>
      <c r="L1044" s="7"/>
    </row>
    <row r="1045" spans="1:12">
      <c r="A1045" s="20"/>
      <c r="B1045" s="21"/>
      <c r="C1045" s="175"/>
      <c r="D1045" s="175"/>
      <c r="E1045" s="175"/>
      <c r="F1045" s="232"/>
      <c r="G1045" s="232"/>
      <c r="H1045" s="232"/>
      <c r="I1045" s="63"/>
      <c r="J1045" s="190"/>
      <c r="K1045" s="206"/>
      <c r="L1045" s="7"/>
    </row>
    <row r="1046" spans="1:12">
      <c r="A1046" s="19"/>
      <c r="B1046" s="7"/>
      <c r="C1046" s="175"/>
      <c r="D1046" s="175"/>
      <c r="E1046" s="175"/>
      <c r="F1046" s="229"/>
      <c r="G1046" s="229"/>
      <c r="H1046" s="229"/>
      <c r="I1046" s="72"/>
      <c r="J1046" s="185"/>
      <c r="K1046" s="205"/>
      <c r="L1046" s="7"/>
    </row>
    <row r="1047" spans="1:12">
      <c r="A1047" s="19"/>
      <c r="B1047" s="7"/>
      <c r="C1047" s="175"/>
      <c r="D1047" s="175"/>
      <c r="E1047" s="175"/>
      <c r="F1047" s="229"/>
      <c r="G1047" s="229"/>
      <c r="H1047" s="229"/>
      <c r="I1047" s="72"/>
      <c r="J1047" s="185"/>
      <c r="K1047" s="205"/>
      <c r="L1047" s="7"/>
    </row>
    <row r="1048" spans="1:12">
      <c r="A1048" s="19"/>
      <c r="B1048" s="7"/>
      <c r="C1048" s="175"/>
      <c r="D1048" s="175"/>
      <c r="E1048" s="175"/>
      <c r="F1048" s="229"/>
      <c r="G1048" s="229"/>
      <c r="H1048" s="229"/>
      <c r="I1048" s="72"/>
      <c r="J1048" s="185"/>
      <c r="K1048" s="205"/>
      <c r="L1048" s="7"/>
    </row>
    <row r="1049" spans="1:12">
      <c r="A1049" s="19"/>
      <c r="B1049" s="7"/>
      <c r="C1049" s="175"/>
      <c r="D1049" s="175"/>
      <c r="E1049" s="175"/>
      <c r="F1049" s="229"/>
      <c r="G1049" s="229"/>
      <c r="H1049" s="229"/>
      <c r="I1049" s="72"/>
      <c r="J1049" s="185"/>
      <c r="K1049" s="205"/>
      <c r="L1049" s="7"/>
    </row>
    <row r="1050" spans="1:12">
      <c r="A1050" s="19"/>
      <c r="B1050" s="7"/>
      <c r="C1050" s="175"/>
      <c r="D1050" s="175"/>
      <c r="E1050" s="175"/>
      <c r="F1050" s="229"/>
      <c r="G1050" s="229"/>
      <c r="H1050" s="229"/>
      <c r="I1050" s="72"/>
      <c r="J1050" s="185"/>
      <c r="K1050" s="205"/>
      <c r="L1050" s="7"/>
    </row>
    <row r="1051" spans="1:12">
      <c r="A1051" s="19"/>
      <c r="B1051" s="7"/>
      <c r="C1051" s="175"/>
      <c r="D1051" s="175"/>
      <c r="E1051" s="175"/>
      <c r="F1051" s="229"/>
      <c r="G1051" s="229"/>
      <c r="H1051" s="229"/>
      <c r="I1051" s="72"/>
      <c r="J1051" s="185"/>
      <c r="K1051" s="205"/>
      <c r="L1051" s="7"/>
    </row>
    <row r="1052" spans="1:12">
      <c r="A1052" s="19"/>
      <c r="B1052" s="7"/>
      <c r="C1052" s="175"/>
      <c r="D1052" s="175"/>
      <c r="E1052" s="175"/>
      <c r="F1052" s="229"/>
      <c r="G1052" s="229"/>
      <c r="H1052" s="229"/>
      <c r="I1052" s="72"/>
      <c r="J1052" s="185"/>
      <c r="K1052" s="205"/>
      <c r="L1052" s="7"/>
    </row>
    <row r="1053" spans="1:12">
      <c r="A1053" s="20"/>
      <c r="B1053" s="21"/>
      <c r="C1053" s="175"/>
      <c r="D1053" s="175"/>
      <c r="E1053" s="175"/>
      <c r="F1053" s="232"/>
      <c r="G1053" s="232"/>
      <c r="H1053" s="232"/>
      <c r="I1053" s="63"/>
      <c r="J1053" s="190"/>
      <c r="K1053" s="206"/>
      <c r="L1053" s="7"/>
    </row>
    <row r="1054" spans="1:12">
      <c r="A1054" s="20"/>
      <c r="B1054" s="21"/>
      <c r="C1054" s="175"/>
      <c r="D1054" s="175"/>
      <c r="E1054" s="175"/>
      <c r="F1054" s="232"/>
      <c r="G1054" s="232"/>
      <c r="H1054" s="232"/>
      <c r="I1054" s="63"/>
      <c r="J1054" s="190"/>
      <c r="K1054" s="206"/>
      <c r="L1054" s="7"/>
    </row>
    <row r="1055" spans="1:12">
      <c r="A1055" s="20"/>
      <c r="B1055" s="21"/>
      <c r="C1055" s="175"/>
      <c r="D1055" s="175"/>
      <c r="E1055" s="175"/>
      <c r="F1055" s="232"/>
      <c r="G1055" s="232"/>
      <c r="H1055" s="232"/>
      <c r="I1055" s="63"/>
      <c r="J1055" s="190"/>
      <c r="K1055" s="206"/>
      <c r="L1055" s="7"/>
    </row>
    <row r="1056" spans="1:12">
      <c r="A1056" s="20"/>
      <c r="B1056" s="21"/>
      <c r="C1056" s="175"/>
      <c r="D1056" s="175"/>
      <c r="E1056" s="175"/>
      <c r="F1056" s="232"/>
      <c r="G1056" s="232"/>
      <c r="H1056" s="232"/>
      <c r="I1056" s="63"/>
      <c r="J1056" s="190"/>
      <c r="K1056" s="206"/>
      <c r="L1056" s="7"/>
    </row>
    <row r="1057" spans="1:12">
      <c r="A1057" s="20"/>
      <c r="B1057" s="21"/>
      <c r="C1057" s="175"/>
      <c r="D1057" s="175"/>
      <c r="E1057" s="175"/>
      <c r="F1057" s="232"/>
      <c r="G1057" s="232"/>
      <c r="H1057" s="232"/>
      <c r="I1057" s="63"/>
      <c r="J1057" s="190"/>
      <c r="K1057" s="206"/>
      <c r="L1057" s="7"/>
    </row>
    <row r="1058" spans="1:12">
      <c r="A1058" s="19"/>
      <c r="B1058" s="7"/>
      <c r="C1058" s="175"/>
      <c r="D1058" s="175"/>
      <c r="E1058" s="175"/>
      <c r="F1058" s="229"/>
      <c r="G1058" s="229"/>
      <c r="H1058" s="229"/>
      <c r="I1058" s="72"/>
      <c r="J1058" s="185"/>
      <c r="K1058" s="205"/>
      <c r="L1058" s="7"/>
    </row>
    <row r="1059" spans="1:12">
      <c r="A1059" s="19"/>
      <c r="B1059" s="7"/>
      <c r="C1059" s="175"/>
      <c r="D1059" s="175"/>
      <c r="E1059" s="175"/>
      <c r="F1059" s="229"/>
      <c r="G1059" s="229"/>
      <c r="H1059" s="229"/>
      <c r="I1059" s="72"/>
      <c r="J1059" s="185"/>
      <c r="K1059" s="205"/>
      <c r="L1059" s="7"/>
    </row>
    <row r="1060" spans="1:12">
      <c r="A1060" s="19"/>
      <c r="B1060" s="7"/>
      <c r="C1060" s="175"/>
      <c r="D1060" s="175"/>
      <c r="E1060" s="175"/>
      <c r="F1060" s="229"/>
      <c r="G1060" s="229"/>
      <c r="H1060" s="229"/>
      <c r="I1060" s="72"/>
      <c r="J1060" s="185"/>
      <c r="K1060" s="205"/>
      <c r="L1060" s="7"/>
    </row>
    <row r="1061" spans="1:12">
      <c r="A1061" s="19"/>
      <c r="B1061" s="7"/>
      <c r="C1061" s="175"/>
      <c r="D1061" s="175"/>
      <c r="E1061" s="175"/>
      <c r="F1061" s="229"/>
      <c r="G1061" s="229"/>
      <c r="H1061" s="229"/>
      <c r="I1061" s="72"/>
      <c r="J1061" s="185"/>
      <c r="K1061" s="205"/>
      <c r="L1061" s="7"/>
    </row>
    <row r="1062" spans="1:12">
      <c r="A1062" s="19"/>
      <c r="B1062" s="7"/>
      <c r="C1062" s="175"/>
      <c r="D1062" s="175"/>
      <c r="E1062" s="175"/>
      <c r="F1062" s="229"/>
      <c r="G1062" s="229"/>
      <c r="H1062" s="229"/>
      <c r="I1062" s="72"/>
      <c r="J1062" s="185"/>
      <c r="K1062" s="205"/>
      <c r="L1062" s="7"/>
    </row>
    <row r="1063" spans="1:12">
      <c r="A1063" s="19"/>
      <c r="B1063" s="7"/>
      <c r="C1063" s="175"/>
      <c r="D1063" s="175"/>
      <c r="E1063" s="175"/>
      <c r="F1063" s="229"/>
      <c r="G1063" s="229"/>
      <c r="H1063" s="229"/>
      <c r="I1063" s="72"/>
      <c r="J1063" s="185"/>
      <c r="K1063" s="205"/>
      <c r="L1063" s="7"/>
    </row>
    <row r="1064" spans="1:12">
      <c r="A1064" s="19"/>
      <c r="B1064" s="7"/>
      <c r="C1064" s="175"/>
      <c r="D1064" s="175"/>
      <c r="E1064" s="175"/>
      <c r="F1064" s="229"/>
      <c r="G1064" s="229"/>
      <c r="H1064" s="229"/>
      <c r="I1064" s="72"/>
      <c r="J1064" s="185"/>
      <c r="K1064" s="205"/>
      <c r="L1064" s="7"/>
    </row>
    <row r="1065" spans="1:12">
      <c r="A1065" s="19"/>
      <c r="B1065" s="7"/>
      <c r="C1065" s="175"/>
      <c r="D1065" s="175"/>
      <c r="E1065" s="175"/>
      <c r="F1065" s="229"/>
      <c r="G1065" s="229"/>
      <c r="H1065" s="229"/>
      <c r="I1065" s="72"/>
      <c r="J1065" s="185"/>
      <c r="K1065" s="205"/>
      <c r="L1065" s="7"/>
    </row>
    <row r="1066" spans="1:12">
      <c r="A1066" s="19"/>
      <c r="B1066" s="7"/>
      <c r="C1066" s="175"/>
      <c r="D1066" s="175"/>
      <c r="E1066" s="175"/>
      <c r="F1066" s="229"/>
      <c r="G1066" s="229"/>
      <c r="H1066" s="229"/>
      <c r="I1066" s="72"/>
      <c r="J1066" s="185"/>
      <c r="K1066" s="205"/>
      <c r="L1066" s="7"/>
    </row>
    <row r="1067" spans="1:12">
      <c r="A1067" s="19"/>
      <c r="B1067" s="7"/>
      <c r="C1067" s="175"/>
      <c r="D1067" s="175"/>
      <c r="E1067" s="175"/>
      <c r="F1067" s="229"/>
      <c r="G1067" s="229"/>
      <c r="H1067" s="229"/>
      <c r="I1067" s="72"/>
      <c r="J1067" s="185"/>
      <c r="K1067" s="205"/>
      <c r="L1067" s="7"/>
    </row>
    <row r="1068" spans="1:12">
      <c r="A1068" s="19"/>
      <c r="B1068" s="7"/>
      <c r="C1068" s="175"/>
      <c r="D1068" s="175"/>
      <c r="E1068" s="175"/>
      <c r="F1068" s="229"/>
      <c r="G1068" s="229"/>
      <c r="H1068" s="229"/>
      <c r="I1068" s="72"/>
      <c r="J1068" s="185"/>
      <c r="K1068" s="205"/>
      <c r="L1068" s="14"/>
    </row>
    <row r="1069" spans="1:12">
      <c r="A1069" s="19"/>
      <c r="B1069" s="7"/>
      <c r="C1069" s="175"/>
      <c r="D1069" s="175"/>
      <c r="E1069" s="175"/>
      <c r="F1069" s="229"/>
      <c r="G1069" s="229"/>
      <c r="H1069" s="229"/>
      <c r="I1069" s="72"/>
      <c r="J1069" s="185"/>
      <c r="K1069" s="205"/>
      <c r="L1069" s="14"/>
    </row>
    <row r="1070" spans="1:12">
      <c r="A1070" s="19"/>
      <c r="B1070" s="7"/>
      <c r="C1070" s="175"/>
      <c r="D1070" s="175"/>
      <c r="E1070" s="175"/>
      <c r="F1070" s="229"/>
      <c r="G1070" s="229"/>
      <c r="H1070" s="229"/>
      <c r="I1070" s="72"/>
      <c r="J1070" s="185"/>
      <c r="K1070" s="205"/>
      <c r="L1070" s="14"/>
    </row>
    <row r="1071" spans="1:12">
      <c r="A1071" s="19"/>
      <c r="B1071" s="7"/>
      <c r="C1071" s="175"/>
      <c r="D1071" s="175"/>
      <c r="E1071" s="175"/>
      <c r="F1071" s="229"/>
      <c r="G1071" s="229"/>
      <c r="H1071" s="229"/>
      <c r="I1071" s="72"/>
      <c r="J1071" s="185"/>
      <c r="K1071" s="205"/>
      <c r="L1071" s="14"/>
    </row>
    <row r="1072" spans="1:12">
      <c r="A1072" s="19"/>
      <c r="B1072" s="7"/>
      <c r="C1072" s="175"/>
      <c r="D1072" s="175"/>
      <c r="E1072" s="175"/>
      <c r="F1072" s="229"/>
      <c r="G1072" s="229"/>
      <c r="H1072" s="229"/>
      <c r="I1072" s="72"/>
      <c r="J1072" s="185"/>
      <c r="K1072" s="205"/>
      <c r="L1072" s="14"/>
    </row>
    <row r="1073" spans="1:12">
      <c r="A1073" s="19"/>
      <c r="B1073" s="7"/>
      <c r="C1073" s="175"/>
      <c r="D1073" s="175"/>
      <c r="E1073" s="175"/>
      <c r="F1073" s="229"/>
      <c r="G1073" s="229"/>
      <c r="H1073" s="229"/>
      <c r="I1073" s="72"/>
      <c r="J1073" s="185"/>
      <c r="K1073" s="205"/>
      <c r="L1073" s="14"/>
    </row>
    <row r="1074" spans="1:12">
      <c r="A1074" s="19"/>
      <c r="B1074" s="7"/>
      <c r="C1074" s="175"/>
      <c r="D1074" s="175"/>
      <c r="E1074" s="175"/>
      <c r="F1074" s="229"/>
      <c r="G1074" s="229"/>
      <c r="H1074" s="229"/>
      <c r="I1074" s="72"/>
      <c r="J1074" s="185"/>
      <c r="K1074" s="205"/>
      <c r="L1074" s="14"/>
    </row>
    <row r="1075" spans="1:12">
      <c r="A1075" s="19"/>
      <c r="B1075" s="7"/>
      <c r="C1075" s="175"/>
      <c r="D1075" s="175"/>
      <c r="E1075" s="175"/>
      <c r="F1075" s="229"/>
      <c r="G1075" s="229"/>
      <c r="H1075" s="229"/>
      <c r="I1075" s="72"/>
      <c r="J1075" s="185"/>
      <c r="K1075" s="205"/>
      <c r="L1075" s="14"/>
    </row>
    <row r="1076" spans="1:12">
      <c r="A1076" s="19"/>
      <c r="B1076" s="7"/>
      <c r="C1076" s="175"/>
      <c r="D1076" s="175"/>
      <c r="E1076" s="175"/>
      <c r="F1076" s="229"/>
      <c r="G1076" s="229"/>
      <c r="H1076" s="229"/>
      <c r="I1076" s="72"/>
      <c r="J1076" s="185"/>
      <c r="K1076" s="205"/>
      <c r="L1076" s="7"/>
    </row>
    <row r="1077" spans="1:12">
      <c r="A1077" s="19"/>
      <c r="B1077" s="7"/>
      <c r="C1077" s="175"/>
      <c r="D1077" s="175"/>
      <c r="E1077" s="175"/>
      <c r="F1077" s="229"/>
      <c r="G1077" s="229"/>
      <c r="H1077" s="229"/>
      <c r="I1077" s="72"/>
      <c r="J1077" s="185"/>
      <c r="K1077" s="205"/>
      <c r="L1077" s="7"/>
    </row>
    <row r="1078" spans="1:12">
      <c r="A1078" s="19"/>
      <c r="B1078" s="7"/>
      <c r="C1078" s="175"/>
      <c r="D1078" s="175"/>
      <c r="E1078" s="175"/>
      <c r="F1078" s="229"/>
      <c r="G1078" s="229"/>
      <c r="H1078" s="229"/>
      <c r="I1078" s="72"/>
      <c r="J1078" s="185"/>
      <c r="K1078" s="205"/>
      <c r="L1078" s="7"/>
    </row>
    <row r="1079" spans="1:12">
      <c r="A1079" s="19"/>
      <c r="B1079" s="7"/>
      <c r="C1079" s="175"/>
      <c r="D1079" s="175"/>
      <c r="E1079" s="175"/>
      <c r="F1079" s="229"/>
      <c r="G1079" s="229"/>
      <c r="H1079" s="229"/>
      <c r="I1079" s="72"/>
      <c r="J1079" s="185"/>
      <c r="K1079" s="205"/>
      <c r="L1079" s="7"/>
    </row>
    <row r="1080" spans="1:12">
      <c r="A1080" s="19"/>
      <c r="B1080" s="7"/>
      <c r="C1080" s="175"/>
      <c r="D1080" s="175"/>
      <c r="E1080" s="175"/>
      <c r="F1080" s="229"/>
      <c r="G1080" s="229"/>
      <c r="H1080" s="229"/>
      <c r="I1080" s="72"/>
      <c r="J1080" s="185"/>
      <c r="K1080" s="205"/>
      <c r="L1080" s="7"/>
    </row>
    <row r="1081" spans="1:12">
      <c r="A1081" s="19"/>
      <c r="B1081" s="7"/>
      <c r="C1081" s="175"/>
      <c r="D1081" s="175"/>
      <c r="E1081" s="175"/>
      <c r="F1081" s="229"/>
      <c r="G1081" s="229"/>
      <c r="H1081" s="229"/>
      <c r="I1081" s="72"/>
      <c r="J1081" s="185"/>
      <c r="K1081" s="205"/>
      <c r="L1081" s="7"/>
    </row>
    <row r="1082" spans="1:12">
      <c r="A1082" s="19"/>
      <c r="B1082" s="7"/>
      <c r="C1082" s="175"/>
      <c r="D1082" s="175"/>
      <c r="E1082" s="175"/>
      <c r="F1082" s="229"/>
      <c r="G1082" s="229"/>
      <c r="H1082" s="229"/>
      <c r="I1082" s="72"/>
      <c r="J1082" s="185"/>
      <c r="K1082" s="205"/>
      <c r="L1082" s="7"/>
    </row>
    <row r="1083" spans="1:12">
      <c r="A1083" s="19"/>
      <c r="B1083" s="7"/>
      <c r="C1083" s="175"/>
      <c r="D1083" s="175"/>
      <c r="E1083" s="175"/>
      <c r="F1083" s="229"/>
      <c r="G1083" s="229"/>
      <c r="H1083" s="229"/>
      <c r="I1083" s="72"/>
      <c r="J1083" s="185"/>
      <c r="K1083" s="205"/>
      <c r="L1083" s="7"/>
    </row>
    <row r="1084" spans="1:12">
      <c r="A1084" s="19"/>
      <c r="B1084" s="7"/>
      <c r="C1084" s="175"/>
      <c r="D1084" s="175"/>
      <c r="E1084" s="175"/>
      <c r="F1084" s="229"/>
      <c r="G1084" s="229"/>
      <c r="H1084" s="229"/>
      <c r="I1084" s="72"/>
      <c r="J1084" s="185"/>
      <c r="K1084" s="205"/>
      <c r="L1084" s="7"/>
    </row>
    <row r="1085" spans="1:12">
      <c r="A1085" s="19"/>
      <c r="B1085" s="7"/>
      <c r="C1085" s="175"/>
      <c r="D1085" s="175"/>
      <c r="E1085" s="175"/>
      <c r="F1085" s="229"/>
      <c r="G1085" s="229"/>
      <c r="H1085" s="229"/>
      <c r="I1085" s="72"/>
      <c r="J1085" s="185"/>
      <c r="K1085" s="205"/>
      <c r="L1085" s="7"/>
    </row>
    <row r="1086" spans="1:12">
      <c r="A1086" s="19"/>
      <c r="B1086" s="7"/>
      <c r="C1086" s="175"/>
      <c r="D1086" s="175"/>
      <c r="E1086" s="175"/>
      <c r="F1086" s="229"/>
      <c r="G1086" s="229"/>
      <c r="H1086" s="229"/>
      <c r="I1086" s="72"/>
      <c r="J1086" s="185"/>
      <c r="K1086" s="205"/>
      <c r="L1086" s="7"/>
    </row>
    <row r="1087" spans="1:12">
      <c r="A1087" s="19"/>
      <c r="B1087" s="7"/>
      <c r="C1087" s="175"/>
      <c r="D1087" s="175"/>
      <c r="E1087" s="175"/>
      <c r="F1087" s="229"/>
      <c r="G1087" s="229"/>
      <c r="H1087" s="229"/>
      <c r="I1087" s="72"/>
      <c r="J1087" s="185"/>
      <c r="K1087" s="205"/>
      <c r="L1087" s="7"/>
    </row>
    <row r="1088" spans="1:12">
      <c r="A1088" s="19"/>
      <c r="B1088" s="7"/>
      <c r="C1088" s="175"/>
      <c r="D1088" s="175"/>
      <c r="E1088" s="175"/>
      <c r="F1088" s="229"/>
      <c r="G1088" s="229"/>
      <c r="H1088" s="229"/>
      <c r="I1088" s="72"/>
      <c r="J1088" s="185"/>
      <c r="K1088" s="205"/>
      <c r="L1088" s="7"/>
    </row>
    <row r="1089" spans="1:12">
      <c r="A1089" s="19"/>
      <c r="B1089" s="7"/>
      <c r="C1089" s="175"/>
      <c r="D1089" s="175"/>
      <c r="E1089" s="175"/>
      <c r="F1089" s="229"/>
      <c r="G1089" s="229"/>
      <c r="H1089" s="229"/>
      <c r="I1089" s="72"/>
      <c r="J1089" s="185"/>
      <c r="K1089" s="205"/>
      <c r="L1089" s="7"/>
    </row>
    <row r="1090" spans="1:12">
      <c r="A1090" s="19"/>
      <c r="B1090" s="7"/>
      <c r="C1090" s="175"/>
      <c r="D1090" s="175"/>
      <c r="E1090" s="175"/>
      <c r="F1090" s="229"/>
      <c r="G1090" s="229"/>
      <c r="H1090" s="229"/>
      <c r="I1090" s="72"/>
      <c r="J1090" s="185"/>
      <c r="K1090" s="205"/>
      <c r="L1090" s="7"/>
    </row>
    <row r="1091" spans="1:12">
      <c r="A1091" s="19"/>
      <c r="B1091" s="7"/>
      <c r="C1091" s="175"/>
      <c r="D1091" s="175"/>
      <c r="E1091" s="175"/>
      <c r="F1091" s="229"/>
      <c r="G1091" s="229"/>
      <c r="H1091" s="229"/>
      <c r="I1091" s="72"/>
      <c r="J1091" s="185"/>
      <c r="K1091" s="205"/>
      <c r="L1091" s="7"/>
    </row>
    <row r="1092" spans="1:12">
      <c r="A1092" s="19"/>
      <c r="B1092" s="7"/>
      <c r="C1092" s="175"/>
      <c r="D1092" s="175"/>
      <c r="E1092" s="175"/>
      <c r="F1092" s="229"/>
      <c r="G1092" s="229"/>
      <c r="H1092" s="229"/>
      <c r="I1092" s="72"/>
      <c r="J1092" s="185"/>
      <c r="K1092" s="205"/>
      <c r="L1092" s="7"/>
    </row>
    <row r="1093" spans="1:12">
      <c r="A1093" s="20"/>
      <c r="B1093" s="21"/>
      <c r="C1093" s="175"/>
      <c r="D1093" s="175"/>
      <c r="E1093" s="175"/>
      <c r="F1093" s="232"/>
      <c r="G1093" s="232"/>
      <c r="H1093" s="232"/>
      <c r="I1093" s="63"/>
      <c r="J1093" s="190"/>
      <c r="K1093" s="206"/>
      <c r="L1093" s="7"/>
    </row>
    <row r="1094" spans="1:12">
      <c r="A1094" s="20"/>
      <c r="B1094" s="21"/>
      <c r="C1094" s="175"/>
      <c r="D1094" s="175"/>
      <c r="E1094" s="175"/>
      <c r="F1094" s="232"/>
      <c r="G1094" s="232"/>
      <c r="H1094" s="232"/>
      <c r="I1094" s="63"/>
      <c r="J1094" s="190"/>
      <c r="K1094" s="206"/>
      <c r="L1094" s="7"/>
    </row>
    <row r="1095" spans="1:12">
      <c r="A1095" s="19"/>
      <c r="B1095" s="7"/>
      <c r="C1095" s="175"/>
      <c r="D1095" s="175"/>
      <c r="E1095" s="175"/>
      <c r="F1095" s="229"/>
      <c r="G1095" s="229"/>
      <c r="H1095" s="229"/>
      <c r="I1095" s="72"/>
      <c r="J1095" s="185"/>
      <c r="K1095" s="205"/>
      <c r="L1095" s="7"/>
    </row>
    <row r="1096" spans="1:12">
      <c r="A1096" s="19"/>
      <c r="B1096" s="7"/>
      <c r="C1096" s="175"/>
      <c r="D1096" s="175"/>
      <c r="E1096" s="175"/>
      <c r="F1096" s="229"/>
      <c r="G1096" s="229"/>
      <c r="H1096" s="229"/>
      <c r="I1096" s="72"/>
      <c r="J1096" s="185"/>
      <c r="K1096" s="205"/>
      <c r="L1096" s="7"/>
    </row>
    <row r="1097" spans="1:12">
      <c r="A1097" s="19"/>
      <c r="B1097" s="7"/>
      <c r="C1097" s="175"/>
      <c r="D1097" s="175"/>
      <c r="E1097" s="175"/>
      <c r="F1097" s="229"/>
      <c r="G1097" s="229"/>
      <c r="H1097" s="229"/>
      <c r="I1097" s="72"/>
      <c r="J1097" s="185"/>
      <c r="K1097" s="205"/>
      <c r="L1097" s="7"/>
    </row>
    <row r="1098" spans="1:12">
      <c r="A1098" s="19"/>
      <c r="B1098" s="7"/>
      <c r="C1098" s="175"/>
      <c r="D1098" s="175"/>
      <c r="E1098" s="175"/>
      <c r="F1098" s="229"/>
      <c r="G1098" s="229"/>
      <c r="H1098" s="229"/>
      <c r="I1098" s="72"/>
      <c r="J1098" s="185"/>
      <c r="K1098" s="205"/>
      <c r="L1098" s="7"/>
    </row>
    <row r="1099" spans="1:12">
      <c r="A1099" s="19"/>
      <c r="B1099" s="7"/>
      <c r="C1099" s="175"/>
      <c r="D1099" s="175"/>
      <c r="E1099" s="175"/>
      <c r="F1099" s="229"/>
      <c r="G1099" s="229"/>
      <c r="H1099" s="229"/>
      <c r="I1099" s="72"/>
      <c r="J1099" s="185"/>
      <c r="K1099" s="205"/>
      <c r="L1099" s="7"/>
    </row>
    <row r="1100" spans="1:12">
      <c r="A1100" s="19"/>
      <c r="B1100" s="7"/>
      <c r="C1100" s="175"/>
      <c r="D1100" s="175"/>
      <c r="E1100" s="175"/>
      <c r="F1100" s="229"/>
      <c r="G1100" s="229"/>
      <c r="H1100" s="229"/>
      <c r="I1100" s="72"/>
      <c r="J1100" s="185"/>
      <c r="K1100" s="205"/>
      <c r="L1100" s="7"/>
    </row>
    <row r="1101" spans="1:12">
      <c r="A1101" s="19"/>
      <c r="B1101" s="7"/>
      <c r="C1101" s="175"/>
      <c r="D1101" s="175"/>
      <c r="E1101" s="175"/>
      <c r="F1101" s="229"/>
      <c r="G1101" s="229"/>
      <c r="H1101" s="229"/>
      <c r="I1101" s="72"/>
      <c r="J1101" s="185"/>
      <c r="K1101" s="205"/>
      <c r="L1101" s="7"/>
    </row>
    <row r="1102" spans="1:12">
      <c r="A1102" s="19"/>
      <c r="B1102" s="7"/>
      <c r="C1102" s="175"/>
      <c r="D1102" s="175"/>
      <c r="E1102" s="175"/>
      <c r="F1102" s="229"/>
      <c r="G1102" s="229"/>
      <c r="H1102" s="229"/>
      <c r="I1102" s="72"/>
      <c r="J1102" s="185"/>
      <c r="K1102" s="205"/>
      <c r="L1102" s="7"/>
    </row>
    <row r="1103" spans="1:12">
      <c r="A1103" s="20"/>
      <c r="B1103" s="21"/>
      <c r="C1103" s="175"/>
      <c r="D1103" s="175"/>
      <c r="E1103" s="175"/>
      <c r="F1103" s="232"/>
      <c r="G1103" s="232"/>
      <c r="H1103" s="232"/>
      <c r="I1103" s="63"/>
      <c r="J1103" s="190"/>
      <c r="K1103" s="206"/>
      <c r="L1103" s="7"/>
    </row>
    <row r="1104" spans="1:12">
      <c r="A1104" s="20"/>
      <c r="B1104" s="21"/>
      <c r="C1104" s="175"/>
      <c r="D1104" s="175"/>
      <c r="E1104" s="175"/>
      <c r="F1104" s="232"/>
      <c r="G1104" s="232"/>
      <c r="H1104" s="232"/>
      <c r="I1104" s="63"/>
      <c r="J1104" s="190"/>
      <c r="K1104" s="206"/>
      <c r="L1104" s="7"/>
    </row>
    <row r="1105" spans="1:12">
      <c r="A1105" s="20"/>
      <c r="B1105" s="21"/>
      <c r="C1105" s="175"/>
      <c r="D1105" s="175"/>
      <c r="E1105" s="175"/>
      <c r="F1105" s="232"/>
      <c r="G1105" s="232"/>
      <c r="H1105" s="232"/>
      <c r="I1105" s="63"/>
      <c r="J1105" s="190"/>
      <c r="K1105" s="206"/>
      <c r="L1105" s="7"/>
    </row>
    <row r="1106" spans="1:12">
      <c r="A1106" s="19"/>
      <c r="B1106" s="7"/>
      <c r="C1106" s="175"/>
      <c r="D1106" s="175"/>
      <c r="E1106" s="175"/>
      <c r="F1106" s="229"/>
      <c r="G1106" s="229"/>
      <c r="H1106" s="229"/>
      <c r="I1106" s="72"/>
      <c r="J1106" s="185"/>
      <c r="K1106" s="205"/>
      <c r="L1106" s="7"/>
    </row>
    <row r="1107" spans="1:12">
      <c r="A1107" s="19"/>
      <c r="B1107" s="7"/>
      <c r="C1107" s="175"/>
      <c r="D1107" s="175"/>
      <c r="E1107" s="175"/>
      <c r="F1107" s="229"/>
      <c r="G1107" s="229"/>
      <c r="H1107" s="229"/>
      <c r="I1107" s="72"/>
      <c r="J1107" s="185"/>
      <c r="K1107" s="205"/>
      <c r="L1107" s="7"/>
    </row>
    <row r="1108" spans="1:12">
      <c r="A1108" s="19"/>
      <c r="B1108" s="7"/>
      <c r="C1108" s="175"/>
      <c r="D1108" s="175"/>
      <c r="E1108" s="175"/>
      <c r="F1108" s="229"/>
      <c r="G1108" s="229"/>
      <c r="H1108" s="229"/>
      <c r="I1108" s="72"/>
      <c r="J1108" s="185"/>
      <c r="K1108" s="205"/>
      <c r="L1108" s="7"/>
    </row>
    <row r="1109" spans="1:12">
      <c r="A1109" s="19"/>
      <c r="B1109" s="7"/>
      <c r="C1109" s="175"/>
      <c r="D1109" s="175"/>
      <c r="E1109" s="175"/>
      <c r="F1109" s="229"/>
      <c r="G1109" s="229"/>
      <c r="H1109" s="229"/>
      <c r="I1109" s="72"/>
      <c r="J1109" s="185"/>
      <c r="K1109" s="205"/>
      <c r="L1109" s="7"/>
    </row>
    <row r="1110" spans="1:12">
      <c r="A1110" s="19"/>
      <c r="B1110" s="7"/>
      <c r="C1110" s="175"/>
      <c r="D1110" s="175"/>
      <c r="E1110" s="175"/>
      <c r="F1110" s="229"/>
      <c r="G1110" s="229"/>
      <c r="H1110" s="229"/>
      <c r="I1110" s="72"/>
      <c r="J1110" s="185"/>
      <c r="K1110" s="205"/>
      <c r="L1110" s="7"/>
    </row>
    <row r="1111" spans="1:12">
      <c r="A1111" s="19"/>
      <c r="B1111" s="7"/>
      <c r="C1111" s="175"/>
      <c r="D1111" s="175"/>
      <c r="E1111" s="175"/>
      <c r="F1111" s="229"/>
      <c r="G1111" s="229"/>
      <c r="H1111" s="229"/>
      <c r="I1111" s="72"/>
      <c r="J1111" s="185"/>
      <c r="K1111" s="205"/>
      <c r="L1111" s="7"/>
    </row>
    <row r="1112" spans="1:12">
      <c r="A1112" s="19"/>
      <c r="B1112" s="7"/>
      <c r="C1112" s="175"/>
      <c r="D1112" s="175"/>
      <c r="E1112" s="175"/>
      <c r="F1112" s="229"/>
      <c r="G1112" s="229"/>
      <c r="H1112" s="229"/>
      <c r="I1112" s="72"/>
      <c r="J1112" s="185"/>
      <c r="K1112" s="205"/>
      <c r="L1112" s="7"/>
    </row>
    <row r="1113" spans="1:12">
      <c r="A1113" s="20"/>
      <c r="B1113" s="21"/>
      <c r="C1113" s="175"/>
      <c r="D1113" s="175"/>
      <c r="E1113" s="175"/>
      <c r="F1113" s="232"/>
      <c r="G1113" s="232"/>
      <c r="H1113" s="232"/>
      <c r="I1113" s="63"/>
      <c r="J1113" s="190"/>
      <c r="K1113" s="206"/>
      <c r="L1113" s="7"/>
    </row>
    <row r="1114" spans="1:12">
      <c r="A1114" s="20"/>
      <c r="B1114" s="21"/>
      <c r="C1114" s="175"/>
      <c r="D1114" s="175"/>
      <c r="E1114" s="175"/>
      <c r="F1114" s="232"/>
      <c r="G1114" s="232"/>
      <c r="H1114" s="232"/>
      <c r="I1114" s="63"/>
      <c r="J1114" s="190"/>
      <c r="K1114" s="206"/>
      <c r="L1114" s="7"/>
    </row>
    <row r="1115" spans="1:12">
      <c r="A1115" s="20"/>
      <c r="B1115" s="21"/>
      <c r="C1115" s="175"/>
      <c r="D1115" s="175"/>
      <c r="E1115" s="175"/>
      <c r="F1115" s="232"/>
      <c r="G1115" s="232"/>
      <c r="H1115" s="232"/>
      <c r="I1115" s="63"/>
      <c r="J1115" s="190"/>
      <c r="K1115" s="206"/>
      <c r="L1115" s="7"/>
    </row>
    <row r="1116" spans="1:12">
      <c r="A1116" s="20"/>
      <c r="B1116" s="21"/>
      <c r="C1116" s="175"/>
      <c r="D1116" s="175"/>
      <c r="E1116" s="175"/>
      <c r="F1116" s="232"/>
      <c r="G1116" s="232"/>
      <c r="H1116" s="232"/>
      <c r="I1116" s="63"/>
      <c r="J1116" s="190"/>
      <c r="K1116" s="206"/>
      <c r="L1116" s="7"/>
    </row>
    <row r="1117" spans="1:12">
      <c r="A1117" s="19"/>
      <c r="B1117" s="7"/>
      <c r="C1117" s="175"/>
      <c r="D1117" s="175"/>
      <c r="E1117" s="175"/>
      <c r="F1117" s="229"/>
      <c r="G1117" s="229"/>
      <c r="H1117" s="229"/>
      <c r="I1117" s="72"/>
      <c r="J1117" s="185"/>
      <c r="K1117" s="205"/>
      <c r="L1117" s="7"/>
    </row>
    <row r="1118" spans="1:12">
      <c r="A1118" s="19"/>
      <c r="B1118" s="7"/>
      <c r="C1118" s="175"/>
      <c r="D1118" s="175"/>
      <c r="E1118" s="175"/>
      <c r="F1118" s="229"/>
      <c r="G1118" s="229"/>
      <c r="H1118" s="229"/>
      <c r="I1118" s="72"/>
      <c r="J1118" s="185"/>
      <c r="K1118" s="205"/>
      <c r="L1118" s="7"/>
    </row>
    <row r="1119" spans="1:12">
      <c r="A1119" s="19"/>
      <c r="B1119" s="7"/>
      <c r="C1119" s="175"/>
      <c r="D1119" s="175"/>
      <c r="E1119" s="175"/>
      <c r="F1119" s="229"/>
      <c r="G1119" s="229"/>
      <c r="H1119" s="229"/>
      <c r="I1119" s="72"/>
      <c r="J1119" s="185"/>
      <c r="K1119" s="205"/>
      <c r="L1119" s="7"/>
    </row>
    <row r="1120" spans="1:12">
      <c r="A1120" s="19"/>
      <c r="B1120" s="7"/>
      <c r="C1120" s="175"/>
      <c r="D1120" s="175"/>
      <c r="E1120" s="175"/>
      <c r="F1120" s="229"/>
      <c r="G1120" s="229"/>
      <c r="H1120" s="229"/>
      <c r="I1120" s="72"/>
      <c r="J1120" s="185"/>
      <c r="K1120" s="205"/>
      <c r="L1120" s="7"/>
    </row>
    <row r="1121" spans="1:12">
      <c r="A1121" s="19"/>
      <c r="B1121" s="7"/>
      <c r="C1121" s="175"/>
      <c r="D1121" s="175"/>
      <c r="E1121" s="175"/>
      <c r="F1121" s="229"/>
      <c r="G1121" s="229"/>
      <c r="H1121" s="229"/>
      <c r="I1121" s="72"/>
      <c r="J1121" s="185"/>
      <c r="K1121" s="205"/>
      <c r="L1121" s="7"/>
    </row>
    <row r="1122" spans="1:12">
      <c r="A1122" s="19"/>
      <c r="B1122" s="7"/>
      <c r="C1122" s="175"/>
      <c r="D1122" s="175"/>
      <c r="E1122" s="175"/>
      <c r="F1122" s="229"/>
      <c r="G1122" s="229"/>
      <c r="H1122" s="229"/>
      <c r="I1122" s="72"/>
      <c r="J1122" s="185"/>
      <c r="K1122" s="205"/>
      <c r="L1122" s="7"/>
    </row>
    <row r="1123" spans="1:12">
      <c r="A1123" s="19"/>
      <c r="B1123" s="7"/>
      <c r="C1123" s="175"/>
      <c r="D1123" s="175"/>
      <c r="E1123" s="175"/>
      <c r="F1123" s="229"/>
      <c r="G1123" s="229"/>
      <c r="H1123" s="229"/>
      <c r="I1123" s="72"/>
      <c r="J1123" s="185"/>
      <c r="K1123" s="205"/>
      <c r="L1123" s="7"/>
    </row>
    <row r="1124" spans="1:12">
      <c r="A1124" s="19"/>
      <c r="B1124" s="7"/>
      <c r="C1124" s="175"/>
      <c r="D1124" s="175"/>
      <c r="E1124" s="175"/>
      <c r="F1124" s="229"/>
      <c r="G1124" s="229"/>
      <c r="H1124" s="229"/>
      <c r="I1124" s="72"/>
      <c r="J1124" s="185"/>
      <c r="K1124" s="205"/>
      <c r="L1124" s="7"/>
    </row>
    <row r="1125" spans="1:12">
      <c r="A1125" s="19"/>
      <c r="B1125" s="7"/>
      <c r="C1125" s="175"/>
      <c r="D1125" s="175"/>
      <c r="E1125" s="175"/>
      <c r="F1125" s="229"/>
      <c r="G1125" s="229"/>
      <c r="H1125" s="229"/>
      <c r="I1125" s="72"/>
      <c r="J1125" s="185"/>
      <c r="K1125" s="205"/>
      <c r="L1125" s="7"/>
    </row>
    <row r="1126" spans="1:12">
      <c r="A1126" s="19"/>
      <c r="B1126" s="7"/>
      <c r="C1126" s="175"/>
      <c r="D1126" s="175"/>
      <c r="E1126" s="175"/>
      <c r="F1126" s="229"/>
      <c r="G1126" s="229"/>
      <c r="H1126" s="229"/>
      <c r="I1126" s="72"/>
      <c r="J1126" s="185"/>
      <c r="K1126" s="205"/>
      <c r="L1126" s="7"/>
    </row>
    <row r="1127" spans="1:12">
      <c r="A1127" s="19"/>
      <c r="B1127" s="7"/>
      <c r="C1127" s="175"/>
      <c r="D1127" s="175"/>
      <c r="E1127" s="175"/>
      <c r="F1127" s="229"/>
      <c r="G1127" s="229"/>
      <c r="H1127" s="229"/>
      <c r="I1127" s="72"/>
      <c r="J1127" s="185"/>
      <c r="K1127" s="205"/>
      <c r="L1127" s="7"/>
    </row>
    <row r="1128" spans="1:12">
      <c r="A1128" s="19"/>
      <c r="B1128" s="7"/>
      <c r="C1128" s="175"/>
      <c r="D1128" s="175"/>
      <c r="E1128" s="175"/>
      <c r="F1128" s="229"/>
      <c r="G1128" s="229"/>
      <c r="H1128" s="229"/>
      <c r="I1128" s="72"/>
      <c r="J1128" s="185"/>
      <c r="K1128" s="205"/>
      <c r="L1128" s="7"/>
    </row>
    <row r="1129" spans="1:12">
      <c r="A1129" s="19"/>
      <c r="B1129" s="7"/>
      <c r="C1129" s="175"/>
      <c r="D1129" s="175"/>
      <c r="E1129" s="175"/>
      <c r="F1129" s="229"/>
      <c r="G1129" s="229"/>
      <c r="H1129" s="229"/>
      <c r="I1129" s="72"/>
      <c r="J1129" s="185"/>
      <c r="K1129" s="205"/>
      <c r="L1129" s="7"/>
    </row>
    <row r="1130" spans="1:12">
      <c r="A1130" s="19"/>
      <c r="B1130" s="7"/>
      <c r="C1130" s="175"/>
      <c r="D1130" s="175"/>
      <c r="E1130" s="175"/>
      <c r="F1130" s="229"/>
      <c r="G1130" s="229"/>
      <c r="H1130" s="229"/>
      <c r="I1130" s="72"/>
      <c r="J1130" s="185"/>
      <c r="K1130" s="205"/>
      <c r="L1130" s="7"/>
    </row>
    <row r="1131" spans="1:12">
      <c r="A1131" s="19"/>
      <c r="B1131" s="7"/>
      <c r="C1131" s="175"/>
      <c r="D1131" s="175"/>
      <c r="E1131" s="175"/>
      <c r="F1131" s="229"/>
      <c r="G1131" s="229"/>
      <c r="H1131" s="229"/>
      <c r="I1131" s="72"/>
      <c r="J1131" s="185"/>
      <c r="K1131" s="205"/>
      <c r="L1131" s="7"/>
    </row>
    <row r="1132" spans="1:12">
      <c r="A1132" s="19"/>
      <c r="B1132" s="7"/>
      <c r="C1132" s="175"/>
      <c r="D1132" s="175"/>
      <c r="E1132" s="175"/>
      <c r="F1132" s="229"/>
      <c r="G1132" s="229"/>
      <c r="H1132" s="229"/>
      <c r="I1132" s="72"/>
      <c r="J1132" s="185"/>
      <c r="K1132" s="205"/>
      <c r="L1132" s="7"/>
    </row>
    <row r="1133" spans="1:12">
      <c r="A1133" s="19"/>
      <c r="B1133" s="7"/>
      <c r="C1133" s="175"/>
      <c r="D1133" s="175"/>
      <c r="E1133" s="175"/>
      <c r="F1133" s="229"/>
      <c r="G1133" s="229"/>
      <c r="H1133" s="229"/>
      <c r="I1133" s="72"/>
      <c r="J1133" s="185"/>
      <c r="K1133" s="205"/>
      <c r="L1133" s="7"/>
    </row>
    <row r="1134" spans="1:12">
      <c r="A1134" s="19"/>
      <c r="B1134" s="7"/>
      <c r="C1134" s="175"/>
      <c r="D1134" s="175"/>
      <c r="E1134" s="175"/>
      <c r="F1134" s="229"/>
      <c r="G1134" s="229"/>
      <c r="H1134" s="229"/>
      <c r="I1134" s="72"/>
      <c r="J1134" s="185"/>
      <c r="K1134" s="205"/>
      <c r="L1134" s="7"/>
    </row>
    <row r="1135" spans="1:12">
      <c r="A1135" s="19"/>
      <c r="B1135" s="7"/>
      <c r="C1135" s="175"/>
      <c r="D1135" s="175"/>
      <c r="E1135" s="175"/>
      <c r="F1135" s="229"/>
      <c r="G1135" s="229"/>
      <c r="H1135" s="229"/>
      <c r="I1135" s="72"/>
      <c r="J1135" s="185"/>
      <c r="K1135" s="205"/>
      <c r="L1135" s="7"/>
    </row>
    <row r="1136" spans="1:12">
      <c r="A1136" s="19"/>
      <c r="B1136" s="7"/>
      <c r="C1136" s="175"/>
      <c r="D1136" s="175"/>
      <c r="E1136" s="175"/>
      <c r="F1136" s="229"/>
      <c r="G1136" s="229"/>
      <c r="H1136" s="229"/>
      <c r="I1136" s="72"/>
      <c r="J1136" s="185"/>
      <c r="K1136" s="205"/>
      <c r="L1136" s="7"/>
    </row>
    <row r="1137" spans="1:12">
      <c r="A1137" s="19"/>
      <c r="B1137" s="7"/>
      <c r="C1137" s="175"/>
      <c r="D1137" s="175"/>
      <c r="E1137" s="175"/>
      <c r="F1137" s="229"/>
      <c r="G1137" s="229"/>
      <c r="H1137" s="229"/>
      <c r="I1137" s="72"/>
      <c r="J1137" s="185"/>
      <c r="K1137" s="205"/>
      <c r="L1137" s="7"/>
    </row>
    <row r="1138" spans="1:12">
      <c r="A1138" s="19"/>
      <c r="B1138" s="7"/>
      <c r="C1138" s="175"/>
      <c r="D1138" s="175"/>
      <c r="E1138" s="175"/>
      <c r="F1138" s="229"/>
      <c r="G1138" s="229"/>
      <c r="H1138" s="229"/>
      <c r="I1138" s="72"/>
      <c r="J1138" s="185"/>
      <c r="K1138" s="205"/>
      <c r="L1138" s="7"/>
    </row>
    <row r="1139" spans="1:12">
      <c r="A1139" s="19"/>
      <c r="B1139" s="7"/>
      <c r="C1139" s="175"/>
      <c r="D1139" s="175"/>
      <c r="E1139" s="175"/>
      <c r="F1139" s="229"/>
      <c r="G1139" s="229"/>
      <c r="H1139" s="229"/>
      <c r="I1139" s="72"/>
      <c r="J1139" s="185"/>
      <c r="K1139" s="205"/>
      <c r="L1139" s="7"/>
    </row>
    <row r="1140" spans="1:12">
      <c r="A1140" s="19"/>
      <c r="B1140" s="7"/>
      <c r="C1140" s="175"/>
      <c r="D1140" s="175"/>
      <c r="E1140" s="175"/>
      <c r="F1140" s="229"/>
      <c r="G1140" s="229"/>
      <c r="H1140" s="229"/>
      <c r="I1140" s="72"/>
      <c r="J1140" s="185"/>
      <c r="K1140" s="205"/>
      <c r="L1140" s="7"/>
    </row>
    <row r="1141" spans="1:12">
      <c r="A1141" s="19"/>
      <c r="B1141" s="7"/>
      <c r="C1141" s="175"/>
      <c r="D1141" s="175"/>
      <c r="E1141" s="175"/>
      <c r="F1141" s="229"/>
      <c r="G1141" s="229"/>
      <c r="H1141" s="229"/>
      <c r="I1141" s="72"/>
      <c r="J1141" s="185"/>
      <c r="K1141" s="205"/>
      <c r="L1141" s="7"/>
    </row>
    <row r="1142" spans="1:12">
      <c r="A1142" s="19"/>
      <c r="B1142" s="7"/>
      <c r="C1142" s="175"/>
      <c r="D1142" s="175"/>
      <c r="E1142" s="175"/>
      <c r="F1142" s="229"/>
      <c r="G1142" s="229"/>
      <c r="H1142" s="229"/>
      <c r="I1142" s="72"/>
      <c r="J1142" s="185"/>
      <c r="K1142" s="205"/>
      <c r="L1142" s="7"/>
    </row>
    <row r="1143" spans="1:12">
      <c r="A1143" s="19"/>
      <c r="B1143" s="7"/>
      <c r="C1143" s="175"/>
      <c r="D1143" s="175"/>
      <c r="E1143" s="175"/>
      <c r="F1143" s="229"/>
      <c r="G1143" s="229"/>
      <c r="H1143" s="229"/>
      <c r="I1143" s="72"/>
      <c r="J1143" s="185"/>
      <c r="K1143" s="205"/>
      <c r="L1143" s="7"/>
    </row>
    <row r="1144" spans="1:12">
      <c r="A1144" s="19"/>
      <c r="B1144" s="7"/>
      <c r="C1144" s="175"/>
      <c r="D1144" s="175"/>
      <c r="E1144" s="175"/>
      <c r="F1144" s="229"/>
      <c r="G1144" s="229"/>
      <c r="H1144" s="229"/>
      <c r="I1144" s="72"/>
      <c r="J1144" s="185"/>
      <c r="K1144" s="205"/>
      <c r="L1144" s="7"/>
    </row>
    <row r="1145" spans="1:12">
      <c r="A1145" s="19"/>
      <c r="B1145" s="7"/>
      <c r="C1145" s="175"/>
      <c r="D1145" s="175"/>
      <c r="E1145" s="175"/>
      <c r="F1145" s="229"/>
      <c r="G1145" s="229"/>
      <c r="H1145" s="229"/>
      <c r="I1145" s="72"/>
      <c r="J1145" s="185"/>
      <c r="K1145" s="205"/>
      <c r="L1145" s="7"/>
    </row>
    <row r="1146" spans="1:12">
      <c r="A1146" s="19"/>
      <c r="B1146" s="7"/>
      <c r="C1146" s="175"/>
      <c r="D1146" s="175"/>
      <c r="E1146" s="175"/>
      <c r="F1146" s="229"/>
      <c r="G1146" s="229"/>
      <c r="H1146" s="229"/>
      <c r="I1146" s="72"/>
      <c r="J1146" s="185"/>
      <c r="K1146" s="205"/>
      <c r="L1146" s="7"/>
    </row>
    <row r="1147" spans="1:12">
      <c r="A1147" s="19"/>
      <c r="B1147" s="7"/>
      <c r="C1147" s="175"/>
      <c r="D1147" s="175"/>
      <c r="E1147" s="175"/>
      <c r="F1147" s="229"/>
      <c r="G1147" s="229"/>
      <c r="H1147" s="229"/>
      <c r="I1147" s="72"/>
      <c r="J1147" s="185"/>
      <c r="K1147" s="205"/>
      <c r="L1147" s="7"/>
    </row>
    <row r="1148" spans="1:12">
      <c r="A1148" s="19"/>
      <c r="B1148" s="7"/>
      <c r="C1148" s="175"/>
      <c r="D1148" s="175"/>
      <c r="E1148" s="175"/>
      <c r="F1148" s="229"/>
      <c r="G1148" s="229"/>
      <c r="H1148" s="229"/>
      <c r="I1148" s="72"/>
      <c r="J1148" s="185"/>
      <c r="K1148" s="205"/>
      <c r="L1148" s="7"/>
    </row>
    <row r="1149" spans="1:12">
      <c r="A1149" s="19"/>
      <c r="B1149" s="7"/>
      <c r="C1149" s="175"/>
      <c r="D1149" s="175"/>
      <c r="E1149" s="175"/>
      <c r="F1149" s="229"/>
      <c r="G1149" s="229"/>
      <c r="H1149" s="229"/>
      <c r="I1149" s="72"/>
      <c r="J1149" s="185"/>
      <c r="K1149" s="205"/>
      <c r="L1149" s="7"/>
    </row>
    <row r="1150" spans="1:12">
      <c r="A1150" s="20"/>
      <c r="B1150" s="21"/>
      <c r="C1150" s="175"/>
      <c r="D1150" s="175"/>
      <c r="E1150" s="175"/>
      <c r="F1150" s="232"/>
      <c r="G1150" s="232"/>
      <c r="H1150" s="232"/>
      <c r="I1150" s="63"/>
      <c r="J1150" s="190"/>
      <c r="K1150" s="206"/>
      <c r="L1150" s="7"/>
    </row>
    <row r="1151" spans="1:12">
      <c r="A1151" s="20"/>
      <c r="B1151" s="21"/>
      <c r="C1151" s="175"/>
      <c r="D1151" s="175"/>
      <c r="E1151" s="175"/>
      <c r="F1151" s="232"/>
      <c r="G1151" s="232"/>
      <c r="H1151" s="232"/>
      <c r="I1151" s="63"/>
      <c r="J1151" s="190"/>
      <c r="K1151" s="206"/>
      <c r="L1151" s="7"/>
    </row>
    <row r="1152" spans="1:12">
      <c r="A1152" s="19"/>
      <c r="B1152" s="7"/>
      <c r="C1152" s="175"/>
      <c r="D1152" s="175"/>
      <c r="E1152" s="175"/>
      <c r="F1152" s="229"/>
      <c r="G1152" s="229"/>
      <c r="H1152" s="229"/>
      <c r="I1152" s="72"/>
      <c r="J1152" s="185"/>
      <c r="K1152" s="205"/>
      <c r="L1152" s="7"/>
    </row>
    <row r="1153" spans="1:12">
      <c r="A1153" s="19"/>
      <c r="B1153" s="7"/>
      <c r="C1153" s="175"/>
      <c r="D1153" s="175"/>
      <c r="E1153" s="175"/>
      <c r="F1153" s="229"/>
      <c r="G1153" s="229"/>
      <c r="H1153" s="229"/>
      <c r="I1153" s="72"/>
      <c r="J1153" s="185"/>
      <c r="K1153" s="205"/>
      <c r="L1153" s="7"/>
    </row>
    <row r="1154" spans="1:12">
      <c r="A1154" s="19"/>
      <c r="B1154" s="7"/>
      <c r="C1154" s="175"/>
      <c r="D1154" s="175"/>
      <c r="E1154" s="175"/>
      <c r="F1154" s="229"/>
      <c r="G1154" s="229"/>
      <c r="H1154" s="229"/>
      <c r="I1154" s="72"/>
      <c r="J1154" s="185"/>
      <c r="K1154" s="205"/>
      <c r="L1154" s="7"/>
    </row>
    <row r="1155" spans="1:12">
      <c r="A1155" s="19"/>
      <c r="B1155" s="7"/>
      <c r="C1155" s="175"/>
      <c r="D1155" s="175"/>
      <c r="E1155" s="175"/>
      <c r="F1155" s="229"/>
      <c r="G1155" s="229"/>
      <c r="H1155" s="229"/>
      <c r="I1155" s="72"/>
      <c r="J1155" s="185"/>
      <c r="K1155" s="205"/>
      <c r="L1155" s="7"/>
    </row>
    <row r="1156" spans="1:12">
      <c r="A1156" s="19"/>
      <c r="B1156" s="7"/>
      <c r="C1156" s="175"/>
      <c r="D1156" s="175"/>
      <c r="E1156" s="175"/>
      <c r="F1156" s="229"/>
      <c r="G1156" s="229"/>
      <c r="H1156" s="229"/>
      <c r="I1156" s="72"/>
      <c r="J1156" s="185"/>
      <c r="K1156" s="205"/>
      <c r="L1156" s="7"/>
    </row>
    <row r="1157" spans="1:12">
      <c r="A1157" s="19"/>
      <c r="B1157" s="7"/>
      <c r="C1157" s="175"/>
      <c r="D1157" s="175"/>
      <c r="E1157" s="175"/>
      <c r="F1157" s="229"/>
      <c r="G1157" s="229"/>
      <c r="H1157" s="229"/>
      <c r="I1157" s="72"/>
      <c r="J1157" s="185"/>
      <c r="K1157" s="205"/>
      <c r="L1157" s="7"/>
    </row>
    <row r="1158" spans="1:12">
      <c r="A1158" s="19"/>
      <c r="B1158" s="7"/>
      <c r="C1158" s="175"/>
      <c r="D1158" s="175"/>
      <c r="E1158" s="175"/>
      <c r="F1158" s="229"/>
      <c r="G1158" s="229"/>
      <c r="H1158" s="229"/>
      <c r="I1158" s="72"/>
      <c r="J1158" s="185"/>
      <c r="K1158" s="205"/>
      <c r="L1158" s="7"/>
    </row>
    <row r="1159" spans="1:12">
      <c r="A1159" s="19"/>
      <c r="B1159" s="7"/>
      <c r="C1159" s="175"/>
      <c r="D1159" s="175"/>
      <c r="E1159" s="175"/>
      <c r="F1159" s="229"/>
      <c r="G1159" s="229"/>
      <c r="H1159" s="229"/>
      <c r="I1159" s="72"/>
      <c r="J1159" s="185"/>
      <c r="K1159" s="205"/>
      <c r="L1159" s="7"/>
    </row>
    <row r="1160" spans="1:12">
      <c r="A1160" s="20"/>
      <c r="B1160" s="21"/>
      <c r="C1160" s="175"/>
      <c r="D1160" s="175"/>
      <c r="E1160" s="175"/>
      <c r="F1160" s="232"/>
      <c r="G1160" s="232"/>
      <c r="H1160" s="232"/>
      <c r="I1160" s="63"/>
      <c r="J1160" s="190"/>
      <c r="K1160" s="206"/>
      <c r="L1160" s="7"/>
    </row>
    <row r="1161" spans="1:12">
      <c r="A1161" s="20"/>
      <c r="B1161" s="21"/>
      <c r="C1161" s="175"/>
      <c r="D1161" s="175"/>
      <c r="E1161" s="175"/>
      <c r="F1161" s="232"/>
      <c r="G1161" s="232"/>
      <c r="H1161" s="232"/>
      <c r="I1161" s="63"/>
      <c r="J1161" s="190"/>
      <c r="K1161" s="206"/>
      <c r="L1161" s="7"/>
    </row>
    <row r="1162" spans="1:12">
      <c r="A1162" s="20"/>
      <c r="B1162" s="21"/>
      <c r="C1162" s="175"/>
      <c r="D1162" s="175"/>
      <c r="E1162" s="175"/>
      <c r="F1162" s="232"/>
      <c r="G1162" s="232"/>
      <c r="H1162" s="232"/>
      <c r="I1162" s="63"/>
      <c r="J1162" s="190"/>
      <c r="K1162" s="206"/>
      <c r="L1162" s="7"/>
    </row>
    <row r="1163" spans="1:12">
      <c r="A1163" s="19"/>
      <c r="B1163" s="7"/>
      <c r="C1163" s="175"/>
      <c r="D1163" s="175"/>
      <c r="E1163" s="175"/>
      <c r="F1163" s="229"/>
      <c r="G1163" s="229"/>
      <c r="H1163" s="229"/>
      <c r="I1163" s="72"/>
      <c r="J1163" s="185"/>
      <c r="K1163" s="205"/>
      <c r="L1163" s="7"/>
    </row>
    <row r="1164" spans="1:12">
      <c r="A1164" s="19"/>
      <c r="B1164" s="7"/>
      <c r="C1164" s="175"/>
      <c r="D1164" s="175"/>
      <c r="E1164" s="175"/>
      <c r="F1164" s="229"/>
      <c r="G1164" s="229"/>
      <c r="H1164" s="229"/>
      <c r="I1164" s="72"/>
      <c r="J1164" s="185"/>
      <c r="K1164" s="205"/>
      <c r="L1164" s="7"/>
    </row>
    <row r="1165" spans="1:12">
      <c r="A1165" s="19"/>
      <c r="B1165" s="7"/>
      <c r="C1165" s="175"/>
      <c r="D1165" s="175"/>
      <c r="E1165" s="175"/>
      <c r="F1165" s="229"/>
      <c r="G1165" s="229"/>
      <c r="H1165" s="229"/>
      <c r="I1165" s="72"/>
      <c r="J1165" s="185"/>
      <c r="K1165" s="205"/>
      <c r="L1165" s="7"/>
    </row>
    <row r="1166" spans="1:12">
      <c r="A1166" s="19"/>
      <c r="B1166" s="7"/>
      <c r="C1166" s="175"/>
      <c r="D1166" s="175"/>
      <c r="E1166" s="175"/>
      <c r="F1166" s="229"/>
      <c r="G1166" s="229"/>
      <c r="H1166" s="229"/>
      <c r="I1166" s="72"/>
      <c r="J1166" s="185"/>
      <c r="K1166" s="205"/>
      <c r="L1166" s="7"/>
    </row>
    <row r="1167" spans="1:12">
      <c r="A1167" s="19"/>
      <c r="B1167" s="7"/>
      <c r="C1167" s="175"/>
      <c r="D1167" s="175"/>
      <c r="E1167" s="175"/>
      <c r="F1167" s="229"/>
      <c r="G1167" s="229"/>
      <c r="H1167" s="229"/>
      <c r="I1167" s="72"/>
      <c r="J1167" s="185"/>
      <c r="K1167" s="205"/>
      <c r="L1167" s="7"/>
    </row>
    <row r="1168" spans="1:12">
      <c r="A1168" s="19"/>
      <c r="B1168" s="7"/>
      <c r="C1168" s="175"/>
      <c r="D1168" s="175"/>
      <c r="E1168" s="175"/>
      <c r="F1168" s="229"/>
      <c r="G1168" s="229"/>
      <c r="H1168" s="229"/>
      <c r="I1168" s="72"/>
      <c r="J1168" s="185"/>
      <c r="K1168" s="205"/>
      <c r="L1168" s="7"/>
    </row>
    <row r="1169" spans="1:12">
      <c r="A1169" s="19"/>
      <c r="B1169" s="7"/>
      <c r="C1169" s="175"/>
      <c r="D1169" s="175"/>
      <c r="E1169" s="175"/>
      <c r="F1169" s="229"/>
      <c r="G1169" s="229"/>
      <c r="H1169" s="229"/>
      <c r="I1169" s="72"/>
      <c r="J1169" s="185"/>
      <c r="K1169" s="205"/>
      <c r="L1169" s="7"/>
    </row>
    <row r="1170" spans="1:12">
      <c r="A1170" s="20"/>
      <c r="B1170" s="21"/>
      <c r="C1170" s="175"/>
      <c r="D1170" s="175"/>
      <c r="E1170" s="175"/>
      <c r="F1170" s="232"/>
      <c r="G1170" s="232"/>
      <c r="H1170" s="232"/>
      <c r="I1170" s="63"/>
      <c r="J1170" s="190"/>
      <c r="K1170" s="206"/>
      <c r="L1170" s="7"/>
    </row>
    <row r="1171" spans="1:12">
      <c r="A1171" s="20"/>
      <c r="B1171" s="21"/>
      <c r="C1171" s="175"/>
      <c r="D1171" s="175"/>
      <c r="E1171" s="175"/>
      <c r="F1171" s="232"/>
      <c r="G1171" s="232"/>
      <c r="H1171" s="232"/>
      <c r="I1171" s="63"/>
      <c r="J1171" s="190"/>
      <c r="K1171" s="206"/>
      <c r="L1171" s="7"/>
    </row>
    <row r="1172" spans="1:12">
      <c r="A1172" s="20"/>
      <c r="B1172" s="21"/>
      <c r="C1172" s="175"/>
      <c r="D1172" s="175"/>
      <c r="E1172" s="175"/>
      <c r="F1172" s="232"/>
      <c r="G1172" s="232"/>
      <c r="H1172" s="232"/>
      <c r="I1172" s="63"/>
      <c r="J1172" s="190"/>
      <c r="K1172" s="206"/>
      <c r="L1172" s="7"/>
    </row>
    <row r="1173" spans="1:12">
      <c r="A1173" s="20"/>
      <c r="B1173" s="21"/>
      <c r="C1173" s="175"/>
      <c r="D1173" s="175"/>
      <c r="E1173" s="175"/>
      <c r="F1173" s="232"/>
      <c r="G1173" s="232"/>
      <c r="H1173" s="232"/>
      <c r="I1173" s="63"/>
      <c r="J1173" s="190"/>
      <c r="K1173" s="206"/>
      <c r="L1173" s="7"/>
    </row>
    <row r="1174" spans="1:12">
      <c r="A1174" s="19"/>
      <c r="B1174" s="7"/>
      <c r="C1174" s="175"/>
      <c r="D1174" s="175"/>
      <c r="E1174" s="175"/>
      <c r="F1174" s="229"/>
      <c r="G1174" s="229"/>
      <c r="H1174" s="229"/>
      <c r="I1174" s="72"/>
      <c r="J1174" s="185"/>
      <c r="K1174" s="205"/>
      <c r="L1174" s="7"/>
    </row>
    <row r="1175" spans="1:12">
      <c r="A1175" s="19"/>
      <c r="B1175" s="7"/>
      <c r="C1175" s="175"/>
      <c r="D1175" s="175"/>
      <c r="E1175" s="175"/>
      <c r="F1175" s="229"/>
      <c r="G1175" s="229"/>
      <c r="H1175" s="229"/>
      <c r="I1175" s="72"/>
      <c r="J1175" s="185"/>
      <c r="K1175" s="205"/>
      <c r="L1175" s="7"/>
    </row>
    <row r="1176" spans="1:12">
      <c r="A1176" s="19"/>
      <c r="B1176" s="7"/>
      <c r="C1176" s="175"/>
      <c r="D1176" s="175"/>
      <c r="E1176" s="175"/>
      <c r="F1176" s="229"/>
      <c r="G1176" s="229"/>
      <c r="H1176" s="229"/>
      <c r="I1176" s="72"/>
      <c r="J1176" s="185"/>
      <c r="K1176" s="205"/>
      <c r="L1176" s="7"/>
    </row>
    <row r="1177" spans="1:12">
      <c r="A1177" s="19"/>
      <c r="B1177" s="7"/>
      <c r="C1177" s="175"/>
      <c r="D1177" s="175"/>
      <c r="E1177" s="175"/>
      <c r="F1177" s="229"/>
      <c r="G1177" s="229"/>
      <c r="H1177" s="229"/>
      <c r="I1177" s="72"/>
      <c r="J1177" s="185"/>
      <c r="K1177" s="205"/>
      <c r="L1177" s="7"/>
    </row>
    <row r="1178" spans="1:12">
      <c r="A1178" s="19"/>
      <c r="B1178" s="7"/>
      <c r="C1178" s="175"/>
      <c r="D1178" s="175"/>
      <c r="E1178" s="175"/>
      <c r="F1178" s="229"/>
      <c r="G1178" s="229"/>
      <c r="H1178" s="229"/>
      <c r="I1178" s="72"/>
      <c r="J1178" s="185"/>
      <c r="K1178" s="205"/>
      <c r="L1178" s="7"/>
    </row>
    <row r="1179" spans="1:12">
      <c r="A1179" s="19"/>
      <c r="B1179" s="7"/>
      <c r="C1179" s="175"/>
      <c r="D1179" s="175"/>
      <c r="E1179" s="175"/>
      <c r="F1179" s="229"/>
      <c r="G1179" s="229"/>
      <c r="H1179" s="229"/>
      <c r="I1179" s="72"/>
      <c r="J1179" s="185"/>
      <c r="K1179" s="205"/>
      <c r="L1179" s="7"/>
    </row>
    <row r="1180" spans="1:12">
      <c r="A1180" s="19"/>
      <c r="B1180" s="7"/>
      <c r="C1180" s="175"/>
      <c r="D1180" s="175"/>
      <c r="E1180" s="175"/>
      <c r="F1180" s="229"/>
      <c r="G1180" s="229"/>
      <c r="H1180" s="229"/>
      <c r="I1180" s="72"/>
      <c r="J1180" s="185"/>
      <c r="K1180" s="205"/>
      <c r="L1180" s="7"/>
    </row>
    <row r="1181" spans="1:12">
      <c r="A1181" s="19"/>
      <c r="B1181" s="7"/>
      <c r="C1181" s="175"/>
      <c r="D1181" s="175"/>
      <c r="E1181" s="175"/>
      <c r="F1181" s="229"/>
      <c r="G1181" s="229"/>
      <c r="H1181" s="229"/>
      <c r="I1181" s="72"/>
      <c r="J1181" s="185"/>
      <c r="K1181" s="205"/>
      <c r="L1181" s="7"/>
    </row>
    <row r="1182" spans="1:12">
      <c r="A1182" s="19"/>
      <c r="B1182" s="7"/>
      <c r="C1182" s="175"/>
      <c r="D1182" s="175"/>
      <c r="E1182" s="175"/>
      <c r="F1182" s="229"/>
      <c r="G1182" s="229"/>
      <c r="H1182" s="229"/>
      <c r="I1182" s="72"/>
      <c r="J1182" s="185"/>
      <c r="K1182" s="205"/>
      <c r="L1182" s="7"/>
    </row>
    <row r="1183" spans="1:12">
      <c r="A1183" s="19"/>
      <c r="B1183" s="7"/>
      <c r="C1183" s="175"/>
      <c r="D1183" s="175"/>
      <c r="E1183" s="175"/>
      <c r="F1183" s="229"/>
      <c r="G1183" s="229"/>
      <c r="H1183" s="229"/>
      <c r="I1183" s="72"/>
      <c r="J1183" s="185"/>
      <c r="K1183" s="205"/>
      <c r="L1183" s="7"/>
    </row>
    <row r="1184" spans="1:12">
      <c r="A1184" s="19"/>
      <c r="B1184" s="7"/>
      <c r="C1184" s="175"/>
      <c r="D1184" s="175"/>
      <c r="E1184" s="175"/>
      <c r="F1184" s="229"/>
      <c r="G1184" s="229"/>
      <c r="H1184" s="229"/>
      <c r="I1184" s="72"/>
      <c r="J1184" s="185"/>
      <c r="K1184" s="205"/>
      <c r="L1184" s="7"/>
    </row>
    <row r="1185" spans="1:12">
      <c r="A1185" s="19"/>
      <c r="B1185" s="7"/>
      <c r="C1185" s="175"/>
      <c r="D1185" s="175"/>
      <c r="E1185" s="175"/>
      <c r="F1185" s="229"/>
      <c r="G1185" s="229"/>
      <c r="H1185" s="229"/>
      <c r="I1185" s="72"/>
      <c r="J1185" s="185"/>
      <c r="K1185" s="205"/>
      <c r="L1185" s="7"/>
    </row>
    <row r="1186" spans="1:12">
      <c r="A1186" s="19"/>
      <c r="B1186" s="7"/>
      <c r="C1186" s="175"/>
      <c r="D1186" s="175"/>
      <c r="E1186" s="175"/>
      <c r="F1186" s="229"/>
      <c r="G1186" s="229"/>
      <c r="H1186" s="229"/>
      <c r="I1186" s="72"/>
      <c r="J1186" s="185"/>
      <c r="K1186" s="205"/>
      <c r="L1186" s="7"/>
    </row>
    <row r="1187" spans="1:12">
      <c r="A1187" s="19"/>
      <c r="B1187" s="7"/>
      <c r="C1187" s="175"/>
      <c r="D1187" s="175"/>
      <c r="E1187" s="175"/>
      <c r="F1187" s="229"/>
      <c r="G1187" s="229"/>
      <c r="H1187" s="229"/>
      <c r="I1187" s="72"/>
      <c r="J1187" s="185"/>
      <c r="K1187" s="205"/>
      <c r="L1187" s="7"/>
    </row>
    <row r="1188" spans="1:12">
      <c r="A1188" s="19"/>
      <c r="B1188" s="7"/>
      <c r="C1188" s="175"/>
      <c r="D1188" s="175"/>
      <c r="E1188" s="175"/>
      <c r="F1188" s="229"/>
      <c r="G1188" s="229"/>
      <c r="H1188" s="229"/>
      <c r="I1188" s="72"/>
      <c r="J1188" s="185"/>
      <c r="K1188" s="205"/>
      <c r="L1188" s="7"/>
    </row>
    <row r="1189" spans="1:12">
      <c r="A1189" s="19"/>
      <c r="B1189" s="7"/>
      <c r="C1189" s="175"/>
      <c r="D1189" s="175"/>
      <c r="E1189" s="175"/>
      <c r="F1189" s="229"/>
      <c r="G1189" s="229"/>
      <c r="H1189" s="229"/>
      <c r="I1189" s="72"/>
      <c r="J1189" s="185"/>
      <c r="K1189" s="205"/>
      <c r="L1189" s="7"/>
    </row>
    <row r="1190" spans="1:12">
      <c r="A1190" s="19"/>
      <c r="B1190" s="7"/>
      <c r="C1190" s="175"/>
      <c r="D1190" s="175"/>
      <c r="E1190" s="175"/>
      <c r="F1190" s="229"/>
      <c r="G1190" s="229"/>
      <c r="H1190" s="229"/>
      <c r="I1190" s="72"/>
      <c r="J1190" s="185"/>
      <c r="K1190" s="205"/>
      <c r="L1190" s="7"/>
    </row>
    <row r="1191" spans="1:12">
      <c r="A1191" s="19"/>
      <c r="B1191" s="7"/>
      <c r="C1191" s="175"/>
      <c r="D1191" s="175"/>
      <c r="E1191" s="175"/>
      <c r="F1191" s="229"/>
      <c r="G1191" s="229"/>
      <c r="H1191" s="229"/>
      <c r="I1191" s="72"/>
      <c r="J1191" s="185"/>
      <c r="K1191" s="205"/>
      <c r="L1191" s="7"/>
    </row>
    <row r="1192" spans="1:12">
      <c r="A1192" s="19"/>
      <c r="B1192" s="7"/>
      <c r="C1192" s="175"/>
      <c r="D1192" s="175"/>
      <c r="E1192" s="175"/>
      <c r="F1192" s="229"/>
      <c r="G1192" s="229"/>
      <c r="H1192" s="229"/>
      <c r="I1192" s="72"/>
      <c r="J1192" s="185"/>
      <c r="K1192" s="205"/>
      <c r="L1192" s="7"/>
    </row>
    <row r="1193" spans="1:12">
      <c r="A1193" s="19"/>
      <c r="B1193" s="7"/>
      <c r="C1193" s="175"/>
      <c r="D1193" s="175"/>
      <c r="E1193" s="175"/>
      <c r="F1193" s="229"/>
      <c r="G1193" s="229"/>
      <c r="H1193" s="229"/>
      <c r="I1193" s="72"/>
      <c r="J1193" s="185"/>
      <c r="K1193" s="205"/>
      <c r="L1193" s="7"/>
    </row>
    <row r="1194" spans="1:12">
      <c r="A1194" s="19"/>
      <c r="B1194" s="7"/>
      <c r="C1194" s="175"/>
      <c r="D1194" s="175"/>
      <c r="E1194" s="175"/>
      <c r="F1194" s="229"/>
      <c r="G1194" s="229"/>
      <c r="H1194" s="229"/>
      <c r="I1194" s="72"/>
      <c r="J1194" s="185"/>
      <c r="K1194" s="205"/>
      <c r="L1194" s="7"/>
    </row>
    <row r="1195" spans="1:12">
      <c r="A1195" s="19"/>
      <c r="B1195" s="7"/>
      <c r="C1195" s="175"/>
      <c r="D1195" s="175"/>
      <c r="E1195" s="175"/>
      <c r="F1195" s="229"/>
      <c r="G1195" s="229"/>
      <c r="H1195" s="229"/>
      <c r="I1195" s="72"/>
      <c r="J1195" s="185"/>
      <c r="K1195" s="205"/>
      <c r="L1195" s="7"/>
    </row>
    <row r="1196" spans="1:12">
      <c r="A1196" s="19"/>
      <c r="B1196" s="7"/>
      <c r="C1196" s="175"/>
      <c r="D1196" s="175"/>
      <c r="E1196" s="175"/>
      <c r="F1196" s="229"/>
      <c r="G1196" s="229"/>
      <c r="H1196" s="229"/>
      <c r="I1196" s="72"/>
      <c r="J1196" s="185"/>
      <c r="K1196" s="205"/>
      <c r="L1196" s="7"/>
    </row>
    <row r="1197" spans="1:12">
      <c r="A1197" s="19"/>
      <c r="B1197" s="7"/>
      <c r="C1197" s="175"/>
      <c r="D1197" s="175"/>
      <c r="E1197" s="175"/>
      <c r="F1197" s="229"/>
      <c r="G1197" s="229"/>
      <c r="H1197" s="229"/>
      <c r="I1197" s="72"/>
      <c r="J1197" s="185"/>
      <c r="K1197" s="205"/>
      <c r="L1197" s="7"/>
    </row>
    <row r="1198" spans="1:12">
      <c r="A1198" s="19"/>
      <c r="B1198" s="7"/>
      <c r="C1198" s="175"/>
      <c r="D1198" s="175"/>
      <c r="E1198" s="175"/>
      <c r="F1198" s="229"/>
      <c r="G1198" s="229"/>
      <c r="H1198" s="229"/>
      <c r="I1198" s="72"/>
      <c r="J1198" s="185"/>
      <c r="K1198" s="205"/>
      <c r="L1198" s="7"/>
    </row>
    <row r="1199" spans="1:12">
      <c r="A1199" s="19"/>
      <c r="B1199" s="7"/>
      <c r="C1199" s="175"/>
      <c r="D1199" s="175"/>
      <c r="E1199" s="175"/>
      <c r="F1199" s="229"/>
      <c r="G1199" s="229"/>
      <c r="H1199" s="229"/>
      <c r="I1199" s="72"/>
      <c r="J1199" s="185"/>
      <c r="K1199" s="205"/>
      <c r="L1199" s="7"/>
    </row>
    <row r="1200" spans="1:12">
      <c r="A1200" s="19"/>
      <c r="B1200" s="7"/>
      <c r="C1200" s="175"/>
      <c r="D1200" s="175"/>
      <c r="E1200" s="175"/>
      <c r="F1200" s="229"/>
      <c r="G1200" s="229"/>
      <c r="H1200" s="229"/>
      <c r="I1200" s="72"/>
      <c r="J1200" s="185"/>
      <c r="K1200" s="205"/>
      <c r="L1200" s="7"/>
    </row>
    <row r="1201" spans="1:12">
      <c r="A1201" s="19"/>
      <c r="B1201" s="7"/>
      <c r="C1201" s="175"/>
      <c r="D1201" s="175"/>
      <c r="E1201" s="175"/>
      <c r="F1201" s="229"/>
      <c r="G1201" s="229"/>
      <c r="H1201" s="229"/>
      <c r="I1201" s="72"/>
      <c r="J1201" s="185"/>
      <c r="K1201" s="205"/>
      <c r="L1201" s="7"/>
    </row>
    <row r="1202" spans="1:12">
      <c r="A1202" s="19"/>
      <c r="B1202" s="7"/>
      <c r="C1202" s="175"/>
      <c r="D1202" s="175"/>
      <c r="E1202" s="175"/>
      <c r="F1202" s="229"/>
      <c r="G1202" s="229"/>
      <c r="H1202" s="229"/>
      <c r="I1202" s="72"/>
      <c r="J1202" s="185"/>
      <c r="K1202" s="205"/>
      <c r="L1202" s="7"/>
    </row>
    <row r="1203" spans="1:12">
      <c r="A1203" s="19"/>
      <c r="B1203" s="7"/>
      <c r="C1203" s="175"/>
      <c r="D1203" s="175"/>
      <c r="E1203" s="175"/>
      <c r="F1203" s="229"/>
      <c r="G1203" s="229"/>
      <c r="H1203" s="229"/>
      <c r="I1203" s="72"/>
      <c r="J1203" s="185"/>
      <c r="K1203" s="205"/>
      <c r="L1203" s="7"/>
    </row>
    <row r="1204" spans="1:12">
      <c r="A1204" s="19"/>
      <c r="B1204" s="7"/>
      <c r="C1204" s="175"/>
      <c r="D1204" s="175"/>
      <c r="E1204" s="175"/>
      <c r="F1204" s="229"/>
      <c r="G1204" s="229"/>
      <c r="H1204" s="229"/>
      <c r="I1204" s="72"/>
      <c r="J1204" s="185"/>
      <c r="K1204" s="205"/>
      <c r="L1204" s="7"/>
    </row>
    <row r="1205" spans="1:12">
      <c r="A1205" s="20"/>
      <c r="B1205" s="21"/>
      <c r="C1205" s="175"/>
      <c r="D1205" s="175"/>
      <c r="E1205" s="175"/>
      <c r="F1205" s="232"/>
      <c r="G1205" s="232"/>
      <c r="H1205" s="232"/>
      <c r="I1205" s="63"/>
      <c r="J1205" s="190"/>
      <c r="K1205" s="206"/>
      <c r="L1205" s="7"/>
    </row>
    <row r="1206" spans="1:12">
      <c r="A1206" s="19"/>
      <c r="B1206" s="7"/>
      <c r="C1206" s="175"/>
      <c r="D1206" s="175"/>
      <c r="E1206" s="175"/>
      <c r="F1206" s="229"/>
      <c r="G1206" s="229"/>
      <c r="H1206" s="229"/>
      <c r="I1206" s="72"/>
      <c r="J1206" s="185"/>
      <c r="K1206" s="205"/>
      <c r="L1206" s="7"/>
    </row>
    <row r="1207" spans="1:12">
      <c r="A1207" s="19"/>
      <c r="B1207" s="7"/>
      <c r="C1207" s="175"/>
      <c r="D1207" s="175"/>
      <c r="E1207" s="175"/>
      <c r="F1207" s="229"/>
      <c r="G1207" s="229"/>
      <c r="H1207" s="229"/>
      <c r="I1207" s="72"/>
      <c r="J1207" s="185"/>
      <c r="K1207" s="205"/>
      <c r="L1207" s="7"/>
    </row>
    <row r="1208" spans="1:12">
      <c r="A1208" s="19"/>
      <c r="B1208" s="7"/>
      <c r="C1208" s="175"/>
      <c r="D1208" s="175"/>
      <c r="E1208" s="175"/>
      <c r="F1208" s="229"/>
      <c r="G1208" s="229"/>
      <c r="H1208" s="229"/>
      <c r="I1208" s="72"/>
      <c r="J1208" s="185"/>
      <c r="K1208" s="205"/>
      <c r="L1208" s="14"/>
    </row>
    <row r="1209" spans="1:12">
      <c r="A1209" s="19"/>
      <c r="B1209" s="7"/>
      <c r="C1209" s="175"/>
      <c r="D1209" s="175"/>
      <c r="E1209" s="175"/>
      <c r="F1209" s="229"/>
      <c r="G1209" s="229"/>
      <c r="H1209" s="229"/>
      <c r="I1209" s="72"/>
      <c r="J1209" s="185"/>
      <c r="K1209" s="205"/>
      <c r="L1209" s="14"/>
    </row>
    <row r="1210" spans="1:12">
      <c r="A1210" s="19"/>
      <c r="B1210" s="7"/>
      <c r="C1210" s="175"/>
      <c r="D1210" s="175"/>
      <c r="E1210" s="175"/>
      <c r="F1210" s="229"/>
      <c r="G1210" s="229"/>
      <c r="H1210" s="229"/>
      <c r="I1210" s="72"/>
      <c r="J1210" s="185"/>
      <c r="K1210" s="205"/>
      <c r="L1210" s="14"/>
    </row>
    <row r="1211" spans="1:12">
      <c r="A1211" s="19"/>
      <c r="B1211" s="7"/>
      <c r="C1211" s="175"/>
      <c r="D1211" s="175"/>
      <c r="E1211" s="175"/>
      <c r="F1211" s="229"/>
      <c r="G1211" s="229"/>
      <c r="H1211" s="229"/>
      <c r="I1211" s="72"/>
      <c r="J1211" s="185"/>
      <c r="K1211" s="205"/>
      <c r="L1211" s="7"/>
    </row>
    <row r="1212" spans="1:12">
      <c r="A1212" s="19"/>
      <c r="B1212" s="7"/>
      <c r="C1212" s="175"/>
      <c r="D1212" s="175"/>
      <c r="E1212" s="175"/>
      <c r="F1212" s="229"/>
      <c r="G1212" s="229"/>
      <c r="H1212" s="229"/>
      <c r="I1212" s="72"/>
      <c r="J1212" s="185"/>
      <c r="K1212" s="205"/>
      <c r="L1212" s="14"/>
    </row>
    <row r="1213" spans="1:12">
      <c r="A1213" s="20"/>
      <c r="B1213" s="21"/>
      <c r="C1213" s="175"/>
      <c r="D1213" s="175"/>
      <c r="E1213" s="175"/>
      <c r="F1213" s="232"/>
      <c r="G1213" s="232"/>
      <c r="H1213" s="232"/>
      <c r="I1213" s="63"/>
      <c r="J1213" s="190"/>
      <c r="K1213" s="206"/>
      <c r="L1213" s="14"/>
    </row>
    <row r="1214" spans="1:12">
      <c r="A1214" s="20"/>
      <c r="B1214" s="21"/>
      <c r="C1214" s="175"/>
      <c r="D1214" s="175"/>
      <c r="E1214" s="175"/>
      <c r="F1214" s="232"/>
      <c r="G1214" s="232"/>
      <c r="H1214" s="232"/>
      <c r="I1214" s="63"/>
      <c r="J1214" s="190"/>
      <c r="K1214" s="206"/>
      <c r="L1214" s="7"/>
    </row>
    <row r="1215" spans="1:12">
      <c r="A1215" s="25"/>
      <c r="B1215" s="26"/>
      <c r="C1215" s="175"/>
      <c r="D1215" s="175"/>
      <c r="E1215" s="175"/>
      <c r="F1215" s="232"/>
      <c r="G1215" s="232"/>
      <c r="H1215" s="232"/>
      <c r="I1215" s="70"/>
      <c r="J1215" s="190"/>
      <c r="K1215" s="206"/>
      <c r="L1215" s="7"/>
    </row>
    <row r="1216" spans="1:12">
      <c r="A1216" s="25"/>
      <c r="B1216" s="26"/>
      <c r="C1216" s="175"/>
      <c r="D1216" s="175"/>
      <c r="E1216" s="175"/>
      <c r="F1216" s="232"/>
      <c r="G1216" s="232"/>
      <c r="H1216" s="232"/>
      <c r="I1216" s="70"/>
      <c r="J1216" s="190"/>
      <c r="K1216" s="206"/>
      <c r="L1216" s="7"/>
    </row>
    <row r="1217" spans="1:12">
      <c r="A1217" s="20"/>
      <c r="B1217" s="21"/>
      <c r="C1217" s="175"/>
      <c r="D1217" s="175"/>
      <c r="E1217" s="175"/>
      <c r="F1217" s="232"/>
      <c r="G1217" s="232"/>
      <c r="H1217" s="232"/>
      <c r="I1217" s="63"/>
      <c r="J1217" s="190"/>
      <c r="K1217" s="206"/>
      <c r="L1217" s="7"/>
    </row>
    <row r="1218" spans="1:12">
      <c r="A1218" s="20"/>
      <c r="B1218" s="21"/>
      <c r="C1218" s="175"/>
      <c r="D1218" s="175"/>
      <c r="E1218" s="175"/>
      <c r="F1218" s="232"/>
      <c r="G1218" s="232"/>
      <c r="H1218" s="232"/>
      <c r="I1218" s="63"/>
      <c r="J1218" s="190"/>
      <c r="K1218" s="206"/>
      <c r="L1218" s="7"/>
    </row>
    <row r="1219" spans="1:12">
      <c r="A1219" s="20"/>
      <c r="B1219" s="21"/>
      <c r="C1219" s="175"/>
      <c r="D1219" s="175"/>
      <c r="E1219" s="175"/>
      <c r="F1219" s="232"/>
      <c r="G1219" s="232"/>
      <c r="H1219" s="232"/>
      <c r="I1219" s="63"/>
      <c r="J1219" s="190"/>
      <c r="K1219" s="206"/>
      <c r="L1219" s="14"/>
    </row>
    <row r="1220" spans="1:12">
      <c r="A1220" s="19"/>
      <c r="B1220" s="7"/>
      <c r="C1220" s="175"/>
      <c r="D1220" s="175"/>
      <c r="E1220" s="175"/>
      <c r="F1220" s="229"/>
      <c r="G1220" s="229"/>
      <c r="H1220" s="229"/>
      <c r="I1220" s="72"/>
      <c r="J1220" s="185"/>
      <c r="K1220" s="205"/>
      <c r="L1220" s="7"/>
    </row>
    <row r="1221" spans="1:12">
      <c r="A1221" s="19"/>
      <c r="B1221" s="7"/>
      <c r="C1221" s="175"/>
      <c r="D1221" s="175"/>
      <c r="E1221" s="175"/>
      <c r="F1221" s="229"/>
      <c r="G1221" s="229"/>
      <c r="H1221" s="229"/>
      <c r="I1221" s="72"/>
      <c r="J1221" s="185"/>
      <c r="K1221" s="205"/>
      <c r="L1221" s="7"/>
    </row>
    <row r="1222" spans="1:12">
      <c r="A1222" s="19"/>
      <c r="B1222" s="7"/>
      <c r="C1222" s="175"/>
      <c r="D1222" s="175"/>
      <c r="E1222" s="175"/>
      <c r="F1222" s="229"/>
      <c r="G1222" s="229"/>
      <c r="H1222" s="229"/>
      <c r="I1222" s="72"/>
      <c r="J1222" s="185"/>
      <c r="K1222" s="205"/>
      <c r="L1222" s="7"/>
    </row>
    <row r="1223" spans="1:12">
      <c r="A1223" s="19"/>
      <c r="B1223" s="7"/>
      <c r="C1223" s="175"/>
      <c r="D1223" s="175"/>
      <c r="E1223" s="175"/>
      <c r="F1223" s="229"/>
      <c r="G1223" s="229"/>
      <c r="H1223" s="229"/>
      <c r="I1223" s="72"/>
      <c r="J1223" s="185"/>
      <c r="K1223" s="205"/>
      <c r="L1223" s="7"/>
    </row>
    <row r="1224" spans="1:12">
      <c r="A1224" s="19"/>
      <c r="B1224" s="7"/>
      <c r="C1224" s="175"/>
      <c r="D1224" s="175"/>
      <c r="E1224" s="175"/>
      <c r="F1224" s="229"/>
      <c r="G1224" s="229"/>
      <c r="H1224" s="229"/>
      <c r="I1224" s="72"/>
      <c r="J1224" s="185"/>
      <c r="K1224" s="205"/>
      <c r="L1224" s="7"/>
    </row>
    <row r="1225" spans="1:12">
      <c r="A1225" s="19"/>
      <c r="B1225" s="7"/>
      <c r="C1225" s="175"/>
      <c r="D1225" s="175"/>
      <c r="E1225" s="175"/>
      <c r="F1225" s="229"/>
      <c r="G1225" s="229"/>
      <c r="H1225" s="229"/>
      <c r="I1225" s="72"/>
      <c r="J1225" s="185"/>
      <c r="K1225" s="205"/>
      <c r="L1225" s="7"/>
    </row>
    <row r="1226" spans="1:12">
      <c r="A1226" s="19"/>
      <c r="B1226" s="7"/>
      <c r="C1226" s="175"/>
      <c r="D1226" s="175"/>
      <c r="E1226" s="175"/>
      <c r="F1226" s="229"/>
      <c r="G1226" s="229"/>
      <c r="H1226" s="229"/>
      <c r="I1226" s="72"/>
      <c r="J1226" s="185"/>
      <c r="K1226" s="205"/>
      <c r="L1226" s="7"/>
    </row>
    <row r="1227" spans="1:12">
      <c r="A1227" s="20"/>
      <c r="B1227" s="21"/>
      <c r="C1227" s="175"/>
      <c r="D1227" s="175"/>
      <c r="E1227" s="175"/>
      <c r="F1227" s="232"/>
      <c r="G1227" s="232"/>
      <c r="H1227" s="232"/>
      <c r="I1227" s="63"/>
      <c r="J1227" s="190"/>
      <c r="K1227" s="206"/>
      <c r="L1227" s="7"/>
    </row>
    <row r="1228" spans="1:12">
      <c r="A1228" s="20"/>
      <c r="B1228" s="21"/>
      <c r="C1228" s="175"/>
      <c r="D1228" s="175"/>
      <c r="E1228" s="175"/>
      <c r="F1228" s="232"/>
      <c r="G1228" s="232"/>
      <c r="H1228" s="232"/>
      <c r="I1228" s="63"/>
      <c r="J1228" s="190"/>
      <c r="K1228" s="206"/>
      <c r="L1228" s="7"/>
    </row>
    <row r="1229" spans="1:12">
      <c r="A1229" s="20"/>
      <c r="B1229" s="21"/>
      <c r="C1229" s="175"/>
      <c r="D1229" s="175"/>
      <c r="E1229" s="175"/>
      <c r="F1229" s="232"/>
      <c r="G1229" s="232"/>
      <c r="H1229" s="232"/>
      <c r="I1229" s="63"/>
      <c r="J1229" s="190"/>
      <c r="K1229" s="206"/>
      <c r="L1229" s="7"/>
    </row>
    <row r="1230" spans="1:12">
      <c r="A1230" s="19"/>
      <c r="B1230" s="7"/>
      <c r="C1230" s="175"/>
      <c r="D1230" s="175"/>
      <c r="E1230" s="175"/>
      <c r="F1230" s="229"/>
      <c r="G1230" s="229"/>
      <c r="H1230" s="229"/>
      <c r="I1230" s="72"/>
      <c r="J1230" s="185"/>
      <c r="K1230" s="205"/>
      <c r="L1230" s="37"/>
    </row>
    <row r="1231" spans="1:12">
      <c r="A1231" s="20"/>
      <c r="B1231" s="21"/>
      <c r="C1231" s="175"/>
      <c r="D1231" s="175"/>
      <c r="E1231" s="175"/>
      <c r="F1231" s="232"/>
      <c r="G1231" s="232"/>
      <c r="H1231" s="232"/>
      <c r="I1231" s="63"/>
      <c r="J1231" s="190"/>
      <c r="K1231" s="206"/>
      <c r="L1231" s="7"/>
    </row>
    <row r="1232" spans="1:12">
      <c r="A1232" s="20"/>
      <c r="B1232" s="21"/>
      <c r="C1232" s="175"/>
      <c r="D1232" s="175"/>
      <c r="E1232" s="175"/>
      <c r="F1232" s="232"/>
      <c r="G1232" s="232"/>
      <c r="H1232" s="232"/>
      <c r="I1232" s="63"/>
      <c r="J1232" s="190"/>
      <c r="K1232" s="206"/>
      <c r="L1232" s="7"/>
    </row>
    <row r="1233" spans="1:12">
      <c r="A1233" s="20"/>
      <c r="B1233" s="21"/>
      <c r="C1233" s="175"/>
      <c r="D1233" s="175"/>
      <c r="E1233" s="175"/>
      <c r="F1233" s="232"/>
      <c r="G1233" s="232"/>
      <c r="H1233" s="232"/>
      <c r="I1233" s="63"/>
      <c r="J1233" s="190"/>
      <c r="K1233" s="206"/>
      <c r="L1233" s="37"/>
    </row>
    <row r="1234" spans="1:12">
      <c r="A1234" s="19"/>
      <c r="B1234" s="7"/>
      <c r="C1234" s="175"/>
      <c r="D1234" s="175"/>
      <c r="E1234" s="175"/>
      <c r="F1234" s="229"/>
      <c r="G1234" s="229"/>
      <c r="H1234" s="229"/>
      <c r="I1234" s="72"/>
      <c r="J1234" s="185"/>
      <c r="K1234" s="205"/>
      <c r="L1234" s="7"/>
    </row>
    <row r="1235" spans="1:12">
      <c r="A1235" s="19"/>
      <c r="B1235" s="7"/>
      <c r="C1235" s="175"/>
      <c r="D1235" s="175"/>
      <c r="E1235" s="175"/>
      <c r="F1235" s="229"/>
      <c r="G1235" s="229"/>
      <c r="H1235" s="229"/>
      <c r="I1235" s="72"/>
      <c r="J1235" s="185"/>
      <c r="K1235" s="205"/>
      <c r="L1235" s="7"/>
    </row>
    <row r="1236" spans="1:12">
      <c r="A1236" s="19"/>
      <c r="B1236" s="7"/>
      <c r="C1236" s="175"/>
      <c r="D1236" s="175"/>
      <c r="E1236" s="175"/>
      <c r="F1236" s="229"/>
      <c r="G1236" s="229"/>
      <c r="H1236" s="229"/>
      <c r="I1236" s="72"/>
      <c r="J1236" s="185"/>
      <c r="K1236" s="205"/>
      <c r="L1236" s="7"/>
    </row>
    <row r="1237" spans="1:12">
      <c r="A1237" s="19"/>
      <c r="B1237" s="7"/>
      <c r="C1237" s="175"/>
      <c r="D1237" s="175"/>
      <c r="E1237" s="175"/>
      <c r="F1237" s="229"/>
      <c r="G1237" s="229"/>
      <c r="H1237" s="229"/>
      <c r="I1237" s="72"/>
      <c r="J1237" s="185"/>
      <c r="K1237" s="205"/>
      <c r="L1237" s="7"/>
    </row>
    <row r="1238" spans="1:12">
      <c r="A1238" s="19"/>
      <c r="B1238" s="7"/>
      <c r="C1238" s="175"/>
      <c r="D1238" s="175"/>
      <c r="E1238" s="175"/>
      <c r="F1238" s="229"/>
      <c r="G1238" s="229"/>
      <c r="H1238" s="229"/>
      <c r="I1238" s="72"/>
      <c r="J1238" s="185"/>
      <c r="K1238" s="205"/>
      <c r="L1238" s="7"/>
    </row>
    <row r="1239" spans="1:12">
      <c r="A1239" s="19"/>
      <c r="B1239" s="7"/>
      <c r="C1239" s="175"/>
      <c r="D1239" s="175"/>
      <c r="E1239" s="175"/>
      <c r="F1239" s="229"/>
      <c r="G1239" s="229"/>
      <c r="H1239" s="229"/>
      <c r="I1239" s="72"/>
      <c r="J1239" s="185"/>
      <c r="K1239" s="205"/>
      <c r="L1239" s="7"/>
    </row>
    <row r="1240" spans="1:12">
      <c r="A1240" s="19"/>
      <c r="B1240" s="7"/>
      <c r="C1240" s="175"/>
      <c r="D1240" s="175"/>
      <c r="E1240" s="175"/>
      <c r="F1240" s="229"/>
      <c r="G1240" s="229"/>
      <c r="H1240" s="229"/>
      <c r="I1240" s="72"/>
      <c r="J1240" s="185"/>
      <c r="K1240" s="205"/>
      <c r="L1240" s="7"/>
    </row>
    <row r="1241" spans="1:12">
      <c r="A1241" s="19"/>
      <c r="B1241" s="7"/>
      <c r="C1241" s="175"/>
      <c r="D1241" s="175"/>
      <c r="E1241" s="175"/>
      <c r="F1241" s="229"/>
      <c r="G1241" s="229"/>
      <c r="H1241" s="229"/>
      <c r="I1241" s="72"/>
      <c r="J1241" s="185"/>
      <c r="K1241" s="205"/>
      <c r="L1241" s="7"/>
    </row>
    <row r="1242" spans="1:12">
      <c r="A1242" s="19"/>
      <c r="B1242" s="7"/>
      <c r="C1242" s="175"/>
      <c r="D1242" s="175"/>
      <c r="E1242" s="175"/>
      <c r="F1242" s="229"/>
      <c r="G1242" s="229"/>
      <c r="H1242" s="229"/>
      <c r="I1242" s="72"/>
      <c r="J1242" s="185"/>
      <c r="K1242" s="205"/>
      <c r="L1242" s="7"/>
    </row>
    <row r="1243" spans="1:12">
      <c r="A1243" s="19"/>
      <c r="B1243" s="7"/>
      <c r="C1243" s="175"/>
      <c r="D1243" s="175"/>
      <c r="E1243" s="175"/>
      <c r="F1243" s="229"/>
      <c r="G1243" s="229"/>
      <c r="H1243" s="229"/>
      <c r="I1243" s="72"/>
      <c r="J1243" s="185"/>
      <c r="K1243" s="205"/>
      <c r="L1243" s="7"/>
    </row>
    <row r="1244" spans="1:12">
      <c r="A1244" s="19"/>
      <c r="B1244" s="7"/>
      <c r="C1244" s="175"/>
      <c r="D1244" s="175"/>
      <c r="E1244" s="175"/>
      <c r="F1244" s="229"/>
      <c r="G1244" s="229"/>
      <c r="H1244" s="229"/>
      <c r="I1244" s="72"/>
      <c r="J1244" s="185"/>
      <c r="K1244" s="205"/>
      <c r="L1244" s="7"/>
    </row>
    <row r="1245" spans="1:12">
      <c r="A1245" s="19"/>
      <c r="B1245" s="7"/>
      <c r="C1245" s="175"/>
      <c r="D1245" s="175"/>
      <c r="E1245" s="175"/>
      <c r="F1245" s="229"/>
      <c r="G1245" s="229"/>
      <c r="H1245" s="229"/>
      <c r="I1245" s="72"/>
      <c r="J1245" s="185"/>
      <c r="K1245" s="205"/>
      <c r="L1245" s="7"/>
    </row>
    <row r="1246" spans="1:12">
      <c r="A1246" s="19"/>
      <c r="B1246" s="7"/>
      <c r="C1246" s="175"/>
      <c r="D1246" s="175"/>
      <c r="E1246" s="175"/>
      <c r="F1246" s="229"/>
      <c r="G1246" s="229"/>
      <c r="H1246" s="229"/>
      <c r="I1246" s="72"/>
      <c r="J1246" s="185"/>
      <c r="K1246" s="205"/>
      <c r="L1246" s="7"/>
    </row>
    <row r="1247" spans="1:12">
      <c r="A1247" s="19"/>
      <c r="B1247" s="7"/>
      <c r="C1247" s="175"/>
      <c r="D1247" s="175"/>
      <c r="E1247" s="175"/>
      <c r="F1247" s="229"/>
      <c r="G1247" s="229"/>
      <c r="H1247" s="229"/>
      <c r="I1247" s="72"/>
      <c r="J1247" s="185"/>
      <c r="K1247" s="205"/>
      <c r="L1247" s="7"/>
    </row>
    <row r="1248" spans="1:12">
      <c r="A1248" s="19"/>
      <c r="B1248" s="7"/>
      <c r="C1248" s="175"/>
      <c r="D1248" s="175"/>
      <c r="E1248" s="175"/>
      <c r="F1248" s="229"/>
      <c r="G1248" s="229"/>
      <c r="H1248" s="229"/>
      <c r="I1248" s="72"/>
      <c r="J1248" s="185"/>
      <c r="K1248" s="205"/>
      <c r="L1248" s="7"/>
    </row>
    <row r="1249" spans="1:12">
      <c r="A1249" s="19"/>
      <c r="B1249" s="7"/>
      <c r="C1249" s="175"/>
      <c r="D1249" s="175"/>
      <c r="E1249" s="175"/>
      <c r="F1249" s="229"/>
      <c r="G1249" s="229"/>
      <c r="H1249" s="229"/>
      <c r="I1249" s="72"/>
      <c r="J1249" s="185"/>
      <c r="K1249" s="205"/>
      <c r="L1249" s="7"/>
    </row>
    <row r="1250" spans="1:12">
      <c r="A1250" s="19"/>
      <c r="B1250" s="7"/>
      <c r="C1250" s="175"/>
      <c r="D1250" s="175"/>
      <c r="E1250" s="175"/>
      <c r="F1250" s="229"/>
      <c r="G1250" s="229"/>
      <c r="H1250" s="229"/>
      <c r="I1250" s="72"/>
      <c r="J1250" s="185"/>
      <c r="K1250" s="205"/>
      <c r="L1250" s="14"/>
    </row>
    <row r="1251" spans="1:12">
      <c r="A1251" s="19"/>
      <c r="B1251" s="7"/>
      <c r="C1251" s="175"/>
      <c r="D1251" s="175"/>
      <c r="E1251" s="175"/>
      <c r="F1251" s="229"/>
      <c r="G1251" s="229"/>
      <c r="H1251" s="229"/>
      <c r="I1251" s="72"/>
      <c r="J1251" s="185"/>
      <c r="K1251" s="205"/>
      <c r="L1251" s="14"/>
    </row>
    <row r="1252" spans="1:12">
      <c r="A1252" s="19"/>
      <c r="B1252" s="7"/>
      <c r="C1252" s="175"/>
      <c r="D1252" s="175"/>
      <c r="E1252" s="175"/>
      <c r="F1252" s="229"/>
      <c r="G1252" s="229"/>
      <c r="H1252" s="229"/>
      <c r="I1252" s="72"/>
      <c r="J1252" s="185"/>
      <c r="K1252" s="205"/>
      <c r="L1252" s="7"/>
    </row>
    <row r="1253" spans="1:12">
      <c r="A1253" s="19"/>
      <c r="B1253" s="7"/>
      <c r="C1253" s="175"/>
      <c r="D1253" s="175"/>
      <c r="E1253" s="175"/>
      <c r="F1253" s="229"/>
      <c r="G1253" s="229"/>
      <c r="H1253" s="229"/>
      <c r="I1253" s="72"/>
      <c r="J1253" s="185"/>
      <c r="K1253" s="205"/>
      <c r="L1253" s="7"/>
    </row>
    <row r="1254" spans="1:12">
      <c r="A1254" s="19"/>
      <c r="B1254" s="7"/>
      <c r="C1254" s="175"/>
      <c r="D1254" s="175"/>
      <c r="E1254" s="175"/>
      <c r="F1254" s="229"/>
      <c r="G1254" s="229"/>
      <c r="H1254" s="229"/>
      <c r="I1254" s="72"/>
      <c r="J1254" s="185"/>
      <c r="K1254" s="205"/>
      <c r="L1254" s="7"/>
    </row>
    <row r="1255" spans="1:12">
      <c r="A1255" s="19"/>
      <c r="B1255" s="7"/>
      <c r="C1255" s="175"/>
      <c r="D1255" s="175"/>
      <c r="E1255" s="175"/>
      <c r="F1255" s="229"/>
      <c r="G1255" s="229"/>
      <c r="H1255" s="229"/>
      <c r="I1255" s="72"/>
      <c r="J1255" s="185"/>
      <c r="K1255" s="205"/>
      <c r="L1255" s="7"/>
    </row>
    <row r="1256" spans="1:12">
      <c r="A1256" s="19"/>
      <c r="B1256" s="7"/>
      <c r="C1256" s="175"/>
      <c r="D1256" s="175"/>
      <c r="E1256" s="175"/>
      <c r="F1256" s="229"/>
      <c r="G1256" s="229"/>
      <c r="H1256" s="229"/>
      <c r="I1256" s="72"/>
      <c r="J1256" s="185"/>
      <c r="K1256" s="205"/>
      <c r="L1256" s="7"/>
    </row>
    <row r="1257" spans="1:12">
      <c r="A1257" s="19"/>
      <c r="B1257" s="7"/>
      <c r="C1257" s="175"/>
      <c r="D1257" s="175"/>
      <c r="E1257" s="175"/>
      <c r="F1257" s="229"/>
      <c r="G1257" s="229"/>
      <c r="H1257" s="229"/>
      <c r="I1257" s="72"/>
      <c r="J1257" s="185"/>
      <c r="K1257" s="205"/>
      <c r="L1257" s="7"/>
    </row>
    <row r="1258" spans="1:12">
      <c r="A1258" s="19"/>
      <c r="B1258" s="7"/>
      <c r="C1258" s="175"/>
      <c r="D1258" s="175"/>
      <c r="E1258" s="175"/>
      <c r="F1258" s="229"/>
      <c r="G1258" s="229"/>
      <c r="H1258" s="229"/>
      <c r="I1258" s="72"/>
      <c r="J1258" s="185"/>
      <c r="K1258" s="205"/>
      <c r="L1258" s="7"/>
    </row>
    <row r="1259" spans="1:12">
      <c r="A1259" s="19"/>
      <c r="B1259" s="7"/>
      <c r="C1259" s="175"/>
      <c r="D1259" s="175"/>
      <c r="E1259" s="175"/>
      <c r="F1259" s="229"/>
      <c r="G1259" s="229"/>
      <c r="H1259" s="229"/>
      <c r="I1259" s="72"/>
      <c r="J1259" s="185"/>
      <c r="K1259" s="205"/>
      <c r="L1259" s="7"/>
    </row>
    <row r="1260" spans="1:12">
      <c r="A1260" s="19"/>
      <c r="B1260" s="7"/>
      <c r="C1260" s="175"/>
      <c r="D1260" s="175"/>
      <c r="E1260" s="175"/>
      <c r="F1260" s="229"/>
      <c r="G1260" s="229"/>
      <c r="H1260" s="229"/>
      <c r="I1260" s="72"/>
      <c r="J1260" s="185"/>
      <c r="K1260" s="205"/>
      <c r="L1260" s="7"/>
    </row>
    <row r="1261" spans="1:12">
      <c r="A1261" s="19"/>
      <c r="B1261" s="7"/>
      <c r="C1261" s="175"/>
      <c r="D1261" s="175"/>
      <c r="E1261" s="175"/>
      <c r="F1261" s="229"/>
      <c r="G1261" s="229"/>
      <c r="H1261" s="229"/>
      <c r="I1261" s="72"/>
      <c r="J1261" s="185"/>
      <c r="K1261" s="205"/>
      <c r="L1261" s="7"/>
    </row>
    <row r="1262" spans="1:12">
      <c r="A1262" s="19"/>
      <c r="B1262" s="7"/>
      <c r="C1262" s="175"/>
      <c r="D1262" s="175"/>
      <c r="E1262" s="175"/>
      <c r="F1262" s="229"/>
      <c r="G1262" s="229"/>
      <c r="H1262" s="229"/>
      <c r="I1262" s="72"/>
      <c r="J1262" s="185"/>
      <c r="K1262" s="205"/>
      <c r="L1262" s="7"/>
    </row>
    <row r="1263" spans="1:12">
      <c r="A1263" s="19"/>
      <c r="B1263" s="7"/>
      <c r="C1263" s="175"/>
      <c r="D1263" s="175"/>
      <c r="E1263" s="175"/>
      <c r="F1263" s="229"/>
      <c r="G1263" s="229"/>
      <c r="H1263" s="229"/>
      <c r="I1263" s="72"/>
      <c r="J1263" s="185"/>
      <c r="K1263" s="205"/>
      <c r="L1263" s="7"/>
    </row>
    <row r="1264" spans="1:12">
      <c r="A1264" s="20"/>
      <c r="B1264" s="21"/>
      <c r="C1264" s="175"/>
      <c r="D1264" s="175"/>
      <c r="E1264" s="175"/>
      <c r="F1264" s="232"/>
      <c r="G1264" s="232"/>
      <c r="H1264" s="232"/>
      <c r="I1264" s="63"/>
      <c r="J1264" s="190"/>
      <c r="K1264" s="206"/>
      <c r="L1264" s="7"/>
    </row>
    <row r="1265" spans="1:12">
      <c r="A1265" s="19"/>
      <c r="B1265" s="7"/>
      <c r="C1265" s="175"/>
      <c r="D1265" s="175"/>
      <c r="E1265" s="175"/>
      <c r="F1265" s="229"/>
      <c r="G1265" s="229"/>
      <c r="H1265" s="229"/>
      <c r="I1265" s="72"/>
      <c r="J1265" s="185"/>
      <c r="K1265" s="205"/>
      <c r="L1265" s="7"/>
    </row>
    <row r="1266" spans="1:12">
      <c r="A1266" s="20"/>
      <c r="B1266" s="21"/>
      <c r="C1266" s="175"/>
      <c r="D1266" s="175"/>
      <c r="E1266" s="175"/>
      <c r="F1266" s="232"/>
      <c r="G1266" s="232"/>
      <c r="H1266" s="232"/>
      <c r="I1266" s="63"/>
      <c r="J1266" s="190"/>
      <c r="K1266" s="206"/>
      <c r="L1266" s="7"/>
    </row>
    <row r="1267" spans="1:12">
      <c r="A1267" s="20"/>
      <c r="B1267" s="21"/>
      <c r="C1267" s="175"/>
      <c r="D1267" s="175"/>
      <c r="E1267" s="175"/>
      <c r="F1267" s="232"/>
      <c r="G1267" s="232"/>
      <c r="H1267" s="232"/>
      <c r="I1267" s="63"/>
      <c r="J1267" s="190"/>
      <c r="K1267" s="206"/>
      <c r="L1267" s="7"/>
    </row>
    <row r="1268" spans="1:12">
      <c r="A1268" s="19"/>
      <c r="B1268" s="7"/>
      <c r="C1268" s="175"/>
      <c r="D1268" s="175"/>
      <c r="E1268" s="175"/>
      <c r="F1268" s="229"/>
      <c r="G1268" s="229"/>
      <c r="H1268" s="229"/>
      <c r="I1268" s="72"/>
      <c r="J1268" s="185"/>
      <c r="K1268" s="205"/>
      <c r="L1268" s="7"/>
    </row>
    <row r="1269" spans="1:12">
      <c r="A1269" s="19"/>
      <c r="B1269" s="7"/>
      <c r="C1269" s="175"/>
      <c r="D1269" s="175"/>
      <c r="E1269" s="175"/>
      <c r="F1269" s="229"/>
      <c r="G1269" s="229"/>
      <c r="H1269" s="229"/>
      <c r="I1269" s="72"/>
      <c r="J1269" s="185"/>
      <c r="K1269" s="205"/>
      <c r="L1269" s="7"/>
    </row>
    <row r="1270" spans="1:12">
      <c r="A1270" s="19"/>
      <c r="B1270" s="7"/>
      <c r="C1270" s="175"/>
      <c r="D1270" s="175"/>
      <c r="E1270" s="175"/>
      <c r="F1270" s="229"/>
      <c r="G1270" s="229"/>
      <c r="H1270" s="229"/>
      <c r="I1270" s="72"/>
      <c r="J1270" s="185"/>
      <c r="K1270" s="205"/>
      <c r="L1270" s="7"/>
    </row>
    <row r="1271" spans="1:12">
      <c r="A1271" s="19"/>
      <c r="B1271" s="7"/>
      <c r="C1271" s="175"/>
      <c r="D1271" s="175"/>
      <c r="E1271" s="175"/>
      <c r="F1271" s="229"/>
      <c r="G1271" s="229"/>
      <c r="H1271" s="229"/>
      <c r="I1271" s="72"/>
      <c r="J1271" s="185"/>
      <c r="K1271" s="205"/>
      <c r="L1271" s="7"/>
    </row>
    <row r="1272" spans="1:12">
      <c r="A1272" s="19"/>
      <c r="B1272" s="7"/>
      <c r="C1272" s="175"/>
      <c r="D1272" s="175"/>
      <c r="E1272" s="175"/>
      <c r="F1272" s="229"/>
      <c r="G1272" s="229"/>
      <c r="H1272" s="229"/>
      <c r="I1272" s="72"/>
      <c r="J1272" s="185"/>
      <c r="K1272" s="205"/>
      <c r="L1272" s="7"/>
    </row>
    <row r="1273" spans="1:12">
      <c r="A1273" s="19"/>
      <c r="B1273" s="7"/>
      <c r="C1273" s="175"/>
      <c r="D1273" s="175"/>
      <c r="E1273" s="175"/>
      <c r="F1273" s="229"/>
      <c r="G1273" s="229"/>
      <c r="H1273" s="229"/>
      <c r="I1273" s="72"/>
      <c r="J1273" s="185"/>
      <c r="K1273" s="205"/>
      <c r="L1273" s="7"/>
    </row>
    <row r="1274" spans="1:12">
      <c r="A1274" s="19"/>
      <c r="B1274" s="7"/>
      <c r="C1274" s="175"/>
      <c r="D1274" s="175"/>
      <c r="E1274" s="175"/>
      <c r="F1274" s="229"/>
      <c r="G1274" s="229"/>
      <c r="H1274" s="229"/>
      <c r="I1274" s="72"/>
      <c r="J1274" s="185"/>
      <c r="K1274" s="205"/>
      <c r="L1274" s="7"/>
    </row>
    <row r="1275" spans="1:12">
      <c r="A1275" s="19"/>
      <c r="B1275" s="7"/>
      <c r="C1275" s="175"/>
      <c r="D1275" s="175"/>
      <c r="E1275" s="175"/>
      <c r="F1275" s="229"/>
      <c r="G1275" s="229"/>
      <c r="H1275" s="229"/>
      <c r="I1275" s="72"/>
      <c r="J1275" s="185"/>
      <c r="K1275" s="205"/>
      <c r="L1275" s="7"/>
    </row>
    <row r="1276" spans="1:12">
      <c r="A1276" s="19"/>
      <c r="B1276" s="7"/>
      <c r="C1276" s="175"/>
      <c r="D1276" s="175"/>
      <c r="E1276" s="175"/>
      <c r="F1276" s="229"/>
      <c r="G1276" s="229"/>
      <c r="H1276" s="229"/>
      <c r="I1276" s="72"/>
      <c r="J1276" s="185"/>
      <c r="K1276" s="205"/>
      <c r="L1276" s="7"/>
    </row>
    <row r="1277" spans="1:12">
      <c r="A1277" s="19"/>
      <c r="B1277" s="7"/>
      <c r="C1277" s="175"/>
      <c r="D1277" s="175"/>
      <c r="E1277" s="175"/>
      <c r="F1277" s="229"/>
      <c r="G1277" s="229"/>
      <c r="H1277" s="229"/>
      <c r="I1277" s="72"/>
      <c r="J1277" s="185"/>
      <c r="K1277" s="205"/>
      <c r="L1277" s="7"/>
    </row>
    <row r="1278" spans="1:12">
      <c r="A1278" s="20"/>
      <c r="B1278" s="21"/>
      <c r="C1278" s="175"/>
      <c r="D1278" s="175"/>
      <c r="E1278" s="175"/>
      <c r="F1278" s="232"/>
      <c r="G1278" s="232"/>
      <c r="H1278" s="232"/>
      <c r="I1278" s="63"/>
      <c r="J1278" s="190"/>
      <c r="K1278" s="206"/>
      <c r="L1278" s="7"/>
    </row>
    <row r="1279" spans="1:12">
      <c r="A1279" s="20"/>
      <c r="B1279" s="21"/>
      <c r="C1279" s="175"/>
      <c r="D1279" s="175"/>
      <c r="E1279" s="175"/>
      <c r="F1279" s="232"/>
      <c r="G1279" s="232"/>
      <c r="H1279" s="232"/>
      <c r="I1279" s="63"/>
      <c r="J1279" s="190"/>
      <c r="K1279" s="206"/>
      <c r="L1279" s="7"/>
    </row>
    <row r="1280" spans="1:12">
      <c r="A1280" s="20"/>
      <c r="B1280" s="21"/>
      <c r="C1280" s="175"/>
      <c r="D1280" s="175"/>
      <c r="E1280" s="175"/>
      <c r="F1280" s="232"/>
      <c r="G1280" s="232"/>
      <c r="H1280" s="232"/>
      <c r="I1280" s="63"/>
      <c r="J1280" s="190"/>
      <c r="K1280" s="206"/>
      <c r="L1280" s="7"/>
    </row>
    <row r="1281" spans="1:12">
      <c r="A1281" s="20"/>
      <c r="B1281" s="21"/>
      <c r="C1281" s="175"/>
      <c r="D1281" s="175"/>
      <c r="E1281" s="175"/>
      <c r="F1281" s="232"/>
      <c r="G1281" s="232"/>
      <c r="H1281" s="232"/>
      <c r="I1281" s="63"/>
      <c r="J1281" s="190"/>
      <c r="K1281" s="206"/>
      <c r="L1281" s="7"/>
    </row>
    <row r="1282" spans="1:12">
      <c r="A1282" s="20"/>
      <c r="B1282" s="21"/>
      <c r="C1282" s="175"/>
      <c r="D1282" s="175"/>
      <c r="E1282" s="175"/>
      <c r="F1282" s="232"/>
      <c r="G1282" s="232"/>
      <c r="H1282" s="232"/>
      <c r="I1282" s="63"/>
      <c r="J1282" s="190"/>
      <c r="K1282" s="206"/>
      <c r="L1282" s="7"/>
    </row>
    <row r="1283" spans="1:12">
      <c r="A1283" s="20"/>
      <c r="B1283" s="21"/>
      <c r="C1283" s="175"/>
      <c r="D1283" s="175"/>
      <c r="E1283" s="175"/>
      <c r="F1283" s="232"/>
      <c r="G1283" s="232"/>
      <c r="H1283" s="232"/>
      <c r="I1283" s="63"/>
      <c r="J1283" s="190"/>
      <c r="K1283" s="206"/>
      <c r="L1283" s="7"/>
    </row>
    <row r="1284" spans="1:12">
      <c r="A1284" s="19"/>
      <c r="B1284" s="7"/>
      <c r="C1284" s="175"/>
      <c r="D1284" s="175"/>
      <c r="E1284" s="175"/>
      <c r="F1284" s="229"/>
      <c r="G1284" s="229"/>
      <c r="H1284" s="229"/>
      <c r="I1284" s="72"/>
      <c r="J1284" s="185"/>
      <c r="K1284" s="205"/>
      <c r="L1284" s="7"/>
    </row>
    <row r="1285" spans="1:12">
      <c r="A1285" s="19"/>
      <c r="B1285" s="7"/>
      <c r="C1285" s="175"/>
      <c r="D1285" s="175"/>
      <c r="E1285" s="175"/>
      <c r="F1285" s="229"/>
      <c r="G1285" s="229"/>
      <c r="H1285" s="229"/>
      <c r="I1285" s="72"/>
      <c r="J1285" s="185"/>
      <c r="K1285" s="205"/>
      <c r="L1285" s="7"/>
    </row>
    <row r="1286" spans="1:12">
      <c r="A1286" s="19"/>
      <c r="B1286" s="7"/>
      <c r="C1286" s="175"/>
      <c r="D1286" s="175"/>
      <c r="E1286" s="175"/>
      <c r="F1286" s="229"/>
      <c r="G1286" s="229"/>
      <c r="H1286" s="229"/>
      <c r="I1286" s="72"/>
      <c r="J1286" s="185"/>
      <c r="K1286" s="205"/>
      <c r="L1286" s="7"/>
    </row>
    <row r="1287" spans="1:12">
      <c r="A1287" s="19"/>
      <c r="B1287" s="7"/>
      <c r="C1287" s="175"/>
      <c r="D1287" s="175"/>
      <c r="E1287" s="175"/>
      <c r="F1287" s="229"/>
      <c r="G1287" s="229"/>
      <c r="H1287" s="229"/>
      <c r="I1287" s="72"/>
      <c r="J1287" s="185"/>
      <c r="K1287" s="205"/>
      <c r="L1287" s="7"/>
    </row>
    <row r="1288" spans="1:12">
      <c r="A1288" s="19"/>
      <c r="B1288" s="7"/>
      <c r="C1288" s="175"/>
      <c r="D1288" s="175"/>
      <c r="E1288" s="175"/>
      <c r="F1288" s="229"/>
      <c r="G1288" s="229"/>
      <c r="H1288" s="229"/>
      <c r="I1288" s="72"/>
      <c r="J1288" s="185"/>
      <c r="K1288" s="205"/>
      <c r="L1288" s="7"/>
    </row>
    <row r="1289" spans="1:12">
      <c r="A1289" s="19"/>
      <c r="B1289" s="7"/>
      <c r="C1289" s="175"/>
      <c r="D1289" s="175"/>
      <c r="E1289" s="175"/>
      <c r="F1289" s="229"/>
      <c r="G1289" s="229"/>
      <c r="H1289" s="229"/>
      <c r="I1289" s="72"/>
      <c r="J1289" s="185"/>
      <c r="K1289" s="205"/>
      <c r="L1289" s="7"/>
    </row>
    <row r="1290" spans="1:12">
      <c r="A1290" s="20"/>
      <c r="B1290" s="21"/>
      <c r="C1290" s="175"/>
      <c r="D1290" s="175"/>
      <c r="E1290" s="175"/>
      <c r="F1290" s="232"/>
      <c r="G1290" s="232"/>
      <c r="H1290" s="232"/>
      <c r="I1290" s="62"/>
      <c r="J1290" s="190"/>
      <c r="K1290" s="206"/>
      <c r="L1290" s="7"/>
    </row>
    <row r="1291" spans="1:12">
      <c r="A1291" s="20"/>
      <c r="B1291" s="21"/>
      <c r="C1291" s="175"/>
      <c r="D1291" s="175"/>
      <c r="E1291" s="175"/>
      <c r="F1291" s="232"/>
      <c r="G1291" s="232"/>
      <c r="H1291" s="232"/>
      <c r="I1291" s="63"/>
      <c r="J1291" s="190"/>
      <c r="K1291" s="206"/>
      <c r="L1291" s="7"/>
    </row>
    <row r="1292" spans="1:12">
      <c r="A1292" s="19"/>
      <c r="B1292" s="7"/>
      <c r="C1292" s="175"/>
      <c r="D1292" s="175"/>
      <c r="E1292" s="175"/>
      <c r="F1292" s="229"/>
      <c r="G1292" s="229"/>
      <c r="H1292" s="229"/>
      <c r="I1292" s="72"/>
      <c r="J1292" s="185"/>
      <c r="K1292" s="205"/>
      <c r="L1292" s="7"/>
    </row>
    <row r="1293" spans="1:12">
      <c r="A1293" s="20"/>
      <c r="B1293" s="21"/>
      <c r="C1293" s="175"/>
      <c r="D1293" s="175"/>
      <c r="E1293" s="175"/>
      <c r="F1293" s="232"/>
      <c r="G1293" s="232"/>
      <c r="H1293" s="232"/>
      <c r="I1293" s="63"/>
      <c r="J1293" s="190"/>
      <c r="K1293" s="206"/>
      <c r="L1293" s="7"/>
    </row>
    <row r="1294" spans="1:12">
      <c r="A1294" s="19"/>
      <c r="B1294" s="7"/>
      <c r="C1294" s="175"/>
      <c r="D1294" s="175"/>
      <c r="E1294" s="175"/>
      <c r="F1294" s="229"/>
      <c r="G1294" s="229"/>
      <c r="H1294" s="229"/>
      <c r="I1294" s="72"/>
      <c r="J1294" s="185"/>
      <c r="K1294" s="205"/>
      <c r="L1294" s="7"/>
    </row>
    <row r="1295" spans="1:12">
      <c r="A1295" s="20"/>
      <c r="B1295" s="21"/>
      <c r="C1295" s="175"/>
      <c r="D1295" s="175"/>
      <c r="E1295" s="175"/>
      <c r="F1295" s="232"/>
      <c r="G1295" s="232"/>
      <c r="H1295" s="232"/>
      <c r="I1295" s="63"/>
      <c r="J1295" s="190"/>
      <c r="K1295" s="206"/>
      <c r="L1295" s="7"/>
    </row>
    <row r="1296" spans="1:12">
      <c r="A1296" s="20"/>
      <c r="B1296" s="21"/>
      <c r="C1296" s="175"/>
      <c r="D1296" s="175"/>
      <c r="E1296" s="175"/>
      <c r="F1296" s="232"/>
      <c r="G1296" s="232"/>
      <c r="H1296" s="232"/>
      <c r="I1296" s="63"/>
      <c r="J1296" s="190"/>
      <c r="K1296" s="206"/>
      <c r="L1296" s="7"/>
    </row>
    <row r="1297" spans="1:12">
      <c r="A1297" s="20"/>
      <c r="B1297" s="21"/>
      <c r="C1297" s="175"/>
      <c r="D1297" s="175"/>
      <c r="E1297" s="175"/>
      <c r="F1297" s="232"/>
      <c r="G1297" s="232"/>
      <c r="H1297" s="232"/>
      <c r="I1297" s="63"/>
      <c r="J1297" s="190"/>
      <c r="K1297" s="206"/>
      <c r="L1297" s="7"/>
    </row>
    <row r="1298" spans="1:12">
      <c r="A1298" s="20"/>
      <c r="B1298" s="21"/>
      <c r="C1298" s="175"/>
      <c r="D1298" s="175"/>
      <c r="E1298" s="175"/>
      <c r="F1298" s="232"/>
      <c r="G1298" s="232"/>
      <c r="H1298" s="232"/>
      <c r="I1298" s="63"/>
      <c r="J1298" s="190"/>
      <c r="K1298" s="206"/>
      <c r="L1298" s="7"/>
    </row>
    <row r="1299" spans="1:12">
      <c r="A1299" s="20"/>
      <c r="B1299" s="21"/>
      <c r="C1299" s="175"/>
      <c r="D1299" s="175"/>
      <c r="E1299" s="175"/>
      <c r="F1299" s="232"/>
      <c r="G1299" s="232"/>
      <c r="H1299" s="232"/>
      <c r="I1299" s="63"/>
      <c r="J1299" s="190"/>
      <c r="K1299" s="206"/>
      <c r="L1299" s="7"/>
    </row>
    <row r="1300" spans="1:12">
      <c r="A1300" s="19"/>
      <c r="B1300" s="7"/>
      <c r="C1300" s="175"/>
      <c r="D1300" s="175"/>
      <c r="E1300" s="175"/>
      <c r="F1300" s="229"/>
      <c r="G1300" s="229"/>
      <c r="H1300" s="229"/>
      <c r="I1300" s="72"/>
      <c r="J1300" s="185"/>
      <c r="K1300" s="205"/>
      <c r="L1300" s="7"/>
    </row>
    <row r="1301" spans="1:12">
      <c r="A1301" s="19"/>
      <c r="B1301" s="7"/>
      <c r="C1301" s="175"/>
      <c r="D1301" s="175"/>
      <c r="E1301" s="175"/>
      <c r="F1301" s="229"/>
      <c r="G1301" s="229"/>
      <c r="H1301" s="229"/>
      <c r="I1301" s="72"/>
      <c r="J1301" s="185"/>
      <c r="K1301" s="205"/>
      <c r="L1301" s="7"/>
    </row>
    <row r="1302" spans="1:12">
      <c r="A1302" s="19"/>
      <c r="B1302" s="7"/>
      <c r="C1302" s="175"/>
      <c r="D1302" s="175"/>
      <c r="E1302" s="175"/>
      <c r="F1302" s="229"/>
      <c r="G1302" s="229"/>
      <c r="H1302" s="229"/>
      <c r="I1302" s="72"/>
      <c r="J1302" s="185"/>
      <c r="K1302" s="205"/>
      <c r="L1302" s="7"/>
    </row>
    <row r="1303" spans="1:12">
      <c r="A1303" s="19"/>
      <c r="B1303" s="7"/>
      <c r="C1303" s="175"/>
      <c r="D1303" s="175"/>
      <c r="E1303" s="175"/>
      <c r="F1303" s="229"/>
      <c r="G1303" s="229"/>
      <c r="H1303" s="229"/>
      <c r="I1303" s="72"/>
      <c r="J1303" s="185"/>
      <c r="K1303" s="205"/>
      <c r="L1303" s="7"/>
    </row>
    <row r="1304" spans="1:12">
      <c r="A1304" s="19"/>
      <c r="B1304" s="7"/>
      <c r="C1304" s="175"/>
      <c r="D1304" s="175"/>
      <c r="E1304" s="175"/>
      <c r="F1304" s="229"/>
      <c r="G1304" s="229"/>
      <c r="H1304" s="229"/>
      <c r="I1304" s="72"/>
      <c r="J1304" s="185"/>
      <c r="K1304" s="205"/>
      <c r="L1304" s="7"/>
    </row>
    <row r="1305" spans="1:12">
      <c r="A1305" s="19"/>
      <c r="B1305" s="7"/>
      <c r="C1305" s="175"/>
      <c r="D1305" s="175"/>
      <c r="E1305" s="175"/>
      <c r="F1305" s="229"/>
      <c r="G1305" s="229"/>
      <c r="H1305" s="229"/>
      <c r="I1305" s="72"/>
      <c r="J1305" s="185"/>
      <c r="K1305" s="205"/>
      <c r="L1305" s="7"/>
    </row>
    <row r="1306" spans="1:12">
      <c r="A1306" s="19"/>
      <c r="B1306" s="7"/>
      <c r="C1306" s="175"/>
      <c r="D1306" s="175"/>
      <c r="E1306" s="175"/>
      <c r="F1306" s="229"/>
      <c r="G1306" s="229"/>
      <c r="H1306" s="229"/>
      <c r="I1306" s="72"/>
      <c r="J1306" s="185"/>
      <c r="K1306" s="205"/>
      <c r="L1306" s="7"/>
    </row>
    <row r="1307" spans="1:12">
      <c r="A1307" s="19"/>
      <c r="B1307" s="7"/>
      <c r="C1307" s="175"/>
      <c r="D1307" s="175"/>
      <c r="E1307" s="175"/>
      <c r="F1307" s="229"/>
      <c r="G1307" s="229"/>
      <c r="H1307" s="229"/>
      <c r="I1307" s="72"/>
      <c r="J1307" s="185"/>
      <c r="K1307" s="205"/>
      <c r="L1307" s="7"/>
    </row>
    <row r="1308" spans="1:12">
      <c r="A1308" s="19"/>
      <c r="B1308" s="7"/>
      <c r="C1308" s="175"/>
      <c r="D1308" s="175"/>
      <c r="E1308" s="175"/>
      <c r="F1308" s="229"/>
      <c r="G1308" s="229"/>
      <c r="H1308" s="229"/>
      <c r="I1308" s="72"/>
      <c r="J1308" s="185"/>
      <c r="K1308" s="205"/>
      <c r="L1308" s="7"/>
    </row>
    <row r="1309" spans="1:12">
      <c r="A1309" s="19"/>
      <c r="B1309" s="7"/>
      <c r="C1309" s="175"/>
      <c r="D1309" s="175"/>
      <c r="E1309" s="175"/>
      <c r="F1309" s="229"/>
      <c r="G1309" s="229"/>
      <c r="H1309" s="229"/>
      <c r="I1309" s="72"/>
      <c r="J1309" s="185"/>
      <c r="K1309" s="205"/>
      <c r="L1309" s="7"/>
    </row>
    <row r="1310" spans="1:12">
      <c r="A1310" s="19"/>
      <c r="B1310" s="7"/>
      <c r="C1310" s="175"/>
      <c r="D1310" s="175"/>
      <c r="E1310" s="175"/>
      <c r="F1310" s="229"/>
      <c r="G1310" s="229"/>
      <c r="H1310" s="229"/>
      <c r="I1310" s="72"/>
      <c r="J1310" s="185"/>
      <c r="K1310" s="205"/>
      <c r="L1310" s="7"/>
    </row>
    <row r="1311" spans="1:12">
      <c r="A1311" s="19"/>
      <c r="B1311" s="7"/>
      <c r="C1311" s="175"/>
      <c r="D1311" s="175"/>
      <c r="E1311" s="175"/>
      <c r="F1311" s="229"/>
      <c r="G1311" s="229"/>
      <c r="H1311" s="229"/>
      <c r="I1311" s="72"/>
      <c r="J1311" s="185"/>
      <c r="K1311" s="205"/>
      <c r="L1311" s="7"/>
    </row>
    <row r="1312" spans="1:12">
      <c r="A1312" s="19"/>
      <c r="B1312" s="7"/>
      <c r="C1312" s="175"/>
      <c r="D1312" s="175"/>
      <c r="E1312" s="175"/>
      <c r="F1312" s="229"/>
      <c r="G1312" s="229"/>
      <c r="H1312" s="229"/>
      <c r="I1312" s="72"/>
      <c r="J1312" s="185"/>
      <c r="K1312" s="205"/>
      <c r="L1312" s="7"/>
    </row>
    <row r="1313" spans="1:12">
      <c r="A1313" s="19"/>
      <c r="B1313" s="7"/>
      <c r="C1313" s="175"/>
      <c r="D1313" s="175"/>
      <c r="E1313" s="175"/>
      <c r="F1313" s="229"/>
      <c r="G1313" s="229"/>
      <c r="H1313" s="229"/>
      <c r="I1313" s="72"/>
      <c r="J1313" s="185"/>
      <c r="K1313" s="205"/>
      <c r="L1313" s="7"/>
    </row>
    <row r="1314" spans="1:12">
      <c r="A1314" s="19"/>
      <c r="B1314" s="7"/>
      <c r="C1314" s="175"/>
      <c r="D1314" s="175"/>
      <c r="E1314" s="175"/>
      <c r="F1314" s="229"/>
      <c r="G1314" s="229"/>
      <c r="H1314" s="229"/>
      <c r="I1314" s="72"/>
      <c r="J1314" s="185"/>
      <c r="K1314" s="205"/>
      <c r="L1314" s="7"/>
    </row>
    <row r="1315" spans="1:12">
      <c r="A1315" s="19"/>
      <c r="B1315" s="7"/>
      <c r="C1315" s="175"/>
      <c r="D1315" s="175"/>
      <c r="E1315" s="175"/>
      <c r="F1315" s="229"/>
      <c r="G1315" s="229"/>
      <c r="H1315" s="229"/>
      <c r="I1315" s="72"/>
      <c r="J1315" s="185"/>
      <c r="K1315" s="205"/>
      <c r="L1315" s="7"/>
    </row>
    <row r="1316" spans="1:12">
      <c r="A1316" s="19"/>
      <c r="B1316" s="7"/>
      <c r="C1316" s="175"/>
      <c r="D1316" s="175"/>
      <c r="E1316" s="175"/>
      <c r="F1316" s="229"/>
      <c r="G1316" s="229"/>
      <c r="H1316" s="229"/>
      <c r="I1316" s="72"/>
      <c r="J1316" s="185"/>
      <c r="K1316" s="205"/>
      <c r="L1316" s="7"/>
    </row>
    <row r="1317" spans="1:12">
      <c r="A1317" s="19"/>
      <c r="B1317" s="7"/>
      <c r="C1317" s="175"/>
      <c r="D1317" s="175"/>
      <c r="E1317" s="175"/>
      <c r="F1317" s="229"/>
      <c r="G1317" s="229"/>
      <c r="H1317" s="229"/>
      <c r="I1317" s="72"/>
      <c r="J1317" s="185"/>
      <c r="K1317" s="205"/>
      <c r="L1317" s="7"/>
    </row>
    <row r="1318" spans="1:12">
      <c r="A1318" s="19"/>
      <c r="B1318" s="7"/>
      <c r="C1318" s="175"/>
      <c r="D1318" s="175"/>
      <c r="E1318" s="175"/>
      <c r="F1318" s="229"/>
      <c r="G1318" s="229"/>
      <c r="H1318" s="229"/>
      <c r="I1318" s="72"/>
      <c r="J1318" s="185"/>
      <c r="K1318" s="205"/>
      <c r="L1318" s="7"/>
    </row>
    <row r="1319" spans="1:12">
      <c r="A1319" s="19"/>
      <c r="B1319" s="7"/>
      <c r="C1319" s="175"/>
      <c r="D1319" s="175"/>
      <c r="E1319" s="175"/>
      <c r="F1319" s="229"/>
      <c r="G1319" s="229"/>
      <c r="H1319" s="229"/>
      <c r="I1319" s="72"/>
      <c r="J1319" s="185"/>
      <c r="K1319" s="205"/>
      <c r="L1319" s="7"/>
    </row>
    <row r="1320" spans="1:12">
      <c r="A1320" s="19"/>
      <c r="B1320" s="7"/>
      <c r="C1320" s="175"/>
      <c r="D1320" s="175"/>
      <c r="E1320" s="175"/>
      <c r="F1320" s="229"/>
      <c r="G1320" s="229"/>
      <c r="H1320" s="229"/>
      <c r="I1320" s="72"/>
      <c r="J1320" s="185"/>
      <c r="K1320" s="205"/>
      <c r="L1320" s="7"/>
    </row>
    <row r="1321" spans="1:12">
      <c r="A1321" s="19"/>
      <c r="B1321" s="7"/>
      <c r="C1321" s="175"/>
      <c r="D1321" s="175"/>
      <c r="E1321" s="175"/>
      <c r="F1321" s="229"/>
      <c r="G1321" s="229"/>
      <c r="H1321" s="229"/>
      <c r="I1321" s="72"/>
      <c r="J1321" s="185"/>
      <c r="K1321" s="205"/>
      <c r="L1321" s="7"/>
    </row>
    <row r="1322" spans="1:12">
      <c r="A1322" s="19"/>
      <c r="B1322" s="7"/>
      <c r="C1322" s="175"/>
      <c r="D1322" s="175"/>
      <c r="E1322" s="175"/>
      <c r="F1322" s="229"/>
      <c r="G1322" s="229"/>
      <c r="H1322" s="229"/>
      <c r="I1322" s="72"/>
      <c r="J1322" s="185"/>
      <c r="K1322" s="205"/>
      <c r="L1322" s="7"/>
    </row>
    <row r="1323" spans="1:12">
      <c r="A1323" s="19"/>
      <c r="B1323" s="7"/>
      <c r="C1323" s="175"/>
      <c r="D1323" s="175"/>
      <c r="E1323" s="175"/>
      <c r="F1323" s="229"/>
      <c r="G1323" s="229"/>
      <c r="H1323" s="229"/>
      <c r="I1323" s="72"/>
      <c r="J1323" s="185"/>
      <c r="K1323" s="205"/>
      <c r="L1323" s="7"/>
    </row>
    <row r="1324" spans="1:12">
      <c r="A1324" s="19"/>
      <c r="B1324" s="7"/>
      <c r="C1324" s="175"/>
      <c r="D1324" s="175"/>
      <c r="E1324" s="175"/>
      <c r="F1324" s="229"/>
      <c r="G1324" s="229"/>
      <c r="H1324" s="229"/>
      <c r="I1324" s="72"/>
      <c r="J1324" s="185"/>
      <c r="K1324" s="205"/>
      <c r="L1324" s="7"/>
    </row>
    <row r="1325" spans="1:12">
      <c r="A1325" s="19"/>
      <c r="B1325" s="7"/>
      <c r="C1325" s="175"/>
      <c r="D1325" s="175"/>
      <c r="E1325" s="175"/>
      <c r="F1325" s="229"/>
      <c r="G1325" s="229"/>
      <c r="H1325" s="229"/>
      <c r="I1325" s="72"/>
      <c r="J1325" s="185"/>
      <c r="K1325" s="205"/>
      <c r="L1325" s="7"/>
    </row>
    <row r="1326" spans="1:12">
      <c r="A1326" s="19"/>
      <c r="B1326" s="7"/>
      <c r="C1326" s="175"/>
      <c r="D1326" s="175"/>
      <c r="E1326" s="175"/>
      <c r="F1326" s="229"/>
      <c r="G1326" s="229"/>
      <c r="H1326" s="229"/>
      <c r="I1326" s="72"/>
      <c r="J1326" s="185"/>
      <c r="K1326" s="205"/>
      <c r="L1326" s="7"/>
    </row>
    <row r="1327" spans="1:12">
      <c r="A1327" s="19"/>
      <c r="B1327" s="7"/>
      <c r="C1327" s="175"/>
      <c r="D1327" s="175"/>
      <c r="E1327" s="175"/>
      <c r="F1327" s="229"/>
      <c r="G1327" s="229"/>
      <c r="H1327" s="229"/>
      <c r="I1327" s="72"/>
      <c r="J1327" s="185"/>
      <c r="K1327" s="205"/>
      <c r="L1327" s="7"/>
    </row>
    <row r="1328" spans="1:12">
      <c r="A1328" s="19"/>
      <c r="B1328" s="7"/>
      <c r="C1328" s="175"/>
      <c r="D1328" s="175"/>
      <c r="E1328" s="175"/>
      <c r="F1328" s="229"/>
      <c r="G1328" s="229"/>
      <c r="H1328" s="229"/>
      <c r="I1328" s="72"/>
      <c r="J1328" s="185"/>
      <c r="K1328" s="205"/>
      <c r="L1328" s="7"/>
    </row>
    <row r="1329" spans="1:12">
      <c r="A1329" s="20"/>
      <c r="B1329" s="21"/>
      <c r="C1329" s="175"/>
      <c r="D1329" s="175"/>
      <c r="E1329" s="175"/>
      <c r="F1329" s="232"/>
      <c r="G1329" s="232"/>
      <c r="H1329" s="232"/>
      <c r="I1329" s="63"/>
      <c r="J1329" s="190"/>
      <c r="K1329" s="206"/>
      <c r="L1329" s="7"/>
    </row>
    <row r="1330" spans="1:12">
      <c r="A1330" s="19"/>
      <c r="B1330" s="7"/>
      <c r="C1330" s="175"/>
      <c r="D1330" s="175"/>
      <c r="E1330" s="175"/>
      <c r="F1330" s="229"/>
      <c r="G1330" s="229"/>
      <c r="H1330" s="229"/>
      <c r="I1330" s="72"/>
      <c r="J1330" s="185"/>
      <c r="K1330" s="205"/>
      <c r="L1330" s="7"/>
    </row>
    <row r="1331" spans="1:12">
      <c r="A1331" s="19"/>
      <c r="B1331" s="7"/>
      <c r="C1331" s="175"/>
      <c r="D1331" s="175"/>
      <c r="E1331" s="175"/>
      <c r="F1331" s="229"/>
      <c r="G1331" s="229"/>
      <c r="H1331" s="229"/>
      <c r="I1331" s="72"/>
      <c r="J1331" s="185"/>
      <c r="K1331" s="205"/>
      <c r="L1331" s="7"/>
    </row>
    <row r="1332" spans="1:12">
      <c r="A1332" s="19"/>
      <c r="B1332" s="7"/>
      <c r="C1332" s="175"/>
      <c r="D1332" s="175"/>
      <c r="E1332" s="175"/>
      <c r="F1332" s="229"/>
      <c r="G1332" s="229"/>
      <c r="H1332" s="229"/>
      <c r="I1332" s="72"/>
      <c r="J1332" s="185"/>
      <c r="K1332" s="205"/>
      <c r="L1332" s="7"/>
    </row>
    <row r="1333" spans="1:12">
      <c r="A1333" s="19"/>
      <c r="B1333" s="7"/>
      <c r="C1333" s="175"/>
      <c r="D1333" s="175"/>
      <c r="E1333" s="175"/>
      <c r="F1333" s="229"/>
      <c r="G1333" s="229"/>
      <c r="H1333" s="229"/>
      <c r="I1333" s="72"/>
      <c r="J1333" s="185"/>
      <c r="K1333" s="205"/>
      <c r="L1333" s="7"/>
    </row>
    <row r="1334" spans="1:12">
      <c r="A1334" s="19"/>
      <c r="B1334" s="7"/>
      <c r="C1334" s="175"/>
      <c r="D1334" s="175"/>
      <c r="E1334" s="175"/>
      <c r="F1334" s="229"/>
      <c r="G1334" s="229"/>
      <c r="H1334" s="229"/>
      <c r="I1334" s="72"/>
      <c r="J1334" s="185"/>
      <c r="K1334" s="205"/>
      <c r="L1334" s="7"/>
    </row>
    <row r="1335" spans="1:12">
      <c r="A1335" s="19"/>
      <c r="B1335" s="7"/>
      <c r="C1335" s="175"/>
      <c r="D1335" s="175"/>
      <c r="E1335" s="175"/>
      <c r="F1335" s="229"/>
      <c r="G1335" s="229"/>
      <c r="H1335" s="229"/>
      <c r="I1335" s="72"/>
      <c r="J1335" s="185"/>
      <c r="K1335" s="205"/>
      <c r="L1335" s="7"/>
    </row>
    <row r="1336" spans="1:12">
      <c r="A1336" s="19"/>
      <c r="B1336" s="7"/>
      <c r="C1336" s="175"/>
      <c r="D1336" s="175"/>
      <c r="E1336" s="175"/>
      <c r="F1336" s="229"/>
      <c r="G1336" s="229"/>
      <c r="H1336" s="229"/>
      <c r="I1336" s="72"/>
      <c r="J1336" s="185"/>
      <c r="K1336" s="205"/>
      <c r="L1336" s="14"/>
    </row>
    <row r="1337" spans="1:12">
      <c r="A1337" s="19"/>
      <c r="B1337" s="7"/>
      <c r="C1337" s="175"/>
      <c r="D1337" s="175"/>
      <c r="E1337" s="175"/>
      <c r="F1337" s="229"/>
      <c r="G1337" s="229"/>
      <c r="H1337" s="229"/>
      <c r="I1337" s="72"/>
      <c r="J1337" s="185"/>
      <c r="K1337" s="205"/>
      <c r="L1337" s="7"/>
    </row>
    <row r="1338" spans="1:12">
      <c r="A1338" s="19"/>
      <c r="B1338" s="7"/>
      <c r="C1338" s="175"/>
      <c r="D1338" s="175"/>
      <c r="E1338" s="175"/>
      <c r="F1338" s="229"/>
      <c r="G1338" s="229"/>
      <c r="H1338" s="229"/>
      <c r="I1338" s="72"/>
      <c r="J1338" s="185"/>
      <c r="K1338" s="205"/>
      <c r="L1338" s="7"/>
    </row>
    <row r="1339" spans="1:12">
      <c r="A1339" s="19"/>
      <c r="B1339" s="7"/>
      <c r="C1339" s="175"/>
      <c r="D1339" s="175"/>
      <c r="E1339" s="175"/>
      <c r="F1339" s="229"/>
      <c r="G1339" s="229"/>
      <c r="H1339" s="229"/>
      <c r="I1339" s="72"/>
      <c r="J1339" s="185"/>
      <c r="K1339" s="205"/>
      <c r="L1339" s="7"/>
    </row>
    <row r="1340" spans="1:12">
      <c r="A1340" s="20"/>
      <c r="B1340" s="21"/>
      <c r="C1340" s="175"/>
      <c r="D1340" s="175"/>
      <c r="E1340" s="175"/>
      <c r="F1340" s="232"/>
      <c r="G1340" s="232"/>
      <c r="H1340" s="232"/>
      <c r="I1340" s="63"/>
      <c r="J1340" s="190"/>
      <c r="K1340" s="206"/>
      <c r="L1340" s="7"/>
    </row>
    <row r="1341" spans="1:12">
      <c r="A1341" s="20"/>
      <c r="B1341" s="21"/>
      <c r="C1341" s="175"/>
      <c r="D1341" s="175"/>
      <c r="E1341" s="175"/>
      <c r="F1341" s="232"/>
      <c r="G1341" s="232"/>
      <c r="H1341" s="232"/>
      <c r="I1341" s="63"/>
      <c r="J1341" s="190"/>
      <c r="K1341" s="206"/>
      <c r="L1341" s="7"/>
    </row>
    <row r="1342" spans="1:12">
      <c r="A1342" s="20"/>
      <c r="B1342" s="21"/>
      <c r="C1342" s="175"/>
      <c r="D1342" s="175"/>
      <c r="E1342" s="175"/>
      <c r="F1342" s="232"/>
      <c r="G1342" s="232"/>
      <c r="H1342" s="232"/>
      <c r="I1342" s="63"/>
      <c r="J1342" s="190"/>
      <c r="K1342" s="206"/>
      <c r="L1342" s="7"/>
    </row>
    <row r="1343" spans="1:12">
      <c r="A1343" s="19"/>
      <c r="B1343" s="7"/>
      <c r="C1343" s="175"/>
      <c r="D1343" s="175"/>
      <c r="E1343" s="175"/>
      <c r="F1343" s="229"/>
      <c r="G1343" s="229"/>
      <c r="H1343" s="229"/>
      <c r="I1343" s="72"/>
      <c r="J1343" s="185"/>
      <c r="K1343" s="205"/>
      <c r="L1343" s="7"/>
    </row>
    <row r="1344" spans="1:12">
      <c r="A1344" s="19"/>
      <c r="B1344" s="7"/>
      <c r="C1344" s="175"/>
      <c r="D1344" s="175"/>
      <c r="E1344" s="175"/>
      <c r="F1344" s="229"/>
      <c r="G1344" s="229"/>
      <c r="H1344" s="229"/>
      <c r="I1344" s="72"/>
      <c r="J1344" s="185"/>
      <c r="K1344" s="205"/>
      <c r="L1344" s="7"/>
    </row>
    <row r="1345" spans="1:12">
      <c r="A1345" s="19"/>
      <c r="B1345" s="7"/>
      <c r="C1345" s="175"/>
      <c r="D1345" s="175"/>
      <c r="E1345" s="175"/>
      <c r="F1345" s="229"/>
      <c r="G1345" s="229"/>
      <c r="H1345" s="229"/>
      <c r="I1345" s="72"/>
      <c r="J1345" s="185"/>
      <c r="K1345" s="205"/>
      <c r="L1345" s="7"/>
    </row>
    <row r="1346" spans="1:12">
      <c r="A1346" s="19"/>
      <c r="B1346" s="7"/>
      <c r="C1346" s="175"/>
      <c r="D1346" s="175"/>
      <c r="E1346" s="175"/>
      <c r="F1346" s="229"/>
      <c r="G1346" s="229"/>
      <c r="H1346" s="229"/>
      <c r="I1346" s="72"/>
      <c r="J1346" s="185"/>
      <c r="K1346" s="205"/>
      <c r="L1346" s="7"/>
    </row>
    <row r="1347" spans="1:12">
      <c r="A1347" s="19"/>
      <c r="B1347" s="7"/>
      <c r="C1347" s="175"/>
      <c r="D1347" s="175"/>
      <c r="E1347" s="175"/>
      <c r="F1347" s="229"/>
      <c r="G1347" s="229"/>
      <c r="H1347" s="229"/>
      <c r="I1347" s="72"/>
      <c r="J1347" s="185"/>
      <c r="K1347" s="205"/>
      <c r="L1347" s="7"/>
    </row>
    <row r="1348" spans="1:12">
      <c r="A1348" s="27"/>
      <c r="B1348" s="28"/>
      <c r="C1348" s="175"/>
      <c r="D1348" s="175"/>
      <c r="E1348" s="175"/>
      <c r="F1348" s="232"/>
      <c r="G1348" s="232"/>
      <c r="H1348" s="232"/>
      <c r="I1348" s="71"/>
      <c r="J1348" s="190"/>
      <c r="K1348" s="206"/>
      <c r="L1348" s="7"/>
    </row>
    <row r="1349" spans="1:12">
      <c r="A1349" s="20"/>
      <c r="B1349" s="21"/>
      <c r="C1349" s="175"/>
      <c r="D1349" s="175"/>
      <c r="E1349" s="175"/>
      <c r="F1349" s="232"/>
      <c r="G1349" s="232"/>
      <c r="H1349" s="232"/>
      <c r="I1349" s="63"/>
      <c r="J1349" s="190"/>
      <c r="K1349" s="206"/>
      <c r="L1349" s="7"/>
    </row>
    <row r="1350" spans="1:12">
      <c r="A1350" s="19"/>
      <c r="B1350" s="7"/>
      <c r="C1350" s="175"/>
      <c r="D1350" s="175"/>
      <c r="E1350" s="175"/>
      <c r="F1350" s="229"/>
      <c r="G1350" s="229"/>
      <c r="H1350" s="229"/>
      <c r="I1350" s="72"/>
      <c r="J1350" s="185"/>
      <c r="K1350" s="205"/>
      <c r="L1350" s="7"/>
    </row>
    <row r="1351" spans="1:12">
      <c r="A1351" s="20"/>
      <c r="B1351" s="21"/>
      <c r="C1351" s="175"/>
      <c r="D1351" s="175"/>
      <c r="E1351" s="175"/>
      <c r="F1351" s="232"/>
      <c r="G1351" s="232"/>
      <c r="H1351" s="232"/>
      <c r="I1351" s="63"/>
      <c r="J1351" s="190"/>
      <c r="K1351" s="206"/>
      <c r="L1351" s="7"/>
    </row>
    <row r="1352" spans="1:12">
      <c r="A1352" s="20"/>
      <c r="B1352" s="21"/>
      <c r="C1352" s="175"/>
      <c r="D1352" s="175"/>
      <c r="E1352" s="175"/>
      <c r="F1352" s="232"/>
      <c r="G1352" s="232"/>
      <c r="H1352" s="232"/>
      <c r="I1352" s="63"/>
      <c r="J1352" s="190"/>
      <c r="K1352" s="206"/>
      <c r="L1352" s="7"/>
    </row>
    <row r="1353" spans="1:12">
      <c r="A1353" s="20"/>
      <c r="B1353" s="21"/>
      <c r="C1353" s="175"/>
      <c r="D1353" s="175"/>
      <c r="E1353" s="175"/>
      <c r="F1353" s="232"/>
      <c r="G1353" s="232"/>
      <c r="H1353" s="232"/>
      <c r="I1353" s="63"/>
      <c r="J1353" s="190"/>
      <c r="K1353" s="206"/>
      <c r="L1353" s="14"/>
    </row>
    <row r="1354" spans="1:12">
      <c r="A1354" s="20"/>
      <c r="B1354" s="21"/>
      <c r="C1354" s="175"/>
      <c r="D1354" s="175"/>
      <c r="E1354" s="175"/>
      <c r="F1354" s="232"/>
      <c r="G1354" s="232"/>
      <c r="H1354" s="232"/>
      <c r="I1354" s="63"/>
      <c r="J1354" s="190"/>
      <c r="K1354" s="206"/>
      <c r="L1354" s="7"/>
    </row>
    <row r="1355" spans="1:12">
      <c r="A1355" s="20"/>
      <c r="B1355" s="21"/>
      <c r="C1355" s="175"/>
      <c r="D1355" s="175"/>
      <c r="E1355" s="175"/>
      <c r="F1355" s="232"/>
      <c r="G1355" s="232"/>
      <c r="H1355" s="232"/>
      <c r="I1355" s="63"/>
      <c r="J1355" s="190"/>
      <c r="K1355" s="206"/>
      <c r="L1355" s="7"/>
    </row>
    <row r="1356" spans="1:12">
      <c r="A1356" s="19"/>
      <c r="B1356" s="7"/>
      <c r="C1356" s="175"/>
      <c r="D1356" s="175"/>
      <c r="E1356" s="175"/>
      <c r="F1356" s="229"/>
      <c r="G1356" s="229"/>
      <c r="H1356" s="229"/>
      <c r="I1356" s="72"/>
      <c r="J1356" s="185"/>
      <c r="K1356" s="205"/>
      <c r="L1356" s="7"/>
    </row>
    <row r="1357" spans="1:12">
      <c r="A1357" s="20"/>
      <c r="B1357" s="21"/>
      <c r="C1357" s="175"/>
      <c r="D1357" s="175"/>
      <c r="E1357" s="175"/>
      <c r="F1357" s="232"/>
      <c r="G1357" s="232"/>
      <c r="H1357" s="232"/>
      <c r="I1357" s="63"/>
      <c r="J1357" s="190"/>
      <c r="K1357" s="206"/>
      <c r="L1357" s="7"/>
    </row>
    <row r="1358" spans="1:12">
      <c r="A1358" s="20"/>
      <c r="B1358" s="21"/>
      <c r="C1358" s="175"/>
      <c r="D1358" s="175"/>
      <c r="E1358" s="175"/>
      <c r="F1358" s="232"/>
      <c r="G1358" s="232"/>
      <c r="H1358" s="232"/>
      <c r="I1358" s="63"/>
      <c r="J1358" s="190"/>
      <c r="K1358" s="206"/>
      <c r="L1358" s="7"/>
    </row>
    <row r="1359" spans="1:12">
      <c r="A1359" s="20"/>
      <c r="B1359" s="21"/>
      <c r="C1359" s="175"/>
      <c r="D1359" s="175"/>
      <c r="E1359" s="175"/>
      <c r="F1359" s="232"/>
      <c r="G1359" s="232"/>
      <c r="H1359" s="232"/>
      <c r="I1359" s="63"/>
      <c r="J1359" s="190"/>
      <c r="K1359" s="206"/>
      <c r="L1359" s="7"/>
    </row>
    <row r="1360" spans="1:12">
      <c r="A1360" s="19"/>
      <c r="B1360" s="7"/>
      <c r="C1360" s="175"/>
      <c r="D1360" s="175"/>
      <c r="E1360" s="175"/>
      <c r="F1360" s="229"/>
      <c r="G1360" s="229"/>
      <c r="H1360" s="229"/>
      <c r="I1360" s="72"/>
      <c r="J1360" s="185"/>
      <c r="K1360" s="205"/>
      <c r="L1360" s="7"/>
    </row>
    <row r="1361" spans="1:12">
      <c r="A1361" s="19"/>
      <c r="B1361" s="7"/>
      <c r="C1361" s="175"/>
      <c r="D1361" s="175"/>
      <c r="E1361" s="175"/>
      <c r="F1361" s="229"/>
      <c r="G1361" s="229"/>
      <c r="H1361" s="229"/>
      <c r="I1361" s="72"/>
      <c r="J1361" s="185"/>
      <c r="K1361" s="205"/>
      <c r="L1361" s="7"/>
    </row>
    <row r="1362" spans="1:12">
      <c r="A1362" s="19"/>
      <c r="B1362" s="7"/>
      <c r="C1362" s="175"/>
      <c r="D1362" s="175"/>
      <c r="E1362" s="175"/>
      <c r="F1362" s="229"/>
      <c r="G1362" s="229"/>
      <c r="H1362" s="229"/>
      <c r="I1362" s="72"/>
      <c r="J1362" s="185"/>
      <c r="K1362" s="205"/>
      <c r="L1362" s="7"/>
    </row>
    <row r="1363" spans="1:12">
      <c r="A1363" s="19"/>
      <c r="B1363" s="7"/>
      <c r="C1363" s="175"/>
      <c r="D1363" s="175"/>
      <c r="E1363" s="175"/>
      <c r="F1363" s="229"/>
      <c r="G1363" s="229"/>
      <c r="H1363" s="229"/>
      <c r="I1363" s="72"/>
      <c r="J1363" s="185"/>
      <c r="K1363" s="205"/>
      <c r="L1363" s="7"/>
    </row>
    <row r="1364" spans="1:12">
      <c r="A1364" s="19"/>
      <c r="B1364" s="7"/>
      <c r="C1364" s="175"/>
      <c r="D1364" s="175"/>
      <c r="E1364" s="175"/>
      <c r="F1364" s="229"/>
      <c r="G1364" s="229"/>
      <c r="H1364" s="229"/>
      <c r="I1364" s="72"/>
      <c r="J1364" s="185"/>
      <c r="K1364" s="205"/>
      <c r="L1364" s="7"/>
    </row>
    <row r="1365" spans="1:12">
      <c r="A1365" s="19"/>
      <c r="B1365" s="7"/>
      <c r="C1365" s="175"/>
      <c r="D1365" s="175"/>
      <c r="E1365" s="175"/>
      <c r="F1365" s="229"/>
      <c r="G1365" s="229"/>
      <c r="H1365" s="229"/>
      <c r="I1365" s="72"/>
      <c r="J1365" s="185"/>
      <c r="K1365" s="205"/>
      <c r="L1365" s="7"/>
    </row>
    <row r="1366" spans="1:12">
      <c r="A1366" s="19"/>
      <c r="B1366" s="7"/>
      <c r="C1366" s="175"/>
      <c r="D1366" s="175"/>
      <c r="E1366" s="175"/>
      <c r="F1366" s="229"/>
      <c r="G1366" s="229"/>
      <c r="H1366" s="229"/>
      <c r="I1366" s="72"/>
      <c r="J1366" s="185"/>
      <c r="K1366" s="205"/>
      <c r="L1366" s="7"/>
    </row>
    <row r="1367" spans="1:12">
      <c r="A1367" s="19"/>
      <c r="B1367" s="7"/>
      <c r="C1367" s="175"/>
      <c r="D1367" s="175"/>
      <c r="E1367" s="175"/>
      <c r="F1367" s="229"/>
      <c r="G1367" s="229"/>
      <c r="H1367" s="229"/>
      <c r="I1367" s="72"/>
      <c r="J1367" s="185"/>
      <c r="K1367" s="205"/>
      <c r="L1367" s="7"/>
    </row>
    <row r="1368" spans="1:12">
      <c r="A1368" s="19"/>
      <c r="B1368" s="7"/>
      <c r="C1368" s="175"/>
      <c r="D1368" s="175"/>
      <c r="E1368" s="175"/>
      <c r="F1368" s="229"/>
      <c r="G1368" s="229"/>
      <c r="H1368" s="229"/>
      <c r="I1368" s="72"/>
      <c r="J1368" s="185"/>
      <c r="K1368" s="205"/>
      <c r="L1368" s="7"/>
    </row>
    <row r="1369" spans="1:12">
      <c r="A1369" s="19"/>
      <c r="B1369" s="7"/>
      <c r="C1369" s="175"/>
      <c r="D1369" s="175"/>
      <c r="E1369" s="175"/>
      <c r="F1369" s="229"/>
      <c r="G1369" s="229"/>
      <c r="H1369" s="229"/>
      <c r="I1369" s="72"/>
      <c r="J1369" s="185"/>
      <c r="K1369" s="205"/>
      <c r="L1369" s="7"/>
    </row>
    <row r="1370" spans="1:12">
      <c r="A1370" s="19"/>
      <c r="B1370" s="7"/>
      <c r="C1370" s="175"/>
      <c r="D1370" s="175"/>
      <c r="E1370" s="175"/>
      <c r="F1370" s="229"/>
      <c r="G1370" s="229"/>
      <c r="H1370" s="229"/>
      <c r="I1370" s="72"/>
      <c r="J1370" s="185"/>
      <c r="K1370" s="205"/>
      <c r="L1370" s="7"/>
    </row>
    <row r="1371" spans="1:12">
      <c r="A1371" s="19"/>
      <c r="B1371" s="7"/>
      <c r="C1371" s="175"/>
      <c r="D1371" s="175"/>
      <c r="E1371" s="175"/>
      <c r="F1371" s="229"/>
      <c r="G1371" s="229"/>
      <c r="H1371" s="229"/>
      <c r="I1371" s="72"/>
      <c r="J1371" s="185"/>
      <c r="K1371" s="205"/>
      <c r="L1371" s="7"/>
    </row>
    <row r="1372" spans="1:12">
      <c r="A1372" s="19"/>
      <c r="B1372" s="7"/>
      <c r="C1372" s="175"/>
      <c r="D1372" s="175"/>
      <c r="E1372" s="175"/>
      <c r="F1372" s="229"/>
      <c r="G1372" s="229"/>
      <c r="H1372" s="229"/>
      <c r="I1372" s="72"/>
      <c r="J1372" s="185"/>
      <c r="K1372" s="205"/>
      <c r="L1372" s="7"/>
    </row>
    <row r="1373" spans="1:12">
      <c r="A1373" s="19"/>
      <c r="B1373" s="7"/>
      <c r="C1373" s="175"/>
      <c r="D1373" s="175"/>
      <c r="E1373" s="175"/>
      <c r="F1373" s="229"/>
      <c r="G1373" s="229"/>
      <c r="H1373" s="229"/>
      <c r="I1373" s="72"/>
      <c r="J1373" s="185"/>
      <c r="K1373" s="205"/>
      <c r="L1373" s="75"/>
    </row>
    <row r="1374" spans="1:12">
      <c r="A1374" s="19"/>
      <c r="B1374" s="7"/>
      <c r="C1374" s="175"/>
      <c r="D1374" s="175"/>
      <c r="E1374" s="175"/>
      <c r="F1374" s="229"/>
      <c r="G1374" s="229"/>
      <c r="H1374" s="229"/>
      <c r="I1374" s="72"/>
      <c r="J1374" s="185"/>
      <c r="K1374" s="205"/>
      <c r="L1374" s="75"/>
    </row>
    <row r="1375" spans="1:12">
      <c r="A1375" s="19"/>
      <c r="B1375" s="7"/>
      <c r="C1375" s="175"/>
      <c r="D1375" s="175"/>
      <c r="E1375" s="175"/>
      <c r="F1375" s="229"/>
      <c r="G1375" s="229"/>
      <c r="H1375" s="229"/>
      <c r="I1375" s="72"/>
      <c r="J1375" s="185"/>
      <c r="K1375" s="205"/>
      <c r="L1375" s="75"/>
    </row>
    <row r="1376" spans="1:12">
      <c r="A1376" s="19"/>
      <c r="B1376" s="7"/>
      <c r="C1376" s="175"/>
      <c r="D1376" s="175"/>
      <c r="E1376" s="175"/>
      <c r="F1376" s="229"/>
      <c r="G1376" s="229"/>
      <c r="H1376" s="229"/>
      <c r="I1376" s="72"/>
      <c r="J1376" s="185"/>
      <c r="K1376" s="205"/>
      <c r="L1376" s="75"/>
    </row>
    <row r="1377" spans="1:12">
      <c r="A1377" s="19"/>
      <c r="B1377" s="7"/>
      <c r="C1377" s="175"/>
      <c r="D1377" s="175"/>
      <c r="E1377" s="175"/>
      <c r="F1377" s="229"/>
      <c r="G1377" s="229"/>
      <c r="H1377" s="229"/>
      <c r="I1377" s="72"/>
      <c r="J1377" s="185"/>
      <c r="K1377" s="205"/>
      <c r="L1377" s="7"/>
    </row>
    <row r="1378" spans="1:12">
      <c r="A1378" s="19"/>
      <c r="B1378" s="7"/>
      <c r="C1378" s="175"/>
      <c r="D1378" s="175"/>
      <c r="E1378" s="175"/>
      <c r="F1378" s="229"/>
      <c r="G1378" s="229"/>
      <c r="H1378" s="229"/>
      <c r="I1378" s="72"/>
      <c r="J1378" s="185"/>
      <c r="K1378" s="205"/>
      <c r="L1378" s="7"/>
    </row>
    <row r="1379" spans="1:12">
      <c r="A1379" s="19"/>
      <c r="B1379" s="7"/>
      <c r="C1379" s="175"/>
      <c r="D1379" s="175"/>
      <c r="E1379" s="175"/>
      <c r="F1379" s="229"/>
      <c r="G1379" s="229"/>
      <c r="H1379" s="229"/>
      <c r="I1379" s="72"/>
      <c r="J1379" s="185"/>
      <c r="K1379" s="205"/>
      <c r="L1379" s="7"/>
    </row>
    <row r="1380" spans="1:12">
      <c r="A1380" s="19"/>
      <c r="B1380" s="7"/>
      <c r="C1380" s="175"/>
      <c r="D1380" s="175"/>
      <c r="E1380" s="175"/>
      <c r="F1380" s="229"/>
      <c r="G1380" s="229"/>
      <c r="H1380" s="229"/>
      <c r="I1380" s="72"/>
      <c r="J1380" s="185"/>
      <c r="K1380" s="205"/>
      <c r="L1380" s="7"/>
    </row>
    <row r="1381" spans="1:12">
      <c r="A1381" s="19"/>
      <c r="B1381" s="7"/>
      <c r="C1381" s="175"/>
      <c r="D1381" s="175"/>
      <c r="E1381" s="175"/>
      <c r="F1381" s="229"/>
      <c r="G1381" s="229"/>
      <c r="H1381" s="229"/>
      <c r="I1381" s="72"/>
      <c r="J1381" s="185"/>
      <c r="K1381" s="205"/>
      <c r="L1381" s="7"/>
    </row>
    <row r="1382" spans="1:12">
      <c r="A1382" s="19"/>
      <c r="B1382" s="7"/>
      <c r="C1382" s="175"/>
      <c r="D1382" s="175"/>
      <c r="E1382" s="175"/>
      <c r="F1382" s="229"/>
      <c r="G1382" s="229"/>
      <c r="H1382" s="229"/>
      <c r="I1382" s="72"/>
      <c r="J1382" s="185"/>
      <c r="K1382" s="205"/>
      <c r="L1382" s="7"/>
    </row>
    <row r="1383" spans="1:12">
      <c r="A1383" s="19"/>
      <c r="B1383" s="7"/>
      <c r="C1383" s="175"/>
      <c r="D1383" s="175"/>
      <c r="E1383" s="175"/>
      <c r="F1383" s="229"/>
      <c r="G1383" s="229"/>
      <c r="H1383" s="229"/>
      <c r="I1383" s="72"/>
      <c r="J1383" s="185"/>
      <c r="K1383" s="205"/>
      <c r="L1383" s="7"/>
    </row>
    <row r="1384" spans="1:12">
      <c r="A1384" s="19"/>
      <c r="B1384" s="7"/>
      <c r="C1384" s="175"/>
      <c r="D1384" s="175"/>
      <c r="E1384" s="175"/>
      <c r="F1384" s="229"/>
      <c r="G1384" s="229"/>
      <c r="H1384" s="229"/>
      <c r="I1384" s="72"/>
      <c r="J1384" s="185"/>
      <c r="K1384" s="205"/>
      <c r="L1384" s="7"/>
    </row>
    <row r="1385" spans="1:12">
      <c r="A1385" s="19"/>
      <c r="B1385" s="7"/>
      <c r="C1385" s="175"/>
      <c r="D1385" s="175"/>
      <c r="E1385" s="175"/>
      <c r="F1385" s="229"/>
      <c r="G1385" s="229"/>
      <c r="H1385" s="229"/>
      <c r="I1385" s="72"/>
      <c r="J1385" s="185"/>
      <c r="K1385" s="205"/>
      <c r="L1385" s="7"/>
    </row>
    <row r="1386" spans="1:12">
      <c r="A1386" s="19"/>
      <c r="B1386" s="7"/>
      <c r="C1386" s="175"/>
      <c r="D1386" s="175"/>
      <c r="E1386" s="175"/>
      <c r="F1386" s="229"/>
      <c r="G1386" s="229"/>
      <c r="H1386" s="229"/>
      <c r="I1386" s="72"/>
      <c r="J1386" s="185"/>
      <c r="K1386" s="205"/>
      <c r="L1386" s="7"/>
    </row>
    <row r="1387" spans="1:12">
      <c r="A1387" s="19"/>
      <c r="B1387" s="7"/>
      <c r="C1387" s="175"/>
      <c r="D1387" s="175"/>
      <c r="E1387" s="175"/>
      <c r="F1387" s="229"/>
      <c r="G1387" s="229"/>
      <c r="H1387" s="229"/>
      <c r="I1387" s="72"/>
      <c r="J1387" s="185"/>
      <c r="K1387" s="205"/>
      <c r="L1387" s="7"/>
    </row>
    <row r="1388" spans="1:12">
      <c r="A1388" s="19"/>
      <c r="B1388" s="7"/>
      <c r="C1388" s="175"/>
      <c r="D1388" s="175"/>
      <c r="E1388" s="175"/>
      <c r="F1388" s="229"/>
      <c r="G1388" s="229"/>
      <c r="H1388" s="229"/>
      <c r="I1388" s="72"/>
      <c r="J1388" s="185"/>
      <c r="K1388" s="205"/>
      <c r="L1388" s="7"/>
    </row>
    <row r="1389" spans="1:12">
      <c r="A1389" s="19"/>
      <c r="B1389" s="7"/>
      <c r="C1389" s="175"/>
      <c r="D1389" s="175"/>
      <c r="E1389" s="175"/>
      <c r="F1389" s="229"/>
      <c r="G1389" s="229"/>
      <c r="H1389" s="229"/>
      <c r="I1389" s="72"/>
      <c r="J1389" s="185"/>
      <c r="K1389" s="205"/>
      <c r="L1389" s="7"/>
    </row>
    <row r="1390" spans="1:12">
      <c r="A1390" s="19"/>
      <c r="B1390" s="7"/>
      <c r="C1390" s="175"/>
      <c r="D1390" s="175"/>
      <c r="E1390" s="175"/>
      <c r="F1390" s="229"/>
      <c r="G1390" s="229"/>
      <c r="H1390" s="229"/>
      <c r="I1390" s="72"/>
      <c r="J1390" s="185"/>
      <c r="K1390" s="205"/>
      <c r="L1390" s="7"/>
    </row>
    <row r="1391" spans="1:12">
      <c r="A1391" s="19"/>
      <c r="B1391" s="7"/>
      <c r="C1391" s="175"/>
      <c r="D1391" s="175"/>
      <c r="E1391" s="175"/>
      <c r="F1391" s="229"/>
      <c r="G1391" s="229"/>
      <c r="H1391" s="229"/>
      <c r="I1391" s="72"/>
      <c r="J1391" s="185"/>
      <c r="K1391" s="205"/>
      <c r="L1391" s="7"/>
    </row>
    <row r="1392" spans="1:12">
      <c r="A1392" s="19"/>
      <c r="B1392" s="7"/>
      <c r="C1392" s="175"/>
      <c r="D1392" s="175"/>
      <c r="E1392" s="175"/>
      <c r="F1392" s="229"/>
      <c r="G1392" s="229"/>
      <c r="H1392" s="229"/>
      <c r="I1392" s="72"/>
      <c r="J1392" s="185"/>
      <c r="K1392" s="205"/>
      <c r="L1392" s="7"/>
    </row>
    <row r="1393" spans="1:12">
      <c r="A1393" s="19"/>
      <c r="B1393" s="7"/>
      <c r="C1393" s="175"/>
      <c r="D1393" s="175"/>
      <c r="E1393" s="175"/>
      <c r="F1393" s="229"/>
      <c r="G1393" s="229"/>
      <c r="H1393" s="229"/>
      <c r="I1393" s="72"/>
      <c r="J1393" s="185"/>
      <c r="K1393" s="205"/>
      <c r="L1393" s="37"/>
    </row>
    <row r="1394" spans="1:12">
      <c r="A1394" s="19"/>
      <c r="B1394" s="7"/>
      <c r="C1394" s="175"/>
      <c r="D1394" s="175"/>
      <c r="E1394" s="175"/>
      <c r="F1394" s="229"/>
      <c r="G1394" s="229"/>
      <c r="H1394" s="229"/>
      <c r="I1394" s="72"/>
      <c r="J1394" s="185"/>
      <c r="K1394" s="205"/>
      <c r="L1394" s="37"/>
    </row>
    <row r="1395" spans="1:12">
      <c r="A1395" s="19"/>
      <c r="B1395" s="7"/>
      <c r="C1395" s="175"/>
      <c r="D1395" s="175"/>
      <c r="E1395" s="175"/>
      <c r="F1395" s="229"/>
      <c r="G1395" s="229"/>
      <c r="H1395" s="229"/>
      <c r="I1395" s="72"/>
      <c r="J1395" s="185"/>
      <c r="K1395" s="205"/>
      <c r="L1395" s="7"/>
    </row>
    <row r="1396" spans="1:12">
      <c r="A1396" s="19"/>
      <c r="B1396" s="7"/>
      <c r="C1396" s="175"/>
      <c r="D1396" s="175"/>
      <c r="E1396" s="175"/>
      <c r="F1396" s="229"/>
      <c r="G1396" s="229"/>
      <c r="H1396" s="229"/>
      <c r="I1396" s="72"/>
      <c r="J1396" s="185"/>
      <c r="K1396" s="205"/>
      <c r="L1396" s="7"/>
    </row>
    <row r="1397" spans="1:12">
      <c r="A1397" s="19"/>
      <c r="B1397" s="7"/>
      <c r="C1397" s="175"/>
      <c r="D1397" s="175"/>
      <c r="E1397" s="175"/>
      <c r="F1397" s="229"/>
      <c r="G1397" s="229"/>
      <c r="H1397" s="229"/>
      <c r="I1397" s="72"/>
      <c r="J1397" s="185"/>
      <c r="K1397" s="205"/>
      <c r="L1397" s="7"/>
    </row>
    <row r="1398" spans="1:12">
      <c r="A1398" s="19"/>
      <c r="B1398" s="7"/>
      <c r="C1398" s="175"/>
      <c r="D1398" s="175"/>
      <c r="E1398" s="175"/>
      <c r="F1398" s="229"/>
      <c r="G1398" s="229"/>
      <c r="H1398" s="229"/>
      <c r="I1398" s="72"/>
      <c r="J1398" s="185"/>
      <c r="K1398" s="205"/>
      <c r="L1398" s="7"/>
    </row>
    <row r="1399" spans="1:12">
      <c r="A1399" s="20"/>
      <c r="B1399" s="21"/>
      <c r="C1399" s="175"/>
      <c r="D1399" s="175"/>
      <c r="E1399" s="175"/>
      <c r="F1399" s="232"/>
      <c r="G1399" s="232"/>
      <c r="H1399" s="232"/>
      <c r="I1399" s="63"/>
      <c r="J1399" s="190"/>
      <c r="K1399" s="206"/>
      <c r="L1399" s="7"/>
    </row>
    <row r="1400" spans="1:12">
      <c r="A1400" s="19"/>
      <c r="B1400" s="7"/>
      <c r="C1400" s="175"/>
      <c r="D1400" s="175"/>
      <c r="E1400" s="175"/>
      <c r="F1400" s="229"/>
      <c r="G1400" s="229"/>
      <c r="H1400" s="229"/>
      <c r="I1400" s="72"/>
      <c r="J1400" s="185"/>
      <c r="K1400" s="205"/>
      <c r="L1400" s="7"/>
    </row>
    <row r="1401" spans="1:12">
      <c r="A1401" s="19"/>
      <c r="B1401" s="7"/>
      <c r="C1401" s="175"/>
      <c r="D1401" s="175"/>
      <c r="E1401" s="175"/>
      <c r="F1401" s="229"/>
      <c r="G1401" s="229"/>
      <c r="H1401" s="229"/>
      <c r="I1401" s="72"/>
      <c r="J1401" s="185"/>
      <c r="K1401" s="205"/>
      <c r="L1401" s="7"/>
    </row>
    <row r="1402" spans="1:12">
      <c r="A1402" s="19"/>
      <c r="B1402" s="7"/>
      <c r="C1402" s="175"/>
      <c r="D1402" s="175"/>
      <c r="E1402" s="175"/>
      <c r="F1402" s="229"/>
      <c r="G1402" s="229"/>
      <c r="H1402" s="229"/>
      <c r="I1402" s="72"/>
      <c r="J1402" s="185"/>
      <c r="K1402" s="205"/>
      <c r="L1402" s="7"/>
    </row>
    <row r="1403" spans="1:12">
      <c r="A1403" s="20"/>
      <c r="B1403" s="21"/>
      <c r="C1403" s="175"/>
      <c r="D1403" s="175"/>
      <c r="E1403" s="175"/>
      <c r="F1403" s="232"/>
      <c r="G1403" s="232"/>
      <c r="H1403" s="232"/>
      <c r="I1403" s="63"/>
      <c r="J1403" s="190"/>
      <c r="K1403" s="206"/>
      <c r="L1403" s="7"/>
    </row>
    <row r="1404" spans="1:12">
      <c r="A1404" s="20"/>
      <c r="B1404" s="21"/>
      <c r="C1404" s="175"/>
      <c r="D1404" s="175"/>
      <c r="E1404" s="175"/>
      <c r="F1404" s="232"/>
      <c r="G1404" s="232"/>
      <c r="H1404" s="232"/>
      <c r="I1404" s="63"/>
      <c r="J1404" s="190"/>
      <c r="K1404" s="206"/>
      <c r="L1404" s="7"/>
    </row>
    <row r="1405" spans="1:12">
      <c r="A1405" s="20"/>
      <c r="B1405" s="21"/>
      <c r="C1405" s="175"/>
      <c r="D1405" s="175"/>
      <c r="E1405" s="175"/>
      <c r="F1405" s="232"/>
      <c r="G1405" s="232"/>
      <c r="H1405" s="232"/>
      <c r="I1405" s="63"/>
      <c r="J1405" s="190"/>
      <c r="K1405" s="206"/>
      <c r="L1405" s="7"/>
    </row>
    <row r="1406" spans="1:12">
      <c r="A1406" s="20"/>
      <c r="B1406" s="21"/>
      <c r="C1406" s="175"/>
      <c r="D1406" s="175"/>
      <c r="E1406" s="175"/>
      <c r="F1406" s="232"/>
      <c r="G1406" s="232"/>
      <c r="H1406" s="232"/>
      <c r="I1406" s="62"/>
      <c r="J1406" s="190"/>
      <c r="K1406" s="206"/>
      <c r="L1406" s="7"/>
    </row>
    <row r="1407" spans="1:12">
      <c r="A1407" s="20"/>
      <c r="B1407" s="21"/>
      <c r="C1407" s="175"/>
      <c r="D1407" s="175"/>
      <c r="E1407" s="175"/>
      <c r="F1407" s="232"/>
      <c r="G1407" s="232"/>
      <c r="H1407" s="232"/>
      <c r="I1407" s="63"/>
      <c r="J1407" s="190"/>
      <c r="K1407" s="206"/>
      <c r="L1407" s="7"/>
    </row>
    <row r="1408" spans="1:12">
      <c r="A1408" s="20"/>
      <c r="B1408" s="21"/>
      <c r="C1408" s="175"/>
      <c r="D1408" s="175"/>
      <c r="E1408" s="175"/>
      <c r="F1408" s="232"/>
      <c r="G1408" s="232"/>
      <c r="H1408" s="232"/>
      <c r="I1408" s="63"/>
      <c r="J1408" s="190"/>
      <c r="K1408" s="206"/>
      <c r="L1408" s="7"/>
    </row>
    <row r="1409" spans="1:12">
      <c r="A1409" s="19"/>
      <c r="B1409" s="7"/>
      <c r="C1409" s="175"/>
      <c r="D1409" s="175"/>
      <c r="E1409" s="175"/>
      <c r="F1409" s="229"/>
      <c r="G1409" s="229"/>
      <c r="H1409" s="229"/>
      <c r="I1409" s="72"/>
      <c r="J1409" s="185"/>
      <c r="K1409" s="205"/>
      <c r="L1409" s="7"/>
    </row>
    <row r="1410" spans="1:12">
      <c r="A1410" s="19"/>
      <c r="B1410" s="7"/>
      <c r="C1410" s="175"/>
      <c r="D1410" s="175"/>
      <c r="E1410" s="175"/>
      <c r="F1410" s="229"/>
      <c r="G1410" s="229"/>
      <c r="H1410" s="229"/>
      <c r="I1410" s="72"/>
      <c r="J1410" s="185"/>
      <c r="K1410" s="205"/>
      <c r="L1410" s="7"/>
    </row>
    <row r="1411" spans="1:12">
      <c r="A1411" s="19"/>
      <c r="B1411" s="7"/>
      <c r="C1411" s="175"/>
      <c r="D1411" s="175"/>
      <c r="E1411" s="175"/>
      <c r="F1411" s="229"/>
      <c r="G1411" s="229"/>
      <c r="H1411" s="229"/>
      <c r="I1411" s="72"/>
      <c r="J1411" s="185"/>
      <c r="K1411" s="205"/>
      <c r="L1411" s="7"/>
    </row>
    <row r="1412" spans="1:12">
      <c r="A1412" s="19"/>
      <c r="B1412" s="7"/>
      <c r="C1412" s="175"/>
      <c r="D1412" s="175"/>
      <c r="E1412" s="175"/>
      <c r="F1412" s="229"/>
      <c r="G1412" s="229"/>
      <c r="H1412" s="229"/>
      <c r="I1412" s="72"/>
      <c r="J1412" s="185"/>
      <c r="K1412" s="205"/>
      <c r="L1412" s="7"/>
    </row>
    <row r="1413" spans="1:12">
      <c r="A1413" s="19"/>
      <c r="B1413" s="7"/>
      <c r="C1413" s="175"/>
      <c r="D1413" s="175"/>
      <c r="E1413" s="175"/>
      <c r="F1413" s="229"/>
      <c r="G1413" s="229"/>
      <c r="H1413" s="229"/>
      <c r="I1413" s="72"/>
      <c r="J1413" s="185"/>
      <c r="K1413" s="205"/>
      <c r="L1413" s="7"/>
    </row>
    <row r="1414" spans="1:12">
      <c r="A1414" s="19"/>
      <c r="B1414" s="7"/>
      <c r="C1414" s="175"/>
      <c r="D1414" s="175"/>
      <c r="E1414" s="175"/>
      <c r="F1414" s="229"/>
      <c r="G1414" s="229"/>
      <c r="H1414" s="229"/>
      <c r="I1414" s="72"/>
      <c r="J1414" s="185"/>
      <c r="K1414" s="205"/>
      <c r="L1414" s="7"/>
    </row>
    <row r="1415" spans="1:12">
      <c r="A1415" s="19"/>
      <c r="B1415" s="7"/>
      <c r="C1415" s="175"/>
      <c r="D1415" s="175"/>
      <c r="E1415" s="175"/>
      <c r="F1415" s="229"/>
      <c r="G1415" s="229"/>
      <c r="H1415" s="229"/>
      <c r="I1415" s="72"/>
      <c r="J1415" s="185"/>
      <c r="K1415" s="205"/>
      <c r="L1415" s="7"/>
    </row>
    <row r="1416" spans="1:12">
      <c r="A1416" s="20"/>
      <c r="B1416" s="21"/>
      <c r="C1416" s="175"/>
      <c r="D1416" s="175"/>
      <c r="E1416" s="175"/>
      <c r="F1416" s="232"/>
      <c r="G1416" s="232"/>
      <c r="H1416" s="232"/>
      <c r="I1416" s="63"/>
      <c r="J1416" s="190"/>
      <c r="K1416" s="206"/>
      <c r="L1416" s="7"/>
    </row>
    <row r="1417" spans="1:12">
      <c r="A1417" s="20"/>
      <c r="B1417" s="21"/>
      <c r="C1417" s="175"/>
      <c r="D1417" s="175"/>
      <c r="E1417" s="175"/>
      <c r="F1417" s="232"/>
      <c r="G1417" s="232"/>
      <c r="H1417" s="232"/>
      <c r="I1417" s="63"/>
      <c r="J1417" s="190"/>
      <c r="K1417" s="206"/>
      <c r="L1417" s="7"/>
    </row>
    <row r="1418" spans="1:12">
      <c r="A1418" s="19"/>
      <c r="B1418" s="7"/>
      <c r="C1418" s="175"/>
      <c r="D1418" s="175"/>
      <c r="E1418" s="175"/>
      <c r="F1418" s="229"/>
      <c r="G1418" s="229"/>
      <c r="H1418" s="229"/>
      <c r="I1418" s="72"/>
      <c r="J1418" s="185"/>
      <c r="K1418" s="205"/>
      <c r="L1418" s="7"/>
    </row>
    <row r="1419" spans="1:12">
      <c r="A1419" s="20"/>
      <c r="B1419" s="21"/>
      <c r="C1419" s="175"/>
      <c r="D1419" s="175"/>
      <c r="E1419" s="175"/>
      <c r="F1419" s="232"/>
      <c r="G1419" s="232"/>
      <c r="H1419" s="232"/>
      <c r="I1419" s="63"/>
      <c r="J1419" s="190"/>
      <c r="K1419" s="206"/>
      <c r="L1419" s="7"/>
    </row>
    <row r="1420" spans="1:12">
      <c r="A1420" s="19"/>
      <c r="B1420" s="7"/>
      <c r="C1420" s="175"/>
      <c r="D1420" s="175"/>
      <c r="E1420" s="175"/>
      <c r="F1420" s="229"/>
      <c r="G1420" s="229"/>
      <c r="H1420" s="229"/>
      <c r="I1420" s="72"/>
      <c r="J1420" s="185"/>
      <c r="K1420" s="205"/>
      <c r="L1420" s="7"/>
    </row>
    <row r="1421" spans="1:12">
      <c r="A1421" s="20"/>
      <c r="B1421" s="21"/>
      <c r="C1421" s="175"/>
      <c r="D1421" s="175"/>
      <c r="E1421" s="175"/>
      <c r="F1421" s="232"/>
      <c r="G1421" s="232"/>
      <c r="H1421" s="232"/>
      <c r="I1421" s="63"/>
      <c r="J1421" s="190"/>
      <c r="K1421" s="206"/>
      <c r="L1421" s="7"/>
    </row>
    <row r="1422" spans="1:12">
      <c r="A1422" s="20"/>
      <c r="B1422" s="21"/>
      <c r="C1422" s="175"/>
      <c r="D1422" s="175"/>
      <c r="E1422" s="175"/>
      <c r="F1422" s="232"/>
      <c r="G1422" s="232"/>
      <c r="H1422" s="232"/>
      <c r="I1422" s="63"/>
      <c r="J1422" s="190"/>
      <c r="K1422" s="206"/>
      <c r="L1422" s="7"/>
    </row>
    <row r="1423" spans="1:12">
      <c r="A1423" s="20"/>
      <c r="B1423" s="21"/>
      <c r="C1423" s="175"/>
      <c r="D1423" s="175"/>
      <c r="E1423" s="175"/>
      <c r="F1423" s="232"/>
      <c r="G1423" s="232"/>
      <c r="H1423" s="232"/>
      <c r="I1423" s="63"/>
      <c r="J1423" s="190"/>
      <c r="K1423" s="206"/>
      <c r="L1423" s="7"/>
    </row>
    <row r="1424" spans="1:12">
      <c r="A1424" s="19"/>
      <c r="B1424" s="7"/>
      <c r="C1424" s="175"/>
      <c r="D1424" s="175"/>
      <c r="E1424" s="175"/>
      <c r="F1424" s="229"/>
      <c r="G1424" s="229"/>
      <c r="H1424" s="229"/>
      <c r="I1424" s="72"/>
      <c r="J1424" s="185"/>
      <c r="K1424" s="205"/>
      <c r="L1424" s="7"/>
    </row>
    <row r="1425" spans="1:12">
      <c r="A1425" s="19"/>
      <c r="B1425" s="7"/>
      <c r="C1425" s="175"/>
      <c r="D1425" s="175"/>
      <c r="E1425" s="175"/>
      <c r="F1425" s="229"/>
      <c r="G1425" s="229"/>
      <c r="H1425" s="229"/>
      <c r="I1425" s="72"/>
      <c r="J1425" s="185"/>
      <c r="K1425" s="205"/>
      <c r="L1425" s="7"/>
    </row>
    <row r="1426" spans="1:12">
      <c r="A1426" s="19"/>
      <c r="B1426" s="7"/>
      <c r="C1426" s="175"/>
      <c r="D1426" s="175"/>
      <c r="E1426" s="175"/>
      <c r="F1426" s="229"/>
      <c r="G1426" s="229"/>
      <c r="H1426" s="229"/>
      <c r="I1426" s="72"/>
      <c r="J1426" s="185"/>
      <c r="K1426" s="205"/>
      <c r="L1426" s="7"/>
    </row>
    <row r="1427" spans="1:12">
      <c r="A1427" s="19"/>
      <c r="B1427" s="7"/>
      <c r="C1427" s="175"/>
      <c r="D1427" s="175"/>
      <c r="E1427" s="175"/>
      <c r="F1427" s="229"/>
      <c r="G1427" s="229"/>
      <c r="H1427" s="229"/>
      <c r="I1427" s="72"/>
      <c r="J1427" s="185"/>
      <c r="K1427" s="205"/>
      <c r="L1427" s="7"/>
    </row>
    <row r="1428" spans="1:12">
      <c r="A1428" s="19"/>
      <c r="B1428" s="7"/>
      <c r="C1428" s="175"/>
      <c r="D1428" s="175"/>
      <c r="E1428" s="175"/>
      <c r="F1428" s="229"/>
      <c r="G1428" s="229"/>
      <c r="H1428" s="229"/>
      <c r="I1428" s="72"/>
      <c r="J1428" s="185"/>
      <c r="K1428" s="205"/>
      <c r="L1428" s="7"/>
    </row>
    <row r="1429" spans="1:12">
      <c r="A1429" s="19"/>
      <c r="B1429" s="7"/>
      <c r="C1429" s="175"/>
      <c r="D1429" s="175"/>
      <c r="E1429" s="175"/>
      <c r="F1429" s="229"/>
      <c r="G1429" s="229"/>
      <c r="H1429" s="229"/>
      <c r="I1429" s="72"/>
      <c r="J1429" s="185"/>
      <c r="K1429" s="205"/>
      <c r="L1429" s="7"/>
    </row>
    <row r="1430" spans="1:12">
      <c r="A1430" s="19"/>
      <c r="B1430" s="7"/>
      <c r="C1430" s="175"/>
      <c r="D1430" s="175"/>
      <c r="E1430" s="175"/>
      <c r="F1430" s="229"/>
      <c r="G1430" s="229"/>
      <c r="H1430" s="229"/>
      <c r="I1430" s="72"/>
      <c r="J1430" s="185"/>
      <c r="K1430" s="205"/>
      <c r="L1430" s="7"/>
    </row>
    <row r="1431" spans="1:12">
      <c r="A1431" s="19"/>
      <c r="B1431" s="7"/>
      <c r="C1431" s="175"/>
      <c r="D1431" s="175"/>
      <c r="E1431" s="175"/>
      <c r="F1431" s="229"/>
      <c r="G1431" s="229"/>
      <c r="H1431" s="229"/>
      <c r="I1431" s="72"/>
      <c r="J1431" s="185"/>
      <c r="K1431" s="205"/>
      <c r="L1431" s="7"/>
    </row>
    <row r="1432" spans="1:12">
      <c r="A1432" s="19"/>
      <c r="B1432" s="7"/>
      <c r="C1432" s="175"/>
      <c r="D1432" s="175"/>
      <c r="E1432" s="175"/>
      <c r="F1432" s="229"/>
      <c r="G1432" s="229"/>
      <c r="H1432" s="229"/>
      <c r="I1432" s="72"/>
      <c r="J1432" s="185"/>
      <c r="K1432" s="205"/>
      <c r="L1432" s="7"/>
    </row>
    <row r="1433" spans="1:12">
      <c r="A1433" s="19"/>
      <c r="B1433" s="7"/>
      <c r="C1433" s="175"/>
      <c r="D1433" s="175"/>
      <c r="E1433" s="175"/>
      <c r="F1433" s="229"/>
      <c r="G1433" s="229"/>
      <c r="H1433" s="229"/>
      <c r="I1433" s="72"/>
      <c r="J1433" s="185"/>
      <c r="K1433" s="205"/>
      <c r="L1433" s="7"/>
    </row>
    <row r="1434" spans="1:12">
      <c r="A1434" s="19"/>
      <c r="B1434" s="7"/>
      <c r="C1434" s="175"/>
      <c r="D1434" s="175"/>
      <c r="E1434" s="175"/>
      <c r="F1434" s="229"/>
      <c r="G1434" s="229"/>
      <c r="H1434" s="229"/>
      <c r="I1434" s="72"/>
      <c r="J1434" s="185"/>
      <c r="K1434" s="205"/>
      <c r="L1434" s="7"/>
    </row>
    <row r="1435" spans="1:12">
      <c r="A1435" s="19"/>
      <c r="B1435" s="7"/>
      <c r="C1435" s="175"/>
      <c r="D1435" s="175"/>
      <c r="E1435" s="175"/>
      <c r="F1435" s="229"/>
      <c r="G1435" s="229"/>
      <c r="H1435" s="229"/>
      <c r="I1435" s="72"/>
      <c r="J1435" s="185"/>
      <c r="K1435" s="205"/>
      <c r="L1435" s="7"/>
    </row>
    <row r="1436" spans="1:12">
      <c r="A1436" s="19"/>
      <c r="B1436" s="7"/>
      <c r="C1436" s="175"/>
      <c r="D1436" s="175"/>
      <c r="E1436" s="175"/>
      <c r="F1436" s="229"/>
      <c r="G1436" s="229"/>
      <c r="H1436" s="229"/>
      <c r="I1436" s="72"/>
      <c r="J1436" s="185"/>
      <c r="K1436" s="205"/>
      <c r="L1436" s="7"/>
    </row>
    <row r="1437" spans="1:12">
      <c r="A1437" s="19"/>
      <c r="B1437" s="7"/>
      <c r="C1437" s="175"/>
      <c r="D1437" s="175"/>
      <c r="E1437" s="175"/>
      <c r="F1437" s="229"/>
      <c r="G1437" s="229"/>
      <c r="H1437" s="229"/>
      <c r="I1437" s="72"/>
      <c r="J1437" s="185"/>
      <c r="K1437" s="205"/>
      <c r="L1437" s="7"/>
    </row>
    <row r="1438" spans="1:12">
      <c r="A1438" s="19"/>
      <c r="B1438" s="7"/>
      <c r="C1438" s="175"/>
      <c r="D1438" s="175"/>
      <c r="E1438" s="175"/>
      <c r="F1438" s="229"/>
      <c r="G1438" s="229"/>
      <c r="H1438" s="229"/>
      <c r="I1438" s="72"/>
      <c r="J1438" s="185"/>
      <c r="K1438" s="205"/>
      <c r="L1438" s="7"/>
    </row>
    <row r="1439" spans="1:12">
      <c r="A1439" s="19"/>
      <c r="B1439" s="7"/>
      <c r="C1439" s="175"/>
      <c r="D1439" s="175"/>
      <c r="E1439" s="175"/>
      <c r="F1439" s="229"/>
      <c r="G1439" s="229"/>
      <c r="H1439" s="229"/>
      <c r="I1439" s="72"/>
      <c r="J1439" s="185"/>
      <c r="K1439" s="205"/>
      <c r="L1439" s="14"/>
    </row>
    <row r="1440" spans="1:12">
      <c r="A1440" s="19"/>
      <c r="B1440" s="7"/>
      <c r="C1440" s="175"/>
      <c r="D1440" s="175"/>
      <c r="E1440" s="175"/>
      <c r="F1440" s="229"/>
      <c r="G1440" s="229"/>
      <c r="H1440" s="229"/>
      <c r="I1440" s="72"/>
      <c r="J1440" s="185"/>
      <c r="K1440" s="205"/>
      <c r="L1440" s="7"/>
    </row>
    <row r="1441" spans="1:12">
      <c r="A1441" s="19"/>
      <c r="B1441" s="7"/>
      <c r="C1441" s="175"/>
      <c r="D1441" s="175"/>
      <c r="E1441" s="175"/>
      <c r="F1441" s="229"/>
      <c r="G1441" s="229"/>
      <c r="H1441" s="229"/>
      <c r="I1441" s="72"/>
      <c r="J1441" s="185"/>
      <c r="K1441" s="205"/>
      <c r="L1441" s="7"/>
    </row>
    <row r="1442" spans="1:12">
      <c r="A1442" s="19"/>
      <c r="B1442" s="7"/>
      <c r="C1442" s="175"/>
      <c r="D1442" s="175"/>
      <c r="E1442" s="175"/>
      <c r="F1442" s="229"/>
      <c r="G1442" s="229"/>
      <c r="H1442" s="229"/>
      <c r="I1442" s="72"/>
      <c r="J1442" s="185"/>
      <c r="K1442" s="205"/>
      <c r="L1442" s="7"/>
    </row>
    <row r="1443" spans="1:12">
      <c r="A1443" s="19"/>
      <c r="B1443" s="7"/>
      <c r="C1443" s="175"/>
      <c r="D1443" s="175"/>
      <c r="E1443" s="175"/>
      <c r="F1443" s="229"/>
      <c r="G1443" s="229"/>
      <c r="H1443" s="229"/>
      <c r="I1443" s="72"/>
      <c r="J1443" s="185"/>
      <c r="K1443" s="205"/>
      <c r="L1443" s="7"/>
    </row>
    <row r="1444" spans="1:12">
      <c r="A1444" s="19"/>
      <c r="B1444" s="7"/>
      <c r="C1444" s="175"/>
      <c r="D1444" s="175"/>
      <c r="E1444" s="175"/>
      <c r="F1444" s="229"/>
      <c r="G1444" s="229"/>
      <c r="H1444" s="229"/>
      <c r="I1444" s="72"/>
      <c r="J1444" s="185"/>
      <c r="K1444" s="205"/>
      <c r="L1444" s="7"/>
    </row>
    <row r="1445" spans="1:12">
      <c r="A1445" s="19"/>
      <c r="B1445" s="7"/>
      <c r="C1445" s="175"/>
      <c r="D1445" s="175"/>
      <c r="E1445" s="175"/>
      <c r="F1445" s="229"/>
      <c r="G1445" s="229"/>
      <c r="H1445" s="229"/>
      <c r="I1445" s="72"/>
      <c r="J1445" s="185"/>
      <c r="K1445" s="205"/>
      <c r="L1445" s="7"/>
    </row>
    <row r="1446" spans="1:12">
      <c r="A1446" s="19"/>
      <c r="B1446" s="7"/>
      <c r="C1446" s="175"/>
      <c r="D1446" s="175"/>
      <c r="E1446" s="175"/>
      <c r="F1446" s="229"/>
      <c r="G1446" s="229"/>
      <c r="H1446" s="229"/>
      <c r="I1446" s="72"/>
      <c r="J1446" s="185"/>
      <c r="K1446" s="205"/>
      <c r="L1446" s="7"/>
    </row>
    <row r="1447" spans="1:12">
      <c r="A1447" s="19"/>
      <c r="B1447" s="7"/>
      <c r="C1447" s="175"/>
      <c r="D1447" s="175"/>
      <c r="E1447" s="175"/>
      <c r="F1447" s="229"/>
      <c r="G1447" s="229"/>
      <c r="H1447" s="229"/>
      <c r="I1447" s="72"/>
      <c r="J1447" s="185"/>
      <c r="K1447" s="205"/>
      <c r="L1447" s="7"/>
    </row>
    <row r="1448" spans="1:12">
      <c r="A1448" s="19"/>
      <c r="B1448" s="7"/>
      <c r="C1448" s="175"/>
      <c r="D1448" s="175"/>
      <c r="E1448" s="175"/>
      <c r="F1448" s="229"/>
      <c r="G1448" s="229"/>
      <c r="H1448" s="229"/>
      <c r="I1448" s="72"/>
      <c r="J1448" s="185"/>
      <c r="K1448" s="205"/>
      <c r="L1448" s="7"/>
    </row>
    <row r="1449" spans="1:12">
      <c r="A1449" s="19"/>
      <c r="B1449" s="7"/>
      <c r="C1449" s="175"/>
      <c r="D1449" s="175"/>
      <c r="E1449" s="175"/>
      <c r="F1449" s="229"/>
      <c r="G1449" s="229"/>
      <c r="H1449" s="229"/>
      <c r="I1449" s="72"/>
      <c r="J1449" s="185"/>
      <c r="K1449" s="205"/>
      <c r="L1449" s="7"/>
    </row>
    <row r="1450" spans="1:12">
      <c r="A1450" s="19"/>
      <c r="B1450" s="7"/>
      <c r="C1450" s="175"/>
      <c r="D1450" s="175"/>
      <c r="E1450" s="175"/>
      <c r="F1450" s="229"/>
      <c r="G1450" s="229"/>
      <c r="H1450" s="229"/>
      <c r="I1450" s="72"/>
      <c r="J1450" s="185"/>
      <c r="K1450" s="205"/>
      <c r="L1450" s="7"/>
    </row>
    <row r="1451" spans="1:12">
      <c r="A1451" s="19"/>
      <c r="B1451" s="7"/>
      <c r="C1451" s="175"/>
      <c r="D1451" s="175"/>
      <c r="E1451" s="175"/>
      <c r="F1451" s="229"/>
      <c r="G1451" s="229"/>
      <c r="H1451" s="229"/>
      <c r="I1451" s="72"/>
      <c r="J1451" s="185"/>
      <c r="K1451" s="205"/>
      <c r="L1451" s="7"/>
    </row>
    <row r="1452" spans="1:12">
      <c r="A1452" s="19"/>
      <c r="B1452" s="7"/>
      <c r="C1452" s="175"/>
      <c r="D1452" s="175"/>
      <c r="E1452" s="175"/>
      <c r="F1452" s="229"/>
      <c r="G1452" s="229"/>
      <c r="H1452" s="229"/>
      <c r="I1452" s="72"/>
      <c r="J1452" s="185"/>
      <c r="K1452" s="205"/>
      <c r="L1452" s="7"/>
    </row>
    <row r="1453" spans="1:12">
      <c r="A1453" s="19"/>
      <c r="B1453" s="7"/>
      <c r="C1453" s="175"/>
      <c r="D1453" s="175"/>
      <c r="E1453" s="175"/>
      <c r="F1453" s="229"/>
      <c r="G1453" s="229"/>
      <c r="H1453" s="229"/>
      <c r="I1453" s="72"/>
      <c r="J1453" s="185"/>
      <c r="K1453" s="205"/>
      <c r="L1453" s="7"/>
    </row>
    <row r="1454" spans="1:12">
      <c r="A1454" s="19"/>
      <c r="B1454" s="7"/>
      <c r="C1454" s="175"/>
      <c r="D1454" s="175"/>
      <c r="E1454" s="175"/>
      <c r="F1454" s="229"/>
      <c r="G1454" s="229"/>
      <c r="H1454" s="229"/>
      <c r="I1454" s="72"/>
      <c r="J1454" s="185"/>
      <c r="K1454" s="205"/>
      <c r="L1454" s="7"/>
    </row>
    <row r="1455" spans="1:12">
      <c r="A1455" s="19"/>
      <c r="B1455" s="7"/>
      <c r="C1455" s="175"/>
      <c r="D1455" s="175"/>
      <c r="E1455" s="175"/>
      <c r="F1455" s="229"/>
      <c r="G1455" s="229"/>
      <c r="H1455" s="229"/>
      <c r="I1455" s="72"/>
      <c r="J1455" s="185"/>
      <c r="K1455" s="205"/>
      <c r="L1455" s="7"/>
    </row>
    <row r="1456" spans="1:12">
      <c r="A1456" s="19"/>
      <c r="B1456" s="7"/>
      <c r="C1456" s="175"/>
      <c r="D1456" s="175"/>
      <c r="E1456" s="175"/>
      <c r="F1456" s="229"/>
      <c r="G1456" s="229"/>
      <c r="H1456" s="229"/>
      <c r="I1456" s="72"/>
      <c r="J1456" s="185"/>
      <c r="K1456" s="205"/>
      <c r="L1456" s="7"/>
    </row>
    <row r="1457" spans="1:12">
      <c r="A1457" s="19"/>
      <c r="B1457" s="7"/>
      <c r="C1457" s="175"/>
      <c r="D1457" s="175"/>
      <c r="E1457" s="175"/>
      <c r="F1457" s="229"/>
      <c r="G1457" s="229"/>
      <c r="H1457" s="229"/>
      <c r="I1457" s="72"/>
      <c r="J1457" s="185"/>
      <c r="K1457" s="205"/>
      <c r="L1457" s="7"/>
    </row>
    <row r="1458" spans="1:12">
      <c r="A1458" s="19"/>
      <c r="B1458" s="7"/>
      <c r="C1458" s="175"/>
      <c r="D1458" s="175"/>
      <c r="E1458" s="175"/>
      <c r="F1458" s="229"/>
      <c r="G1458" s="229"/>
      <c r="H1458" s="229"/>
      <c r="I1458" s="72"/>
      <c r="J1458" s="185"/>
      <c r="K1458" s="205"/>
      <c r="L1458" s="7"/>
    </row>
    <row r="1459" spans="1:12">
      <c r="A1459" s="19"/>
      <c r="B1459" s="7"/>
      <c r="C1459" s="175"/>
      <c r="D1459" s="175"/>
      <c r="E1459" s="175"/>
      <c r="F1459" s="229"/>
      <c r="G1459" s="229"/>
      <c r="H1459" s="229"/>
      <c r="I1459" s="72"/>
      <c r="J1459" s="185"/>
      <c r="K1459" s="205"/>
      <c r="L1459" s="7"/>
    </row>
    <row r="1460" spans="1:12">
      <c r="A1460" s="19"/>
      <c r="B1460" s="7"/>
      <c r="C1460" s="175"/>
      <c r="D1460" s="175"/>
      <c r="E1460" s="175"/>
      <c r="F1460" s="229"/>
      <c r="G1460" s="229"/>
      <c r="H1460" s="229"/>
      <c r="I1460" s="72"/>
      <c r="J1460" s="185"/>
      <c r="K1460" s="205"/>
      <c r="L1460" s="7"/>
    </row>
    <row r="1461" spans="1:12">
      <c r="A1461" s="19"/>
      <c r="B1461" s="7"/>
      <c r="C1461" s="175"/>
      <c r="D1461" s="175"/>
      <c r="E1461" s="175"/>
      <c r="F1461" s="229"/>
      <c r="G1461" s="229"/>
      <c r="H1461" s="229"/>
      <c r="I1461" s="72"/>
      <c r="J1461" s="185"/>
      <c r="K1461" s="205"/>
      <c r="L1461" s="7"/>
    </row>
    <row r="1462" spans="1:12">
      <c r="A1462" s="19"/>
      <c r="B1462" s="7"/>
      <c r="C1462" s="175"/>
      <c r="D1462" s="175"/>
      <c r="E1462" s="175"/>
      <c r="F1462" s="229"/>
      <c r="G1462" s="229"/>
      <c r="H1462" s="229"/>
      <c r="I1462" s="72"/>
      <c r="J1462" s="185"/>
      <c r="K1462" s="205"/>
      <c r="L1462" s="7"/>
    </row>
    <row r="1463" spans="1:12">
      <c r="A1463" s="19"/>
      <c r="B1463" s="7"/>
      <c r="C1463" s="175"/>
      <c r="D1463" s="175"/>
      <c r="E1463" s="175"/>
      <c r="F1463" s="229"/>
      <c r="G1463" s="229"/>
      <c r="H1463" s="229"/>
      <c r="I1463" s="72"/>
      <c r="J1463" s="185"/>
      <c r="K1463" s="205"/>
      <c r="L1463" s="7"/>
    </row>
    <row r="1464" spans="1:12">
      <c r="A1464" s="19"/>
      <c r="B1464" s="7"/>
      <c r="C1464" s="175"/>
      <c r="D1464" s="175"/>
      <c r="E1464" s="175"/>
      <c r="F1464" s="229"/>
      <c r="G1464" s="229"/>
      <c r="H1464" s="229"/>
      <c r="I1464" s="72"/>
      <c r="J1464" s="185"/>
      <c r="K1464" s="205"/>
      <c r="L1464" s="7"/>
    </row>
    <row r="1465" spans="1:12">
      <c r="A1465" s="19"/>
      <c r="B1465" s="7"/>
      <c r="C1465" s="175"/>
      <c r="D1465" s="175"/>
      <c r="E1465" s="175"/>
      <c r="F1465" s="229"/>
      <c r="G1465" s="229"/>
      <c r="H1465" s="229"/>
      <c r="I1465" s="72"/>
      <c r="J1465" s="185"/>
      <c r="K1465" s="205"/>
      <c r="L1465" s="7"/>
    </row>
    <row r="1466" spans="1:12">
      <c r="A1466" s="19"/>
      <c r="B1466" s="7"/>
      <c r="C1466" s="175"/>
      <c r="D1466" s="175"/>
      <c r="E1466" s="175"/>
      <c r="F1466" s="229"/>
      <c r="G1466" s="229"/>
      <c r="H1466" s="229"/>
      <c r="I1466" s="72"/>
      <c r="J1466" s="185"/>
      <c r="K1466" s="205"/>
      <c r="L1466" s="7"/>
    </row>
    <row r="1467" spans="1:12">
      <c r="A1467" s="20"/>
      <c r="B1467" s="21"/>
      <c r="C1467" s="175"/>
      <c r="D1467" s="175"/>
      <c r="E1467" s="175"/>
      <c r="F1467" s="232"/>
      <c r="G1467" s="232"/>
      <c r="H1467" s="232"/>
      <c r="I1467" s="63"/>
      <c r="J1467" s="190"/>
      <c r="K1467" s="206"/>
      <c r="L1467" s="7"/>
    </row>
    <row r="1468" spans="1:12">
      <c r="A1468" s="19"/>
      <c r="B1468" s="7"/>
      <c r="C1468" s="175"/>
      <c r="D1468" s="175"/>
      <c r="E1468" s="175"/>
      <c r="F1468" s="229"/>
      <c r="G1468" s="229"/>
      <c r="H1468" s="229"/>
      <c r="I1468" s="72"/>
      <c r="J1468" s="185"/>
      <c r="K1468" s="205"/>
      <c r="L1468" s="7"/>
    </row>
    <row r="1469" spans="1:12">
      <c r="A1469" s="19"/>
      <c r="B1469" s="7"/>
      <c r="C1469" s="175"/>
      <c r="D1469" s="175"/>
      <c r="E1469" s="175"/>
      <c r="F1469" s="229"/>
      <c r="G1469" s="229"/>
      <c r="H1469" s="229"/>
      <c r="I1469" s="72"/>
      <c r="J1469" s="185"/>
      <c r="K1469" s="205"/>
      <c r="L1469" s="7"/>
    </row>
    <row r="1470" spans="1:12">
      <c r="A1470" s="20"/>
      <c r="B1470" s="21"/>
      <c r="C1470" s="175"/>
      <c r="D1470" s="175"/>
      <c r="E1470" s="175"/>
      <c r="F1470" s="232"/>
      <c r="G1470" s="232"/>
      <c r="H1470" s="232"/>
      <c r="I1470" s="63"/>
      <c r="J1470" s="190"/>
      <c r="K1470" s="206"/>
      <c r="L1470" s="7"/>
    </row>
    <row r="1471" spans="1:12">
      <c r="A1471" s="19"/>
      <c r="B1471" s="7"/>
      <c r="C1471" s="175"/>
      <c r="D1471" s="175"/>
      <c r="E1471" s="175"/>
      <c r="F1471" s="229"/>
      <c r="G1471" s="229"/>
      <c r="H1471" s="229"/>
      <c r="I1471" s="72"/>
      <c r="J1471" s="185"/>
      <c r="K1471" s="205"/>
      <c r="L1471" s="37"/>
    </row>
    <row r="1472" spans="1:12">
      <c r="A1472" s="19"/>
      <c r="B1472" s="7"/>
      <c r="C1472" s="175"/>
      <c r="D1472" s="175"/>
      <c r="E1472" s="175"/>
      <c r="F1472" s="229"/>
      <c r="G1472" s="229"/>
      <c r="H1472" s="229"/>
      <c r="I1472" s="72"/>
      <c r="J1472" s="185"/>
      <c r="K1472" s="205"/>
      <c r="L1472" s="37"/>
    </row>
    <row r="1473" spans="1:12">
      <c r="A1473" s="19"/>
      <c r="B1473" s="7"/>
      <c r="C1473" s="175"/>
      <c r="D1473" s="175"/>
      <c r="E1473" s="175"/>
      <c r="F1473" s="229"/>
      <c r="G1473" s="229"/>
      <c r="H1473" s="229"/>
      <c r="I1473" s="72"/>
      <c r="J1473" s="185"/>
      <c r="K1473" s="205"/>
      <c r="L1473" s="7"/>
    </row>
    <row r="1474" spans="1:12">
      <c r="A1474" s="19"/>
      <c r="B1474" s="7"/>
      <c r="C1474" s="175"/>
      <c r="D1474" s="175"/>
      <c r="E1474" s="175"/>
      <c r="F1474" s="229"/>
      <c r="G1474" s="229"/>
      <c r="H1474" s="229"/>
      <c r="I1474" s="72"/>
      <c r="J1474" s="185"/>
      <c r="K1474" s="205"/>
      <c r="L1474" s="7"/>
    </row>
    <row r="1475" spans="1:12">
      <c r="A1475" s="20"/>
      <c r="B1475" s="21"/>
      <c r="C1475" s="175"/>
      <c r="D1475" s="175"/>
      <c r="E1475" s="175"/>
      <c r="F1475" s="232"/>
      <c r="G1475" s="232"/>
      <c r="H1475" s="232"/>
      <c r="I1475" s="63"/>
      <c r="J1475" s="190"/>
      <c r="K1475" s="206"/>
      <c r="L1475" s="7"/>
    </row>
    <row r="1476" spans="1:12">
      <c r="A1476" s="20"/>
      <c r="B1476" s="21"/>
      <c r="C1476" s="175"/>
      <c r="D1476" s="175"/>
      <c r="E1476" s="175"/>
      <c r="F1476" s="232"/>
      <c r="G1476" s="232"/>
      <c r="H1476" s="232"/>
      <c r="I1476" s="63"/>
      <c r="J1476" s="190"/>
      <c r="K1476" s="206"/>
      <c r="L1476" s="7"/>
    </row>
    <row r="1477" spans="1:12">
      <c r="A1477" s="20"/>
      <c r="B1477" s="21"/>
      <c r="C1477" s="175"/>
      <c r="D1477" s="175"/>
      <c r="E1477" s="175"/>
      <c r="F1477" s="232"/>
      <c r="G1477" s="232"/>
      <c r="H1477" s="232"/>
      <c r="I1477" s="63"/>
      <c r="J1477" s="190"/>
      <c r="K1477" s="206"/>
      <c r="L1477" s="7"/>
    </row>
    <row r="1478" spans="1:12">
      <c r="A1478" s="20"/>
      <c r="B1478" s="21"/>
      <c r="C1478" s="175"/>
      <c r="D1478" s="175"/>
      <c r="E1478" s="175"/>
      <c r="F1478" s="232"/>
      <c r="G1478" s="232"/>
      <c r="H1478" s="232"/>
      <c r="I1478" s="63"/>
      <c r="J1478" s="190"/>
      <c r="K1478" s="206"/>
      <c r="L1478" s="7"/>
    </row>
    <row r="1479" spans="1:12">
      <c r="A1479" s="19"/>
      <c r="B1479" s="7"/>
      <c r="C1479" s="175"/>
      <c r="D1479" s="175"/>
      <c r="E1479" s="175"/>
      <c r="F1479" s="229"/>
      <c r="G1479" s="229"/>
      <c r="H1479" s="229"/>
      <c r="I1479" s="72"/>
      <c r="J1479" s="185"/>
      <c r="K1479" s="205"/>
      <c r="L1479" s="7"/>
    </row>
    <row r="1480" spans="1:12">
      <c r="A1480" s="19"/>
      <c r="B1480" s="7"/>
      <c r="C1480" s="175"/>
      <c r="D1480" s="175"/>
      <c r="E1480" s="175"/>
      <c r="F1480" s="229"/>
      <c r="G1480" s="229"/>
      <c r="H1480" s="229"/>
      <c r="I1480" s="72"/>
      <c r="J1480" s="185"/>
      <c r="K1480" s="205"/>
      <c r="L1480" s="7"/>
    </row>
    <row r="1481" spans="1:12">
      <c r="A1481" s="19"/>
      <c r="B1481" s="7"/>
      <c r="C1481" s="175"/>
      <c r="D1481" s="175"/>
      <c r="E1481" s="175"/>
      <c r="F1481" s="229"/>
      <c r="G1481" s="229"/>
      <c r="H1481" s="229"/>
      <c r="I1481" s="72"/>
      <c r="J1481" s="185"/>
      <c r="K1481" s="205"/>
      <c r="L1481" s="7"/>
    </row>
    <row r="1482" spans="1:12">
      <c r="A1482" s="19"/>
      <c r="B1482" s="7"/>
      <c r="C1482" s="175"/>
      <c r="D1482" s="175"/>
      <c r="E1482" s="175"/>
      <c r="F1482" s="229"/>
      <c r="G1482" s="229"/>
      <c r="H1482" s="229"/>
      <c r="I1482" s="72"/>
      <c r="J1482" s="185"/>
      <c r="K1482" s="205"/>
      <c r="L1482" s="7"/>
    </row>
    <row r="1483" spans="1:12">
      <c r="A1483" s="19"/>
      <c r="B1483" s="7"/>
      <c r="C1483" s="175"/>
      <c r="D1483" s="175"/>
      <c r="E1483" s="175"/>
      <c r="F1483" s="229"/>
      <c r="G1483" s="229"/>
      <c r="H1483" s="229"/>
      <c r="I1483" s="72"/>
      <c r="J1483" s="185"/>
      <c r="K1483" s="205"/>
      <c r="L1483" s="7"/>
    </row>
    <row r="1484" spans="1:12">
      <c r="A1484" s="19"/>
      <c r="B1484" s="7"/>
      <c r="C1484" s="175"/>
      <c r="D1484" s="175"/>
      <c r="E1484" s="175"/>
      <c r="F1484" s="229"/>
      <c r="G1484" s="229"/>
      <c r="H1484" s="229"/>
      <c r="I1484" s="72"/>
      <c r="J1484" s="185"/>
      <c r="K1484" s="205"/>
      <c r="L1484" s="7"/>
    </row>
    <row r="1485" spans="1:12">
      <c r="A1485" s="19"/>
      <c r="B1485" s="7"/>
      <c r="C1485" s="175"/>
      <c r="D1485" s="175"/>
      <c r="E1485" s="175"/>
      <c r="F1485" s="229"/>
      <c r="G1485" s="229"/>
      <c r="H1485" s="229"/>
      <c r="I1485" s="72"/>
      <c r="J1485" s="185"/>
      <c r="K1485" s="205"/>
      <c r="L1485" s="7"/>
    </row>
    <row r="1486" spans="1:12">
      <c r="A1486" s="19"/>
      <c r="B1486" s="7"/>
      <c r="C1486" s="175"/>
      <c r="D1486" s="175"/>
      <c r="E1486" s="175"/>
      <c r="F1486" s="229"/>
      <c r="G1486" s="229"/>
      <c r="H1486" s="229"/>
      <c r="I1486" s="72"/>
      <c r="J1486" s="185"/>
      <c r="K1486" s="205"/>
      <c r="L1486" s="7"/>
    </row>
    <row r="1487" spans="1:12">
      <c r="A1487" s="20"/>
      <c r="B1487" s="21"/>
      <c r="C1487" s="175"/>
      <c r="D1487" s="175"/>
      <c r="E1487" s="175"/>
      <c r="F1487" s="232"/>
      <c r="G1487" s="232"/>
      <c r="H1487" s="232"/>
      <c r="I1487" s="63"/>
      <c r="J1487" s="189"/>
      <c r="K1487" s="206"/>
      <c r="L1487" s="7"/>
    </row>
    <row r="1488" spans="1:12">
      <c r="A1488" s="20"/>
      <c r="B1488" s="21"/>
      <c r="C1488" s="175"/>
      <c r="D1488" s="175"/>
      <c r="E1488" s="175"/>
      <c r="F1488" s="232"/>
      <c r="G1488" s="232"/>
      <c r="H1488" s="232"/>
      <c r="I1488" s="63"/>
      <c r="J1488" s="189"/>
      <c r="K1488" s="206"/>
      <c r="L1488" s="7"/>
    </row>
    <row r="1489" spans="1:12">
      <c r="A1489" s="19"/>
      <c r="B1489" s="7"/>
      <c r="C1489" s="175"/>
      <c r="D1489" s="175"/>
      <c r="E1489" s="175"/>
      <c r="F1489" s="229"/>
      <c r="G1489" s="229"/>
      <c r="H1489" s="229"/>
      <c r="I1489" s="72"/>
      <c r="J1489" s="185"/>
      <c r="K1489" s="205"/>
      <c r="L1489" s="7"/>
    </row>
    <row r="1490" spans="1:12">
      <c r="A1490" s="19"/>
      <c r="B1490" s="7"/>
      <c r="C1490" s="175"/>
      <c r="D1490" s="175"/>
      <c r="E1490" s="175"/>
      <c r="F1490" s="229"/>
      <c r="G1490" s="229"/>
      <c r="H1490" s="229"/>
      <c r="I1490" s="72"/>
      <c r="J1490" s="185"/>
      <c r="K1490" s="205"/>
      <c r="L1490" s="7"/>
    </row>
    <row r="1491" spans="1:12">
      <c r="A1491" s="20"/>
      <c r="B1491" s="21"/>
      <c r="C1491" s="175"/>
      <c r="D1491" s="175"/>
      <c r="E1491" s="175"/>
      <c r="F1491" s="232"/>
      <c r="G1491" s="232"/>
      <c r="H1491" s="232"/>
      <c r="I1491" s="63"/>
      <c r="J1491" s="190"/>
      <c r="K1491" s="206"/>
      <c r="L1491" s="7"/>
    </row>
    <row r="1492" spans="1:12">
      <c r="A1492" s="20"/>
      <c r="B1492" s="21"/>
      <c r="C1492" s="175"/>
      <c r="D1492" s="175"/>
      <c r="E1492" s="175"/>
      <c r="F1492" s="232"/>
      <c r="G1492" s="232"/>
      <c r="H1492" s="232"/>
      <c r="I1492" s="63"/>
      <c r="J1492" s="190"/>
      <c r="K1492" s="206"/>
      <c r="L1492" s="7"/>
    </row>
    <row r="1493" spans="1:12">
      <c r="A1493" s="19"/>
      <c r="B1493" s="7"/>
      <c r="C1493" s="175"/>
      <c r="D1493" s="175"/>
      <c r="E1493" s="175"/>
      <c r="F1493" s="229"/>
      <c r="G1493" s="229"/>
      <c r="H1493" s="229"/>
      <c r="I1493" s="72"/>
      <c r="J1493" s="185"/>
      <c r="K1493" s="205"/>
      <c r="L1493" s="7"/>
    </row>
    <row r="1494" spans="1:12">
      <c r="A1494" s="20"/>
      <c r="B1494" s="21"/>
      <c r="C1494" s="175"/>
      <c r="D1494" s="175"/>
      <c r="E1494" s="175"/>
      <c r="F1494" s="232"/>
      <c r="G1494" s="232"/>
      <c r="H1494" s="232"/>
      <c r="I1494" s="63"/>
      <c r="J1494" s="190"/>
      <c r="K1494" s="206"/>
      <c r="L1494" s="7"/>
    </row>
    <row r="1495" spans="1:12">
      <c r="A1495" s="20"/>
      <c r="B1495" s="21"/>
      <c r="C1495" s="175"/>
      <c r="D1495" s="175"/>
      <c r="E1495" s="175"/>
      <c r="F1495" s="232"/>
      <c r="G1495" s="232"/>
      <c r="H1495" s="232"/>
      <c r="I1495" s="63"/>
      <c r="J1495" s="190"/>
      <c r="K1495" s="206"/>
      <c r="L1495" s="14"/>
    </row>
    <row r="1496" spans="1:12">
      <c r="A1496" s="19"/>
      <c r="B1496" s="7"/>
      <c r="C1496" s="175"/>
      <c r="D1496" s="175"/>
      <c r="E1496" s="175"/>
      <c r="F1496" s="229"/>
      <c r="G1496" s="229"/>
      <c r="H1496" s="229"/>
      <c r="I1496" s="72"/>
      <c r="J1496" s="185"/>
      <c r="K1496" s="205"/>
      <c r="L1496" s="7"/>
    </row>
    <row r="1497" spans="1:12">
      <c r="A1497" s="19"/>
      <c r="B1497" s="7"/>
      <c r="C1497" s="175"/>
      <c r="D1497" s="175"/>
      <c r="E1497" s="175"/>
      <c r="F1497" s="229"/>
      <c r="G1497" s="229"/>
      <c r="H1497" s="229"/>
      <c r="I1497" s="72"/>
      <c r="J1497" s="185"/>
      <c r="K1497" s="205"/>
      <c r="L1497" s="7"/>
    </row>
    <row r="1498" spans="1:12">
      <c r="A1498" s="19"/>
      <c r="B1498" s="7"/>
      <c r="C1498" s="175"/>
      <c r="D1498" s="175"/>
      <c r="E1498" s="175"/>
      <c r="F1498" s="229"/>
      <c r="G1498" s="229"/>
      <c r="H1498" s="229"/>
      <c r="I1498" s="72"/>
      <c r="J1498" s="185"/>
      <c r="K1498" s="205"/>
      <c r="L1498" s="7"/>
    </row>
    <row r="1499" spans="1:12">
      <c r="A1499" s="19"/>
      <c r="B1499" s="7"/>
      <c r="C1499" s="175"/>
      <c r="D1499" s="175"/>
      <c r="E1499" s="175"/>
      <c r="F1499" s="229"/>
      <c r="G1499" s="229"/>
      <c r="H1499" s="229"/>
      <c r="I1499" s="72"/>
      <c r="J1499" s="185"/>
      <c r="K1499" s="205"/>
      <c r="L1499" s="7"/>
    </row>
    <row r="1500" spans="1:12">
      <c r="A1500" s="19"/>
      <c r="B1500" s="7"/>
      <c r="C1500" s="175"/>
      <c r="D1500" s="175"/>
      <c r="E1500" s="175"/>
      <c r="F1500" s="229"/>
      <c r="G1500" s="229"/>
      <c r="H1500" s="229"/>
      <c r="I1500" s="72"/>
      <c r="J1500" s="185"/>
      <c r="K1500" s="205"/>
      <c r="L1500" s="7"/>
    </row>
    <row r="1501" spans="1:12">
      <c r="A1501" s="19"/>
      <c r="B1501" s="7"/>
      <c r="C1501" s="175"/>
      <c r="D1501" s="175"/>
      <c r="E1501" s="175"/>
      <c r="F1501" s="229"/>
      <c r="G1501" s="229"/>
      <c r="H1501" s="229"/>
      <c r="I1501" s="72"/>
      <c r="J1501" s="185"/>
      <c r="K1501" s="205"/>
      <c r="L1501" s="7"/>
    </row>
    <row r="1502" spans="1:12">
      <c r="A1502" s="19"/>
      <c r="B1502" s="7"/>
      <c r="C1502" s="175"/>
      <c r="D1502" s="175"/>
      <c r="E1502" s="175"/>
      <c r="F1502" s="229"/>
      <c r="G1502" s="229"/>
      <c r="H1502" s="229"/>
      <c r="I1502" s="72"/>
      <c r="J1502" s="185"/>
      <c r="K1502" s="205"/>
      <c r="L1502" s="7"/>
    </row>
    <row r="1503" spans="1:12">
      <c r="A1503" s="19"/>
      <c r="B1503" s="7"/>
      <c r="C1503" s="175"/>
      <c r="D1503" s="175"/>
      <c r="E1503" s="175"/>
      <c r="F1503" s="229"/>
      <c r="G1503" s="229"/>
      <c r="H1503" s="229"/>
      <c r="I1503" s="72"/>
      <c r="J1503" s="185"/>
      <c r="K1503" s="205"/>
      <c r="L1503" s="7"/>
    </row>
    <row r="1504" spans="1:12">
      <c r="A1504" s="19"/>
      <c r="B1504" s="7"/>
      <c r="C1504" s="175"/>
      <c r="D1504" s="175"/>
      <c r="E1504" s="175"/>
      <c r="F1504" s="229"/>
      <c r="G1504" s="229"/>
      <c r="H1504" s="229"/>
      <c r="I1504" s="72"/>
      <c r="J1504" s="185"/>
      <c r="K1504" s="205"/>
      <c r="L1504" s="7"/>
    </row>
    <row r="1505" spans="1:12">
      <c r="A1505" s="19"/>
      <c r="B1505" s="7"/>
      <c r="C1505" s="175"/>
      <c r="D1505" s="175"/>
      <c r="E1505" s="175"/>
      <c r="F1505" s="229"/>
      <c r="G1505" s="229"/>
      <c r="H1505" s="229"/>
      <c r="I1505" s="72"/>
      <c r="J1505" s="185"/>
      <c r="K1505" s="205"/>
      <c r="L1505" s="14"/>
    </row>
    <row r="1506" spans="1:12">
      <c r="A1506" s="19"/>
      <c r="B1506" s="7"/>
      <c r="C1506" s="175"/>
      <c r="D1506" s="175"/>
      <c r="E1506" s="175"/>
      <c r="F1506" s="229"/>
      <c r="G1506" s="229"/>
      <c r="H1506" s="229"/>
      <c r="I1506" s="72"/>
      <c r="J1506" s="185"/>
      <c r="K1506" s="205"/>
      <c r="L1506" s="7"/>
    </row>
    <row r="1507" spans="1:12">
      <c r="A1507" s="19"/>
      <c r="B1507" s="7"/>
      <c r="C1507" s="175"/>
      <c r="D1507" s="175"/>
      <c r="E1507" s="175"/>
      <c r="F1507" s="229"/>
      <c r="G1507" s="229"/>
      <c r="H1507" s="229"/>
      <c r="I1507" s="72"/>
      <c r="J1507" s="185"/>
      <c r="K1507" s="205"/>
      <c r="L1507" s="7"/>
    </row>
    <row r="1508" spans="1:12">
      <c r="A1508" s="19"/>
      <c r="B1508" s="7"/>
      <c r="C1508" s="175"/>
      <c r="D1508" s="175"/>
      <c r="E1508" s="175"/>
      <c r="F1508" s="229"/>
      <c r="G1508" s="229"/>
      <c r="H1508" s="229"/>
      <c r="I1508" s="72"/>
      <c r="J1508" s="185"/>
      <c r="K1508" s="205"/>
      <c r="L1508" s="7"/>
    </row>
    <row r="1509" spans="1:12">
      <c r="A1509" s="19"/>
      <c r="B1509" s="7"/>
      <c r="C1509" s="175"/>
      <c r="D1509" s="175"/>
      <c r="E1509" s="175"/>
      <c r="F1509" s="229"/>
      <c r="G1509" s="229"/>
      <c r="H1509" s="229"/>
      <c r="I1509" s="72"/>
      <c r="J1509" s="185"/>
      <c r="K1509" s="205"/>
      <c r="L1509" s="7"/>
    </row>
    <row r="1510" spans="1:12">
      <c r="A1510" s="19"/>
      <c r="B1510" s="7"/>
      <c r="C1510" s="175"/>
      <c r="D1510" s="175"/>
      <c r="E1510" s="175"/>
      <c r="F1510" s="229"/>
      <c r="G1510" s="229"/>
      <c r="H1510" s="229"/>
      <c r="I1510" s="72"/>
      <c r="J1510" s="185"/>
      <c r="K1510" s="205"/>
      <c r="L1510" s="7"/>
    </row>
    <row r="1511" spans="1:12">
      <c r="A1511" s="19"/>
      <c r="B1511" s="7"/>
      <c r="C1511" s="175"/>
      <c r="D1511" s="175"/>
      <c r="E1511" s="175"/>
      <c r="F1511" s="229"/>
      <c r="G1511" s="229"/>
      <c r="H1511" s="229"/>
      <c r="I1511" s="72"/>
      <c r="J1511" s="185"/>
      <c r="K1511" s="205"/>
      <c r="L1511" s="7"/>
    </row>
    <row r="1512" spans="1:12">
      <c r="A1512" s="19"/>
      <c r="B1512" s="7"/>
      <c r="C1512" s="175"/>
      <c r="D1512" s="175"/>
      <c r="E1512" s="175"/>
      <c r="F1512" s="229"/>
      <c r="G1512" s="229"/>
      <c r="H1512" s="229"/>
      <c r="I1512" s="72"/>
      <c r="J1512" s="185"/>
      <c r="K1512" s="205"/>
      <c r="L1512" s="7"/>
    </row>
    <row r="1513" spans="1:12">
      <c r="A1513" s="19"/>
      <c r="B1513" s="7"/>
      <c r="C1513" s="175"/>
      <c r="D1513" s="175"/>
      <c r="E1513" s="175"/>
      <c r="F1513" s="229"/>
      <c r="G1513" s="229"/>
      <c r="H1513" s="229"/>
      <c r="I1513" s="72"/>
      <c r="J1513" s="185"/>
      <c r="K1513" s="205"/>
      <c r="L1513" s="7"/>
    </row>
    <row r="1514" spans="1:12">
      <c r="A1514" s="19"/>
      <c r="B1514" s="7"/>
      <c r="C1514" s="175"/>
      <c r="D1514" s="175"/>
      <c r="E1514" s="175"/>
      <c r="F1514" s="229"/>
      <c r="G1514" s="229"/>
      <c r="H1514" s="229"/>
      <c r="I1514" s="72"/>
      <c r="J1514" s="185"/>
      <c r="K1514" s="205"/>
      <c r="L1514" s="7"/>
    </row>
    <row r="1515" spans="1:12">
      <c r="A1515" s="19"/>
      <c r="B1515" s="7"/>
      <c r="C1515" s="175"/>
      <c r="D1515" s="175"/>
      <c r="E1515" s="175"/>
      <c r="F1515" s="229"/>
      <c r="G1515" s="229"/>
      <c r="H1515" s="229"/>
      <c r="I1515" s="72"/>
      <c r="J1515" s="185"/>
      <c r="K1515" s="205"/>
      <c r="L1515" s="7"/>
    </row>
    <row r="1516" spans="1:12">
      <c r="A1516" s="19"/>
      <c r="B1516" s="7"/>
      <c r="C1516" s="175"/>
      <c r="D1516" s="175"/>
      <c r="E1516" s="175"/>
      <c r="F1516" s="229"/>
      <c r="G1516" s="229"/>
      <c r="H1516" s="229"/>
      <c r="I1516" s="72"/>
      <c r="J1516" s="185"/>
      <c r="K1516" s="205"/>
      <c r="L1516" s="7"/>
    </row>
    <row r="1517" spans="1:12">
      <c r="A1517" s="19"/>
      <c r="B1517" s="7"/>
      <c r="C1517" s="175"/>
      <c r="D1517" s="175"/>
      <c r="E1517" s="175"/>
      <c r="F1517" s="229"/>
      <c r="G1517" s="229"/>
      <c r="H1517" s="229"/>
      <c r="I1517" s="72"/>
      <c r="J1517" s="185"/>
      <c r="K1517" s="205"/>
      <c r="L1517" s="7"/>
    </row>
    <row r="1518" spans="1:12">
      <c r="A1518" s="19"/>
      <c r="B1518" s="7"/>
      <c r="C1518" s="175"/>
      <c r="D1518" s="175"/>
      <c r="E1518" s="175"/>
      <c r="F1518" s="229"/>
      <c r="G1518" s="229"/>
      <c r="H1518" s="229"/>
      <c r="I1518" s="72"/>
      <c r="J1518" s="185"/>
      <c r="K1518" s="205"/>
      <c r="L1518" s="7"/>
    </row>
    <row r="1519" spans="1:12">
      <c r="A1519" s="19"/>
      <c r="B1519" s="7"/>
      <c r="C1519" s="175"/>
      <c r="D1519" s="175"/>
      <c r="E1519" s="175"/>
      <c r="F1519" s="229"/>
      <c r="G1519" s="229"/>
      <c r="H1519" s="229"/>
      <c r="I1519" s="72"/>
      <c r="J1519" s="185"/>
      <c r="K1519" s="205"/>
      <c r="L1519" s="7"/>
    </row>
    <row r="1520" spans="1:12">
      <c r="A1520" s="19"/>
      <c r="B1520" s="7"/>
      <c r="C1520" s="175"/>
      <c r="D1520" s="175"/>
      <c r="E1520" s="175"/>
      <c r="F1520" s="229"/>
      <c r="G1520" s="229"/>
      <c r="H1520" s="229"/>
      <c r="I1520" s="72"/>
      <c r="J1520" s="185"/>
      <c r="K1520" s="205"/>
      <c r="L1520" s="7"/>
    </row>
    <row r="1521" spans="1:12">
      <c r="A1521" s="19"/>
      <c r="B1521" s="7"/>
      <c r="C1521" s="175"/>
      <c r="D1521" s="175"/>
      <c r="E1521" s="175"/>
      <c r="F1521" s="229"/>
      <c r="G1521" s="229"/>
      <c r="H1521" s="229"/>
      <c r="I1521" s="72"/>
      <c r="J1521" s="185"/>
      <c r="K1521" s="205"/>
      <c r="L1521" s="7"/>
    </row>
    <row r="1522" spans="1:12">
      <c r="A1522" s="19"/>
      <c r="B1522" s="7"/>
      <c r="C1522" s="175"/>
      <c r="D1522" s="175"/>
      <c r="E1522" s="175"/>
      <c r="F1522" s="229"/>
      <c r="G1522" s="229"/>
      <c r="H1522" s="229"/>
      <c r="I1522" s="72"/>
      <c r="J1522" s="185"/>
      <c r="K1522" s="205"/>
      <c r="L1522" s="7"/>
    </row>
    <row r="1523" spans="1:12">
      <c r="A1523" s="19"/>
      <c r="B1523" s="7"/>
      <c r="C1523" s="175"/>
      <c r="D1523" s="175"/>
      <c r="E1523" s="175"/>
      <c r="F1523" s="229"/>
      <c r="G1523" s="229"/>
      <c r="H1523" s="229"/>
      <c r="I1523" s="72"/>
      <c r="J1523" s="185"/>
      <c r="K1523" s="205"/>
      <c r="L1523" s="7"/>
    </row>
    <row r="1524" spans="1:12">
      <c r="A1524" s="19"/>
      <c r="B1524" s="7"/>
      <c r="C1524" s="175"/>
      <c r="D1524" s="175"/>
      <c r="E1524" s="175"/>
      <c r="F1524" s="229"/>
      <c r="G1524" s="229"/>
      <c r="H1524" s="229"/>
      <c r="I1524" s="72"/>
      <c r="J1524" s="185"/>
      <c r="K1524" s="205"/>
      <c r="L1524" s="7"/>
    </row>
    <row r="1525" spans="1:12">
      <c r="A1525" s="19"/>
      <c r="B1525" s="7"/>
      <c r="C1525" s="175"/>
      <c r="D1525" s="175"/>
      <c r="E1525" s="175"/>
      <c r="F1525" s="229"/>
      <c r="G1525" s="229"/>
      <c r="H1525" s="229"/>
      <c r="I1525" s="72"/>
      <c r="J1525" s="185"/>
      <c r="K1525" s="205"/>
      <c r="L1525" s="7"/>
    </row>
    <row r="1526" spans="1:12">
      <c r="A1526" s="19"/>
      <c r="B1526" s="7"/>
      <c r="C1526" s="175"/>
      <c r="D1526" s="175"/>
      <c r="E1526" s="175"/>
      <c r="F1526" s="229"/>
      <c r="G1526" s="229"/>
      <c r="H1526" s="229"/>
      <c r="I1526" s="72"/>
      <c r="J1526" s="185"/>
      <c r="K1526" s="205"/>
      <c r="L1526" s="7"/>
    </row>
    <row r="1527" spans="1:12">
      <c r="A1527" s="19"/>
      <c r="B1527" s="7"/>
      <c r="C1527" s="175"/>
      <c r="D1527" s="175"/>
      <c r="E1527" s="175"/>
      <c r="F1527" s="229"/>
      <c r="G1527" s="229"/>
      <c r="H1527" s="229"/>
      <c r="I1527" s="72"/>
      <c r="J1527" s="185"/>
      <c r="K1527" s="205"/>
      <c r="L1527" s="7"/>
    </row>
    <row r="1528" spans="1:12">
      <c r="A1528" s="19"/>
      <c r="B1528" s="7"/>
      <c r="C1528" s="175"/>
      <c r="D1528" s="175"/>
      <c r="E1528" s="175"/>
      <c r="F1528" s="229"/>
      <c r="G1528" s="229"/>
      <c r="H1528" s="229"/>
      <c r="I1528" s="72"/>
      <c r="J1528" s="185"/>
      <c r="K1528" s="205"/>
      <c r="L1528" s="7"/>
    </row>
    <row r="1529" spans="1:12">
      <c r="A1529" s="19"/>
      <c r="B1529" s="7"/>
      <c r="C1529" s="175"/>
      <c r="D1529" s="175"/>
      <c r="E1529" s="175"/>
      <c r="F1529" s="229"/>
      <c r="G1529" s="229"/>
      <c r="H1529" s="229"/>
      <c r="I1529" s="72"/>
      <c r="J1529" s="185"/>
      <c r="K1529" s="205"/>
      <c r="L1529" s="7"/>
    </row>
    <row r="1530" spans="1:12">
      <c r="A1530" s="19"/>
      <c r="B1530" s="7"/>
      <c r="C1530" s="175"/>
      <c r="D1530" s="175"/>
      <c r="E1530" s="175"/>
      <c r="F1530" s="229"/>
      <c r="G1530" s="229"/>
      <c r="H1530" s="229"/>
      <c r="I1530" s="72"/>
      <c r="J1530" s="185"/>
      <c r="K1530" s="205"/>
      <c r="L1530" s="7"/>
    </row>
    <row r="1531" spans="1:12">
      <c r="A1531" s="19"/>
      <c r="B1531" s="7"/>
      <c r="C1531" s="175"/>
      <c r="D1531" s="175"/>
      <c r="E1531" s="175"/>
      <c r="F1531" s="229"/>
      <c r="G1531" s="229"/>
      <c r="H1531" s="229"/>
      <c r="I1531" s="72"/>
      <c r="J1531" s="185"/>
      <c r="K1531" s="205"/>
      <c r="L1531" s="7"/>
    </row>
    <row r="1532" spans="1:12">
      <c r="A1532" s="20"/>
      <c r="B1532" s="21"/>
      <c r="C1532" s="175"/>
      <c r="D1532" s="175"/>
      <c r="E1532" s="175"/>
      <c r="F1532" s="232"/>
      <c r="G1532" s="232"/>
      <c r="H1532" s="232"/>
      <c r="I1532" s="63"/>
      <c r="J1532" s="190"/>
      <c r="K1532" s="206"/>
      <c r="L1532" s="7"/>
    </row>
    <row r="1533" spans="1:12">
      <c r="A1533" s="19"/>
      <c r="B1533" s="7"/>
      <c r="C1533" s="175"/>
      <c r="D1533" s="175"/>
      <c r="E1533" s="175"/>
      <c r="F1533" s="229"/>
      <c r="G1533" s="229"/>
      <c r="H1533" s="229"/>
      <c r="I1533" s="72"/>
      <c r="J1533" s="185"/>
      <c r="K1533" s="205"/>
      <c r="L1533" s="7"/>
    </row>
    <row r="1534" spans="1:12">
      <c r="A1534" s="19"/>
      <c r="B1534" s="7"/>
      <c r="C1534" s="175"/>
      <c r="D1534" s="175"/>
      <c r="E1534" s="175"/>
      <c r="F1534" s="229"/>
      <c r="G1534" s="229"/>
      <c r="H1534" s="229"/>
      <c r="I1534" s="72"/>
      <c r="J1534" s="185"/>
      <c r="K1534" s="205"/>
      <c r="L1534" s="7"/>
    </row>
    <row r="1535" spans="1:12">
      <c r="A1535" s="19"/>
      <c r="B1535" s="7"/>
      <c r="C1535" s="175"/>
      <c r="D1535" s="175"/>
      <c r="E1535" s="175"/>
      <c r="F1535" s="229"/>
      <c r="G1535" s="229"/>
      <c r="H1535" s="229"/>
      <c r="I1535" s="72"/>
      <c r="J1535" s="185"/>
      <c r="K1535" s="205"/>
      <c r="L1535" s="7"/>
    </row>
    <row r="1536" spans="1:12">
      <c r="A1536" s="19"/>
      <c r="B1536" s="7"/>
      <c r="C1536" s="175"/>
      <c r="D1536" s="175"/>
      <c r="E1536" s="175"/>
      <c r="F1536" s="229"/>
      <c r="G1536" s="229"/>
      <c r="H1536" s="229"/>
      <c r="I1536" s="72"/>
      <c r="J1536" s="185"/>
      <c r="K1536" s="205"/>
      <c r="L1536" s="7"/>
    </row>
    <row r="1537" spans="1:12">
      <c r="A1537" s="20"/>
      <c r="B1537" s="21"/>
      <c r="C1537" s="175"/>
      <c r="D1537" s="175"/>
      <c r="E1537" s="175"/>
      <c r="F1537" s="232"/>
      <c r="G1537" s="232"/>
      <c r="H1537" s="232"/>
      <c r="I1537" s="63"/>
      <c r="J1537" s="190"/>
      <c r="K1537" s="206"/>
      <c r="L1537" s="7"/>
    </row>
    <row r="1538" spans="1:12">
      <c r="A1538" s="20"/>
      <c r="B1538" s="21"/>
      <c r="C1538" s="175"/>
      <c r="D1538" s="175"/>
      <c r="E1538" s="175"/>
      <c r="F1538" s="232"/>
      <c r="G1538" s="232"/>
      <c r="H1538" s="232"/>
      <c r="I1538" s="63"/>
      <c r="J1538" s="190"/>
      <c r="K1538" s="206"/>
      <c r="L1538" s="7"/>
    </row>
    <row r="1539" spans="1:12">
      <c r="A1539" s="19"/>
      <c r="B1539" s="7"/>
      <c r="C1539" s="175"/>
      <c r="D1539" s="175"/>
      <c r="E1539" s="175"/>
      <c r="F1539" s="229"/>
      <c r="G1539" s="229"/>
      <c r="H1539" s="229"/>
      <c r="I1539" s="72"/>
      <c r="J1539" s="185"/>
      <c r="K1539" s="205"/>
      <c r="L1539" s="7"/>
    </row>
    <row r="1540" spans="1:12">
      <c r="A1540" s="19"/>
      <c r="B1540" s="7"/>
      <c r="C1540" s="175"/>
      <c r="D1540" s="175"/>
      <c r="E1540" s="175"/>
      <c r="F1540" s="229"/>
      <c r="G1540" s="229"/>
      <c r="H1540" s="229"/>
      <c r="I1540" s="72"/>
      <c r="J1540" s="185"/>
      <c r="K1540" s="205"/>
      <c r="L1540" s="7"/>
    </row>
    <row r="1541" spans="1:12">
      <c r="A1541" s="19"/>
      <c r="B1541" s="7"/>
      <c r="C1541" s="175"/>
      <c r="D1541" s="175"/>
      <c r="E1541" s="175"/>
      <c r="F1541" s="229"/>
      <c r="G1541" s="229"/>
      <c r="H1541" s="229"/>
      <c r="I1541" s="72"/>
      <c r="J1541" s="185"/>
      <c r="K1541" s="205"/>
      <c r="L1541" s="7"/>
    </row>
    <row r="1542" spans="1:12">
      <c r="A1542" s="19"/>
      <c r="B1542" s="7"/>
      <c r="C1542" s="175"/>
      <c r="D1542" s="175"/>
      <c r="E1542" s="175"/>
      <c r="F1542" s="229"/>
      <c r="G1542" s="229"/>
      <c r="H1542" s="229"/>
      <c r="I1542" s="72"/>
      <c r="J1542" s="185"/>
      <c r="K1542" s="205"/>
      <c r="L1542" s="7"/>
    </row>
    <row r="1543" spans="1:12">
      <c r="A1543" s="19"/>
      <c r="B1543" s="7"/>
      <c r="C1543" s="175"/>
      <c r="D1543" s="175"/>
      <c r="E1543" s="175"/>
      <c r="F1543" s="229"/>
      <c r="G1543" s="229"/>
      <c r="H1543" s="229"/>
      <c r="I1543" s="72"/>
      <c r="J1543" s="185"/>
      <c r="K1543" s="205"/>
      <c r="L1543" s="7"/>
    </row>
    <row r="1544" spans="1:12">
      <c r="A1544" s="19"/>
      <c r="B1544" s="7"/>
      <c r="C1544" s="175"/>
      <c r="D1544" s="175"/>
      <c r="E1544" s="175"/>
      <c r="F1544" s="229"/>
      <c r="G1544" s="229"/>
      <c r="H1544" s="229"/>
      <c r="I1544" s="72"/>
      <c r="J1544" s="185"/>
      <c r="K1544" s="205"/>
      <c r="L1544" s="7"/>
    </row>
    <row r="1545" spans="1:12">
      <c r="A1545" s="19"/>
      <c r="B1545" s="7"/>
      <c r="C1545" s="175"/>
      <c r="D1545" s="175"/>
      <c r="E1545" s="175"/>
      <c r="F1545" s="229"/>
      <c r="G1545" s="229"/>
      <c r="H1545" s="229"/>
      <c r="I1545" s="72"/>
      <c r="J1545" s="185"/>
      <c r="K1545" s="205"/>
      <c r="L1545" s="7"/>
    </row>
    <row r="1546" spans="1:12">
      <c r="A1546" s="19"/>
      <c r="B1546" s="7"/>
      <c r="C1546" s="175"/>
      <c r="D1546" s="175"/>
      <c r="E1546" s="175"/>
      <c r="F1546" s="229"/>
      <c r="G1546" s="229"/>
      <c r="H1546" s="229"/>
      <c r="I1546" s="72"/>
      <c r="J1546" s="185"/>
      <c r="K1546" s="205"/>
      <c r="L1546" s="7"/>
    </row>
    <row r="1547" spans="1:12">
      <c r="A1547" s="20"/>
      <c r="B1547" s="21"/>
      <c r="C1547" s="175"/>
      <c r="D1547" s="175"/>
      <c r="E1547" s="175"/>
      <c r="F1547" s="232"/>
      <c r="G1547" s="232"/>
      <c r="H1547" s="232"/>
      <c r="I1547" s="63"/>
      <c r="J1547" s="190"/>
      <c r="K1547" s="206"/>
      <c r="L1547" s="7"/>
    </row>
    <row r="1548" spans="1:12">
      <c r="A1548" s="19"/>
      <c r="B1548" s="7"/>
      <c r="C1548" s="175"/>
      <c r="D1548" s="175"/>
      <c r="E1548" s="175"/>
      <c r="F1548" s="229"/>
      <c r="G1548" s="229"/>
      <c r="H1548" s="229"/>
      <c r="I1548" s="72"/>
      <c r="J1548" s="185"/>
      <c r="K1548" s="205"/>
      <c r="L1548" s="7"/>
    </row>
    <row r="1549" spans="1:12">
      <c r="A1549" s="20"/>
      <c r="B1549" s="21"/>
      <c r="C1549" s="175"/>
      <c r="D1549" s="175"/>
      <c r="E1549" s="175"/>
      <c r="F1549" s="232"/>
      <c r="G1549" s="232"/>
      <c r="H1549" s="232"/>
      <c r="I1549" s="63"/>
      <c r="J1549" s="190"/>
      <c r="K1549" s="206"/>
      <c r="L1549" s="7"/>
    </row>
    <row r="1550" spans="1:12">
      <c r="A1550" s="20"/>
      <c r="B1550" s="21"/>
      <c r="C1550" s="175"/>
      <c r="D1550" s="175"/>
      <c r="E1550" s="175"/>
      <c r="F1550" s="232"/>
      <c r="G1550" s="232"/>
      <c r="H1550" s="232"/>
      <c r="I1550" s="63"/>
      <c r="J1550" s="190"/>
      <c r="K1550" s="206"/>
      <c r="L1550" s="7"/>
    </row>
    <row r="1551" spans="1:12">
      <c r="A1551" s="19"/>
      <c r="B1551" s="7"/>
      <c r="C1551" s="175"/>
      <c r="D1551" s="175"/>
      <c r="E1551" s="175"/>
      <c r="F1551" s="229"/>
      <c r="G1551" s="229"/>
      <c r="H1551" s="229"/>
      <c r="I1551" s="72"/>
      <c r="J1551" s="185"/>
      <c r="K1551" s="205"/>
      <c r="L1551" s="7"/>
    </row>
    <row r="1552" spans="1:12">
      <c r="A1552" s="20"/>
      <c r="B1552" s="21"/>
      <c r="C1552" s="175"/>
      <c r="D1552" s="175"/>
      <c r="E1552" s="175"/>
      <c r="F1552" s="232"/>
      <c r="G1552" s="232"/>
      <c r="H1552" s="232"/>
      <c r="I1552" s="63"/>
      <c r="J1552" s="190"/>
      <c r="K1552" s="206"/>
      <c r="L1552" s="7"/>
    </row>
    <row r="1553" spans="1:12">
      <c r="A1553" s="20"/>
      <c r="B1553" s="21"/>
      <c r="C1553" s="175"/>
      <c r="D1553" s="175"/>
      <c r="E1553" s="175"/>
      <c r="F1553" s="232"/>
      <c r="G1553" s="232"/>
      <c r="H1553" s="232"/>
      <c r="I1553" s="63"/>
      <c r="J1553" s="190"/>
      <c r="K1553" s="206"/>
      <c r="L1553" s="7"/>
    </row>
    <row r="1554" spans="1:12">
      <c r="A1554" s="19"/>
      <c r="B1554" s="7"/>
      <c r="C1554" s="175"/>
      <c r="D1554" s="175"/>
      <c r="E1554" s="175"/>
      <c r="F1554" s="229"/>
      <c r="G1554" s="229"/>
      <c r="H1554" s="229"/>
      <c r="I1554" s="72"/>
      <c r="J1554" s="185"/>
      <c r="K1554" s="205"/>
      <c r="L1554" s="7"/>
    </row>
    <row r="1555" spans="1:12">
      <c r="A1555" s="19"/>
      <c r="B1555" s="7"/>
      <c r="C1555" s="175"/>
      <c r="D1555" s="175"/>
      <c r="E1555" s="175"/>
      <c r="F1555" s="229"/>
      <c r="G1555" s="229"/>
      <c r="H1555" s="229"/>
      <c r="I1555" s="72"/>
      <c r="J1555" s="185"/>
      <c r="K1555" s="205"/>
      <c r="L1555" s="7"/>
    </row>
    <row r="1556" spans="1:12">
      <c r="A1556" s="19"/>
      <c r="B1556" s="7"/>
      <c r="C1556" s="175"/>
      <c r="D1556" s="175"/>
      <c r="E1556" s="175"/>
      <c r="F1556" s="229"/>
      <c r="G1556" s="229"/>
      <c r="H1556" s="229"/>
      <c r="I1556" s="72"/>
      <c r="J1556" s="185"/>
      <c r="K1556" s="205"/>
      <c r="L1556" s="14"/>
    </row>
    <row r="1557" spans="1:12">
      <c r="A1557" s="19"/>
      <c r="B1557" s="7"/>
      <c r="C1557" s="175"/>
      <c r="D1557" s="175"/>
      <c r="E1557" s="175"/>
      <c r="F1557" s="229"/>
      <c r="G1557" s="229"/>
      <c r="H1557" s="229"/>
      <c r="I1557" s="72"/>
      <c r="J1557" s="185"/>
      <c r="K1557" s="205"/>
      <c r="L1557" s="14"/>
    </row>
    <row r="1558" spans="1:12">
      <c r="A1558" s="19"/>
      <c r="B1558" s="7"/>
      <c r="C1558" s="175"/>
      <c r="D1558" s="175"/>
      <c r="E1558" s="175"/>
      <c r="F1558" s="229"/>
      <c r="G1558" s="229"/>
      <c r="H1558" s="229"/>
      <c r="I1558" s="72"/>
      <c r="J1558" s="185"/>
      <c r="K1558" s="205"/>
      <c r="L1558" s="7"/>
    </row>
    <row r="1559" spans="1:12">
      <c r="A1559" s="19"/>
      <c r="B1559" s="7"/>
      <c r="C1559" s="175"/>
      <c r="D1559" s="175"/>
      <c r="E1559" s="175"/>
      <c r="F1559" s="229"/>
      <c r="G1559" s="229"/>
      <c r="H1559" s="229"/>
      <c r="I1559" s="72"/>
      <c r="J1559" s="185"/>
      <c r="K1559" s="205"/>
      <c r="L1559" s="7"/>
    </row>
    <row r="1560" spans="1:12">
      <c r="A1560" s="19"/>
      <c r="B1560" s="7"/>
      <c r="C1560" s="175"/>
      <c r="D1560" s="175"/>
      <c r="E1560" s="175"/>
      <c r="F1560" s="229"/>
      <c r="G1560" s="229"/>
      <c r="H1560" s="229"/>
      <c r="I1560" s="72"/>
      <c r="J1560" s="185"/>
      <c r="K1560" s="205"/>
      <c r="L1560" s="7"/>
    </row>
    <row r="1561" spans="1:12">
      <c r="A1561" s="19"/>
      <c r="B1561" s="7"/>
      <c r="C1561" s="175"/>
      <c r="D1561" s="175"/>
      <c r="E1561" s="175"/>
      <c r="F1561" s="229"/>
      <c r="G1561" s="229"/>
      <c r="H1561" s="229"/>
      <c r="I1561" s="72"/>
      <c r="J1561" s="185"/>
      <c r="K1561" s="205"/>
      <c r="L1561" s="7"/>
    </row>
    <row r="1562" spans="1:12">
      <c r="A1562" s="19"/>
      <c r="B1562" s="7"/>
      <c r="C1562" s="175"/>
      <c r="D1562" s="175"/>
      <c r="E1562" s="175"/>
      <c r="F1562" s="229"/>
      <c r="G1562" s="229"/>
      <c r="H1562" s="229"/>
      <c r="I1562" s="72"/>
      <c r="J1562" s="185"/>
      <c r="K1562" s="205"/>
      <c r="L1562" s="7"/>
    </row>
    <row r="1563" spans="1:12">
      <c r="A1563" s="19"/>
      <c r="B1563" s="7"/>
      <c r="C1563" s="175"/>
      <c r="D1563" s="175"/>
      <c r="E1563" s="175"/>
      <c r="F1563" s="229"/>
      <c r="G1563" s="229"/>
      <c r="H1563" s="229"/>
      <c r="I1563" s="72"/>
      <c r="J1563" s="185"/>
      <c r="K1563" s="205"/>
      <c r="L1563" s="7"/>
    </row>
    <row r="1564" spans="1:12">
      <c r="A1564" s="19"/>
      <c r="B1564" s="7"/>
      <c r="C1564" s="175"/>
      <c r="D1564" s="175"/>
      <c r="E1564" s="175"/>
      <c r="F1564" s="229"/>
      <c r="G1564" s="229"/>
      <c r="H1564" s="229"/>
      <c r="I1564" s="72"/>
      <c r="J1564" s="185"/>
      <c r="K1564" s="205"/>
      <c r="L1564" s="7"/>
    </row>
    <row r="1565" spans="1:12">
      <c r="A1565" s="19"/>
      <c r="B1565" s="7"/>
      <c r="C1565" s="175"/>
      <c r="D1565" s="175"/>
      <c r="E1565" s="175"/>
      <c r="F1565" s="229"/>
      <c r="G1565" s="229"/>
      <c r="H1565" s="229"/>
      <c r="I1565" s="72"/>
      <c r="J1565" s="185"/>
      <c r="K1565" s="205"/>
      <c r="L1565" s="7"/>
    </row>
    <row r="1566" spans="1:12">
      <c r="A1566" s="19"/>
      <c r="B1566" s="7"/>
      <c r="C1566" s="175"/>
      <c r="D1566" s="175"/>
      <c r="E1566" s="175"/>
      <c r="F1566" s="229"/>
      <c r="G1566" s="229"/>
      <c r="H1566" s="229"/>
      <c r="I1566" s="72"/>
      <c r="J1566" s="185"/>
      <c r="K1566" s="205"/>
      <c r="L1566" s="7"/>
    </row>
    <row r="1567" spans="1:12">
      <c r="A1567" s="19"/>
      <c r="B1567" s="7"/>
      <c r="C1567" s="175"/>
      <c r="D1567" s="175"/>
      <c r="E1567" s="175"/>
      <c r="F1567" s="229"/>
      <c r="G1567" s="229"/>
      <c r="H1567" s="229"/>
      <c r="I1567" s="72"/>
      <c r="J1567" s="185"/>
      <c r="K1567" s="205"/>
      <c r="L1567" s="7"/>
    </row>
    <row r="1568" spans="1:12">
      <c r="A1568" s="19"/>
      <c r="B1568" s="7"/>
      <c r="C1568" s="175"/>
      <c r="D1568" s="175"/>
      <c r="E1568" s="175"/>
      <c r="F1568" s="229"/>
      <c r="G1568" s="229"/>
      <c r="H1568" s="229"/>
      <c r="I1568" s="72"/>
      <c r="J1568" s="185"/>
      <c r="K1568" s="205"/>
      <c r="L1568" s="7"/>
    </row>
    <row r="1569" spans="1:12">
      <c r="A1569" s="19"/>
      <c r="B1569" s="7"/>
      <c r="C1569" s="175"/>
      <c r="D1569" s="175"/>
      <c r="E1569" s="175"/>
      <c r="F1569" s="229"/>
      <c r="G1569" s="229"/>
      <c r="H1569" s="229"/>
      <c r="I1569" s="72"/>
      <c r="J1569" s="185"/>
      <c r="K1569" s="205"/>
      <c r="L1569" s="7"/>
    </row>
    <row r="1570" spans="1:12">
      <c r="A1570" s="19"/>
      <c r="B1570" s="7"/>
      <c r="C1570" s="175"/>
      <c r="D1570" s="175"/>
      <c r="E1570" s="175"/>
      <c r="F1570" s="229"/>
      <c r="G1570" s="229"/>
      <c r="H1570" s="229"/>
      <c r="I1570" s="72"/>
      <c r="J1570" s="185"/>
      <c r="K1570" s="205"/>
      <c r="L1570" s="7"/>
    </row>
    <row r="1571" spans="1:12">
      <c r="A1571" s="19"/>
      <c r="B1571" s="7"/>
      <c r="C1571" s="175"/>
      <c r="D1571" s="175"/>
      <c r="E1571" s="175"/>
      <c r="F1571" s="229"/>
      <c r="G1571" s="229"/>
      <c r="H1571" s="229"/>
      <c r="I1571" s="72"/>
      <c r="J1571" s="185"/>
      <c r="K1571" s="205"/>
      <c r="L1571" s="7"/>
    </row>
    <row r="1572" spans="1:12">
      <c r="A1572" s="19"/>
      <c r="B1572" s="7"/>
      <c r="C1572" s="175"/>
      <c r="D1572" s="175"/>
      <c r="E1572" s="175"/>
      <c r="F1572" s="229"/>
      <c r="G1572" s="229"/>
      <c r="H1572" s="229"/>
      <c r="I1572" s="72"/>
      <c r="J1572" s="185"/>
      <c r="K1572" s="205"/>
      <c r="L1572" s="14"/>
    </row>
    <row r="1573" spans="1:12">
      <c r="A1573" s="19"/>
      <c r="B1573" s="7"/>
      <c r="C1573" s="175"/>
      <c r="D1573" s="175"/>
      <c r="E1573" s="175"/>
      <c r="F1573" s="229"/>
      <c r="G1573" s="229"/>
      <c r="H1573" s="229"/>
      <c r="I1573" s="72"/>
      <c r="J1573" s="185"/>
      <c r="K1573" s="205"/>
      <c r="L1573" s="7"/>
    </row>
    <row r="1574" spans="1:12">
      <c r="A1574" s="19"/>
      <c r="B1574" s="7"/>
      <c r="C1574" s="175"/>
      <c r="D1574" s="175"/>
      <c r="E1574" s="175"/>
      <c r="F1574" s="229"/>
      <c r="G1574" s="229"/>
      <c r="H1574" s="229"/>
      <c r="I1574" s="72"/>
      <c r="J1574" s="185"/>
      <c r="K1574" s="205"/>
      <c r="L1574" s="7"/>
    </row>
    <row r="1575" spans="1:12">
      <c r="A1575" s="19"/>
      <c r="B1575" s="7"/>
      <c r="C1575" s="175"/>
      <c r="D1575" s="175"/>
      <c r="E1575" s="175"/>
      <c r="F1575" s="229"/>
      <c r="G1575" s="229"/>
      <c r="H1575" s="229"/>
      <c r="I1575" s="72"/>
      <c r="J1575" s="185"/>
      <c r="K1575" s="205"/>
      <c r="L1575" s="7"/>
    </row>
    <row r="1576" spans="1:12">
      <c r="A1576" s="19"/>
      <c r="B1576" s="7"/>
      <c r="C1576" s="175"/>
      <c r="D1576" s="175"/>
      <c r="E1576" s="175"/>
      <c r="F1576" s="229"/>
      <c r="G1576" s="229"/>
      <c r="H1576" s="229"/>
      <c r="I1576" s="72"/>
      <c r="J1576" s="185"/>
      <c r="K1576" s="205"/>
      <c r="L1576" s="14"/>
    </row>
    <row r="1577" spans="1:12">
      <c r="A1577" s="19"/>
      <c r="B1577" s="7"/>
      <c r="C1577" s="175"/>
      <c r="D1577" s="175"/>
      <c r="E1577" s="175"/>
      <c r="F1577" s="229"/>
      <c r="G1577" s="229"/>
      <c r="H1577" s="229"/>
      <c r="I1577" s="72"/>
      <c r="J1577" s="185"/>
      <c r="K1577" s="205"/>
      <c r="L1577" s="7"/>
    </row>
    <row r="1578" spans="1:12">
      <c r="A1578" s="19"/>
      <c r="B1578" s="7"/>
      <c r="C1578" s="175"/>
      <c r="D1578" s="175"/>
      <c r="E1578" s="175"/>
      <c r="F1578" s="229"/>
      <c r="G1578" s="229"/>
      <c r="H1578" s="229"/>
      <c r="I1578" s="72"/>
      <c r="J1578" s="185"/>
      <c r="K1578" s="205"/>
      <c r="L1578" s="7"/>
    </row>
    <row r="1579" spans="1:12">
      <c r="A1579" s="19"/>
      <c r="B1579" s="7"/>
      <c r="C1579" s="175"/>
      <c r="D1579" s="175"/>
      <c r="E1579" s="175"/>
      <c r="F1579" s="229"/>
      <c r="G1579" s="229"/>
      <c r="H1579" s="229"/>
      <c r="I1579" s="72"/>
      <c r="J1579" s="185"/>
      <c r="K1579" s="205"/>
      <c r="L1579" s="7"/>
    </row>
    <row r="1580" spans="1:12">
      <c r="A1580" s="19"/>
      <c r="B1580" s="7"/>
      <c r="C1580" s="175"/>
      <c r="D1580" s="175"/>
      <c r="E1580" s="175"/>
      <c r="F1580" s="229"/>
      <c r="G1580" s="229"/>
      <c r="H1580" s="229"/>
      <c r="I1580" s="72"/>
      <c r="J1580" s="185"/>
      <c r="K1580" s="205"/>
      <c r="L1580" s="7"/>
    </row>
    <row r="1581" spans="1:12">
      <c r="A1581" s="19"/>
      <c r="B1581" s="7"/>
      <c r="C1581" s="175"/>
      <c r="D1581" s="175"/>
      <c r="E1581" s="175"/>
      <c r="F1581" s="229"/>
      <c r="G1581" s="229"/>
      <c r="H1581" s="229"/>
      <c r="I1581" s="72"/>
      <c r="J1581" s="185"/>
      <c r="K1581" s="205"/>
      <c r="L1581" s="7"/>
    </row>
    <row r="1582" spans="1:12">
      <c r="A1582" s="19"/>
      <c r="B1582" s="7"/>
      <c r="C1582" s="175"/>
      <c r="D1582" s="175"/>
      <c r="E1582" s="175"/>
      <c r="F1582" s="229"/>
      <c r="G1582" s="229"/>
      <c r="H1582" s="229"/>
      <c r="I1582" s="72"/>
      <c r="J1582" s="185"/>
      <c r="K1582" s="205"/>
      <c r="L1582" s="7"/>
    </row>
    <row r="1583" spans="1:12">
      <c r="A1583" s="19"/>
      <c r="B1583" s="7"/>
      <c r="C1583" s="175"/>
      <c r="D1583" s="175"/>
      <c r="E1583" s="175"/>
      <c r="F1583" s="229"/>
      <c r="G1583" s="229"/>
      <c r="H1583" s="229"/>
      <c r="I1583" s="72"/>
      <c r="J1583" s="185"/>
      <c r="K1583" s="205"/>
      <c r="L1583" s="7"/>
    </row>
    <row r="1584" spans="1:12">
      <c r="A1584" s="19"/>
      <c r="B1584" s="7"/>
      <c r="C1584" s="175"/>
      <c r="D1584" s="175"/>
      <c r="E1584" s="175"/>
      <c r="F1584" s="229"/>
      <c r="G1584" s="229"/>
      <c r="H1584" s="229"/>
      <c r="I1584" s="72"/>
      <c r="J1584" s="185"/>
      <c r="K1584" s="205"/>
      <c r="L1584" s="7"/>
    </row>
    <row r="1585" spans="1:12">
      <c r="A1585" s="19"/>
      <c r="B1585" s="7"/>
      <c r="C1585" s="175"/>
      <c r="D1585" s="175"/>
      <c r="E1585" s="175"/>
      <c r="F1585" s="229"/>
      <c r="G1585" s="229"/>
      <c r="H1585" s="229"/>
      <c r="I1585" s="72"/>
      <c r="J1585" s="185"/>
      <c r="K1585" s="205"/>
      <c r="L1585" s="7"/>
    </row>
    <row r="1586" spans="1:12">
      <c r="A1586" s="19"/>
      <c r="B1586" s="7"/>
      <c r="C1586" s="175"/>
      <c r="D1586" s="175"/>
      <c r="E1586" s="175"/>
      <c r="F1586" s="229"/>
      <c r="G1586" s="229"/>
      <c r="H1586" s="229"/>
      <c r="I1586" s="72"/>
      <c r="J1586" s="185"/>
      <c r="K1586" s="205"/>
      <c r="L1586" s="7"/>
    </row>
    <row r="1587" spans="1:12">
      <c r="A1587" s="19"/>
      <c r="B1587" s="7"/>
      <c r="C1587" s="175"/>
      <c r="D1587" s="175"/>
      <c r="E1587" s="175"/>
      <c r="F1587" s="229"/>
      <c r="G1587" s="229"/>
      <c r="H1587" s="229"/>
      <c r="I1587" s="72"/>
      <c r="J1587" s="185"/>
      <c r="K1587" s="205"/>
      <c r="L1587" s="7"/>
    </row>
    <row r="1588" spans="1:12">
      <c r="A1588" s="19"/>
      <c r="B1588" s="7"/>
      <c r="C1588" s="175"/>
      <c r="D1588" s="175"/>
      <c r="E1588" s="175"/>
      <c r="F1588" s="229"/>
      <c r="G1588" s="229"/>
      <c r="H1588" s="229"/>
      <c r="I1588" s="72"/>
      <c r="J1588" s="185"/>
      <c r="K1588" s="205"/>
      <c r="L1588" s="7"/>
    </row>
    <row r="1589" spans="1:12">
      <c r="A1589" s="19"/>
      <c r="B1589" s="7"/>
      <c r="C1589" s="175"/>
      <c r="D1589" s="175"/>
      <c r="E1589" s="175"/>
      <c r="F1589" s="229"/>
      <c r="G1589" s="229"/>
      <c r="H1589" s="229"/>
      <c r="I1589" s="72"/>
      <c r="J1589" s="185"/>
      <c r="K1589" s="205"/>
      <c r="L1589" s="7"/>
    </row>
    <row r="1590" spans="1:12">
      <c r="A1590" s="19"/>
      <c r="B1590" s="7"/>
      <c r="C1590" s="175"/>
      <c r="D1590" s="175"/>
      <c r="E1590" s="175"/>
      <c r="F1590" s="229"/>
      <c r="G1590" s="229"/>
      <c r="H1590" s="229"/>
      <c r="I1590" s="72"/>
      <c r="J1590" s="185"/>
      <c r="K1590" s="205"/>
      <c r="L1590" s="7"/>
    </row>
    <row r="1591" spans="1:12">
      <c r="A1591" s="20"/>
      <c r="B1591" s="21"/>
      <c r="C1591" s="175"/>
      <c r="D1591" s="175"/>
      <c r="E1591" s="175"/>
      <c r="F1591" s="232"/>
      <c r="G1591" s="232"/>
      <c r="H1591" s="232"/>
      <c r="I1591" s="63"/>
      <c r="J1591" s="190"/>
      <c r="K1591" s="206"/>
      <c r="L1591" s="7"/>
    </row>
    <row r="1592" spans="1:12">
      <c r="A1592" s="19"/>
      <c r="B1592" s="7"/>
      <c r="C1592" s="175"/>
      <c r="D1592" s="175"/>
      <c r="E1592" s="175"/>
      <c r="F1592" s="229"/>
      <c r="G1592" s="229"/>
      <c r="H1592" s="229"/>
      <c r="I1592" s="72"/>
      <c r="J1592" s="185"/>
      <c r="K1592" s="205"/>
      <c r="L1592" s="7"/>
    </row>
    <row r="1593" spans="1:12">
      <c r="A1593" s="19"/>
      <c r="B1593" s="7"/>
      <c r="C1593" s="175"/>
      <c r="D1593" s="175"/>
      <c r="E1593" s="175"/>
      <c r="F1593" s="229"/>
      <c r="G1593" s="229"/>
      <c r="H1593" s="229"/>
      <c r="I1593" s="72"/>
      <c r="J1593" s="185"/>
      <c r="K1593" s="205"/>
      <c r="L1593" s="7"/>
    </row>
    <row r="1594" spans="1:12">
      <c r="A1594" s="19"/>
      <c r="B1594" s="7"/>
      <c r="C1594" s="175"/>
      <c r="D1594" s="175"/>
      <c r="E1594" s="175"/>
      <c r="F1594" s="229"/>
      <c r="G1594" s="229"/>
      <c r="H1594" s="229"/>
      <c r="I1594" s="72"/>
      <c r="J1594" s="185"/>
      <c r="K1594" s="205"/>
      <c r="L1594" s="7"/>
    </row>
    <row r="1595" spans="1:12">
      <c r="A1595" s="20"/>
      <c r="B1595" s="21"/>
      <c r="C1595" s="175"/>
      <c r="D1595" s="175"/>
      <c r="E1595" s="175"/>
      <c r="F1595" s="232"/>
      <c r="G1595" s="232"/>
      <c r="H1595" s="232"/>
      <c r="I1595" s="63"/>
      <c r="J1595" s="190"/>
      <c r="K1595" s="206"/>
      <c r="L1595" s="7"/>
    </row>
    <row r="1596" spans="1:12">
      <c r="A1596" s="20"/>
      <c r="B1596" s="21"/>
      <c r="C1596" s="175"/>
      <c r="D1596" s="175"/>
      <c r="E1596" s="175"/>
      <c r="F1596" s="232"/>
      <c r="G1596" s="232"/>
      <c r="H1596" s="232"/>
      <c r="I1596" s="63"/>
      <c r="J1596" s="190"/>
      <c r="K1596" s="206"/>
      <c r="L1596" s="7"/>
    </row>
    <row r="1597" spans="1:12">
      <c r="A1597" s="19"/>
      <c r="B1597" s="7"/>
      <c r="C1597" s="175"/>
      <c r="D1597" s="175"/>
      <c r="E1597" s="175"/>
      <c r="F1597" s="229"/>
      <c r="G1597" s="229"/>
      <c r="H1597" s="229"/>
      <c r="I1597" s="72"/>
      <c r="J1597" s="185"/>
      <c r="K1597" s="205"/>
      <c r="L1597" s="7"/>
    </row>
    <row r="1598" spans="1:12">
      <c r="A1598" s="20"/>
      <c r="B1598" s="21"/>
      <c r="C1598" s="175"/>
      <c r="D1598" s="175"/>
      <c r="E1598" s="175"/>
      <c r="F1598" s="232"/>
      <c r="G1598" s="232"/>
      <c r="H1598" s="232"/>
      <c r="I1598" s="63"/>
      <c r="J1598" s="190"/>
      <c r="K1598" s="206"/>
      <c r="L1598" s="7"/>
    </row>
    <row r="1599" spans="1:12">
      <c r="A1599" s="20"/>
      <c r="B1599" s="21"/>
      <c r="C1599" s="175"/>
      <c r="D1599" s="175"/>
      <c r="E1599" s="175"/>
      <c r="F1599" s="232"/>
      <c r="G1599" s="232"/>
      <c r="H1599" s="232"/>
      <c r="I1599" s="63"/>
      <c r="J1599" s="190"/>
      <c r="K1599" s="206"/>
      <c r="L1599" s="7"/>
    </row>
    <row r="1600" spans="1:12">
      <c r="A1600" s="19"/>
      <c r="B1600" s="7"/>
      <c r="C1600" s="175"/>
      <c r="D1600" s="175"/>
      <c r="E1600" s="175"/>
      <c r="F1600" s="229"/>
      <c r="G1600" s="229"/>
      <c r="H1600" s="229"/>
      <c r="I1600" s="72"/>
      <c r="J1600" s="185"/>
      <c r="K1600" s="205"/>
      <c r="L1600" s="7"/>
    </row>
    <row r="1601" spans="1:12">
      <c r="A1601" s="19"/>
      <c r="B1601" s="7"/>
      <c r="C1601" s="175"/>
      <c r="D1601" s="175"/>
      <c r="E1601" s="175"/>
      <c r="F1601" s="229"/>
      <c r="G1601" s="229"/>
      <c r="H1601" s="229"/>
      <c r="I1601" s="72"/>
      <c r="J1601" s="185"/>
      <c r="K1601" s="205"/>
      <c r="L1601" s="7"/>
    </row>
    <row r="1602" spans="1:12">
      <c r="A1602" s="19"/>
      <c r="B1602" s="7"/>
      <c r="C1602" s="175"/>
      <c r="D1602" s="175"/>
      <c r="E1602" s="175"/>
      <c r="F1602" s="229"/>
      <c r="G1602" s="229"/>
      <c r="H1602" s="229"/>
      <c r="I1602" s="72"/>
      <c r="J1602" s="185"/>
      <c r="K1602" s="205"/>
      <c r="L1602" s="7"/>
    </row>
    <row r="1603" spans="1:12">
      <c r="A1603" s="19"/>
      <c r="B1603" s="7"/>
      <c r="C1603" s="175"/>
      <c r="D1603" s="175"/>
      <c r="E1603" s="175"/>
      <c r="F1603" s="229"/>
      <c r="G1603" s="229"/>
      <c r="H1603" s="229"/>
      <c r="I1603" s="72"/>
      <c r="J1603" s="185"/>
      <c r="K1603" s="205"/>
      <c r="L1603" s="7"/>
    </row>
    <row r="1604" spans="1:12">
      <c r="A1604" s="19"/>
      <c r="B1604" s="7"/>
      <c r="C1604" s="175"/>
      <c r="D1604" s="175"/>
      <c r="E1604" s="175"/>
      <c r="F1604" s="229"/>
      <c r="G1604" s="229"/>
      <c r="H1604" s="229"/>
      <c r="I1604" s="72"/>
      <c r="J1604" s="185"/>
      <c r="K1604" s="205"/>
      <c r="L1604" s="7"/>
    </row>
    <row r="1605" spans="1:12">
      <c r="A1605" s="19"/>
      <c r="B1605" s="7"/>
      <c r="C1605" s="175"/>
      <c r="D1605" s="175"/>
      <c r="E1605" s="175"/>
      <c r="F1605" s="229"/>
      <c r="G1605" s="229"/>
      <c r="H1605" s="229"/>
      <c r="I1605" s="72"/>
      <c r="J1605" s="185"/>
      <c r="K1605" s="205"/>
      <c r="L1605" s="7"/>
    </row>
    <row r="1606" spans="1:12">
      <c r="A1606" s="19"/>
      <c r="B1606" s="7"/>
      <c r="C1606" s="175"/>
      <c r="D1606" s="175"/>
      <c r="E1606" s="175"/>
      <c r="F1606" s="229"/>
      <c r="G1606" s="229"/>
      <c r="H1606" s="229"/>
      <c r="I1606" s="72"/>
      <c r="J1606" s="185"/>
      <c r="K1606" s="205"/>
      <c r="L1606" s="7"/>
    </row>
    <row r="1607" spans="1:12">
      <c r="A1607" s="19"/>
      <c r="B1607" s="7"/>
      <c r="C1607" s="175"/>
      <c r="D1607" s="175"/>
      <c r="E1607" s="175"/>
      <c r="F1607" s="229"/>
      <c r="G1607" s="229"/>
      <c r="H1607" s="229"/>
      <c r="I1607" s="72"/>
      <c r="J1607" s="185"/>
      <c r="K1607" s="205"/>
      <c r="L1607" s="7"/>
    </row>
    <row r="1608" spans="1:12">
      <c r="A1608" s="19"/>
      <c r="B1608" s="7"/>
      <c r="C1608" s="175"/>
      <c r="D1608" s="175"/>
      <c r="E1608" s="175"/>
      <c r="F1608" s="229"/>
      <c r="G1608" s="229"/>
      <c r="H1608" s="229"/>
      <c r="I1608" s="72"/>
      <c r="J1608" s="185"/>
      <c r="K1608" s="205"/>
      <c r="L1608" s="7"/>
    </row>
    <row r="1609" spans="1:12">
      <c r="A1609" s="19"/>
      <c r="B1609" s="7"/>
      <c r="C1609" s="175"/>
      <c r="D1609" s="175"/>
      <c r="E1609" s="175"/>
      <c r="F1609" s="229"/>
      <c r="G1609" s="229"/>
      <c r="H1609" s="229"/>
      <c r="I1609" s="72"/>
      <c r="J1609" s="185"/>
      <c r="K1609" s="205"/>
      <c r="L1609" s="7"/>
    </row>
    <row r="1610" spans="1:12">
      <c r="A1610" s="20"/>
      <c r="B1610" s="21"/>
      <c r="C1610" s="175"/>
      <c r="D1610" s="175"/>
      <c r="E1610" s="175"/>
      <c r="F1610" s="232"/>
      <c r="G1610" s="232"/>
      <c r="H1610" s="232"/>
      <c r="I1610" s="63"/>
      <c r="J1610" s="190"/>
      <c r="K1610" s="206"/>
      <c r="L1610" s="7"/>
    </row>
    <row r="1611" spans="1:12">
      <c r="A1611" s="20"/>
      <c r="B1611" s="21"/>
      <c r="C1611" s="175"/>
      <c r="D1611" s="175"/>
      <c r="E1611" s="175"/>
      <c r="F1611" s="232"/>
      <c r="G1611" s="232"/>
      <c r="H1611" s="232"/>
      <c r="I1611" s="63"/>
      <c r="J1611" s="190"/>
      <c r="K1611" s="206"/>
      <c r="L1611" s="7"/>
    </row>
    <row r="1612" spans="1:12">
      <c r="A1612" s="20"/>
      <c r="B1612" s="21"/>
      <c r="C1612" s="175"/>
      <c r="D1612" s="175"/>
      <c r="E1612" s="175"/>
      <c r="F1612" s="232"/>
      <c r="G1612" s="232"/>
      <c r="H1612" s="232"/>
      <c r="I1612" s="63"/>
      <c r="J1612" s="190"/>
      <c r="K1612" s="206"/>
      <c r="L1612" s="7"/>
    </row>
    <row r="1613" spans="1:12">
      <c r="A1613" s="20"/>
      <c r="B1613" s="21"/>
      <c r="C1613" s="175"/>
      <c r="D1613" s="175"/>
      <c r="E1613" s="175"/>
      <c r="F1613" s="232"/>
      <c r="G1613" s="232"/>
      <c r="H1613" s="232"/>
      <c r="I1613" s="63"/>
      <c r="J1613" s="190"/>
      <c r="K1613" s="206"/>
      <c r="L1613" s="7"/>
    </row>
    <row r="1614" spans="1:12">
      <c r="A1614" s="20"/>
      <c r="B1614" s="21"/>
      <c r="C1614" s="175"/>
      <c r="D1614" s="175"/>
      <c r="E1614" s="175"/>
      <c r="F1614" s="232"/>
      <c r="G1614" s="232"/>
      <c r="H1614" s="232"/>
      <c r="I1614" s="63"/>
      <c r="J1614" s="190"/>
      <c r="K1614" s="206"/>
      <c r="L1614" s="7"/>
    </row>
    <row r="1615" spans="1:12">
      <c r="A1615" s="19"/>
      <c r="B1615" s="7"/>
      <c r="C1615" s="175"/>
      <c r="D1615" s="175"/>
      <c r="E1615" s="175"/>
      <c r="F1615" s="229"/>
      <c r="G1615" s="229"/>
      <c r="H1615" s="229"/>
      <c r="I1615" s="72"/>
      <c r="J1615" s="185"/>
      <c r="K1615" s="205"/>
      <c r="L1615" s="7"/>
    </row>
    <row r="1616" spans="1:12">
      <c r="A1616" s="20"/>
      <c r="B1616" s="21"/>
      <c r="C1616" s="175"/>
      <c r="D1616" s="175"/>
      <c r="E1616" s="175"/>
      <c r="F1616" s="232"/>
      <c r="G1616" s="232"/>
      <c r="H1616" s="232"/>
      <c r="I1616" s="63"/>
      <c r="J1616" s="190"/>
      <c r="K1616" s="206"/>
      <c r="L1616" s="7"/>
    </row>
    <row r="1617" spans="1:12">
      <c r="A1617" s="20"/>
      <c r="B1617" s="21"/>
      <c r="C1617" s="175"/>
      <c r="D1617" s="175"/>
      <c r="E1617" s="175"/>
      <c r="F1617" s="232"/>
      <c r="G1617" s="232"/>
      <c r="H1617" s="232"/>
      <c r="I1617" s="63"/>
      <c r="J1617" s="190"/>
      <c r="K1617" s="206"/>
      <c r="L1617" s="7"/>
    </row>
    <row r="1618" spans="1:12">
      <c r="A1618" s="20"/>
      <c r="B1618" s="21"/>
      <c r="C1618" s="175"/>
      <c r="D1618" s="175"/>
      <c r="E1618" s="175"/>
      <c r="F1618" s="232"/>
      <c r="G1618" s="232"/>
      <c r="H1618" s="232"/>
      <c r="I1618" s="63"/>
      <c r="J1618" s="190"/>
      <c r="K1618" s="206"/>
      <c r="L1618" s="7"/>
    </row>
    <row r="1619" spans="1:12">
      <c r="A1619" s="20"/>
      <c r="B1619" s="21"/>
      <c r="C1619" s="175"/>
      <c r="D1619" s="175"/>
      <c r="E1619" s="175"/>
      <c r="F1619" s="232"/>
      <c r="G1619" s="232"/>
      <c r="H1619" s="232"/>
      <c r="I1619" s="63"/>
      <c r="J1619" s="190"/>
      <c r="K1619" s="206"/>
      <c r="L1619" s="7"/>
    </row>
    <row r="1620" spans="1:12">
      <c r="A1620" s="20"/>
      <c r="B1620" s="21"/>
      <c r="C1620" s="175"/>
      <c r="D1620" s="175"/>
      <c r="E1620" s="175"/>
      <c r="F1620" s="232"/>
      <c r="G1620" s="232"/>
      <c r="H1620" s="232"/>
      <c r="I1620" s="63"/>
      <c r="J1620" s="190"/>
      <c r="K1620" s="206"/>
      <c r="L1620" s="7"/>
    </row>
    <row r="1621" spans="1:12">
      <c r="A1621" s="19"/>
      <c r="B1621" s="7"/>
      <c r="C1621" s="175"/>
      <c r="D1621" s="175"/>
      <c r="E1621" s="175"/>
      <c r="F1621" s="229"/>
      <c r="G1621" s="229"/>
      <c r="H1621" s="229"/>
      <c r="I1621" s="72"/>
      <c r="J1621" s="185"/>
      <c r="K1621" s="205"/>
      <c r="L1621" s="7"/>
    </row>
    <row r="1622" spans="1:12">
      <c r="A1622" s="19"/>
      <c r="B1622" s="7"/>
      <c r="C1622" s="175"/>
      <c r="D1622" s="175"/>
      <c r="E1622" s="175"/>
      <c r="F1622" s="229"/>
      <c r="G1622" s="229"/>
      <c r="H1622" s="229"/>
      <c r="I1622" s="72"/>
      <c r="J1622" s="185"/>
      <c r="K1622" s="205"/>
      <c r="L1622" s="7"/>
    </row>
    <row r="1623" spans="1:12">
      <c r="A1623" s="19"/>
      <c r="B1623" s="7"/>
      <c r="C1623" s="175"/>
      <c r="D1623" s="175"/>
      <c r="E1623" s="175"/>
      <c r="F1623" s="229"/>
      <c r="G1623" s="229"/>
      <c r="H1623" s="229"/>
      <c r="I1623" s="72"/>
      <c r="J1623" s="185"/>
      <c r="K1623" s="205"/>
      <c r="L1623" s="7"/>
    </row>
    <row r="1624" spans="1:12">
      <c r="A1624" s="19"/>
      <c r="B1624" s="7"/>
      <c r="C1624" s="175"/>
      <c r="D1624" s="175"/>
      <c r="E1624" s="175"/>
      <c r="F1624" s="229"/>
      <c r="G1624" s="229"/>
      <c r="H1624" s="229"/>
      <c r="I1624" s="72"/>
      <c r="J1624" s="185"/>
      <c r="K1624" s="205"/>
      <c r="L1624" s="7"/>
    </row>
    <row r="1625" spans="1:12">
      <c r="A1625" s="19"/>
      <c r="B1625" s="7"/>
      <c r="C1625" s="175"/>
      <c r="D1625" s="175"/>
      <c r="E1625" s="175"/>
      <c r="F1625" s="229"/>
      <c r="G1625" s="229"/>
      <c r="H1625" s="229"/>
      <c r="I1625" s="72"/>
      <c r="J1625" s="185"/>
      <c r="K1625" s="205"/>
      <c r="L1625" s="7"/>
    </row>
    <row r="1626" spans="1:12">
      <c r="A1626" s="19"/>
      <c r="B1626" s="7"/>
      <c r="C1626" s="175"/>
      <c r="D1626" s="175"/>
      <c r="E1626" s="175"/>
      <c r="F1626" s="229"/>
      <c r="G1626" s="229"/>
      <c r="H1626" s="229"/>
      <c r="I1626" s="72"/>
      <c r="J1626" s="185"/>
      <c r="K1626" s="205"/>
      <c r="L1626" s="7"/>
    </row>
    <row r="1627" spans="1:12">
      <c r="A1627" s="19"/>
      <c r="B1627" s="7"/>
      <c r="C1627" s="175"/>
      <c r="D1627" s="175"/>
      <c r="E1627" s="175"/>
      <c r="F1627" s="229"/>
      <c r="G1627" s="229"/>
      <c r="H1627" s="229"/>
      <c r="I1627" s="72"/>
      <c r="J1627" s="185"/>
      <c r="K1627" s="205"/>
      <c r="L1627" s="7"/>
    </row>
    <row r="1628" spans="1:12">
      <c r="A1628" s="19"/>
      <c r="B1628" s="7"/>
      <c r="C1628" s="175"/>
      <c r="D1628" s="175"/>
      <c r="E1628" s="175"/>
      <c r="F1628" s="229"/>
      <c r="G1628" s="229"/>
      <c r="H1628" s="229"/>
      <c r="I1628" s="72"/>
      <c r="J1628" s="185"/>
      <c r="K1628" s="205"/>
      <c r="L1628" s="7"/>
    </row>
    <row r="1629" spans="1:12">
      <c r="A1629" s="19"/>
      <c r="B1629" s="7"/>
      <c r="C1629" s="175"/>
      <c r="D1629" s="175"/>
      <c r="E1629" s="175"/>
      <c r="F1629" s="229"/>
      <c r="G1629" s="229"/>
      <c r="H1629" s="229"/>
      <c r="I1629" s="72"/>
      <c r="J1629" s="185"/>
      <c r="K1629" s="205"/>
      <c r="L1629" s="7"/>
    </row>
    <row r="1630" spans="1:12">
      <c r="A1630" s="19"/>
      <c r="B1630" s="7"/>
      <c r="C1630" s="175"/>
      <c r="D1630" s="175"/>
      <c r="E1630" s="175"/>
      <c r="F1630" s="229"/>
      <c r="G1630" s="229"/>
      <c r="H1630" s="229"/>
      <c r="I1630" s="72"/>
      <c r="J1630" s="185"/>
      <c r="K1630" s="205"/>
      <c r="L1630" s="7"/>
    </row>
    <row r="1631" spans="1:12">
      <c r="A1631" s="19"/>
      <c r="B1631" s="7"/>
      <c r="C1631" s="175"/>
      <c r="D1631" s="175"/>
      <c r="E1631" s="175"/>
      <c r="F1631" s="229"/>
      <c r="G1631" s="229"/>
      <c r="H1631" s="229"/>
      <c r="I1631" s="72"/>
      <c r="J1631" s="185"/>
      <c r="K1631" s="205"/>
      <c r="L1631" s="7"/>
    </row>
    <row r="1632" spans="1:12">
      <c r="A1632" s="19"/>
      <c r="B1632" s="7"/>
      <c r="C1632" s="175"/>
      <c r="D1632" s="175"/>
      <c r="E1632" s="175"/>
      <c r="F1632" s="229"/>
      <c r="G1632" s="229"/>
      <c r="H1632" s="229"/>
      <c r="I1632" s="72"/>
      <c r="J1632" s="185"/>
      <c r="K1632" s="205"/>
      <c r="L1632" s="7"/>
    </row>
    <row r="1633" spans="1:12">
      <c r="A1633" s="19"/>
      <c r="B1633" s="7"/>
      <c r="C1633" s="175"/>
      <c r="D1633" s="175"/>
      <c r="E1633" s="175"/>
      <c r="F1633" s="229"/>
      <c r="G1633" s="229"/>
      <c r="H1633" s="229"/>
      <c r="I1633" s="72"/>
      <c r="J1633" s="185"/>
      <c r="K1633" s="205"/>
      <c r="L1633" s="7"/>
    </row>
    <row r="1634" spans="1:12">
      <c r="A1634" s="19"/>
      <c r="B1634" s="7"/>
      <c r="C1634" s="175"/>
      <c r="D1634" s="175"/>
      <c r="E1634" s="175"/>
      <c r="F1634" s="229"/>
      <c r="G1634" s="229"/>
      <c r="H1634" s="229"/>
      <c r="I1634" s="72"/>
      <c r="J1634" s="185"/>
      <c r="K1634" s="205"/>
      <c r="L1634" s="7"/>
    </row>
    <row r="1635" spans="1:12">
      <c r="A1635" s="19"/>
      <c r="B1635" s="7"/>
      <c r="C1635" s="175"/>
      <c r="D1635" s="175"/>
      <c r="E1635" s="175"/>
      <c r="F1635" s="229"/>
      <c r="G1635" s="229"/>
      <c r="H1635" s="229"/>
      <c r="I1635" s="72"/>
      <c r="J1635" s="185"/>
      <c r="K1635" s="205"/>
      <c r="L1635" s="7"/>
    </row>
    <row r="1636" spans="1:12">
      <c r="A1636" s="19"/>
      <c r="B1636" s="7"/>
      <c r="C1636" s="175"/>
      <c r="D1636" s="175"/>
      <c r="E1636" s="175"/>
      <c r="F1636" s="229"/>
      <c r="G1636" s="229"/>
      <c r="H1636" s="229"/>
      <c r="I1636" s="72"/>
      <c r="J1636" s="185"/>
      <c r="K1636" s="205"/>
      <c r="L1636" s="7"/>
    </row>
    <row r="1637" spans="1:12">
      <c r="A1637" s="19"/>
      <c r="B1637" s="7"/>
      <c r="C1637" s="175"/>
      <c r="D1637" s="175"/>
      <c r="E1637" s="175"/>
      <c r="F1637" s="229"/>
      <c r="G1637" s="229"/>
      <c r="H1637" s="229"/>
      <c r="I1637" s="72"/>
      <c r="J1637" s="185"/>
      <c r="K1637" s="205"/>
      <c r="L1637" s="7"/>
    </row>
    <row r="1638" spans="1:12">
      <c r="A1638" s="19"/>
      <c r="B1638" s="7"/>
      <c r="C1638" s="175"/>
      <c r="D1638" s="175"/>
      <c r="E1638" s="175"/>
      <c r="F1638" s="229"/>
      <c r="G1638" s="229"/>
      <c r="H1638" s="229"/>
      <c r="I1638" s="72"/>
      <c r="J1638" s="185"/>
      <c r="K1638" s="205"/>
      <c r="L1638" s="7"/>
    </row>
    <row r="1639" spans="1:12">
      <c r="A1639" s="19"/>
      <c r="B1639" s="7"/>
      <c r="C1639" s="175"/>
      <c r="D1639" s="175"/>
      <c r="E1639" s="175"/>
      <c r="F1639" s="229"/>
      <c r="G1639" s="229"/>
      <c r="H1639" s="229"/>
      <c r="I1639" s="72"/>
      <c r="J1639" s="185"/>
      <c r="K1639" s="205"/>
      <c r="L1639" s="7"/>
    </row>
    <row r="1640" spans="1:12">
      <c r="A1640" s="19"/>
      <c r="B1640" s="7"/>
      <c r="C1640" s="175"/>
      <c r="D1640" s="175"/>
      <c r="E1640" s="175"/>
      <c r="F1640" s="229"/>
      <c r="G1640" s="229"/>
      <c r="H1640" s="229"/>
      <c r="I1640" s="72"/>
      <c r="J1640" s="185"/>
      <c r="K1640" s="205"/>
      <c r="L1640" s="7"/>
    </row>
    <row r="1641" spans="1:12">
      <c r="A1641" s="19"/>
      <c r="B1641" s="7"/>
      <c r="C1641" s="175"/>
      <c r="D1641" s="175"/>
      <c r="E1641" s="175"/>
      <c r="F1641" s="229"/>
      <c r="G1641" s="229"/>
      <c r="H1641" s="229"/>
      <c r="I1641" s="72"/>
      <c r="J1641" s="185"/>
      <c r="K1641" s="205"/>
      <c r="L1641" s="7"/>
    </row>
    <row r="1642" spans="1:12">
      <c r="A1642" s="19"/>
      <c r="B1642" s="7"/>
      <c r="C1642" s="175"/>
      <c r="D1642" s="175"/>
      <c r="E1642" s="175"/>
      <c r="F1642" s="229"/>
      <c r="G1642" s="229"/>
      <c r="H1642" s="229"/>
      <c r="I1642" s="72"/>
      <c r="J1642" s="185"/>
      <c r="K1642" s="205"/>
      <c r="L1642" s="7"/>
    </row>
    <row r="1643" spans="1:12">
      <c r="A1643" s="19"/>
      <c r="B1643" s="7"/>
      <c r="C1643" s="175"/>
      <c r="D1643" s="175"/>
      <c r="E1643" s="175"/>
      <c r="F1643" s="229"/>
      <c r="G1643" s="229"/>
      <c r="H1643" s="229"/>
      <c r="I1643" s="72"/>
      <c r="J1643" s="185"/>
      <c r="K1643" s="205"/>
      <c r="L1643" s="7"/>
    </row>
    <row r="1644" spans="1:12">
      <c r="A1644" s="19"/>
      <c r="B1644" s="7"/>
      <c r="C1644" s="175"/>
      <c r="D1644" s="175"/>
      <c r="E1644" s="175"/>
      <c r="F1644" s="229"/>
      <c r="G1644" s="229"/>
      <c r="H1644" s="229"/>
      <c r="I1644" s="72"/>
      <c r="J1644" s="185"/>
      <c r="K1644" s="205"/>
      <c r="L1644" s="7"/>
    </row>
    <row r="1645" spans="1:12">
      <c r="A1645" s="19"/>
      <c r="B1645" s="7"/>
      <c r="C1645" s="175"/>
      <c r="D1645" s="175"/>
      <c r="E1645" s="175"/>
      <c r="F1645" s="229"/>
      <c r="G1645" s="229"/>
      <c r="H1645" s="229"/>
      <c r="I1645" s="72"/>
      <c r="J1645" s="185"/>
      <c r="K1645" s="205"/>
      <c r="L1645" s="7"/>
    </row>
    <row r="1646" spans="1:12">
      <c r="A1646" s="19"/>
      <c r="B1646" s="7"/>
      <c r="C1646" s="175"/>
      <c r="D1646" s="175"/>
      <c r="E1646" s="175"/>
      <c r="F1646" s="229"/>
      <c r="G1646" s="229"/>
      <c r="H1646" s="229"/>
      <c r="I1646" s="72"/>
      <c r="J1646" s="185"/>
      <c r="K1646" s="205"/>
      <c r="L1646" s="7"/>
    </row>
    <row r="1647" spans="1:12">
      <c r="A1647" s="19"/>
      <c r="B1647" s="7"/>
      <c r="C1647" s="175"/>
      <c r="D1647" s="175"/>
      <c r="E1647" s="175"/>
      <c r="F1647" s="229"/>
      <c r="G1647" s="229"/>
      <c r="H1647" s="229"/>
      <c r="I1647" s="72"/>
      <c r="J1647" s="185"/>
      <c r="K1647" s="205"/>
      <c r="L1647" s="7"/>
    </row>
    <row r="1648" spans="1:12">
      <c r="A1648" s="19"/>
      <c r="B1648" s="7"/>
      <c r="C1648" s="175"/>
      <c r="D1648" s="175"/>
      <c r="E1648" s="175"/>
      <c r="F1648" s="229"/>
      <c r="G1648" s="229"/>
      <c r="H1648" s="229"/>
      <c r="I1648" s="72"/>
      <c r="J1648" s="185"/>
      <c r="K1648" s="205"/>
      <c r="L1648" s="7"/>
    </row>
    <row r="1649" spans="1:12">
      <c r="A1649" s="19"/>
      <c r="B1649" s="7"/>
      <c r="C1649" s="175"/>
      <c r="D1649" s="175"/>
      <c r="E1649" s="175"/>
      <c r="F1649" s="229"/>
      <c r="G1649" s="229"/>
      <c r="H1649" s="229"/>
      <c r="I1649" s="72"/>
      <c r="J1649" s="185"/>
      <c r="K1649" s="205"/>
      <c r="L1649" s="7"/>
    </row>
    <row r="1650" spans="1:12">
      <c r="A1650" s="19"/>
      <c r="B1650" s="7"/>
      <c r="C1650" s="175"/>
      <c r="D1650" s="175"/>
      <c r="E1650" s="175"/>
      <c r="F1650" s="229"/>
      <c r="G1650" s="229"/>
      <c r="H1650" s="229"/>
      <c r="I1650" s="72"/>
      <c r="J1650" s="185"/>
      <c r="K1650" s="205"/>
      <c r="L1650" s="7"/>
    </row>
    <row r="1651" spans="1:12">
      <c r="A1651" s="19"/>
      <c r="B1651" s="7"/>
      <c r="C1651" s="175"/>
      <c r="D1651" s="175"/>
      <c r="E1651" s="175"/>
      <c r="F1651" s="229"/>
      <c r="G1651" s="229"/>
      <c r="H1651" s="229"/>
      <c r="I1651" s="72"/>
      <c r="J1651" s="185"/>
      <c r="K1651" s="205"/>
      <c r="L1651" s="7"/>
    </row>
    <row r="1652" spans="1:12">
      <c r="A1652" s="19"/>
      <c r="B1652" s="7"/>
      <c r="C1652" s="175"/>
      <c r="D1652" s="175"/>
      <c r="E1652" s="175"/>
      <c r="F1652" s="229"/>
      <c r="G1652" s="229"/>
      <c r="H1652" s="229"/>
      <c r="I1652" s="72"/>
      <c r="J1652" s="185"/>
      <c r="K1652" s="205"/>
      <c r="L1652" s="7"/>
    </row>
    <row r="1653" spans="1:12">
      <c r="A1653" s="20"/>
      <c r="B1653" s="21"/>
      <c r="C1653" s="175"/>
      <c r="D1653" s="175"/>
      <c r="E1653" s="175"/>
      <c r="F1653" s="232"/>
      <c r="G1653" s="232"/>
      <c r="H1653" s="232"/>
      <c r="I1653" s="63"/>
      <c r="J1653" s="190"/>
      <c r="K1653" s="206"/>
      <c r="L1653" s="7"/>
    </row>
    <row r="1654" spans="1:12">
      <c r="A1654" s="20"/>
      <c r="B1654" s="21"/>
      <c r="C1654" s="175"/>
      <c r="D1654" s="175"/>
      <c r="E1654" s="175"/>
      <c r="F1654" s="232"/>
      <c r="G1654" s="232"/>
      <c r="H1654" s="232"/>
      <c r="I1654" s="63"/>
      <c r="J1654" s="190"/>
      <c r="K1654" s="206"/>
      <c r="L1654" s="7"/>
    </row>
    <row r="1655" spans="1:12">
      <c r="A1655" s="19"/>
      <c r="B1655" s="7"/>
      <c r="C1655" s="175"/>
      <c r="D1655" s="175"/>
      <c r="E1655" s="175"/>
      <c r="F1655" s="229"/>
      <c r="G1655" s="229"/>
      <c r="H1655" s="229"/>
      <c r="I1655" s="72"/>
      <c r="J1655" s="185"/>
      <c r="K1655" s="205"/>
      <c r="L1655" s="7"/>
    </row>
    <row r="1656" spans="1:12">
      <c r="A1656" s="19"/>
      <c r="B1656" s="7"/>
      <c r="C1656" s="175"/>
      <c r="D1656" s="175"/>
      <c r="E1656" s="175"/>
      <c r="F1656" s="229"/>
      <c r="G1656" s="229"/>
      <c r="H1656" s="229"/>
      <c r="I1656" s="72"/>
      <c r="J1656" s="185"/>
      <c r="K1656" s="205"/>
      <c r="L1656" s="7"/>
    </row>
    <row r="1657" spans="1:12">
      <c r="A1657" s="19"/>
      <c r="B1657" s="7"/>
      <c r="C1657" s="175"/>
      <c r="D1657" s="175"/>
      <c r="E1657" s="175"/>
      <c r="F1657" s="229"/>
      <c r="G1657" s="229"/>
      <c r="H1657" s="229"/>
      <c r="I1657" s="72"/>
      <c r="J1657" s="185"/>
      <c r="K1657" s="205"/>
      <c r="L1657" s="7"/>
    </row>
    <row r="1658" spans="1:12">
      <c r="A1658" s="19"/>
      <c r="B1658" s="7"/>
      <c r="C1658" s="175"/>
      <c r="D1658" s="175"/>
      <c r="E1658" s="175"/>
      <c r="F1658" s="229"/>
      <c r="G1658" s="229"/>
      <c r="H1658" s="229"/>
      <c r="I1658" s="72"/>
      <c r="J1658" s="185"/>
      <c r="K1658" s="205"/>
      <c r="L1658" s="7"/>
    </row>
    <row r="1659" spans="1:12">
      <c r="A1659" s="20"/>
      <c r="B1659" s="21"/>
      <c r="C1659" s="175"/>
      <c r="D1659" s="175"/>
      <c r="E1659" s="175"/>
      <c r="F1659" s="232"/>
      <c r="G1659" s="232"/>
      <c r="H1659" s="232"/>
      <c r="I1659" s="63"/>
      <c r="J1659" s="190"/>
      <c r="K1659" s="206"/>
      <c r="L1659" s="7"/>
    </row>
    <row r="1660" spans="1:12">
      <c r="A1660" s="20"/>
      <c r="B1660" s="21"/>
      <c r="C1660" s="175"/>
      <c r="D1660" s="175"/>
      <c r="E1660" s="175"/>
      <c r="F1660" s="232"/>
      <c r="G1660" s="232"/>
      <c r="H1660" s="232"/>
      <c r="I1660" s="63"/>
      <c r="J1660" s="190"/>
      <c r="K1660" s="206"/>
      <c r="L1660" s="7"/>
    </row>
    <row r="1661" spans="1:12">
      <c r="A1661" s="20"/>
      <c r="B1661" s="21"/>
      <c r="C1661" s="175"/>
      <c r="D1661" s="175"/>
      <c r="E1661" s="175"/>
      <c r="F1661" s="232"/>
      <c r="G1661" s="232"/>
      <c r="H1661" s="232"/>
      <c r="I1661" s="63"/>
      <c r="J1661" s="190"/>
      <c r="K1661" s="206"/>
      <c r="L1661" s="7"/>
    </row>
    <row r="1662" spans="1:12">
      <c r="A1662" s="19"/>
      <c r="B1662" s="7"/>
      <c r="C1662" s="175"/>
      <c r="D1662" s="175"/>
      <c r="E1662" s="175"/>
      <c r="F1662" s="229"/>
      <c r="G1662" s="229"/>
      <c r="H1662" s="229"/>
      <c r="I1662" s="72"/>
      <c r="J1662" s="185"/>
      <c r="K1662" s="205"/>
      <c r="L1662" s="7"/>
    </row>
    <row r="1663" spans="1:12">
      <c r="A1663" s="19"/>
      <c r="B1663" s="7"/>
      <c r="C1663" s="175"/>
      <c r="D1663" s="175"/>
      <c r="E1663" s="175"/>
      <c r="F1663" s="229"/>
      <c r="G1663" s="229"/>
      <c r="H1663" s="229"/>
      <c r="I1663" s="72"/>
      <c r="J1663" s="185"/>
      <c r="K1663" s="205"/>
      <c r="L1663" s="7"/>
    </row>
    <row r="1664" spans="1:12">
      <c r="A1664" s="19"/>
      <c r="B1664" s="7"/>
      <c r="C1664" s="175"/>
      <c r="D1664" s="175"/>
      <c r="E1664" s="175"/>
      <c r="F1664" s="229"/>
      <c r="G1664" s="229"/>
      <c r="H1664" s="229"/>
      <c r="I1664" s="72"/>
      <c r="J1664" s="185"/>
      <c r="K1664" s="205"/>
      <c r="L1664" s="7"/>
    </row>
    <row r="1665" spans="1:12">
      <c r="A1665" s="19"/>
      <c r="B1665" s="7"/>
      <c r="C1665" s="175"/>
      <c r="D1665" s="175"/>
      <c r="E1665" s="175"/>
      <c r="F1665" s="229"/>
      <c r="G1665" s="229"/>
      <c r="H1665" s="229"/>
      <c r="I1665" s="72"/>
      <c r="J1665" s="185"/>
      <c r="K1665" s="205"/>
      <c r="L1665" s="7"/>
    </row>
    <row r="1666" spans="1:12">
      <c r="A1666" s="19"/>
      <c r="B1666" s="7"/>
      <c r="C1666" s="175"/>
      <c r="D1666" s="175"/>
      <c r="E1666" s="175"/>
      <c r="F1666" s="229"/>
      <c r="G1666" s="229"/>
      <c r="H1666" s="229"/>
      <c r="I1666" s="72"/>
      <c r="J1666" s="185"/>
      <c r="K1666" s="205"/>
      <c r="L1666" s="7"/>
    </row>
    <row r="1667" spans="1:12">
      <c r="A1667" s="19"/>
      <c r="B1667" s="7"/>
      <c r="C1667" s="175"/>
      <c r="D1667" s="175"/>
      <c r="E1667" s="175"/>
      <c r="F1667" s="229"/>
      <c r="G1667" s="229"/>
      <c r="H1667" s="229"/>
      <c r="I1667" s="72"/>
      <c r="J1667" s="185"/>
      <c r="K1667" s="205"/>
      <c r="L1667" s="7"/>
    </row>
    <row r="1668" spans="1:12">
      <c r="A1668" s="19"/>
      <c r="B1668" s="7"/>
      <c r="C1668" s="175"/>
      <c r="D1668" s="175"/>
      <c r="E1668" s="175"/>
      <c r="F1668" s="229"/>
      <c r="G1668" s="229"/>
      <c r="H1668" s="229"/>
      <c r="I1668" s="72"/>
      <c r="J1668" s="185"/>
      <c r="K1668" s="205"/>
      <c r="L1668" s="7"/>
    </row>
    <row r="1669" spans="1:12">
      <c r="A1669" s="19"/>
      <c r="B1669" s="7"/>
      <c r="C1669" s="175"/>
      <c r="D1669" s="175"/>
      <c r="E1669" s="175"/>
      <c r="F1669" s="229"/>
      <c r="G1669" s="229"/>
      <c r="H1669" s="229"/>
      <c r="I1669" s="72"/>
      <c r="J1669" s="185"/>
      <c r="K1669" s="205"/>
      <c r="L1669" s="7"/>
    </row>
    <row r="1670" spans="1:12">
      <c r="A1670" s="19"/>
      <c r="B1670" s="7"/>
      <c r="C1670" s="175"/>
      <c r="D1670" s="175"/>
      <c r="E1670" s="175"/>
      <c r="F1670" s="229"/>
      <c r="G1670" s="229"/>
      <c r="H1670" s="229"/>
      <c r="I1670" s="72"/>
      <c r="J1670" s="185"/>
      <c r="K1670" s="205"/>
      <c r="L1670" s="7"/>
    </row>
    <row r="1671" spans="1:12">
      <c r="A1671" s="19"/>
      <c r="B1671" s="7"/>
      <c r="C1671" s="175"/>
      <c r="D1671" s="175"/>
      <c r="E1671" s="175"/>
      <c r="F1671" s="229"/>
      <c r="G1671" s="229"/>
      <c r="H1671" s="229"/>
      <c r="I1671" s="72"/>
      <c r="J1671" s="185"/>
      <c r="K1671" s="205"/>
      <c r="L1671" s="7"/>
    </row>
    <row r="1672" spans="1:12">
      <c r="A1672" s="20"/>
      <c r="B1672" s="21"/>
      <c r="C1672" s="175"/>
      <c r="D1672" s="175"/>
      <c r="E1672" s="175"/>
      <c r="F1672" s="232"/>
      <c r="G1672" s="232"/>
      <c r="H1672" s="232"/>
      <c r="I1672" s="63"/>
      <c r="J1672" s="190"/>
      <c r="K1672" s="206"/>
      <c r="L1672" s="7"/>
    </row>
    <row r="1673" spans="1:12">
      <c r="A1673" s="19"/>
      <c r="B1673" s="7"/>
      <c r="C1673" s="175"/>
      <c r="D1673" s="175"/>
      <c r="E1673" s="175"/>
      <c r="F1673" s="229"/>
      <c r="G1673" s="229"/>
      <c r="H1673" s="229"/>
      <c r="I1673" s="72"/>
      <c r="J1673" s="185"/>
      <c r="K1673" s="205"/>
      <c r="L1673" s="7"/>
    </row>
    <row r="1674" spans="1:12">
      <c r="A1674" s="20"/>
      <c r="B1674" s="21"/>
      <c r="C1674" s="175"/>
      <c r="D1674" s="175"/>
      <c r="E1674" s="175"/>
      <c r="F1674" s="232"/>
      <c r="G1674" s="232"/>
      <c r="H1674" s="232"/>
      <c r="I1674" s="63"/>
      <c r="J1674" s="190"/>
      <c r="K1674" s="206"/>
      <c r="L1674" s="7"/>
    </row>
    <row r="1675" spans="1:12">
      <c r="A1675" s="20"/>
      <c r="B1675" s="21"/>
      <c r="C1675" s="175"/>
      <c r="D1675" s="175"/>
      <c r="E1675" s="175"/>
      <c r="F1675" s="232"/>
      <c r="G1675" s="232"/>
      <c r="H1675" s="232"/>
      <c r="I1675" s="63"/>
      <c r="J1675" s="190"/>
      <c r="K1675" s="206"/>
      <c r="L1675" s="7"/>
    </row>
    <row r="1676" spans="1:12">
      <c r="A1676" s="20"/>
      <c r="B1676" s="21"/>
      <c r="C1676" s="175"/>
      <c r="D1676" s="175"/>
      <c r="E1676" s="175"/>
      <c r="F1676" s="232"/>
      <c r="G1676" s="232"/>
      <c r="H1676" s="232"/>
      <c r="I1676" s="63"/>
      <c r="J1676" s="190"/>
      <c r="K1676" s="206"/>
      <c r="L1676" s="7"/>
    </row>
    <row r="1677" spans="1:12">
      <c r="A1677" s="20"/>
      <c r="B1677" s="21"/>
      <c r="C1677" s="175"/>
      <c r="D1677" s="175"/>
      <c r="E1677" s="175"/>
      <c r="F1677" s="232"/>
      <c r="G1677" s="232"/>
      <c r="H1677" s="232"/>
      <c r="I1677" s="63"/>
      <c r="J1677" s="190"/>
      <c r="K1677" s="206"/>
      <c r="L1677" s="7"/>
    </row>
    <row r="1678" spans="1:12">
      <c r="A1678" s="20"/>
      <c r="B1678" s="21"/>
      <c r="C1678" s="175"/>
      <c r="D1678" s="175"/>
      <c r="E1678" s="175"/>
      <c r="F1678" s="232"/>
      <c r="G1678" s="232"/>
      <c r="H1678" s="232"/>
      <c r="I1678" s="63"/>
      <c r="J1678" s="190"/>
      <c r="K1678" s="206"/>
      <c r="L1678" s="7"/>
    </row>
    <row r="1679" spans="1:12">
      <c r="A1679" s="20"/>
      <c r="B1679" s="21"/>
      <c r="C1679" s="175"/>
      <c r="D1679" s="175"/>
      <c r="E1679" s="175"/>
      <c r="F1679" s="232"/>
      <c r="G1679" s="232"/>
      <c r="H1679" s="232"/>
      <c r="I1679" s="63"/>
      <c r="J1679" s="190"/>
      <c r="K1679" s="206"/>
      <c r="L1679" s="7"/>
    </row>
    <row r="1680" spans="1:12">
      <c r="A1680" s="20"/>
      <c r="B1680" s="21"/>
      <c r="C1680" s="175"/>
      <c r="D1680" s="175"/>
      <c r="E1680" s="175"/>
      <c r="F1680" s="232"/>
      <c r="G1680" s="232"/>
      <c r="H1680" s="232"/>
      <c r="I1680" s="63"/>
      <c r="J1680" s="190"/>
      <c r="K1680" s="206"/>
      <c r="L1680" s="7"/>
    </row>
    <row r="1681" spans="1:12">
      <c r="A1681" s="20"/>
      <c r="B1681" s="21"/>
      <c r="C1681" s="175"/>
      <c r="D1681" s="175"/>
      <c r="E1681" s="175"/>
      <c r="F1681" s="232"/>
      <c r="G1681" s="232"/>
      <c r="H1681" s="232"/>
      <c r="I1681" s="63"/>
      <c r="J1681" s="190"/>
      <c r="K1681" s="206"/>
      <c r="L1681" s="7"/>
    </row>
    <row r="1682" spans="1:12">
      <c r="A1682" s="20"/>
      <c r="B1682" s="21"/>
      <c r="C1682" s="175"/>
      <c r="D1682" s="175"/>
      <c r="E1682" s="175"/>
      <c r="F1682" s="232"/>
      <c r="G1682" s="232"/>
      <c r="H1682" s="232"/>
      <c r="I1682" s="63"/>
      <c r="J1682" s="190"/>
      <c r="K1682" s="206"/>
      <c r="L1682" s="7"/>
    </row>
    <row r="1683" spans="1:12">
      <c r="A1683" s="20"/>
      <c r="B1683" s="21"/>
      <c r="C1683" s="175"/>
      <c r="D1683" s="175"/>
      <c r="E1683" s="175"/>
      <c r="F1683" s="232"/>
      <c r="G1683" s="232"/>
      <c r="H1683" s="232"/>
      <c r="I1683" s="63"/>
      <c r="J1683" s="190"/>
      <c r="K1683" s="206"/>
      <c r="L1683" s="7"/>
    </row>
    <row r="1684" spans="1:12">
      <c r="A1684" s="19"/>
      <c r="B1684" s="7"/>
      <c r="C1684" s="175"/>
      <c r="D1684" s="175"/>
      <c r="E1684" s="175"/>
      <c r="F1684" s="229"/>
      <c r="G1684" s="229"/>
      <c r="H1684" s="229"/>
      <c r="I1684" s="72"/>
      <c r="J1684" s="185"/>
      <c r="K1684" s="205"/>
      <c r="L1684" s="7"/>
    </row>
    <row r="1685" spans="1:12">
      <c r="A1685" s="19"/>
      <c r="B1685" s="7"/>
      <c r="C1685" s="175"/>
      <c r="D1685" s="175"/>
      <c r="E1685" s="175"/>
      <c r="F1685" s="229"/>
      <c r="G1685" s="229"/>
      <c r="H1685" s="229"/>
      <c r="I1685" s="72"/>
      <c r="J1685" s="185"/>
      <c r="K1685" s="205"/>
      <c r="L1685" s="7"/>
    </row>
    <row r="1686" spans="1:12">
      <c r="A1686" s="19"/>
      <c r="B1686" s="7"/>
      <c r="C1686" s="175"/>
      <c r="D1686" s="175"/>
      <c r="E1686" s="175"/>
      <c r="F1686" s="229"/>
      <c r="G1686" s="229"/>
      <c r="H1686" s="229"/>
      <c r="I1686" s="72"/>
      <c r="J1686" s="185"/>
      <c r="K1686" s="205"/>
      <c r="L1686" s="7"/>
    </row>
    <row r="1687" spans="1:12">
      <c r="A1687" s="19"/>
      <c r="B1687" s="7"/>
      <c r="C1687" s="175"/>
      <c r="D1687" s="175"/>
      <c r="E1687" s="175"/>
      <c r="F1687" s="229"/>
      <c r="G1687" s="229"/>
      <c r="H1687" s="229"/>
      <c r="I1687" s="72"/>
      <c r="J1687" s="185"/>
      <c r="K1687" s="205"/>
      <c r="L1687" s="7"/>
    </row>
    <row r="1688" spans="1:12">
      <c r="A1688" s="19"/>
      <c r="B1688" s="7"/>
      <c r="C1688" s="175"/>
      <c r="D1688" s="175"/>
      <c r="E1688" s="175"/>
      <c r="F1688" s="229"/>
      <c r="G1688" s="229"/>
      <c r="H1688" s="229"/>
      <c r="I1688" s="72"/>
      <c r="J1688" s="185"/>
      <c r="K1688" s="205"/>
      <c r="L1688" s="7"/>
    </row>
    <row r="1689" spans="1:12">
      <c r="A1689" s="19"/>
      <c r="B1689" s="7"/>
      <c r="C1689" s="175"/>
      <c r="D1689" s="175"/>
      <c r="E1689" s="175"/>
      <c r="F1689" s="229"/>
      <c r="G1689" s="229"/>
      <c r="H1689" s="229"/>
      <c r="I1689" s="72"/>
      <c r="J1689" s="185"/>
      <c r="K1689" s="205"/>
      <c r="L1689" s="7"/>
    </row>
    <row r="1690" spans="1:12">
      <c r="A1690" s="19"/>
      <c r="B1690" s="7"/>
      <c r="C1690" s="175"/>
      <c r="D1690" s="175"/>
      <c r="E1690" s="175"/>
      <c r="F1690" s="229"/>
      <c r="G1690" s="229"/>
      <c r="H1690" s="229"/>
      <c r="I1690" s="72"/>
      <c r="J1690" s="185"/>
      <c r="K1690" s="205"/>
      <c r="L1690" s="7"/>
    </row>
    <row r="1691" spans="1:12">
      <c r="A1691" s="19"/>
      <c r="B1691" s="7"/>
      <c r="C1691" s="175"/>
      <c r="D1691" s="175"/>
      <c r="E1691" s="175"/>
      <c r="F1691" s="229"/>
      <c r="G1691" s="229"/>
      <c r="H1691" s="229"/>
      <c r="I1691" s="72"/>
      <c r="J1691" s="185"/>
      <c r="K1691" s="205"/>
      <c r="L1691" s="7"/>
    </row>
    <row r="1692" spans="1:12">
      <c r="A1692" s="19"/>
      <c r="B1692" s="7"/>
      <c r="C1692" s="175"/>
      <c r="D1692" s="175"/>
      <c r="E1692" s="175"/>
      <c r="F1692" s="229"/>
      <c r="G1692" s="229"/>
      <c r="H1692" s="229"/>
      <c r="I1692" s="72"/>
      <c r="J1692" s="185"/>
      <c r="K1692" s="205"/>
      <c r="L1692" s="7"/>
    </row>
    <row r="1693" spans="1:12">
      <c r="A1693" s="19"/>
      <c r="B1693" s="7"/>
      <c r="C1693" s="175"/>
      <c r="D1693" s="175"/>
      <c r="E1693" s="175"/>
      <c r="F1693" s="229"/>
      <c r="G1693" s="229"/>
      <c r="H1693" s="229"/>
      <c r="I1693" s="72"/>
      <c r="J1693" s="185"/>
      <c r="K1693" s="205"/>
      <c r="L1693" s="7"/>
    </row>
    <row r="1694" spans="1:12">
      <c r="A1694" s="19"/>
      <c r="B1694" s="7"/>
      <c r="C1694" s="175"/>
      <c r="D1694" s="175"/>
      <c r="E1694" s="175"/>
      <c r="F1694" s="229"/>
      <c r="G1694" s="229"/>
      <c r="H1694" s="229"/>
      <c r="I1694" s="72"/>
      <c r="J1694" s="185"/>
      <c r="K1694" s="205"/>
      <c r="L1694" s="7"/>
    </row>
    <row r="1695" spans="1:12">
      <c r="A1695" s="19"/>
      <c r="B1695" s="7"/>
      <c r="C1695" s="175"/>
      <c r="D1695" s="175"/>
      <c r="E1695" s="175"/>
      <c r="F1695" s="229"/>
      <c r="G1695" s="229"/>
      <c r="H1695" s="229"/>
      <c r="I1695" s="72"/>
      <c r="J1695" s="185"/>
      <c r="K1695" s="205"/>
      <c r="L1695" s="7"/>
    </row>
    <row r="1696" spans="1:12">
      <c r="A1696" s="19"/>
      <c r="B1696" s="7"/>
      <c r="C1696" s="175"/>
      <c r="D1696" s="175"/>
      <c r="E1696" s="175"/>
      <c r="F1696" s="229"/>
      <c r="G1696" s="229"/>
      <c r="H1696" s="229"/>
      <c r="I1696" s="72"/>
      <c r="J1696" s="185"/>
      <c r="K1696" s="205"/>
      <c r="L1696" s="7"/>
    </row>
    <row r="1697" spans="1:12">
      <c r="A1697" s="19"/>
      <c r="B1697" s="7"/>
      <c r="C1697" s="175"/>
      <c r="D1697" s="175"/>
      <c r="E1697" s="175"/>
      <c r="F1697" s="229"/>
      <c r="G1697" s="229"/>
      <c r="H1697" s="229"/>
      <c r="I1697" s="72"/>
      <c r="J1697" s="185"/>
      <c r="K1697" s="205"/>
      <c r="L1697" s="13"/>
    </row>
    <row r="1698" spans="1:12">
      <c r="A1698" s="19"/>
      <c r="B1698" s="7"/>
      <c r="C1698" s="175"/>
      <c r="D1698" s="175"/>
      <c r="E1698" s="175"/>
      <c r="F1698" s="229"/>
      <c r="G1698" s="229"/>
      <c r="H1698" s="229"/>
      <c r="I1698" s="72"/>
      <c r="J1698" s="185"/>
      <c r="K1698" s="205"/>
      <c r="L1698" s="13"/>
    </row>
    <row r="1699" spans="1:12">
      <c r="A1699" s="19"/>
      <c r="B1699" s="7"/>
      <c r="C1699" s="175"/>
      <c r="D1699" s="175"/>
      <c r="E1699" s="175"/>
      <c r="F1699" s="229"/>
      <c r="G1699" s="229"/>
      <c r="H1699" s="229"/>
      <c r="I1699" s="72"/>
      <c r="J1699" s="185"/>
      <c r="K1699" s="205"/>
      <c r="L1699" s="13"/>
    </row>
    <row r="1700" spans="1:12">
      <c r="A1700" s="19"/>
      <c r="B1700" s="7"/>
      <c r="C1700" s="175"/>
      <c r="D1700" s="175"/>
      <c r="E1700" s="175"/>
      <c r="F1700" s="229"/>
      <c r="G1700" s="229"/>
      <c r="H1700" s="229"/>
      <c r="I1700" s="72"/>
      <c r="J1700" s="185"/>
      <c r="K1700" s="205"/>
      <c r="L1700" s="13"/>
    </row>
    <row r="1701" spans="1:12">
      <c r="A1701" s="19"/>
      <c r="B1701" s="7"/>
      <c r="C1701" s="175"/>
      <c r="D1701" s="175"/>
      <c r="E1701" s="175"/>
      <c r="F1701" s="229"/>
      <c r="G1701" s="229"/>
      <c r="H1701" s="229"/>
      <c r="I1701" s="72"/>
      <c r="J1701" s="185"/>
      <c r="K1701" s="205"/>
      <c r="L1701" s="7"/>
    </row>
    <row r="1702" spans="1:12">
      <c r="A1702" s="19"/>
      <c r="B1702" s="7"/>
      <c r="C1702" s="175"/>
      <c r="D1702" s="175"/>
      <c r="E1702" s="175"/>
      <c r="F1702" s="229"/>
      <c r="G1702" s="229"/>
      <c r="H1702" s="229"/>
      <c r="I1702" s="72"/>
      <c r="J1702" s="185"/>
      <c r="K1702" s="205"/>
      <c r="L1702" s="7"/>
    </row>
    <row r="1703" spans="1:12">
      <c r="A1703" s="19"/>
      <c r="B1703" s="7"/>
      <c r="C1703" s="175"/>
      <c r="D1703" s="175"/>
      <c r="E1703" s="175"/>
      <c r="F1703" s="229"/>
      <c r="G1703" s="229"/>
      <c r="H1703" s="229"/>
      <c r="I1703" s="72"/>
      <c r="J1703" s="185"/>
      <c r="K1703" s="205"/>
      <c r="L1703" s="7"/>
    </row>
    <row r="1704" spans="1:12">
      <c r="A1704" s="19"/>
      <c r="B1704" s="7"/>
      <c r="C1704" s="175"/>
      <c r="D1704" s="175"/>
      <c r="E1704" s="175"/>
      <c r="F1704" s="229"/>
      <c r="G1704" s="229"/>
      <c r="H1704" s="229"/>
      <c r="I1704" s="72"/>
      <c r="J1704" s="185"/>
      <c r="K1704" s="205"/>
      <c r="L1704" s="7"/>
    </row>
    <row r="1705" spans="1:12">
      <c r="A1705" s="19"/>
      <c r="B1705" s="7"/>
      <c r="C1705" s="175"/>
      <c r="D1705" s="175"/>
      <c r="E1705" s="175"/>
      <c r="F1705" s="229"/>
      <c r="G1705" s="229"/>
      <c r="H1705" s="229"/>
      <c r="I1705" s="72"/>
      <c r="J1705" s="185"/>
      <c r="K1705" s="205"/>
      <c r="L1705" s="7"/>
    </row>
    <row r="1706" spans="1:12">
      <c r="A1706" s="19"/>
      <c r="B1706" s="7"/>
      <c r="C1706" s="175"/>
      <c r="D1706" s="175"/>
      <c r="E1706" s="175"/>
      <c r="F1706" s="229"/>
      <c r="G1706" s="229"/>
      <c r="H1706" s="229"/>
      <c r="I1706" s="72"/>
      <c r="J1706" s="185"/>
      <c r="K1706" s="205"/>
      <c r="L1706" s="7"/>
    </row>
    <row r="1707" spans="1:12">
      <c r="A1707" s="19"/>
      <c r="B1707" s="7"/>
      <c r="C1707" s="175"/>
      <c r="D1707" s="175"/>
      <c r="E1707" s="175"/>
      <c r="F1707" s="229"/>
      <c r="G1707" s="229"/>
      <c r="H1707" s="229"/>
      <c r="I1707" s="72"/>
      <c r="J1707" s="185"/>
      <c r="K1707" s="205"/>
      <c r="L1707" s="7"/>
    </row>
    <row r="1708" spans="1:12">
      <c r="A1708" s="19"/>
      <c r="B1708" s="7"/>
      <c r="C1708" s="175"/>
      <c r="D1708" s="175"/>
      <c r="E1708" s="175"/>
      <c r="F1708" s="229"/>
      <c r="G1708" s="229"/>
      <c r="H1708" s="229"/>
      <c r="I1708" s="72"/>
      <c r="J1708" s="185"/>
      <c r="K1708" s="205"/>
      <c r="L1708" s="7"/>
    </row>
    <row r="1709" spans="1:12">
      <c r="A1709" s="19"/>
      <c r="B1709" s="7"/>
      <c r="C1709" s="175"/>
      <c r="D1709" s="175"/>
      <c r="E1709" s="175"/>
      <c r="F1709" s="229"/>
      <c r="G1709" s="229"/>
      <c r="H1709" s="229"/>
      <c r="I1709" s="72"/>
      <c r="J1709" s="185"/>
      <c r="K1709" s="205"/>
      <c r="L1709" s="7"/>
    </row>
    <row r="1710" spans="1:12">
      <c r="A1710" s="19"/>
      <c r="B1710" s="7"/>
      <c r="C1710" s="175"/>
      <c r="D1710" s="175"/>
      <c r="E1710" s="175"/>
      <c r="F1710" s="229"/>
      <c r="G1710" s="229"/>
      <c r="H1710" s="229"/>
      <c r="I1710" s="72"/>
      <c r="J1710" s="185"/>
      <c r="K1710" s="205"/>
      <c r="L1710" s="7"/>
    </row>
    <row r="1711" spans="1:12">
      <c r="A1711" s="19"/>
      <c r="B1711" s="7"/>
      <c r="C1711" s="175"/>
      <c r="D1711" s="175"/>
      <c r="E1711" s="175"/>
      <c r="F1711" s="229"/>
      <c r="G1711" s="229"/>
      <c r="H1711" s="229"/>
      <c r="I1711" s="72"/>
      <c r="J1711" s="185"/>
      <c r="K1711" s="205"/>
      <c r="L1711" s="7"/>
    </row>
    <row r="1712" spans="1:12">
      <c r="A1712" s="19"/>
      <c r="B1712" s="7"/>
      <c r="C1712" s="175"/>
      <c r="D1712" s="175"/>
      <c r="E1712" s="175"/>
      <c r="F1712" s="229"/>
      <c r="G1712" s="229"/>
      <c r="H1712" s="229"/>
      <c r="I1712" s="72"/>
      <c r="J1712" s="185"/>
      <c r="K1712" s="205"/>
      <c r="L1712" s="7"/>
    </row>
    <row r="1713" spans="1:12">
      <c r="A1713" s="19"/>
      <c r="B1713" s="7"/>
      <c r="C1713" s="175"/>
      <c r="D1713" s="175"/>
      <c r="E1713" s="175"/>
      <c r="F1713" s="229"/>
      <c r="G1713" s="229"/>
      <c r="H1713" s="229"/>
      <c r="I1713" s="72"/>
      <c r="J1713" s="185"/>
      <c r="K1713" s="205"/>
      <c r="L1713" s="7"/>
    </row>
    <row r="1714" spans="1:12">
      <c r="A1714" s="19"/>
      <c r="B1714" s="7"/>
      <c r="C1714" s="175"/>
      <c r="D1714" s="175"/>
      <c r="E1714" s="175"/>
      <c r="F1714" s="229"/>
      <c r="G1714" s="229"/>
      <c r="H1714" s="229"/>
      <c r="I1714" s="72"/>
      <c r="J1714" s="185"/>
      <c r="K1714" s="205"/>
      <c r="L1714" s="7"/>
    </row>
    <row r="1715" spans="1:12">
      <c r="A1715" s="19"/>
      <c r="B1715" s="7"/>
      <c r="C1715" s="175"/>
      <c r="D1715" s="175"/>
      <c r="E1715" s="175"/>
      <c r="F1715" s="229"/>
      <c r="G1715" s="229"/>
      <c r="H1715" s="229"/>
      <c r="I1715" s="72"/>
      <c r="J1715" s="185"/>
      <c r="K1715" s="205"/>
      <c r="L1715" s="7"/>
    </row>
    <row r="1716" spans="1:12">
      <c r="A1716" s="19"/>
      <c r="B1716" s="7"/>
      <c r="C1716" s="175"/>
      <c r="D1716" s="175"/>
      <c r="E1716" s="175"/>
      <c r="F1716" s="229"/>
      <c r="G1716" s="229"/>
      <c r="H1716" s="229"/>
      <c r="I1716" s="72"/>
      <c r="J1716" s="185"/>
      <c r="K1716" s="205"/>
      <c r="L1716" s="7"/>
    </row>
    <row r="1717" spans="1:12">
      <c r="A1717" s="19"/>
      <c r="B1717" s="7"/>
      <c r="C1717" s="175"/>
      <c r="D1717" s="175"/>
      <c r="E1717" s="175"/>
      <c r="F1717" s="229"/>
      <c r="G1717" s="229"/>
      <c r="H1717" s="229"/>
      <c r="I1717" s="72"/>
      <c r="J1717" s="185"/>
      <c r="K1717" s="205"/>
      <c r="L1717" s="7"/>
    </row>
    <row r="1718" spans="1:12">
      <c r="A1718" s="19"/>
      <c r="B1718" s="7"/>
      <c r="C1718" s="175"/>
      <c r="D1718" s="175"/>
      <c r="E1718" s="175"/>
      <c r="F1718" s="229"/>
      <c r="G1718" s="229"/>
      <c r="H1718" s="229"/>
      <c r="I1718" s="72"/>
      <c r="J1718" s="185"/>
      <c r="K1718" s="205"/>
      <c r="L1718" s="7"/>
    </row>
    <row r="1719" spans="1:12">
      <c r="A1719" s="19"/>
      <c r="B1719" s="7"/>
      <c r="C1719" s="175"/>
      <c r="D1719" s="175"/>
      <c r="E1719" s="175"/>
      <c r="F1719" s="229"/>
      <c r="G1719" s="229"/>
      <c r="H1719" s="229"/>
      <c r="I1719" s="72"/>
      <c r="J1719" s="185"/>
      <c r="K1719" s="205"/>
      <c r="L1719" s="7"/>
    </row>
    <row r="1720" spans="1:12">
      <c r="A1720" s="19"/>
      <c r="B1720" s="7"/>
      <c r="C1720" s="175"/>
      <c r="D1720" s="175"/>
      <c r="E1720" s="175"/>
      <c r="F1720" s="229"/>
      <c r="G1720" s="229"/>
      <c r="H1720" s="229"/>
      <c r="I1720" s="72"/>
      <c r="J1720" s="185"/>
      <c r="K1720" s="205"/>
      <c r="L1720" s="7"/>
    </row>
    <row r="1721" spans="1:12">
      <c r="A1721" s="19"/>
      <c r="B1721" s="7"/>
      <c r="C1721" s="175"/>
      <c r="D1721" s="175"/>
      <c r="E1721" s="175"/>
      <c r="F1721" s="229"/>
      <c r="G1721" s="229"/>
      <c r="H1721" s="229"/>
      <c r="I1721" s="72"/>
      <c r="J1721" s="185"/>
      <c r="K1721" s="205"/>
      <c r="L1721" s="7"/>
    </row>
    <row r="1722" spans="1:12">
      <c r="A1722" s="19"/>
      <c r="B1722" s="7"/>
      <c r="C1722" s="175"/>
      <c r="D1722" s="175"/>
      <c r="E1722" s="175"/>
      <c r="F1722" s="229"/>
      <c r="G1722" s="229"/>
      <c r="H1722" s="229"/>
      <c r="I1722" s="72"/>
      <c r="J1722" s="185"/>
      <c r="K1722" s="205"/>
      <c r="L1722" s="7"/>
    </row>
    <row r="1723" spans="1:12">
      <c r="A1723" s="19"/>
      <c r="B1723" s="7"/>
      <c r="C1723" s="175"/>
      <c r="D1723" s="175"/>
      <c r="E1723" s="175"/>
      <c r="F1723" s="229"/>
      <c r="G1723" s="229"/>
      <c r="H1723" s="229"/>
      <c r="I1723" s="72"/>
      <c r="J1723" s="185"/>
      <c r="K1723" s="205"/>
      <c r="L1723" s="7"/>
    </row>
    <row r="1724" spans="1:12">
      <c r="A1724" s="20"/>
      <c r="B1724" s="21"/>
      <c r="C1724" s="175"/>
      <c r="D1724" s="175"/>
      <c r="E1724" s="175"/>
      <c r="F1724" s="232"/>
      <c r="G1724" s="232"/>
      <c r="H1724" s="232"/>
      <c r="I1724" s="63"/>
      <c r="J1724" s="190"/>
      <c r="K1724" s="206"/>
      <c r="L1724" s="7"/>
    </row>
    <row r="1725" spans="1:12">
      <c r="A1725" s="19"/>
      <c r="B1725" s="7"/>
      <c r="C1725" s="175"/>
      <c r="D1725" s="175"/>
      <c r="E1725" s="175"/>
      <c r="F1725" s="229"/>
      <c r="G1725" s="229"/>
      <c r="H1725" s="229"/>
      <c r="I1725" s="72"/>
      <c r="J1725" s="185"/>
      <c r="K1725" s="205"/>
      <c r="L1725" s="7"/>
    </row>
    <row r="1726" spans="1:12">
      <c r="A1726" s="20"/>
      <c r="B1726" s="21"/>
      <c r="C1726" s="175"/>
      <c r="D1726" s="175"/>
      <c r="E1726" s="175"/>
      <c r="F1726" s="232"/>
      <c r="G1726" s="232"/>
      <c r="H1726" s="232"/>
      <c r="I1726" s="63"/>
      <c r="J1726" s="190"/>
      <c r="K1726" s="206"/>
      <c r="L1726" s="7"/>
    </row>
    <row r="1727" spans="1:12">
      <c r="A1727" s="20"/>
      <c r="B1727" s="21"/>
      <c r="C1727" s="175"/>
      <c r="D1727" s="175"/>
      <c r="E1727" s="175"/>
      <c r="F1727" s="232"/>
      <c r="G1727" s="232"/>
      <c r="H1727" s="232"/>
      <c r="I1727" s="63"/>
      <c r="J1727" s="190"/>
      <c r="K1727" s="206"/>
      <c r="L1727" s="7"/>
    </row>
    <row r="1728" spans="1:12">
      <c r="A1728" s="20"/>
      <c r="B1728" s="21"/>
      <c r="C1728" s="175"/>
      <c r="D1728" s="175"/>
      <c r="E1728" s="175"/>
      <c r="F1728" s="232"/>
      <c r="G1728" s="232"/>
      <c r="H1728" s="232"/>
      <c r="I1728" s="63"/>
      <c r="J1728" s="190"/>
      <c r="K1728" s="206"/>
      <c r="L1728" s="7"/>
    </row>
    <row r="1729" spans="1:12">
      <c r="A1729" s="19"/>
      <c r="B1729" s="7"/>
      <c r="C1729" s="175"/>
      <c r="D1729" s="175"/>
      <c r="E1729" s="175"/>
      <c r="F1729" s="229"/>
      <c r="G1729" s="229"/>
      <c r="H1729" s="229"/>
      <c r="I1729" s="72"/>
      <c r="J1729" s="185"/>
      <c r="K1729" s="205"/>
      <c r="L1729" s="7"/>
    </row>
    <row r="1730" spans="1:12">
      <c r="A1730" s="19"/>
      <c r="B1730" s="7"/>
      <c r="C1730" s="175"/>
      <c r="D1730" s="175"/>
      <c r="E1730" s="175"/>
      <c r="F1730" s="229"/>
      <c r="G1730" s="229"/>
      <c r="H1730" s="229"/>
      <c r="I1730" s="72"/>
      <c r="J1730" s="185"/>
      <c r="K1730" s="205"/>
      <c r="L1730" s="7"/>
    </row>
    <row r="1731" spans="1:12">
      <c r="A1731" s="19"/>
      <c r="B1731" s="7"/>
      <c r="C1731" s="175"/>
      <c r="D1731" s="175"/>
      <c r="E1731" s="175"/>
      <c r="F1731" s="229"/>
      <c r="G1731" s="229"/>
      <c r="H1731" s="229"/>
      <c r="I1731" s="72"/>
      <c r="J1731" s="185"/>
      <c r="K1731" s="205"/>
      <c r="L1731" s="7"/>
    </row>
    <row r="1732" spans="1:12">
      <c r="A1732" s="19"/>
      <c r="B1732" s="7"/>
      <c r="C1732" s="175"/>
      <c r="D1732" s="175"/>
      <c r="E1732" s="175"/>
      <c r="F1732" s="229"/>
      <c r="G1732" s="229"/>
      <c r="H1732" s="229"/>
      <c r="I1732" s="72"/>
      <c r="J1732" s="185"/>
      <c r="K1732" s="205"/>
      <c r="L1732" s="7"/>
    </row>
    <row r="1733" spans="1:12">
      <c r="A1733" s="19"/>
      <c r="B1733" s="7"/>
      <c r="C1733" s="175"/>
      <c r="D1733" s="175"/>
      <c r="E1733" s="175"/>
      <c r="F1733" s="229"/>
      <c r="G1733" s="229"/>
      <c r="H1733" s="229"/>
      <c r="I1733" s="72"/>
      <c r="J1733" s="185"/>
      <c r="K1733" s="205"/>
      <c r="L1733" s="7"/>
    </row>
    <row r="1734" spans="1:12">
      <c r="A1734" s="19"/>
      <c r="B1734" s="7"/>
      <c r="C1734" s="175"/>
      <c r="D1734" s="175"/>
      <c r="E1734" s="175"/>
      <c r="F1734" s="229"/>
      <c r="G1734" s="229"/>
      <c r="H1734" s="229"/>
      <c r="I1734" s="72"/>
      <c r="J1734" s="185"/>
      <c r="K1734" s="205"/>
      <c r="L1734" s="7"/>
    </row>
    <row r="1735" spans="1:12">
      <c r="A1735" s="19"/>
      <c r="B1735" s="7"/>
      <c r="C1735" s="175"/>
      <c r="D1735" s="175"/>
      <c r="E1735" s="175"/>
      <c r="F1735" s="229"/>
      <c r="G1735" s="229"/>
      <c r="H1735" s="229"/>
      <c r="I1735" s="72"/>
      <c r="J1735" s="185"/>
      <c r="K1735" s="205"/>
      <c r="L1735" s="7"/>
    </row>
    <row r="1736" spans="1:12">
      <c r="A1736" s="19"/>
      <c r="B1736" s="7"/>
      <c r="C1736" s="175"/>
      <c r="D1736" s="175"/>
      <c r="E1736" s="175"/>
      <c r="F1736" s="229"/>
      <c r="G1736" s="229"/>
      <c r="H1736" s="229"/>
      <c r="I1736" s="72"/>
      <c r="J1736" s="185"/>
      <c r="K1736" s="205"/>
      <c r="L1736" s="7"/>
    </row>
    <row r="1737" spans="1:12">
      <c r="A1737" s="19"/>
      <c r="B1737" s="7"/>
      <c r="C1737" s="175"/>
      <c r="D1737" s="175"/>
      <c r="E1737" s="175"/>
      <c r="F1737" s="229"/>
      <c r="G1737" s="229"/>
      <c r="H1737" s="229"/>
      <c r="I1737" s="72"/>
      <c r="J1737" s="185"/>
      <c r="K1737" s="205"/>
      <c r="L1737" s="7"/>
    </row>
    <row r="1738" spans="1:12">
      <c r="A1738" s="19"/>
      <c r="B1738" s="7"/>
      <c r="C1738" s="175"/>
      <c r="D1738" s="175"/>
      <c r="E1738" s="175"/>
      <c r="F1738" s="229"/>
      <c r="G1738" s="229"/>
      <c r="H1738" s="229"/>
      <c r="I1738" s="72"/>
      <c r="J1738" s="185"/>
      <c r="K1738" s="205"/>
      <c r="L1738" s="7"/>
    </row>
    <row r="1739" spans="1:12">
      <c r="A1739" s="19"/>
      <c r="B1739" s="7"/>
      <c r="C1739" s="175"/>
      <c r="D1739" s="175"/>
      <c r="E1739" s="175"/>
      <c r="F1739" s="229"/>
      <c r="G1739" s="229"/>
      <c r="H1739" s="229"/>
      <c r="I1739" s="72"/>
      <c r="J1739" s="185"/>
      <c r="K1739" s="205"/>
      <c r="L1739" s="7"/>
    </row>
    <row r="1740" spans="1:12">
      <c r="A1740" s="19"/>
      <c r="B1740" s="7"/>
      <c r="C1740" s="175"/>
      <c r="D1740" s="175"/>
      <c r="E1740" s="175"/>
      <c r="F1740" s="229"/>
      <c r="G1740" s="229"/>
      <c r="H1740" s="229"/>
      <c r="I1740" s="72"/>
      <c r="J1740" s="185"/>
      <c r="K1740" s="205"/>
      <c r="L1740" s="7"/>
    </row>
    <row r="1741" spans="1:12">
      <c r="A1741" s="20"/>
      <c r="B1741" s="21"/>
      <c r="C1741" s="175"/>
      <c r="D1741" s="175"/>
      <c r="E1741" s="175"/>
      <c r="F1741" s="232"/>
      <c r="G1741" s="232"/>
      <c r="H1741" s="232"/>
      <c r="I1741" s="63"/>
      <c r="J1741" s="190"/>
      <c r="K1741" s="206"/>
      <c r="L1741" s="7"/>
    </row>
    <row r="1742" spans="1:12">
      <c r="A1742" s="20"/>
      <c r="B1742" s="21"/>
      <c r="C1742" s="175"/>
      <c r="D1742" s="175"/>
      <c r="E1742" s="175"/>
      <c r="F1742" s="232"/>
      <c r="G1742" s="232"/>
      <c r="H1742" s="232"/>
      <c r="I1742" s="63"/>
      <c r="J1742" s="190"/>
      <c r="K1742" s="206"/>
      <c r="L1742" s="7"/>
    </row>
    <row r="1743" spans="1:12">
      <c r="A1743" s="19"/>
      <c r="B1743" s="7"/>
      <c r="C1743" s="175"/>
      <c r="D1743" s="175"/>
      <c r="E1743" s="175"/>
      <c r="F1743" s="229"/>
      <c r="G1743" s="229"/>
      <c r="H1743" s="229"/>
      <c r="I1743" s="72"/>
      <c r="J1743" s="185"/>
      <c r="K1743" s="205"/>
      <c r="L1743" s="7"/>
    </row>
    <row r="1744" spans="1:12">
      <c r="A1744" s="19"/>
      <c r="B1744" s="7"/>
      <c r="C1744" s="175"/>
      <c r="D1744" s="175"/>
      <c r="E1744" s="175"/>
      <c r="F1744" s="229"/>
      <c r="G1744" s="229"/>
      <c r="H1744" s="229"/>
      <c r="I1744" s="72"/>
      <c r="J1744" s="185"/>
      <c r="K1744" s="205"/>
      <c r="L1744" s="7"/>
    </row>
    <row r="1745" spans="1:12">
      <c r="A1745" s="20"/>
      <c r="B1745" s="21"/>
      <c r="C1745" s="175"/>
      <c r="D1745" s="175"/>
      <c r="E1745" s="175"/>
      <c r="F1745" s="232"/>
      <c r="G1745" s="232"/>
      <c r="H1745" s="232"/>
      <c r="I1745" s="63"/>
      <c r="J1745" s="190"/>
      <c r="K1745" s="206"/>
      <c r="L1745" s="7"/>
    </row>
    <row r="1746" spans="1:12">
      <c r="A1746" s="19"/>
      <c r="B1746" s="7"/>
      <c r="C1746" s="175"/>
      <c r="D1746" s="175"/>
      <c r="E1746" s="175"/>
      <c r="F1746" s="229"/>
      <c r="G1746" s="229"/>
      <c r="H1746" s="229"/>
      <c r="I1746" s="72"/>
      <c r="J1746" s="185"/>
      <c r="K1746" s="205"/>
      <c r="L1746" s="7"/>
    </row>
    <row r="1747" spans="1:12">
      <c r="A1747" s="19"/>
      <c r="B1747" s="7"/>
      <c r="C1747" s="175"/>
      <c r="D1747" s="175"/>
      <c r="E1747" s="175"/>
      <c r="F1747" s="229"/>
      <c r="G1747" s="229"/>
      <c r="H1747" s="229"/>
      <c r="I1747" s="72"/>
      <c r="J1747" s="185"/>
      <c r="K1747" s="205"/>
      <c r="L1747" s="7"/>
    </row>
    <row r="1748" spans="1:12">
      <c r="A1748" s="19"/>
      <c r="B1748" s="7"/>
      <c r="C1748" s="175"/>
      <c r="D1748" s="175"/>
      <c r="E1748" s="175"/>
      <c r="F1748" s="229"/>
      <c r="G1748" s="229"/>
      <c r="H1748" s="229"/>
      <c r="I1748" s="72"/>
      <c r="J1748" s="185"/>
      <c r="K1748" s="205"/>
      <c r="L1748" s="7"/>
    </row>
    <row r="1749" spans="1:12">
      <c r="A1749" s="19"/>
      <c r="B1749" s="7"/>
      <c r="C1749" s="175"/>
      <c r="D1749" s="175"/>
      <c r="E1749" s="175"/>
      <c r="F1749" s="229"/>
      <c r="G1749" s="229"/>
      <c r="H1749" s="229"/>
      <c r="I1749" s="72"/>
      <c r="J1749" s="185"/>
      <c r="K1749" s="205"/>
      <c r="L1749" s="7"/>
    </row>
    <row r="1750" spans="1:12">
      <c r="A1750" s="19"/>
      <c r="B1750" s="7"/>
      <c r="C1750" s="175"/>
      <c r="D1750" s="175"/>
      <c r="E1750" s="175"/>
      <c r="F1750" s="229"/>
      <c r="G1750" s="229"/>
      <c r="H1750" s="229"/>
      <c r="I1750" s="72"/>
      <c r="J1750" s="185"/>
      <c r="K1750" s="205"/>
      <c r="L1750" s="7"/>
    </row>
    <row r="1751" spans="1:12">
      <c r="A1751" s="19"/>
      <c r="B1751" s="7"/>
      <c r="C1751" s="175"/>
      <c r="D1751" s="175"/>
      <c r="E1751" s="175"/>
      <c r="F1751" s="229"/>
      <c r="G1751" s="229"/>
      <c r="H1751" s="229"/>
      <c r="I1751" s="72"/>
      <c r="J1751" s="185"/>
      <c r="K1751" s="205"/>
      <c r="L1751" s="7"/>
    </row>
    <row r="1752" spans="1:12">
      <c r="A1752" s="19"/>
      <c r="B1752" s="7"/>
      <c r="C1752" s="175"/>
      <c r="D1752" s="175"/>
      <c r="E1752" s="175"/>
      <c r="F1752" s="229"/>
      <c r="G1752" s="229"/>
      <c r="H1752" s="229"/>
      <c r="I1752" s="72"/>
      <c r="J1752" s="185"/>
      <c r="K1752" s="205"/>
      <c r="L1752" s="7"/>
    </row>
    <row r="1753" spans="1:12">
      <c r="A1753" s="19"/>
      <c r="B1753" s="7"/>
      <c r="C1753" s="175"/>
      <c r="D1753" s="175"/>
      <c r="E1753" s="175"/>
      <c r="F1753" s="229"/>
      <c r="G1753" s="229"/>
      <c r="H1753" s="229"/>
      <c r="I1753" s="72"/>
      <c r="J1753" s="185"/>
      <c r="K1753" s="205"/>
      <c r="L1753" s="7"/>
    </row>
    <row r="1754" spans="1:12">
      <c r="A1754" s="19"/>
      <c r="B1754" s="7"/>
      <c r="C1754" s="175"/>
      <c r="D1754" s="175"/>
      <c r="E1754" s="175"/>
      <c r="F1754" s="229"/>
      <c r="G1754" s="229"/>
      <c r="H1754" s="229"/>
      <c r="I1754" s="72"/>
      <c r="J1754" s="185"/>
      <c r="K1754" s="205"/>
      <c r="L1754" s="7"/>
    </row>
    <row r="1755" spans="1:12">
      <c r="A1755" s="19"/>
      <c r="B1755" s="7"/>
      <c r="C1755" s="175"/>
      <c r="D1755" s="175"/>
      <c r="E1755" s="175"/>
      <c r="F1755" s="229"/>
      <c r="G1755" s="229"/>
      <c r="H1755" s="229"/>
      <c r="I1755" s="72"/>
      <c r="J1755" s="185"/>
      <c r="K1755" s="205"/>
      <c r="L1755" s="7"/>
    </row>
    <row r="1756" spans="1:12">
      <c r="A1756" s="19"/>
      <c r="B1756" s="7"/>
      <c r="C1756" s="175"/>
      <c r="D1756" s="175"/>
      <c r="E1756" s="175"/>
      <c r="F1756" s="229"/>
      <c r="G1756" s="229"/>
      <c r="H1756" s="229"/>
      <c r="I1756" s="72"/>
      <c r="J1756" s="185"/>
      <c r="K1756" s="205"/>
      <c r="L1756" s="7"/>
    </row>
    <row r="1757" spans="1:12">
      <c r="A1757" s="19"/>
      <c r="B1757" s="7"/>
      <c r="C1757" s="175"/>
      <c r="D1757" s="175"/>
      <c r="E1757" s="175"/>
      <c r="F1757" s="229"/>
      <c r="G1757" s="229"/>
      <c r="H1757" s="229"/>
      <c r="I1757" s="72"/>
      <c r="J1757" s="185"/>
      <c r="K1757" s="205"/>
      <c r="L1757" s="7"/>
    </row>
    <row r="1758" spans="1:12">
      <c r="A1758" s="19"/>
      <c r="B1758" s="7"/>
      <c r="C1758" s="175"/>
      <c r="D1758" s="175"/>
      <c r="E1758" s="175"/>
      <c r="F1758" s="229"/>
      <c r="G1758" s="229"/>
      <c r="H1758" s="229"/>
      <c r="I1758" s="72"/>
      <c r="J1758" s="185"/>
      <c r="K1758" s="205"/>
      <c r="L1758" s="7"/>
    </row>
    <row r="1759" spans="1:12">
      <c r="A1759" s="19"/>
      <c r="B1759" s="7"/>
      <c r="C1759" s="175"/>
      <c r="D1759" s="175"/>
      <c r="E1759" s="175"/>
      <c r="F1759" s="229"/>
      <c r="G1759" s="229"/>
      <c r="H1759" s="229"/>
      <c r="I1759" s="72"/>
      <c r="J1759" s="185"/>
      <c r="K1759" s="205"/>
      <c r="L1759" s="7"/>
    </row>
    <row r="1760" spans="1:12">
      <c r="A1760" s="19"/>
      <c r="B1760" s="7"/>
      <c r="C1760" s="175"/>
      <c r="D1760" s="175"/>
      <c r="E1760" s="175"/>
      <c r="F1760" s="229"/>
      <c r="G1760" s="229"/>
      <c r="H1760" s="229"/>
      <c r="I1760" s="72"/>
      <c r="J1760" s="185"/>
      <c r="K1760" s="205"/>
      <c r="L1760" s="7"/>
    </row>
    <row r="1761" spans="1:12">
      <c r="A1761" s="19"/>
      <c r="B1761" s="7"/>
      <c r="C1761" s="175"/>
      <c r="D1761" s="175"/>
      <c r="E1761" s="175"/>
      <c r="F1761" s="229"/>
      <c r="G1761" s="229"/>
      <c r="H1761" s="229"/>
      <c r="I1761" s="72"/>
      <c r="J1761" s="185"/>
      <c r="K1761" s="205"/>
      <c r="L1761" s="7"/>
    </row>
    <row r="1762" spans="1:12">
      <c r="A1762" s="19"/>
      <c r="B1762" s="7"/>
      <c r="C1762" s="175"/>
      <c r="D1762" s="175"/>
      <c r="E1762" s="175"/>
      <c r="F1762" s="229"/>
      <c r="G1762" s="229"/>
      <c r="H1762" s="229"/>
      <c r="I1762" s="72"/>
      <c r="J1762" s="185"/>
      <c r="K1762" s="205"/>
      <c r="L1762" s="7"/>
    </row>
    <row r="1763" spans="1:12">
      <c r="A1763" s="19"/>
      <c r="B1763" s="7"/>
      <c r="C1763" s="175"/>
      <c r="D1763" s="175"/>
      <c r="E1763" s="175"/>
      <c r="F1763" s="229"/>
      <c r="G1763" s="229"/>
      <c r="H1763" s="229"/>
      <c r="I1763" s="72"/>
      <c r="J1763" s="185"/>
      <c r="K1763" s="205"/>
      <c r="L1763" s="7"/>
    </row>
    <row r="1764" spans="1:12">
      <c r="A1764" s="19"/>
      <c r="B1764" s="7"/>
      <c r="C1764" s="175"/>
      <c r="D1764" s="175"/>
      <c r="E1764" s="175"/>
      <c r="F1764" s="229"/>
      <c r="G1764" s="229"/>
      <c r="H1764" s="229"/>
      <c r="I1764" s="72"/>
      <c r="J1764" s="185"/>
      <c r="K1764" s="205"/>
      <c r="L1764" s="7"/>
    </row>
    <row r="1765" spans="1:12">
      <c r="A1765" s="19"/>
      <c r="B1765" s="7"/>
      <c r="C1765" s="175"/>
      <c r="D1765" s="175"/>
      <c r="E1765" s="175"/>
      <c r="F1765" s="229"/>
      <c r="G1765" s="229"/>
      <c r="H1765" s="229"/>
      <c r="I1765" s="72"/>
      <c r="J1765" s="185"/>
      <c r="K1765" s="205"/>
      <c r="L1765" s="7"/>
    </row>
    <row r="1766" spans="1:12">
      <c r="A1766" s="19"/>
      <c r="B1766" s="7"/>
      <c r="C1766" s="175"/>
      <c r="D1766" s="175"/>
      <c r="E1766" s="175"/>
      <c r="F1766" s="229"/>
      <c r="G1766" s="229"/>
      <c r="H1766" s="229"/>
      <c r="I1766" s="72"/>
      <c r="J1766" s="185"/>
      <c r="K1766" s="205"/>
      <c r="L1766" s="7"/>
    </row>
    <row r="1767" spans="1:12">
      <c r="A1767" s="19"/>
      <c r="B1767" s="7"/>
      <c r="C1767" s="175"/>
      <c r="D1767" s="175"/>
      <c r="E1767" s="175"/>
      <c r="F1767" s="229"/>
      <c r="G1767" s="229"/>
      <c r="H1767" s="229"/>
      <c r="I1767" s="72"/>
      <c r="J1767" s="185"/>
      <c r="K1767" s="205"/>
      <c r="L1767" s="7"/>
    </row>
    <row r="1768" spans="1:12">
      <c r="A1768" s="19"/>
      <c r="B1768" s="7"/>
      <c r="C1768" s="175"/>
      <c r="D1768" s="175"/>
      <c r="E1768" s="175"/>
      <c r="F1768" s="229"/>
      <c r="G1768" s="229"/>
      <c r="H1768" s="229"/>
      <c r="I1768" s="72"/>
      <c r="J1768" s="185"/>
      <c r="K1768" s="205"/>
      <c r="L1768" s="7"/>
    </row>
    <row r="1769" spans="1:12">
      <c r="A1769" s="19"/>
      <c r="B1769" s="7"/>
      <c r="C1769" s="175"/>
      <c r="D1769" s="175"/>
      <c r="E1769" s="175"/>
      <c r="F1769" s="229"/>
      <c r="G1769" s="229"/>
      <c r="H1769" s="229"/>
      <c r="I1769" s="72"/>
      <c r="J1769" s="185"/>
      <c r="K1769" s="205"/>
      <c r="L1769" s="7"/>
    </row>
    <row r="1770" spans="1:12">
      <c r="A1770" s="19"/>
      <c r="B1770" s="7"/>
      <c r="C1770" s="175"/>
      <c r="D1770" s="175"/>
      <c r="E1770" s="175"/>
      <c r="F1770" s="229"/>
      <c r="G1770" s="229"/>
      <c r="H1770" s="229"/>
      <c r="I1770" s="72"/>
      <c r="J1770" s="185"/>
      <c r="K1770" s="205"/>
      <c r="L1770" s="7"/>
    </row>
    <row r="1771" spans="1:12">
      <c r="A1771" s="19"/>
      <c r="B1771" s="7"/>
      <c r="C1771" s="175"/>
      <c r="D1771" s="175"/>
      <c r="E1771" s="175"/>
      <c r="F1771" s="229"/>
      <c r="G1771" s="229"/>
      <c r="H1771" s="229"/>
      <c r="I1771" s="72"/>
      <c r="J1771" s="185"/>
      <c r="K1771" s="205"/>
      <c r="L1771" s="7"/>
    </row>
    <row r="1772" spans="1:12">
      <c r="A1772" s="19"/>
      <c r="B1772" s="7"/>
      <c r="C1772" s="175"/>
      <c r="D1772" s="175"/>
      <c r="E1772" s="175"/>
      <c r="F1772" s="229"/>
      <c r="G1772" s="229"/>
      <c r="H1772" s="229"/>
      <c r="I1772" s="72"/>
      <c r="J1772" s="185"/>
      <c r="K1772" s="205"/>
      <c r="L1772" s="7"/>
    </row>
    <row r="1773" spans="1:12">
      <c r="A1773" s="19"/>
      <c r="B1773" s="7"/>
      <c r="C1773" s="175"/>
      <c r="D1773" s="175"/>
      <c r="E1773" s="175"/>
      <c r="F1773" s="229"/>
      <c r="G1773" s="229"/>
      <c r="H1773" s="229"/>
      <c r="I1773" s="72"/>
      <c r="J1773" s="185"/>
      <c r="K1773" s="205"/>
      <c r="L1773" s="7"/>
    </row>
    <row r="1774" spans="1:12">
      <c r="A1774" s="19"/>
      <c r="B1774" s="7"/>
      <c r="C1774" s="175"/>
      <c r="D1774" s="175"/>
      <c r="E1774" s="175"/>
      <c r="F1774" s="229"/>
      <c r="G1774" s="229"/>
      <c r="H1774" s="229"/>
      <c r="I1774" s="72"/>
      <c r="J1774" s="185"/>
      <c r="K1774" s="205"/>
      <c r="L1774" s="7"/>
    </row>
    <row r="1775" spans="1:12">
      <c r="A1775" s="19"/>
      <c r="B1775" s="7"/>
      <c r="C1775" s="175"/>
      <c r="D1775" s="175"/>
      <c r="E1775" s="175"/>
      <c r="F1775" s="229"/>
      <c r="G1775" s="229"/>
      <c r="H1775" s="229"/>
      <c r="I1775" s="72"/>
      <c r="J1775" s="185"/>
      <c r="K1775" s="205"/>
      <c r="L1775" s="7"/>
    </row>
    <row r="1776" spans="1:12">
      <c r="A1776" s="19"/>
      <c r="B1776" s="7"/>
      <c r="C1776" s="175"/>
      <c r="D1776" s="175"/>
      <c r="E1776" s="175"/>
      <c r="F1776" s="229"/>
      <c r="G1776" s="229"/>
      <c r="H1776" s="229"/>
      <c r="I1776" s="72"/>
      <c r="J1776" s="185"/>
      <c r="K1776" s="205"/>
      <c r="L1776" s="7"/>
    </row>
    <row r="1777" spans="1:12">
      <c r="A1777" s="19"/>
      <c r="B1777" s="7"/>
      <c r="C1777" s="175"/>
      <c r="D1777" s="175"/>
      <c r="E1777" s="175"/>
      <c r="F1777" s="229"/>
      <c r="G1777" s="229"/>
      <c r="H1777" s="229"/>
      <c r="I1777" s="72"/>
      <c r="J1777" s="185"/>
      <c r="K1777" s="205"/>
      <c r="L1777" s="7"/>
    </row>
    <row r="1778" spans="1:12">
      <c r="A1778" s="19"/>
      <c r="B1778" s="7"/>
      <c r="C1778" s="175"/>
      <c r="D1778" s="175"/>
      <c r="E1778" s="175"/>
      <c r="F1778" s="229"/>
      <c r="G1778" s="229"/>
      <c r="H1778" s="229"/>
      <c r="I1778" s="72"/>
      <c r="J1778" s="185"/>
      <c r="K1778" s="205"/>
      <c r="L1778" s="7"/>
    </row>
    <row r="1779" spans="1:12">
      <c r="A1779" s="19"/>
      <c r="B1779" s="7"/>
      <c r="C1779" s="175"/>
      <c r="D1779" s="175"/>
      <c r="E1779" s="175"/>
      <c r="F1779" s="229"/>
      <c r="G1779" s="229"/>
      <c r="H1779" s="229"/>
      <c r="I1779" s="72"/>
      <c r="J1779" s="185"/>
      <c r="K1779" s="205"/>
      <c r="L1779" s="7"/>
    </row>
    <row r="1780" spans="1:12">
      <c r="A1780" s="19"/>
      <c r="B1780" s="7"/>
      <c r="C1780" s="175"/>
      <c r="D1780" s="175"/>
      <c r="E1780" s="175"/>
      <c r="F1780" s="229"/>
      <c r="G1780" s="229"/>
      <c r="H1780" s="229"/>
      <c r="I1780" s="72"/>
      <c r="J1780" s="185"/>
      <c r="K1780" s="205"/>
      <c r="L1780" s="7"/>
    </row>
    <row r="1781" spans="1:12">
      <c r="A1781" s="19"/>
      <c r="B1781" s="7"/>
      <c r="C1781" s="175"/>
      <c r="D1781" s="175"/>
      <c r="E1781" s="175"/>
      <c r="F1781" s="229"/>
      <c r="G1781" s="229"/>
      <c r="H1781" s="229"/>
      <c r="I1781" s="72"/>
      <c r="J1781" s="185"/>
      <c r="K1781" s="205"/>
      <c r="L1781" s="7"/>
    </row>
    <row r="1782" spans="1:12">
      <c r="A1782" s="19"/>
      <c r="B1782" s="7"/>
      <c r="C1782" s="175"/>
      <c r="D1782" s="175"/>
      <c r="E1782" s="175"/>
      <c r="F1782" s="229"/>
      <c r="G1782" s="229"/>
      <c r="H1782" s="229"/>
      <c r="I1782" s="72"/>
      <c r="J1782" s="185"/>
      <c r="K1782" s="205"/>
      <c r="L1782" s="7"/>
    </row>
    <row r="1783" spans="1:12">
      <c r="A1783" s="19"/>
      <c r="B1783" s="7"/>
      <c r="C1783" s="175"/>
      <c r="D1783" s="175"/>
      <c r="E1783" s="175"/>
      <c r="F1783" s="229"/>
      <c r="G1783" s="229"/>
      <c r="H1783" s="229"/>
      <c r="I1783" s="72"/>
      <c r="J1783" s="185"/>
      <c r="K1783" s="205"/>
      <c r="L1783" s="7"/>
    </row>
    <row r="1784" spans="1:12">
      <c r="A1784" s="20"/>
      <c r="B1784" s="21"/>
      <c r="C1784" s="175"/>
      <c r="D1784" s="175"/>
      <c r="E1784" s="175"/>
      <c r="F1784" s="232"/>
      <c r="G1784" s="232"/>
      <c r="H1784" s="232"/>
      <c r="I1784" s="63"/>
      <c r="J1784" s="190"/>
      <c r="K1784" s="206"/>
      <c r="L1784" s="7"/>
    </row>
    <row r="1785" spans="1:12">
      <c r="A1785" s="19"/>
      <c r="B1785" s="7"/>
      <c r="C1785" s="175"/>
      <c r="D1785" s="175"/>
      <c r="E1785" s="175"/>
      <c r="F1785" s="229"/>
      <c r="G1785" s="229"/>
      <c r="H1785" s="229"/>
      <c r="I1785" s="72"/>
      <c r="J1785" s="185"/>
      <c r="K1785" s="205"/>
      <c r="L1785" s="7"/>
    </row>
    <row r="1786" spans="1:12">
      <c r="A1786" s="20"/>
      <c r="B1786" s="21"/>
      <c r="C1786" s="175"/>
      <c r="D1786" s="175"/>
      <c r="E1786" s="175"/>
      <c r="F1786" s="232"/>
      <c r="G1786" s="232"/>
      <c r="H1786" s="232"/>
      <c r="I1786" s="63"/>
      <c r="J1786" s="190"/>
      <c r="K1786" s="206"/>
      <c r="L1786" s="7"/>
    </row>
    <row r="1787" spans="1:12">
      <c r="A1787" s="19"/>
      <c r="B1787" s="7"/>
      <c r="C1787" s="175"/>
      <c r="D1787" s="175"/>
      <c r="E1787" s="175"/>
      <c r="F1787" s="229"/>
      <c r="G1787" s="229"/>
      <c r="H1787" s="229"/>
      <c r="I1787" s="72"/>
      <c r="J1787" s="185"/>
      <c r="K1787" s="205"/>
      <c r="L1787" s="7"/>
    </row>
    <row r="1788" spans="1:12">
      <c r="A1788" s="20"/>
      <c r="B1788" s="21"/>
      <c r="C1788" s="175"/>
      <c r="D1788" s="175"/>
      <c r="E1788" s="175"/>
      <c r="F1788" s="232"/>
      <c r="G1788" s="232"/>
      <c r="H1788" s="232"/>
      <c r="I1788" s="63"/>
      <c r="J1788" s="190"/>
      <c r="K1788" s="206"/>
      <c r="L1788" s="7"/>
    </row>
    <row r="1789" spans="1:12">
      <c r="A1789" s="20"/>
      <c r="B1789" s="21"/>
      <c r="C1789" s="175"/>
      <c r="D1789" s="175"/>
      <c r="E1789" s="175"/>
      <c r="F1789" s="232"/>
      <c r="G1789" s="232"/>
      <c r="H1789" s="232"/>
      <c r="I1789" s="63"/>
      <c r="J1789" s="190"/>
      <c r="K1789" s="206"/>
      <c r="L1789" s="7"/>
    </row>
    <row r="1790" spans="1:12">
      <c r="A1790" s="20"/>
      <c r="B1790" s="21"/>
      <c r="C1790" s="175"/>
      <c r="D1790" s="175"/>
      <c r="E1790" s="175"/>
      <c r="F1790" s="232"/>
      <c r="G1790" s="232"/>
      <c r="H1790" s="232"/>
      <c r="I1790" s="63"/>
      <c r="J1790" s="190"/>
      <c r="K1790" s="206"/>
      <c r="L1790" s="7"/>
    </row>
    <row r="1791" spans="1:12">
      <c r="A1791" s="19"/>
      <c r="B1791" s="7"/>
      <c r="C1791" s="175"/>
      <c r="D1791" s="175"/>
      <c r="E1791" s="175"/>
      <c r="F1791" s="229"/>
      <c r="G1791" s="229"/>
      <c r="H1791" s="229"/>
      <c r="I1791" s="72"/>
      <c r="J1791" s="185"/>
      <c r="K1791" s="205"/>
      <c r="L1791" s="7"/>
    </row>
    <row r="1792" spans="1:12">
      <c r="A1792" s="19"/>
      <c r="B1792" s="7"/>
      <c r="C1792" s="175"/>
      <c r="D1792" s="175"/>
      <c r="E1792" s="175"/>
      <c r="F1792" s="229"/>
      <c r="G1792" s="229"/>
      <c r="H1792" s="229"/>
      <c r="I1792" s="72"/>
      <c r="J1792" s="185"/>
      <c r="K1792" s="205"/>
      <c r="L1792" s="7"/>
    </row>
    <row r="1793" spans="1:12">
      <c r="A1793" s="19"/>
      <c r="B1793" s="7"/>
      <c r="C1793" s="175"/>
      <c r="D1793" s="175"/>
      <c r="E1793" s="175"/>
      <c r="F1793" s="229"/>
      <c r="G1793" s="229"/>
      <c r="H1793" s="229"/>
      <c r="I1793" s="72"/>
      <c r="J1793" s="185"/>
      <c r="K1793" s="205"/>
      <c r="L1793" s="7"/>
    </row>
    <row r="1794" spans="1:12">
      <c r="A1794" s="19"/>
      <c r="B1794" s="7"/>
      <c r="C1794" s="175"/>
      <c r="D1794" s="175"/>
      <c r="E1794" s="175"/>
      <c r="F1794" s="229"/>
      <c r="G1794" s="229"/>
      <c r="H1794" s="229"/>
      <c r="I1794" s="72"/>
      <c r="J1794" s="185"/>
      <c r="K1794" s="205"/>
      <c r="L1794" s="7"/>
    </row>
    <row r="1795" spans="1:12">
      <c r="A1795" s="19"/>
      <c r="B1795" s="7"/>
      <c r="C1795" s="175"/>
      <c r="D1795" s="175"/>
      <c r="E1795" s="175"/>
      <c r="F1795" s="229"/>
      <c r="G1795" s="229"/>
      <c r="H1795" s="229"/>
      <c r="I1795" s="72"/>
      <c r="J1795" s="185"/>
      <c r="K1795" s="205"/>
      <c r="L1795" s="7"/>
    </row>
    <row r="1796" spans="1:12">
      <c r="A1796" s="19"/>
      <c r="B1796" s="7"/>
      <c r="C1796" s="175"/>
      <c r="D1796" s="175"/>
      <c r="E1796" s="175"/>
      <c r="F1796" s="229"/>
      <c r="G1796" s="229"/>
      <c r="H1796" s="229"/>
      <c r="I1796" s="72"/>
      <c r="J1796" s="185"/>
      <c r="K1796" s="205"/>
      <c r="L1796" s="7"/>
    </row>
    <row r="1797" spans="1:12">
      <c r="A1797" s="19"/>
      <c r="B1797" s="7"/>
      <c r="C1797" s="175"/>
      <c r="D1797" s="175"/>
      <c r="E1797" s="175"/>
      <c r="F1797" s="229"/>
      <c r="G1797" s="229"/>
      <c r="H1797" s="229"/>
      <c r="I1797" s="72"/>
      <c r="J1797" s="185"/>
      <c r="K1797" s="205"/>
      <c r="L1797" s="7"/>
    </row>
    <row r="1798" spans="1:12">
      <c r="A1798" s="19"/>
      <c r="B1798" s="7"/>
      <c r="C1798" s="175"/>
      <c r="D1798" s="175"/>
      <c r="E1798" s="175"/>
      <c r="F1798" s="229"/>
      <c r="G1798" s="229"/>
      <c r="H1798" s="229"/>
      <c r="I1798" s="72"/>
      <c r="J1798" s="185"/>
      <c r="K1798" s="205"/>
      <c r="L1798" s="7"/>
    </row>
    <row r="1799" spans="1:12">
      <c r="A1799" s="19"/>
      <c r="B1799" s="7"/>
      <c r="C1799" s="175"/>
      <c r="D1799" s="175"/>
      <c r="E1799" s="175"/>
      <c r="F1799" s="229"/>
      <c r="G1799" s="229"/>
      <c r="H1799" s="229"/>
      <c r="I1799" s="72"/>
      <c r="J1799" s="185"/>
      <c r="K1799" s="205"/>
      <c r="L1799" s="7"/>
    </row>
    <row r="1800" spans="1:12">
      <c r="A1800" s="19"/>
      <c r="B1800" s="7"/>
      <c r="C1800" s="175"/>
      <c r="D1800" s="175"/>
      <c r="E1800" s="175"/>
      <c r="F1800" s="229"/>
      <c r="G1800" s="229"/>
      <c r="H1800" s="229"/>
      <c r="I1800" s="72"/>
      <c r="J1800" s="185"/>
      <c r="K1800" s="205"/>
      <c r="L1800" s="7"/>
    </row>
    <row r="1801" spans="1:12">
      <c r="A1801" s="19"/>
      <c r="B1801" s="7"/>
      <c r="C1801" s="175"/>
      <c r="D1801" s="175"/>
      <c r="E1801" s="175"/>
      <c r="F1801" s="229"/>
      <c r="G1801" s="229"/>
      <c r="H1801" s="229"/>
      <c r="I1801" s="72"/>
      <c r="J1801" s="185"/>
      <c r="K1801" s="205"/>
      <c r="L1801" s="7"/>
    </row>
    <row r="1802" spans="1:12">
      <c r="A1802" s="20"/>
      <c r="B1802" s="21"/>
      <c r="C1802" s="175"/>
      <c r="D1802" s="175"/>
      <c r="E1802" s="175"/>
      <c r="F1802" s="232"/>
      <c r="G1802" s="232"/>
      <c r="H1802" s="232"/>
      <c r="I1802" s="63"/>
      <c r="J1802" s="190"/>
      <c r="K1802" s="206"/>
      <c r="L1802" s="7"/>
    </row>
    <row r="1803" spans="1:12">
      <c r="A1803" s="20"/>
      <c r="B1803" s="21"/>
      <c r="C1803" s="175"/>
      <c r="D1803" s="175"/>
      <c r="E1803" s="175"/>
      <c r="F1803" s="232"/>
      <c r="G1803" s="232"/>
      <c r="H1803" s="232"/>
      <c r="I1803" s="63"/>
      <c r="J1803" s="190"/>
      <c r="K1803" s="206"/>
      <c r="L1803" s="7"/>
    </row>
    <row r="1804" spans="1:12">
      <c r="A1804" s="20"/>
      <c r="B1804" s="21"/>
      <c r="C1804" s="175"/>
      <c r="D1804" s="175"/>
      <c r="E1804" s="175"/>
      <c r="F1804" s="232"/>
      <c r="G1804" s="232"/>
      <c r="H1804" s="232"/>
      <c r="I1804" s="63"/>
      <c r="J1804" s="190"/>
      <c r="K1804" s="206"/>
      <c r="L1804" s="7"/>
    </row>
    <row r="1805" spans="1:12">
      <c r="A1805" s="20"/>
      <c r="B1805" s="21"/>
      <c r="C1805" s="175"/>
      <c r="D1805" s="175"/>
      <c r="E1805" s="175"/>
      <c r="F1805" s="232"/>
      <c r="G1805" s="232"/>
      <c r="H1805" s="232"/>
      <c r="I1805" s="63"/>
      <c r="J1805" s="190"/>
      <c r="K1805" s="206"/>
      <c r="L1805" s="7"/>
    </row>
    <row r="1806" spans="1:12">
      <c r="A1806" s="20"/>
      <c r="B1806" s="21"/>
      <c r="C1806" s="175"/>
      <c r="D1806" s="175"/>
      <c r="E1806" s="175"/>
      <c r="F1806" s="232"/>
      <c r="G1806" s="232"/>
      <c r="H1806" s="232"/>
      <c r="I1806" s="63"/>
      <c r="J1806" s="190"/>
      <c r="K1806" s="206"/>
      <c r="L1806" s="7"/>
    </row>
    <row r="1807" spans="1:12">
      <c r="A1807" s="20"/>
      <c r="B1807" s="21"/>
      <c r="C1807" s="175"/>
      <c r="D1807" s="175"/>
      <c r="E1807" s="175"/>
      <c r="F1807" s="232"/>
      <c r="G1807" s="232"/>
      <c r="H1807" s="232"/>
      <c r="I1807" s="63"/>
      <c r="J1807" s="190"/>
      <c r="K1807" s="206"/>
      <c r="L1807" s="7"/>
    </row>
    <row r="1808" spans="1:12">
      <c r="A1808" s="20"/>
      <c r="B1808" s="21"/>
      <c r="C1808" s="175"/>
      <c r="D1808" s="175"/>
      <c r="E1808" s="175"/>
      <c r="F1808" s="232"/>
      <c r="G1808" s="232"/>
      <c r="H1808" s="232"/>
      <c r="I1808" s="63"/>
      <c r="J1808" s="190"/>
      <c r="K1808" s="206"/>
      <c r="L1808" s="7"/>
    </row>
    <row r="1809" spans="1:12">
      <c r="A1809" s="20"/>
      <c r="B1809" s="21"/>
      <c r="C1809" s="175"/>
      <c r="D1809" s="175"/>
      <c r="E1809" s="175"/>
      <c r="F1809" s="232"/>
      <c r="G1809" s="232"/>
      <c r="H1809" s="232"/>
      <c r="I1809" s="63"/>
      <c r="J1809" s="190"/>
      <c r="K1809" s="206"/>
      <c r="L1809" s="7"/>
    </row>
    <row r="1810" spans="1:12">
      <c r="A1810" s="20"/>
      <c r="B1810" s="21"/>
      <c r="C1810" s="175"/>
      <c r="D1810" s="175"/>
      <c r="E1810" s="175"/>
      <c r="F1810" s="232"/>
      <c r="G1810" s="232"/>
      <c r="H1810" s="232"/>
      <c r="I1810" s="63"/>
      <c r="J1810" s="190"/>
      <c r="K1810" s="206"/>
      <c r="L1810" s="7"/>
    </row>
    <row r="1811" spans="1:12">
      <c r="A1811" s="20"/>
      <c r="B1811" s="21"/>
      <c r="C1811" s="175"/>
      <c r="D1811" s="175"/>
      <c r="E1811" s="175"/>
      <c r="F1811" s="232"/>
      <c r="G1811" s="232"/>
      <c r="H1811" s="232"/>
      <c r="I1811" s="63"/>
      <c r="J1811" s="190"/>
      <c r="K1811" s="206"/>
      <c r="L1811" s="7"/>
    </row>
    <row r="1812" spans="1:12">
      <c r="A1812" s="19"/>
      <c r="B1812" s="7"/>
      <c r="C1812" s="175"/>
      <c r="D1812" s="175"/>
      <c r="E1812" s="175"/>
      <c r="F1812" s="229"/>
      <c r="G1812" s="229"/>
      <c r="H1812" s="229"/>
      <c r="I1812" s="72"/>
      <c r="J1812" s="185"/>
      <c r="K1812" s="205"/>
      <c r="L1812" s="7"/>
    </row>
    <row r="1813" spans="1:12">
      <c r="A1813" s="19"/>
      <c r="B1813" s="7"/>
      <c r="C1813" s="175"/>
      <c r="D1813" s="175"/>
      <c r="E1813" s="175"/>
      <c r="F1813" s="229"/>
      <c r="G1813" s="229"/>
      <c r="H1813" s="229"/>
      <c r="I1813" s="72"/>
      <c r="J1813" s="185"/>
      <c r="K1813" s="205"/>
      <c r="L1813" s="7"/>
    </row>
    <row r="1814" spans="1:12">
      <c r="A1814" s="19"/>
      <c r="B1814" s="7"/>
      <c r="C1814" s="175"/>
      <c r="D1814" s="175"/>
      <c r="E1814" s="175"/>
      <c r="F1814" s="229"/>
      <c r="G1814" s="229"/>
      <c r="H1814" s="229"/>
      <c r="I1814" s="72"/>
      <c r="J1814" s="185"/>
      <c r="K1814" s="205"/>
      <c r="L1814" s="7"/>
    </row>
    <row r="1815" spans="1:12">
      <c r="A1815" s="19"/>
      <c r="B1815" s="7"/>
      <c r="C1815" s="175"/>
      <c r="D1815" s="175"/>
      <c r="E1815" s="175"/>
      <c r="F1815" s="229"/>
      <c r="G1815" s="229"/>
      <c r="H1815" s="229"/>
      <c r="I1815" s="72"/>
      <c r="J1815" s="185"/>
      <c r="K1815" s="205"/>
      <c r="L1815" s="7"/>
    </row>
    <row r="1816" spans="1:12">
      <c r="A1816" s="19"/>
      <c r="B1816" s="7"/>
      <c r="C1816" s="175"/>
      <c r="D1816" s="175"/>
      <c r="E1816" s="175"/>
      <c r="F1816" s="229"/>
      <c r="G1816" s="229"/>
      <c r="H1816" s="229"/>
      <c r="I1816" s="72"/>
      <c r="J1816" s="185"/>
      <c r="K1816" s="205"/>
      <c r="L1816" s="14"/>
    </row>
    <row r="1817" spans="1:12">
      <c r="A1817" s="19"/>
      <c r="B1817" s="7"/>
      <c r="C1817" s="175"/>
      <c r="D1817" s="175"/>
      <c r="E1817" s="175"/>
      <c r="F1817" s="229"/>
      <c r="G1817" s="229"/>
      <c r="H1817" s="229"/>
      <c r="I1817" s="72"/>
      <c r="J1817" s="185"/>
      <c r="K1817" s="205"/>
      <c r="L1817" s="7"/>
    </row>
    <row r="1818" spans="1:12">
      <c r="A1818" s="19"/>
      <c r="B1818" s="7"/>
      <c r="C1818" s="175"/>
      <c r="D1818" s="175"/>
      <c r="E1818" s="175"/>
      <c r="F1818" s="229"/>
      <c r="G1818" s="229"/>
      <c r="H1818" s="229"/>
      <c r="I1818" s="72"/>
      <c r="J1818" s="185"/>
      <c r="K1818" s="205"/>
      <c r="L1818" s="7"/>
    </row>
    <row r="1819" spans="1:12">
      <c r="A1819" s="19"/>
      <c r="B1819" s="7"/>
      <c r="C1819" s="175"/>
      <c r="D1819" s="175"/>
      <c r="E1819" s="175"/>
      <c r="F1819" s="229"/>
      <c r="G1819" s="229"/>
      <c r="H1819" s="229"/>
      <c r="I1819" s="72"/>
      <c r="J1819" s="185"/>
      <c r="K1819" s="205"/>
      <c r="L1819" s="7"/>
    </row>
    <row r="1820" spans="1:12">
      <c r="A1820" s="19"/>
      <c r="B1820" s="7"/>
      <c r="C1820" s="175"/>
      <c r="D1820" s="175"/>
      <c r="E1820" s="175"/>
      <c r="F1820" s="229"/>
      <c r="G1820" s="229"/>
      <c r="H1820" s="229"/>
      <c r="I1820" s="72"/>
      <c r="J1820" s="185"/>
      <c r="K1820" s="205"/>
      <c r="L1820" s="7"/>
    </row>
    <row r="1821" spans="1:12">
      <c r="A1821" s="19"/>
      <c r="B1821" s="7"/>
      <c r="C1821" s="175"/>
      <c r="D1821" s="175"/>
      <c r="E1821" s="175"/>
      <c r="F1821" s="229"/>
      <c r="G1821" s="229"/>
      <c r="H1821" s="229"/>
      <c r="I1821" s="72"/>
      <c r="J1821" s="185"/>
      <c r="K1821" s="205"/>
      <c r="L1821" s="7"/>
    </row>
    <row r="1822" spans="1:12">
      <c r="A1822" s="19"/>
      <c r="B1822" s="7"/>
      <c r="C1822" s="175"/>
      <c r="D1822" s="175"/>
      <c r="E1822" s="175"/>
      <c r="F1822" s="229"/>
      <c r="G1822" s="229"/>
      <c r="H1822" s="229"/>
      <c r="I1822" s="72"/>
      <c r="J1822" s="185"/>
      <c r="K1822" s="205"/>
      <c r="L1822" s="7"/>
    </row>
    <row r="1823" spans="1:12">
      <c r="A1823" s="19"/>
      <c r="B1823" s="7"/>
      <c r="C1823" s="175"/>
      <c r="D1823" s="175"/>
      <c r="E1823" s="175"/>
      <c r="F1823" s="229"/>
      <c r="G1823" s="229"/>
      <c r="H1823" s="229"/>
      <c r="I1823" s="72"/>
      <c r="J1823" s="185"/>
      <c r="K1823" s="205"/>
      <c r="L1823" s="7"/>
    </row>
    <row r="1824" spans="1:12">
      <c r="A1824" s="19"/>
      <c r="B1824" s="7"/>
      <c r="C1824" s="175"/>
      <c r="D1824" s="175"/>
      <c r="E1824" s="175"/>
      <c r="F1824" s="229"/>
      <c r="G1824" s="229"/>
      <c r="H1824" s="229"/>
      <c r="I1824" s="72"/>
      <c r="J1824" s="185"/>
      <c r="K1824" s="205"/>
      <c r="L1824" s="7"/>
    </row>
    <row r="1825" spans="1:12">
      <c r="A1825" s="19"/>
      <c r="B1825" s="7"/>
      <c r="C1825" s="175"/>
      <c r="D1825" s="175"/>
      <c r="E1825" s="175"/>
      <c r="F1825" s="229"/>
      <c r="G1825" s="229"/>
      <c r="H1825" s="229"/>
      <c r="I1825" s="72"/>
      <c r="J1825" s="185"/>
      <c r="K1825" s="205"/>
      <c r="L1825" s="14"/>
    </row>
    <row r="1826" spans="1:12">
      <c r="A1826" s="19"/>
      <c r="B1826" s="7"/>
      <c r="C1826" s="175"/>
      <c r="D1826" s="175"/>
      <c r="E1826" s="175"/>
      <c r="F1826" s="229"/>
      <c r="G1826" s="229"/>
      <c r="H1826" s="229"/>
      <c r="I1826" s="72"/>
      <c r="J1826" s="185"/>
      <c r="K1826" s="205"/>
      <c r="L1826" s="7"/>
    </row>
    <row r="1827" spans="1:12">
      <c r="A1827" s="19"/>
      <c r="B1827" s="7"/>
      <c r="C1827" s="175"/>
      <c r="D1827" s="175"/>
      <c r="E1827" s="175"/>
      <c r="F1827" s="229"/>
      <c r="G1827" s="229"/>
      <c r="H1827" s="229"/>
      <c r="I1827" s="72"/>
      <c r="J1827" s="185"/>
      <c r="K1827" s="205"/>
      <c r="L1827" s="7"/>
    </row>
    <row r="1828" spans="1:12">
      <c r="A1828" s="19"/>
      <c r="B1828" s="7"/>
      <c r="C1828" s="175"/>
      <c r="D1828" s="175"/>
      <c r="E1828" s="175"/>
      <c r="F1828" s="229"/>
      <c r="G1828" s="229"/>
      <c r="H1828" s="229"/>
      <c r="I1828" s="72"/>
      <c r="J1828" s="185"/>
      <c r="K1828" s="205"/>
      <c r="L1828" s="7"/>
    </row>
    <row r="1829" spans="1:12">
      <c r="A1829" s="19"/>
      <c r="B1829" s="7"/>
      <c r="C1829" s="175"/>
      <c r="D1829" s="175"/>
      <c r="E1829" s="175"/>
      <c r="F1829" s="229"/>
      <c r="G1829" s="229"/>
      <c r="H1829" s="229"/>
      <c r="I1829" s="72"/>
      <c r="J1829" s="185"/>
      <c r="K1829" s="205"/>
      <c r="L1829" s="7"/>
    </row>
    <row r="1830" spans="1:12">
      <c r="A1830" s="19"/>
      <c r="B1830" s="7"/>
      <c r="C1830" s="175"/>
      <c r="D1830" s="175"/>
      <c r="E1830" s="175"/>
      <c r="F1830" s="229"/>
      <c r="G1830" s="229"/>
      <c r="H1830" s="229"/>
      <c r="I1830" s="72"/>
      <c r="J1830" s="185"/>
      <c r="K1830" s="205"/>
      <c r="L1830" s="7"/>
    </row>
    <row r="1831" spans="1:12">
      <c r="A1831" s="19"/>
      <c r="B1831" s="7"/>
      <c r="C1831" s="175"/>
      <c r="D1831" s="175"/>
      <c r="E1831" s="175"/>
      <c r="F1831" s="229"/>
      <c r="G1831" s="229"/>
      <c r="H1831" s="229"/>
      <c r="I1831" s="72"/>
      <c r="J1831" s="185"/>
      <c r="K1831" s="205"/>
      <c r="L1831" s="7"/>
    </row>
    <row r="1832" spans="1:12">
      <c r="A1832" s="19"/>
      <c r="B1832" s="7"/>
      <c r="C1832" s="175"/>
      <c r="D1832" s="175"/>
      <c r="E1832" s="175"/>
      <c r="F1832" s="229"/>
      <c r="G1832" s="229"/>
      <c r="H1832" s="229"/>
      <c r="I1832" s="72"/>
      <c r="J1832" s="185"/>
      <c r="K1832" s="205"/>
      <c r="L1832" s="14"/>
    </row>
    <row r="1833" spans="1:12">
      <c r="A1833" s="19"/>
      <c r="B1833" s="7"/>
      <c r="C1833" s="175"/>
      <c r="D1833" s="175"/>
      <c r="E1833" s="175"/>
      <c r="F1833" s="229"/>
      <c r="G1833" s="229"/>
      <c r="H1833" s="229"/>
      <c r="I1833" s="72"/>
      <c r="J1833" s="185"/>
      <c r="K1833" s="205"/>
      <c r="L1833" s="14"/>
    </row>
    <row r="1834" spans="1:12">
      <c r="A1834" s="19"/>
      <c r="B1834" s="7"/>
      <c r="C1834" s="175"/>
      <c r="D1834" s="175"/>
      <c r="E1834" s="175"/>
      <c r="F1834" s="229"/>
      <c r="G1834" s="229"/>
      <c r="H1834" s="229"/>
      <c r="I1834" s="72"/>
      <c r="J1834" s="185"/>
      <c r="K1834" s="205"/>
      <c r="L1834" s="7"/>
    </row>
    <row r="1835" spans="1:12">
      <c r="A1835" s="19"/>
      <c r="B1835" s="7"/>
      <c r="C1835" s="175"/>
      <c r="D1835" s="175"/>
      <c r="E1835" s="175"/>
      <c r="F1835" s="229"/>
      <c r="G1835" s="229"/>
      <c r="H1835" s="229"/>
      <c r="I1835" s="72"/>
      <c r="J1835" s="185"/>
      <c r="K1835" s="205"/>
      <c r="L1835" s="7"/>
    </row>
    <row r="1836" spans="1:12">
      <c r="A1836" s="19"/>
      <c r="B1836" s="7"/>
      <c r="C1836" s="175"/>
      <c r="D1836" s="175"/>
      <c r="E1836" s="175"/>
      <c r="F1836" s="229"/>
      <c r="G1836" s="229"/>
      <c r="H1836" s="229"/>
      <c r="I1836" s="72"/>
      <c r="J1836" s="185"/>
      <c r="K1836" s="205"/>
      <c r="L1836" s="7"/>
    </row>
    <row r="1837" spans="1:12">
      <c r="A1837" s="19"/>
      <c r="B1837" s="7"/>
      <c r="C1837" s="175"/>
      <c r="D1837" s="175"/>
      <c r="E1837" s="175"/>
      <c r="F1837" s="229"/>
      <c r="G1837" s="229"/>
      <c r="H1837" s="229"/>
      <c r="I1837" s="72"/>
      <c r="J1837" s="185"/>
      <c r="K1837" s="205"/>
      <c r="L1837" s="7"/>
    </row>
    <row r="1838" spans="1:12">
      <c r="A1838" s="19"/>
      <c r="B1838" s="7"/>
      <c r="C1838" s="175"/>
      <c r="D1838" s="175"/>
      <c r="E1838" s="175"/>
      <c r="F1838" s="229"/>
      <c r="G1838" s="229"/>
      <c r="H1838" s="229"/>
      <c r="I1838" s="72"/>
      <c r="J1838" s="185"/>
      <c r="K1838" s="205"/>
      <c r="L1838" s="7"/>
    </row>
    <row r="1839" spans="1:12">
      <c r="A1839" s="19"/>
      <c r="B1839" s="7"/>
      <c r="C1839" s="175"/>
      <c r="D1839" s="175"/>
      <c r="E1839" s="175"/>
      <c r="F1839" s="229"/>
      <c r="G1839" s="229"/>
      <c r="H1839" s="229"/>
      <c r="I1839" s="72"/>
      <c r="J1839" s="185"/>
      <c r="K1839" s="205"/>
      <c r="L1839" s="7"/>
    </row>
    <row r="1840" spans="1:12">
      <c r="A1840" s="19"/>
      <c r="B1840" s="7"/>
      <c r="C1840" s="175"/>
      <c r="D1840" s="175"/>
      <c r="E1840" s="175"/>
      <c r="F1840" s="229"/>
      <c r="G1840" s="229"/>
      <c r="H1840" s="229"/>
      <c r="I1840" s="72"/>
      <c r="J1840" s="185"/>
      <c r="K1840" s="205"/>
      <c r="L1840" s="7"/>
    </row>
    <row r="1841" spans="1:12">
      <c r="A1841" s="19"/>
      <c r="B1841" s="7"/>
      <c r="C1841" s="175"/>
      <c r="D1841" s="175"/>
      <c r="E1841" s="175"/>
      <c r="F1841" s="229"/>
      <c r="G1841" s="229"/>
      <c r="H1841" s="229"/>
      <c r="I1841" s="72"/>
      <c r="J1841" s="185"/>
      <c r="K1841" s="205"/>
      <c r="L1841" s="7"/>
    </row>
    <row r="1842" spans="1:12">
      <c r="A1842" s="19"/>
      <c r="B1842" s="7"/>
      <c r="C1842" s="175"/>
      <c r="D1842" s="175"/>
      <c r="E1842" s="175"/>
      <c r="F1842" s="229"/>
      <c r="G1842" s="229"/>
      <c r="H1842" s="229"/>
      <c r="I1842" s="72"/>
      <c r="J1842" s="185"/>
      <c r="K1842" s="205"/>
      <c r="L1842" s="7"/>
    </row>
    <row r="1843" spans="1:12">
      <c r="A1843" s="19"/>
      <c r="B1843" s="7"/>
      <c r="C1843" s="175"/>
      <c r="D1843" s="175"/>
      <c r="E1843" s="175"/>
      <c r="F1843" s="229"/>
      <c r="G1843" s="229"/>
      <c r="H1843" s="229"/>
      <c r="I1843" s="72"/>
      <c r="J1843" s="185"/>
      <c r="K1843" s="205"/>
      <c r="L1843" s="7"/>
    </row>
    <row r="1844" spans="1:12">
      <c r="A1844" s="19"/>
      <c r="B1844" s="7"/>
      <c r="C1844" s="175"/>
      <c r="D1844" s="175"/>
      <c r="E1844" s="175"/>
      <c r="F1844" s="229"/>
      <c r="G1844" s="229"/>
      <c r="H1844" s="229"/>
      <c r="I1844" s="72"/>
      <c r="J1844" s="185"/>
      <c r="K1844" s="205"/>
      <c r="L1844" s="7"/>
    </row>
    <row r="1845" spans="1:12">
      <c r="A1845" s="19"/>
      <c r="B1845" s="7"/>
      <c r="C1845" s="175"/>
      <c r="D1845" s="175"/>
      <c r="E1845" s="175"/>
      <c r="F1845" s="229"/>
      <c r="G1845" s="229"/>
      <c r="H1845" s="229"/>
      <c r="I1845" s="72"/>
      <c r="J1845" s="185"/>
      <c r="K1845" s="205"/>
      <c r="L1845" s="7"/>
    </row>
    <row r="1846" spans="1:12">
      <c r="A1846" s="19"/>
      <c r="B1846" s="7"/>
      <c r="C1846" s="175"/>
      <c r="D1846" s="175"/>
      <c r="E1846" s="175"/>
      <c r="F1846" s="229"/>
      <c r="G1846" s="229"/>
      <c r="H1846" s="229"/>
      <c r="I1846" s="72"/>
      <c r="J1846" s="185"/>
      <c r="K1846" s="205"/>
      <c r="L1846" s="7"/>
    </row>
    <row r="1847" spans="1:12">
      <c r="A1847" s="19"/>
      <c r="B1847" s="7"/>
      <c r="C1847" s="175"/>
      <c r="D1847" s="175"/>
      <c r="E1847" s="175"/>
      <c r="F1847" s="229"/>
      <c r="G1847" s="229"/>
      <c r="H1847" s="229"/>
      <c r="I1847" s="72"/>
      <c r="J1847" s="185"/>
      <c r="K1847" s="205"/>
      <c r="L1847" s="7"/>
    </row>
    <row r="1848" spans="1:12">
      <c r="A1848" s="19"/>
      <c r="B1848" s="7"/>
      <c r="C1848" s="175"/>
      <c r="D1848" s="175"/>
      <c r="E1848" s="175"/>
      <c r="F1848" s="229"/>
      <c r="G1848" s="229"/>
      <c r="H1848" s="229"/>
      <c r="I1848" s="72"/>
      <c r="J1848" s="185"/>
      <c r="K1848" s="205"/>
      <c r="L1848" s="7"/>
    </row>
    <row r="1849" spans="1:12">
      <c r="A1849" s="19"/>
      <c r="B1849" s="7"/>
      <c r="C1849" s="175"/>
      <c r="D1849" s="175"/>
      <c r="E1849" s="175"/>
      <c r="F1849" s="229"/>
      <c r="G1849" s="229"/>
      <c r="H1849" s="229"/>
      <c r="I1849" s="72"/>
      <c r="J1849" s="185"/>
      <c r="K1849" s="205"/>
      <c r="L1849" s="7"/>
    </row>
    <row r="1850" spans="1:12">
      <c r="A1850" s="19"/>
      <c r="B1850" s="7"/>
      <c r="C1850" s="175"/>
      <c r="D1850" s="175"/>
      <c r="E1850" s="175"/>
      <c r="F1850" s="229"/>
      <c r="G1850" s="229"/>
      <c r="H1850" s="229"/>
      <c r="I1850" s="72"/>
      <c r="J1850" s="185"/>
      <c r="K1850" s="205"/>
      <c r="L1850" s="7"/>
    </row>
    <row r="1851" spans="1:12">
      <c r="A1851" s="19"/>
      <c r="B1851" s="7"/>
      <c r="C1851" s="175"/>
      <c r="D1851" s="175"/>
      <c r="E1851" s="175"/>
      <c r="F1851" s="229"/>
      <c r="G1851" s="229"/>
      <c r="H1851" s="229"/>
      <c r="I1851" s="72"/>
      <c r="J1851" s="185"/>
      <c r="K1851" s="205"/>
      <c r="L1851" s="7"/>
    </row>
    <row r="1852" spans="1:12">
      <c r="A1852" s="20"/>
      <c r="B1852" s="21"/>
      <c r="C1852" s="175"/>
      <c r="D1852" s="175"/>
      <c r="E1852" s="175"/>
      <c r="F1852" s="232"/>
      <c r="G1852" s="232"/>
      <c r="H1852" s="232"/>
      <c r="I1852" s="63"/>
      <c r="J1852" s="190"/>
      <c r="K1852" s="206"/>
      <c r="L1852" s="7"/>
    </row>
    <row r="1853" spans="1:12">
      <c r="A1853" s="19"/>
      <c r="B1853" s="7"/>
      <c r="C1853" s="175"/>
      <c r="D1853" s="175"/>
      <c r="E1853" s="175"/>
      <c r="F1853" s="229"/>
      <c r="G1853" s="229"/>
      <c r="H1853" s="229"/>
      <c r="I1853" s="72"/>
      <c r="J1853" s="185"/>
      <c r="K1853" s="205"/>
      <c r="L1853" s="7"/>
    </row>
    <row r="1854" spans="1:12">
      <c r="A1854" s="19"/>
      <c r="B1854" s="7"/>
      <c r="C1854" s="175"/>
      <c r="D1854" s="175"/>
      <c r="E1854" s="175"/>
      <c r="F1854" s="229"/>
      <c r="G1854" s="229"/>
      <c r="H1854" s="229"/>
      <c r="I1854" s="72"/>
      <c r="J1854" s="185"/>
      <c r="K1854" s="205"/>
      <c r="L1854" s="7"/>
    </row>
    <row r="1855" spans="1:12">
      <c r="A1855" s="20"/>
      <c r="B1855" s="21"/>
      <c r="C1855" s="175"/>
      <c r="D1855" s="175"/>
      <c r="E1855" s="175"/>
      <c r="F1855" s="232"/>
      <c r="G1855" s="232"/>
      <c r="H1855" s="232"/>
      <c r="I1855" s="63"/>
      <c r="J1855" s="190"/>
      <c r="K1855" s="206"/>
      <c r="L1855" s="7"/>
    </row>
    <row r="1856" spans="1:12">
      <c r="A1856" s="19"/>
      <c r="B1856" s="7"/>
      <c r="C1856" s="175"/>
      <c r="D1856" s="175"/>
      <c r="E1856" s="175"/>
      <c r="F1856" s="229"/>
      <c r="G1856" s="229"/>
      <c r="H1856" s="229"/>
      <c r="I1856" s="72"/>
      <c r="J1856" s="185"/>
      <c r="K1856" s="205"/>
      <c r="L1856" s="7"/>
    </row>
    <row r="1857" spans="1:12">
      <c r="A1857" s="20"/>
      <c r="B1857" s="21"/>
      <c r="C1857" s="175"/>
      <c r="D1857" s="175"/>
      <c r="E1857" s="175"/>
      <c r="F1857" s="232"/>
      <c r="G1857" s="232"/>
      <c r="H1857" s="232"/>
      <c r="I1857" s="63"/>
      <c r="J1857" s="190"/>
      <c r="K1857" s="206"/>
      <c r="L1857" s="7"/>
    </row>
    <row r="1858" spans="1:12">
      <c r="A1858" s="20"/>
      <c r="B1858" s="21"/>
      <c r="C1858" s="175"/>
      <c r="D1858" s="175"/>
      <c r="E1858" s="175"/>
      <c r="F1858" s="232"/>
      <c r="G1858" s="232"/>
      <c r="H1858" s="232"/>
      <c r="I1858" s="63"/>
      <c r="J1858" s="190"/>
      <c r="K1858" s="206"/>
      <c r="L1858" s="7"/>
    </row>
    <row r="1859" spans="1:12">
      <c r="A1859" s="20"/>
      <c r="B1859" s="21"/>
      <c r="C1859" s="175"/>
      <c r="D1859" s="175"/>
      <c r="E1859" s="175"/>
      <c r="F1859" s="232"/>
      <c r="G1859" s="232"/>
      <c r="H1859" s="232"/>
      <c r="I1859" s="63"/>
      <c r="J1859" s="190"/>
      <c r="K1859" s="206"/>
      <c r="L1859" s="7"/>
    </row>
    <row r="1860" spans="1:12">
      <c r="A1860" s="19"/>
      <c r="B1860" s="7"/>
      <c r="C1860" s="175"/>
      <c r="D1860" s="175"/>
      <c r="E1860" s="175"/>
      <c r="F1860" s="229"/>
      <c r="G1860" s="229"/>
      <c r="H1860" s="229"/>
      <c r="I1860" s="72"/>
      <c r="J1860" s="185"/>
      <c r="K1860" s="205"/>
      <c r="L1860" s="7"/>
    </row>
    <row r="1861" spans="1:12">
      <c r="A1861" s="19"/>
      <c r="B1861" s="7"/>
      <c r="C1861" s="175"/>
      <c r="D1861" s="175"/>
      <c r="E1861" s="175"/>
      <c r="F1861" s="229"/>
      <c r="G1861" s="229"/>
      <c r="H1861" s="229"/>
      <c r="I1861" s="72"/>
      <c r="J1861" s="185"/>
      <c r="K1861" s="205"/>
      <c r="L1861" s="7"/>
    </row>
    <row r="1862" spans="1:12">
      <c r="A1862" s="19"/>
      <c r="B1862" s="7"/>
      <c r="C1862" s="175"/>
      <c r="D1862" s="175"/>
      <c r="E1862" s="175"/>
      <c r="F1862" s="229"/>
      <c r="G1862" s="229"/>
      <c r="H1862" s="229"/>
      <c r="I1862" s="72"/>
      <c r="J1862" s="185"/>
      <c r="K1862" s="205"/>
      <c r="L1862" s="7"/>
    </row>
    <row r="1863" spans="1:12">
      <c r="A1863" s="19"/>
      <c r="B1863" s="7"/>
      <c r="C1863" s="175"/>
      <c r="D1863" s="175"/>
      <c r="E1863" s="175"/>
      <c r="F1863" s="229"/>
      <c r="G1863" s="229"/>
      <c r="H1863" s="229"/>
      <c r="I1863" s="72"/>
      <c r="J1863" s="185"/>
      <c r="K1863" s="205"/>
      <c r="L1863" s="7"/>
    </row>
    <row r="1864" spans="1:12">
      <c r="A1864" s="19"/>
      <c r="B1864" s="7"/>
      <c r="C1864" s="175"/>
      <c r="D1864" s="175"/>
      <c r="E1864" s="175"/>
      <c r="F1864" s="229"/>
      <c r="G1864" s="229"/>
      <c r="H1864" s="229"/>
      <c r="I1864" s="72"/>
      <c r="J1864" s="185"/>
      <c r="K1864" s="205"/>
      <c r="L1864" s="7"/>
    </row>
    <row r="1865" spans="1:12">
      <c r="A1865" s="19"/>
      <c r="B1865" s="7"/>
      <c r="C1865" s="175"/>
      <c r="D1865" s="175"/>
      <c r="E1865" s="175"/>
      <c r="F1865" s="229"/>
      <c r="G1865" s="229"/>
      <c r="H1865" s="229"/>
      <c r="I1865" s="72"/>
      <c r="J1865" s="185"/>
      <c r="K1865" s="205"/>
      <c r="L1865" s="7"/>
    </row>
    <row r="1866" spans="1:12">
      <c r="A1866" s="19"/>
      <c r="B1866" s="7"/>
      <c r="C1866" s="175"/>
      <c r="D1866" s="175"/>
      <c r="E1866" s="175"/>
      <c r="F1866" s="229"/>
      <c r="G1866" s="229"/>
      <c r="H1866" s="229"/>
      <c r="I1866" s="72"/>
      <c r="J1866" s="185"/>
      <c r="K1866" s="205"/>
      <c r="L1866" s="7"/>
    </row>
    <row r="1867" spans="1:12">
      <c r="A1867" s="19"/>
      <c r="B1867" s="7"/>
      <c r="C1867" s="175"/>
      <c r="D1867" s="175"/>
      <c r="E1867" s="175"/>
      <c r="F1867" s="229"/>
      <c r="G1867" s="229"/>
      <c r="H1867" s="229"/>
      <c r="I1867" s="72"/>
      <c r="J1867" s="185"/>
      <c r="K1867" s="205"/>
      <c r="L1867" s="7"/>
    </row>
    <row r="1868" spans="1:12">
      <c r="A1868" s="19"/>
      <c r="B1868" s="7"/>
      <c r="C1868" s="175"/>
      <c r="D1868" s="175"/>
      <c r="E1868" s="175"/>
      <c r="F1868" s="229"/>
      <c r="G1868" s="229"/>
      <c r="H1868" s="229"/>
      <c r="I1868" s="72"/>
      <c r="J1868" s="185"/>
      <c r="K1868" s="205"/>
      <c r="L1868" s="7"/>
    </row>
    <row r="1869" spans="1:12">
      <c r="A1869" s="19"/>
      <c r="B1869" s="7"/>
      <c r="C1869" s="175"/>
      <c r="D1869" s="175"/>
      <c r="E1869" s="175"/>
      <c r="F1869" s="229"/>
      <c r="G1869" s="229"/>
      <c r="H1869" s="229"/>
      <c r="I1869" s="72"/>
      <c r="J1869" s="185"/>
      <c r="K1869" s="205"/>
      <c r="L1869" s="7"/>
    </row>
    <row r="1870" spans="1:12">
      <c r="A1870" s="19"/>
      <c r="B1870" s="7"/>
      <c r="C1870" s="175"/>
      <c r="D1870" s="175"/>
      <c r="E1870" s="175"/>
      <c r="F1870" s="229"/>
      <c r="G1870" s="229"/>
      <c r="H1870" s="229"/>
      <c r="I1870" s="72"/>
      <c r="J1870" s="185"/>
      <c r="K1870" s="205"/>
      <c r="L1870" s="7"/>
    </row>
    <row r="1871" spans="1:12">
      <c r="A1871" s="19"/>
      <c r="B1871" s="7"/>
      <c r="C1871" s="175"/>
      <c r="D1871" s="175"/>
      <c r="E1871" s="175"/>
      <c r="F1871" s="229"/>
      <c r="G1871" s="229"/>
      <c r="H1871" s="229"/>
      <c r="I1871" s="72"/>
      <c r="J1871" s="185"/>
      <c r="K1871" s="205"/>
      <c r="L1871" s="7"/>
    </row>
    <row r="1872" spans="1:12">
      <c r="A1872" s="19"/>
      <c r="B1872" s="7"/>
      <c r="C1872" s="175"/>
      <c r="D1872" s="175"/>
      <c r="E1872" s="175"/>
      <c r="F1872" s="229"/>
      <c r="G1872" s="229"/>
      <c r="H1872" s="229"/>
      <c r="I1872" s="72"/>
      <c r="J1872" s="185"/>
      <c r="K1872" s="205"/>
      <c r="L1872" s="7"/>
    </row>
    <row r="1873" spans="1:12">
      <c r="A1873" s="20"/>
      <c r="B1873" s="21"/>
      <c r="C1873" s="175"/>
      <c r="D1873" s="175"/>
      <c r="E1873" s="175"/>
      <c r="F1873" s="232"/>
      <c r="G1873" s="232"/>
      <c r="H1873" s="232"/>
      <c r="I1873" s="63"/>
      <c r="J1873" s="190"/>
      <c r="K1873" s="206"/>
      <c r="L1873" s="7"/>
    </row>
    <row r="1874" spans="1:12">
      <c r="A1874" s="20"/>
      <c r="B1874" s="21"/>
      <c r="C1874" s="175"/>
      <c r="D1874" s="175"/>
      <c r="E1874" s="175"/>
      <c r="F1874" s="232"/>
      <c r="G1874" s="232"/>
      <c r="H1874" s="232"/>
      <c r="I1874" s="63"/>
      <c r="J1874" s="190"/>
      <c r="K1874" s="206"/>
      <c r="L1874" s="7"/>
    </row>
    <row r="1875" spans="1:12">
      <c r="A1875" s="20"/>
      <c r="B1875" s="21"/>
      <c r="C1875" s="175"/>
      <c r="D1875" s="175"/>
      <c r="E1875" s="175"/>
      <c r="F1875" s="232"/>
      <c r="G1875" s="232"/>
      <c r="H1875" s="232"/>
      <c r="I1875" s="63"/>
      <c r="J1875" s="190"/>
      <c r="K1875" s="206"/>
      <c r="L1875" s="7"/>
    </row>
    <row r="1876" spans="1:12">
      <c r="A1876" s="19"/>
      <c r="B1876" s="7"/>
      <c r="C1876" s="175"/>
      <c r="D1876" s="175"/>
      <c r="E1876" s="175"/>
      <c r="F1876" s="229"/>
      <c r="G1876" s="229"/>
      <c r="H1876" s="229"/>
      <c r="I1876" s="72"/>
      <c r="J1876" s="185"/>
      <c r="K1876" s="205"/>
      <c r="L1876" s="7"/>
    </row>
    <row r="1877" spans="1:12">
      <c r="A1877" s="20"/>
      <c r="B1877" s="21"/>
      <c r="C1877" s="175"/>
      <c r="D1877" s="175"/>
      <c r="E1877" s="175"/>
      <c r="F1877" s="232"/>
      <c r="G1877" s="232"/>
      <c r="H1877" s="232"/>
      <c r="I1877" s="63"/>
      <c r="J1877" s="190"/>
      <c r="K1877" s="206"/>
      <c r="L1877" s="7"/>
    </row>
    <row r="1878" spans="1:12">
      <c r="A1878" s="19"/>
      <c r="B1878" s="7"/>
      <c r="C1878" s="175"/>
      <c r="D1878" s="175"/>
      <c r="E1878" s="175"/>
      <c r="F1878" s="229"/>
      <c r="G1878" s="229"/>
      <c r="H1878" s="229"/>
      <c r="I1878" s="72"/>
      <c r="J1878" s="185"/>
      <c r="K1878" s="205"/>
      <c r="L1878" s="7"/>
    </row>
    <row r="1879" spans="1:12">
      <c r="A1879" s="20"/>
      <c r="B1879" s="21"/>
      <c r="C1879" s="175"/>
      <c r="D1879" s="175"/>
      <c r="E1879" s="175"/>
      <c r="F1879" s="232"/>
      <c r="G1879" s="232"/>
      <c r="H1879" s="232"/>
      <c r="I1879" s="63"/>
      <c r="J1879" s="190"/>
      <c r="K1879" s="206"/>
      <c r="L1879" s="7"/>
    </row>
    <row r="1880" spans="1:12">
      <c r="A1880" s="20"/>
      <c r="B1880" s="21"/>
      <c r="C1880" s="175"/>
      <c r="D1880" s="175"/>
      <c r="E1880" s="175"/>
      <c r="F1880" s="232"/>
      <c r="G1880" s="232"/>
      <c r="H1880" s="232"/>
      <c r="I1880" s="63"/>
      <c r="J1880" s="190"/>
      <c r="K1880" s="206"/>
      <c r="L1880" s="7"/>
    </row>
    <row r="1881" spans="1:12">
      <c r="A1881" s="19"/>
      <c r="B1881" s="7"/>
      <c r="C1881" s="175"/>
      <c r="D1881" s="175"/>
      <c r="E1881" s="175"/>
      <c r="F1881" s="229"/>
      <c r="G1881" s="229"/>
      <c r="H1881" s="229"/>
      <c r="I1881" s="72"/>
      <c r="J1881" s="185"/>
      <c r="K1881" s="205"/>
      <c r="L1881" s="7"/>
    </row>
    <row r="1882" spans="1:12">
      <c r="A1882" s="19"/>
      <c r="B1882" s="7"/>
      <c r="C1882" s="175"/>
      <c r="D1882" s="175"/>
      <c r="E1882" s="175"/>
      <c r="F1882" s="229"/>
      <c r="G1882" s="229"/>
      <c r="H1882" s="229"/>
      <c r="I1882" s="72"/>
      <c r="J1882" s="185"/>
      <c r="K1882" s="205"/>
      <c r="L1882" s="7"/>
    </row>
    <row r="1883" spans="1:12">
      <c r="A1883" s="19"/>
      <c r="B1883" s="7"/>
      <c r="C1883" s="175"/>
      <c r="D1883" s="175"/>
      <c r="E1883" s="175"/>
      <c r="F1883" s="229"/>
      <c r="G1883" s="229"/>
      <c r="H1883" s="229"/>
      <c r="I1883" s="72"/>
      <c r="J1883" s="185"/>
      <c r="K1883" s="205"/>
      <c r="L1883" s="7"/>
    </row>
    <row r="1884" spans="1:12">
      <c r="A1884" s="19"/>
      <c r="B1884" s="7"/>
      <c r="C1884" s="175"/>
      <c r="D1884" s="175"/>
      <c r="E1884" s="175"/>
      <c r="F1884" s="229"/>
      <c r="G1884" s="229"/>
      <c r="H1884" s="229"/>
      <c r="I1884" s="72"/>
      <c r="J1884" s="185"/>
      <c r="K1884" s="205"/>
      <c r="L1884" s="7"/>
    </row>
    <row r="1885" spans="1:12">
      <c r="A1885" s="19"/>
      <c r="B1885" s="7"/>
      <c r="C1885" s="175"/>
      <c r="D1885" s="175"/>
      <c r="E1885" s="175"/>
      <c r="F1885" s="229"/>
      <c r="G1885" s="229"/>
      <c r="H1885" s="229"/>
      <c r="I1885" s="72"/>
      <c r="J1885" s="185"/>
      <c r="K1885" s="205"/>
      <c r="L1885" s="7"/>
    </row>
    <row r="1886" spans="1:12">
      <c r="A1886" s="19"/>
      <c r="B1886" s="7"/>
      <c r="C1886" s="175"/>
      <c r="D1886" s="175"/>
      <c r="E1886" s="175"/>
      <c r="F1886" s="229"/>
      <c r="G1886" s="229"/>
      <c r="H1886" s="229"/>
      <c r="I1886" s="72"/>
      <c r="J1886" s="185"/>
      <c r="K1886" s="205"/>
      <c r="L1886" s="7"/>
    </row>
    <row r="1887" spans="1:12">
      <c r="A1887" s="19"/>
      <c r="B1887" s="7"/>
      <c r="C1887" s="175"/>
      <c r="D1887" s="175"/>
      <c r="E1887" s="175"/>
      <c r="F1887" s="229"/>
      <c r="G1887" s="229"/>
      <c r="H1887" s="229"/>
      <c r="I1887" s="72"/>
      <c r="J1887" s="185"/>
      <c r="K1887" s="205"/>
      <c r="L1887" s="7"/>
    </row>
    <row r="1888" spans="1:12">
      <c r="A1888" s="19"/>
      <c r="B1888" s="7"/>
      <c r="C1888" s="175"/>
      <c r="D1888" s="175"/>
      <c r="E1888" s="175"/>
      <c r="F1888" s="229"/>
      <c r="G1888" s="229"/>
      <c r="H1888" s="229"/>
      <c r="I1888" s="72"/>
      <c r="J1888" s="185"/>
      <c r="K1888" s="205"/>
      <c r="L1888" s="7"/>
    </row>
    <row r="1889" spans="1:12">
      <c r="A1889" s="19"/>
      <c r="B1889" s="7"/>
      <c r="C1889" s="175"/>
      <c r="D1889" s="175"/>
      <c r="E1889" s="175"/>
      <c r="F1889" s="229"/>
      <c r="G1889" s="229"/>
      <c r="H1889" s="229"/>
      <c r="I1889" s="72"/>
      <c r="J1889" s="185"/>
      <c r="K1889" s="205"/>
      <c r="L1889" s="7"/>
    </row>
    <row r="1890" spans="1:12">
      <c r="A1890" s="19"/>
      <c r="B1890" s="7"/>
      <c r="C1890" s="175"/>
      <c r="D1890" s="175"/>
      <c r="E1890" s="175"/>
      <c r="F1890" s="229"/>
      <c r="G1890" s="229"/>
      <c r="H1890" s="229"/>
      <c r="I1890" s="72"/>
      <c r="J1890" s="185"/>
      <c r="K1890" s="205"/>
      <c r="L1890" s="7"/>
    </row>
    <row r="1891" spans="1:12">
      <c r="A1891" s="19"/>
      <c r="B1891" s="7"/>
      <c r="C1891" s="175"/>
      <c r="D1891" s="175"/>
      <c r="E1891" s="175"/>
      <c r="F1891" s="229"/>
      <c r="G1891" s="229"/>
      <c r="H1891" s="229"/>
      <c r="I1891" s="72"/>
      <c r="J1891" s="185"/>
      <c r="K1891" s="205"/>
      <c r="L1891" s="7"/>
    </row>
    <row r="1892" spans="1:12">
      <c r="A1892" s="19"/>
      <c r="B1892" s="7"/>
      <c r="C1892" s="175"/>
      <c r="D1892" s="175"/>
      <c r="E1892" s="175"/>
      <c r="F1892" s="229"/>
      <c r="G1892" s="229"/>
      <c r="H1892" s="229"/>
      <c r="I1892" s="72"/>
      <c r="J1892" s="185"/>
      <c r="K1892" s="205"/>
      <c r="L1892" s="7"/>
    </row>
    <row r="1893" spans="1:12">
      <c r="A1893" s="19"/>
      <c r="B1893" s="7"/>
      <c r="C1893" s="175"/>
      <c r="D1893" s="175"/>
      <c r="E1893" s="175"/>
      <c r="F1893" s="229"/>
      <c r="G1893" s="229"/>
      <c r="H1893" s="229"/>
      <c r="I1893" s="72"/>
      <c r="J1893" s="185"/>
      <c r="K1893" s="205"/>
      <c r="L1893" s="7"/>
    </row>
    <row r="1894" spans="1:12">
      <c r="A1894" s="19"/>
      <c r="B1894" s="7"/>
      <c r="C1894" s="175"/>
      <c r="D1894" s="175"/>
      <c r="E1894" s="175"/>
      <c r="F1894" s="229"/>
      <c r="G1894" s="229"/>
      <c r="H1894" s="229"/>
      <c r="I1894" s="72"/>
      <c r="J1894" s="185"/>
      <c r="K1894" s="205"/>
      <c r="L1894" s="7"/>
    </row>
    <row r="1895" spans="1:12">
      <c r="A1895" s="19"/>
      <c r="B1895" s="7"/>
      <c r="C1895" s="175"/>
      <c r="D1895" s="175"/>
      <c r="E1895" s="175"/>
      <c r="F1895" s="229"/>
      <c r="G1895" s="229"/>
      <c r="H1895" s="229"/>
      <c r="I1895" s="72"/>
      <c r="J1895" s="185"/>
      <c r="K1895" s="205"/>
      <c r="L1895" s="7"/>
    </row>
    <row r="1896" spans="1:12">
      <c r="A1896" s="19"/>
      <c r="B1896" s="7"/>
      <c r="C1896" s="175"/>
      <c r="D1896" s="175"/>
      <c r="E1896" s="175"/>
      <c r="F1896" s="229"/>
      <c r="G1896" s="229"/>
      <c r="H1896" s="229"/>
      <c r="I1896" s="72"/>
      <c r="J1896" s="185"/>
      <c r="K1896" s="205"/>
      <c r="L1896" s="7"/>
    </row>
    <row r="1897" spans="1:12">
      <c r="A1897" s="19"/>
      <c r="B1897" s="7"/>
      <c r="C1897" s="175"/>
      <c r="D1897" s="175"/>
      <c r="E1897" s="175"/>
      <c r="F1897" s="229"/>
      <c r="G1897" s="229"/>
      <c r="H1897" s="229"/>
      <c r="I1897" s="72"/>
      <c r="J1897" s="185"/>
      <c r="K1897" s="205"/>
      <c r="L1897" s="7"/>
    </row>
    <row r="1898" spans="1:12">
      <c r="A1898" s="19"/>
      <c r="B1898" s="7"/>
      <c r="C1898" s="175"/>
      <c r="D1898" s="175"/>
      <c r="E1898" s="175"/>
      <c r="F1898" s="229"/>
      <c r="G1898" s="229"/>
      <c r="H1898" s="229"/>
      <c r="I1898" s="72"/>
      <c r="J1898" s="185"/>
      <c r="K1898" s="205"/>
      <c r="L1898" s="7"/>
    </row>
    <row r="1899" spans="1:12">
      <c r="A1899" s="19"/>
      <c r="B1899" s="7"/>
      <c r="C1899" s="175"/>
      <c r="D1899" s="175"/>
      <c r="E1899" s="175"/>
      <c r="F1899" s="229"/>
      <c r="G1899" s="229"/>
      <c r="H1899" s="229"/>
      <c r="I1899" s="72"/>
      <c r="J1899" s="185"/>
      <c r="K1899" s="205"/>
      <c r="L1899" s="7"/>
    </row>
    <row r="1900" spans="1:12">
      <c r="A1900" s="19"/>
      <c r="B1900" s="7"/>
      <c r="C1900" s="175"/>
      <c r="D1900" s="175"/>
      <c r="E1900" s="175"/>
      <c r="F1900" s="229"/>
      <c r="G1900" s="229"/>
      <c r="H1900" s="229"/>
      <c r="I1900" s="72"/>
      <c r="J1900" s="185"/>
      <c r="K1900" s="205"/>
      <c r="L1900" s="7"/>
    </row>
    <row r="1901" spans="1:12">
      <c r="A1901" s="19"/>
      <c r="B1901" s="7"/>
      <c r="C1901" s="175"/>
      <c r="D1901" s="175"/>
      <c r="E1901" s="175"/>
      <c r="F1901" s="229"/>
      <c r="G1901" s="229"/>
      <c r="H1901" s="229"/>
      <c r="I1901" s="72"/>
      <c r="J1901" s="185"/>
      <c r="K1901" s="205"/>
      <c r="L1901" s="7"/>
    </row>
    <row r="1902" spans="1:12">
      <c r="A1902" s="19"/>
      <c r="B1902" s="7"/>
      <c r="C1902" s="175"/>
      <c r="D1902" s="175"/>
      <c r="E1902" s="175"/>
      <c r="F1902" s="229"/>
      <c r="G1902" s="229"/>
      <c r="H1902" s="229"/>
      <c r="I1902" s="72"/>
      <c r="J1902" s="185"/>
      <c r="K1902" s="205"/>
      <c r="L1902" s="7"/>
    </row>
    <row r="1903" spans="1:12">
      <c r="A1903" s="19"/>
      <c r="B1903" s="7"/>
      <c r="C1903" s="175"/>
      <c r="D1903" s="175"/>
      <c r="E1903" s="175"/>
      <c r="F1903" s="229"/>
      <c r="G1903" s="229"/>
      <c r="H1903" s="229"/>
      <c r="I1903" s="72"/>
      <c r="J1903" s="185"/>
      <c r="K1903" s="205"/>
      <c r="L1903" s="7"/>
    </row>
    <row r="1904" spans="1:12">
      <c r="A1904" s="19"/>
      <c r="B1904" s="7"/>
      <c r="C1904" s="175"/>
      <c r="D1904" s="175"/>
      <c r="E1904" s="175"/>
      <c r="F1904" s="229"/>
      <c r="G1904" s="229"/>
      <c r="H1904" s="229"/>
      <c r="I1904" s="72"/>
      <c r="J1904" s="185"/>
      <c r="K1904" s="205"/>
      <c r="L1904" s="7"/>
    </row>
    <row r="1905" spans="1:12">
      <c r="A1905" s="19"/>
      <c r="B1905" s="7"/>
      <c r="C1905" s="175"/>
      <c r="D1905" s="175"/>
      <c r="E1905" s="175"/>
      <c r="F1905" s="229"/>
      <c r="G1905" s="229"/>
      <c r="H1905" s="229"/>
      <c r="I1905" s="72"/>
      <c r="J1905" s="185"/>
      <c r="K1905" s="205"/>
      <c r="L1905" s="7"/>
    </row>
    <row r="1906" spans="1:12">
      <c r="A1906" s="19"/>
      <c r="B1906" s="7"/>
      <c r="C1906" s="175"/>
      <c r="D1906" s="175"/>
      <c r="E1906" s="175"/>
      <c r="F1906" s="229"/>
      <c r="G1906" s="229"/>
      <c r="H1906" s="229"/>
      <c r="I1906" s="72"/>
      <c r="J1906" s="185"/>
      <c r="K1906" s="205"/>
      <c r="L1906" s="7"/>
    </row>
    <row r="1907" spans="1:12">
      <c r="A1907" s="19"/>
      <c r="B1907" s="7"/>
      <c r="C1907" s="175"/>
      <c r="D1907" s="175"/>
      <c r="E1907" s="175"/>
      <c r="F1907" s="229"/>
      <c r="G1907" s="229"/>
      <c r="H1907" s="229"/>
      <c r="I1907" s="72"/>
      <c r="J1907" s="185"/>
      <c r="K1907" s="205"/>
      <c r="L1907" s="7"/>
    </row>
    <row r="1908" spans="1:12">
      <c r="A1908" s="19"/>
      <c r="B1908" s="7"/>
      <c r="C1908" s="175"/>
      <c r="D1908" s="175"/>
      <c r="E1908" s="175"/>
      <c r="F1908" s="229"/>
      <c r="G1908" s="229"/>
      <c r="H1908" s="229"/>
      <c r="I1908" s="72"/>
      <c r="J1908" s="185"/>
      <c r="K1908" s="205"/>
      <c r="L1908" s="7"/>
    </row>
    <row r="1909" spans="1:12">
      <c r="A1909" s="19"/>
      <c r="B1909" s="7"/>
      <c r="C1909" s="175"/>
      <c r="D1909" s="175"/>
      <c r="E1909" s="175"/>
      <c r="F1909" s="229"/>
      <c r="G1909" s="229"/>
      <c r="H1909" s="229"/>
      <c r="I1909" s="72"/>
      <c r="J1909" s="185"/>
      <c r="K1909" s="205"/>
      <c r="L1909" s="7"/>
    </row>
    <row r="1910" spans="1:12">
      <c r="A1910" s="19"/>
      <c r="B1910" s="7"/>
      <c r="C1910" s="175"/>
      <c r="D1910" s="175"/>
      <c r="E1910" s="175"/>
      <c r="F1910" s="229"/>
      <c r="G1910" s="229"/>
      <c r="H1910" s="229"/>
      <c r="I1910" s="72"/>
      <c r="J1910" s="185"/>
      <c r="K1910" s="205"/>
      <c r="L1910" s="7"/>
    </row>
    <row r="1911" spans="1:12">
      <c r="A1911" s="19"/>
      <c r="B1911" s="7"/>
      <c r="C1911" s="175"/>
      <c r="D1911" s="175"/>
      <c r="E1911" s="175"/>
      <c r="F1911" s="229"/>
      <c r="G1911" s="229"/>
      <c r="H1911" s="229"/>
      <c r="I1911" s="72"/>
      <c r="J1911" s="185"/>
      <c r="K1911" s="205"/>
      <c r="L1911" s="7"/>
    </row>
    <row r="1912" spans="1:12">
      <c r="A1912" s="19"/>
      <c r="B1912" s="7"/>
      <c r="C1912" s="175"/>
      <c r="D1912" s="175"/>
      <c r="E1912" s="175"/>
      <c r="F1912" s="229"/>
      <c r="G1912" s="229"/>
      <c r="H1912" s="229"/>
      <c r="I1912" s="72"/>
      <c r="J1912" s="185"/>
      <c r="K1912" s="205"/>
      <c r="L1912" s="7"/>
    </row>
    <row r="1913" spans="1:12">
      <c r="A1913" s="19"/>
      <c r="B1913" s="7"/>
      <c r="C1913" s="175"/>
      <c r="D1913" s="175"/>
      <c r="E1913" s="175"/>
      <c r="F1913" s="229"/>
      <c r="G1913" s="229"/>
      <c r="H1913" s="229"/>
      <c r="I1913" s="72"/>
      <c r="J1913" s="185"/>
      <c r="K1913" s="205"/>
      <c r="L1913" s="7"/>
    </row>
    <row r="1914" spans="1:12">
      <c r="A1914" s="19"/>
      <c r="B1914" s="7"/>
      <c r="C1914" s="175"/>
      <c r="D1914" s="175"/>
      <c r="E1914" s="175"/>
      <c r="F1914" s="229"/>
      <c r="G1914" s="229"/>
      <c r="H1914" s="229"/>
      <c r="I1914" s="72"/>
      <c r="J1914" s="185"/>
      <c r="K1914" s="205"/>
      <c r="L1914" s="7"/>
    </row>
    <row r="1915" spans="1:12">
      <c r="A1915" s="19"/>
      <c r="B1915" s="7"/>
      <c r="C1915" s="175"/>
      <c r="D1915" s="175"/>
      <c r="E1915" s="175"/>
      <c r="F1915" s="229"/>
      <c r="G1915" s="229"/>
      <c r="H1915" s="229"/>
      <c r="I1915" s="72"/>
      <c r="J1915" s="185"/>
      <c r="K1915" s="205"/>
      <c r="L1915" s="7"/>
    </row>
    <row r="1916" spans="1:12">
      <c r="A1916" s="19"/>
      <c r="B1916" s="7"/>
      <c r="C1916" s="175"/>
      <c r="D1916" s="175"/>
      <c r="E1916" s="175"/>
      <c r="F1916" s="229"/>
      <c r="G1916" s="229"/>
      <c r="H1916" s="229"/>
      <c r="I1916" s="72"/>
      <c r="J1916" s="185"/>
      <c r="K1916" s="205"/>
      <c r="L1916" s="7"/>
    </row>
    <row r="1917" spans="1:12">
      <c r="A1917" s="19"/>
      <c r="B1917" s="7"/>
      <c r="C1917" s="175"/>
      <c r="D1917" s="175"/>
      <c r="E1917" s="175"/>
      <c r="F1917" s="229"/>
      <c r="G1917" s="229"/>
      <c r="H1917" s="229"/>
      <c r="I1917" s="72"/>
      <c r="J1917" s="185"/>
      <c r="K1917" s="205"/>
      <c r="L1917" s="7"/>
    </row>
    <row r="1918" spans="1:12">
      <c r="A1918" s="19"/>
      <c r="B1918" s="7"/>
      <c r="C1918" s="175"/>
      <c r="D1918" s="175"/>
      <c r="E1918" s="175"/>
      <c r="F1918" s="229"/>
      <c r="G1918" s="229"/>
      <c r="H1918" s="229"/>
      <c r="I1918" s="72"/>
      <c r="J1918" s="185"/>
      <c r="K1918" s="205"/>
      <c r="L1918" s="7"/>
    </row>
    <row r="1919" spans="1:12">
      <c r="A1919" s="19"/>
      <c r="B1919" s="7"/>
      <c r="C1919" s="175"/>
      <c r="D1919" s="175"/>
      <c r="E1919" s="175"/>
      <c r="F1919" s="229"/>
      <c r="G1919" s="229"/>
      <c r="H1919" s="229"/>
      <c r="I1919" s="72"/>
      <c r="J1919" s="185"/>
      <c r="K1919" s="205"/>
      <c r="L1919" s="7"/>
    </row>
    <row r="1920" spans="1:12">
      <c r="A1920" s="19"/>
      <c r="B1920" s="7"/>
      <c r="C1920" s="175"/>
      <c r="D1920" s="175"/>
      <c r="E1920" s="175"/>
      <c r="F1920" s="229"/>
      <c r="G1920" s="229"/>
      <c r="H1920" s="229"/>
      <c r="I1920" s="76"/>
      <c r="J1920" s="185"/>
      <c r="K1920" s="214"/>
      <c r="L1920" s="7"/>
    </row>
    <row r="1921" spans="1:12">
      <c r="A1921" s="20"/>
      <c r="B1921" s="21"/>
      <c r="C1921" s="175"/>
      <c r="D1921" s="175"/>
      <c r="E1921" s="175"/>
      <c r="F1921" s="232"/>
      <c r="G1921" s="232"/>
      <c r="H1921" s="232"/>
      <c r="I1921" s="63"/>
      <c r="J1921" s="190"/>
      <c r="K1921" s="206"/>
      <c r="L1921" s="7"/>
    </row>
    <row r="1922" spans="1:12">
      <c r="A1922" s="19"/>
      <c r="B1922" s="7"/>
      <c r="C1922" s="175"/>
      <c r="D1922" s="175"/>
      <c r="E1922" s="175"/>
      <c r="F1922" s="229"/>
      <c r="G1922" s="229"/>
      <c r="H1922" s="229"/>
      <c r="I1922" s="72"/>
      <c r="J1922" s="185"/>
      <c r="K1922" s="205"/>
      <c r="L1922" s="7"/>
    </row>
    <row r="1923" spans="1:12">
      <c r="A1923" s="19"/>
      <c r="B1923" s="7"/>
      <c r="C1923" s="175"/>
      <c r="D1923" s="175"/>
      <c r="E1923" s="175"/>
      <c r="F1923" s="229"/>
      <c r="G1923" s="229"/>
      <c r="H1923" s="229"/>
      <c r="I1923" s="72"/>
      <c r="J1923" s="185"/>
      <c r="K1923" s="205"/>
      <c r="L1923" s="7"/>
    </row>
    <row r="1924" spans="1:12">
      <c r="A1924" s="20"/>
      <c r="B1924" s="21"/>
      <c r="C1924" s="175"/>
      <c r="D1924" s="175"/>
      <c r="E1924" s="175"/>
      <c r="F1924" s="232"/>
      <c r="G1924" s="232"/>
      <c r="H1924" s="232"/>
      <c r="I1924" s="63"/>
      <c r="J1924" s="190"/>
      <c r="K1924" s="206"/>
      <c r="L1924" s="7"/>
    </row>
    <row r="1925" spans="1:12">
      <c r="A1925" s="20"/>
      <c r="B1925" s="21"/>
      <c r="C1925" s="175"/>
      <c r="D1925" s="175"/>
      <c r="E1925" s="175"/>
      <c r="F1925" s="232"/>
      <c r="G1925" s="232"/>
      <c r="H1925" s="232"/>
      <c r="I1925" s="63"/>
      <c r="J1925" s="190"/>
      <c r="K1925" s="206"/>
      <c r="L1925" s="7"/>
    </row>
    <row r="1926" spans="1:12">
      <c r="A1926" s="20"/>
      <c r="B1926" s="21"/>
      <c r="C1926" s="175"/>
      <c r="D1926" s="175"/>
      <c r="E1926" s="175"/>
      <c r="F1926" s="232"/>
      <c r="G1926" s="232"/>
      <c r="H1926" s="232"/>
      <c r="I1926" s="63"/>
      <c r="J1926" s="190"/>
      <c r="K1926" s="206"/>
      <c r="L1926" s="7"/>
    </row>
    <row r="1927" spans="1:12">
      <c r="A1927" s="19"/>
      <c r="B1927" s="7"/>
      <c r="C1927" s="175"/>
      <c r="D1927" s="175"/>
      <c r="E1927" s="175"/>
      <c r="F1927" s="229"/>
      <c r="G1927" s="229"/>
      <c r="H1927" s="229"/>
      <c r="I1927" s="72"/>
      <c r="J1927" s="185"/>
      <c r="K1927" s="205"/>
      <c r="L1927" s="7"/>
    </row>
    <row r="1928" spans="1:12">
      <c r="A1928" s="19"/>
      <c r="B1928" s="7"/>
      <c r="C1928" s="175"/>
      <c r="D1928" s="175"/>
      <c r="E1928" s="175"/>
      <c r="F1928" s="229"/>
      <c r="G1928" s="229"/>
      <c r="H1928" s="229"/>
      <c r="I1928" s="72"/>
      <c r="J1928" s="185"/>
      <c r="K1928" s="205"/>
      <c r="L1928" s="7"/>
    </row>
    <row r="1929" spans="1:12">
      <c r="A1929" s="19"/>
      <c r="B1929" s="7"/>
      <c r="C1929" s="175"/>
      <c r="D1929" s="175"/>
      <c r="E1929" s="175"/>
      <c r="F1929" s="229"/>
      <c r="G1929" s="229"/>
      <c r="H1929" s="229"/>
      <c r="I1929" s="72"/>
      <c r="J1929" s="185"/>
      <c r="K1929" s="205"/>
      <c r="L1929" s="7"/>
    </row>
    <row r="1930" spans="1:12">
      <c r="A1930" s="19"/>
      <c r="B1930" s="7"/>
      <c r="C1930" s="175"/>
      <c r="D1930" s="175"/>
      <c r="E1930" s="175"/>
      <c r="F1930" s="229"/>
      <c r="G1930" s="229"/>
      <c r="H1930" s="229"/>
      <c r="I1930" s="72"/>
      <c r="J1930" s="185"/>
      <c r="K1930" s="205"/>
      <c r="L1930" s="7"/>
    </row>
    <row r="1931" spans="1:12">
      <c r="A1931" s="19"/>
      <c r="B1931" s="7"/>
      <c r="C1931" s="175"/>
      <c r="D1931" s="175"/>
      <c r="E1931" s="175"/>
      <c r="F1931" s="229"/>
      <c r="G1931" s="229"/>
      <c r="H1931" s="229"/>
      <c r="I1931" s="72"/>
      <c r="J1931" s="185"/>
      <c r="K1931" s="205"/>
      <c r="L1931" s="7"/>
    </row>
    <row r="1932" spans="1:12">
      <c r="A1932" s="19"/>
      <c r="B1932" s="7"/>
      <c r="C1932" s="175"/>
      <c r="D1932" s="175"/>
      <c r="E1932" s="175"/>
      <c r="F1932" s="229"/>
      <c r="G1932" s="229"/>
      <c r="H1932" s="229"/>
      <c r="I1932" s="72"/>
      <c r="J1932" s="185"/>
      <c r="K1932" s="205"/>
      <c r="L1932" s="7"/>
    </row>
    <row r="1933" spans="1:12">
      <c r="A1933" s="19"/>
      <c r="B1933" s="7"/>
      <c r="C1933" s="175"/>
      <c r="D1933" s="175"/>
      <c r="E1933" s="175"/>
      <c r="F1933" s="229"/>
      <c r="G1933" s="229"/>
      <c r="H1933" s="229"/>
      <c r="I1933" s="72"/>
      <c r="J1933" s="185"/>
      <c r="K1933" s="205"/>
      <c r="L1933" s="7"/>
    </row>
    <row r="1934" spans="1:12">
      <c r="A1934" s="19"/>
      <c r="B1934" s="7"/>
      <c r="C1934" s="175"/>
      <c r="D1934" s="175"/>
      <c r="E1934" s="175"/>
      <c r="F1934" s="229"/>
      <c r="G1934" s="229"/>
      <c r="H1934" s="229"/>
      <c r="I1934" s="72"/>
      <c r="J1934" s="185"/>
      <c r="K1934" s="205"/>
      <c r="L1934" s="7"/>
    </row>
    <row r="1935" spans="1:12">
      <c r="A1935" s="19"/>
      <c r="B1935" s="7"/>
      <c r="C1935" s="175"/>
      <c r="D1935" s="175"/>
      <c r="E1935" s="175"/>
      <c r="F1935" s="229"/>
      <c r="G1935" s="229"/>
      <c r="H1935" s="229"/>
      <c r="I1935" s="72"/>
      <c r="J1935" s="185"/>
      <c r="K1935" s="205"/>
      <c r="L1935" s="7"/>
    </row>
    <row r="1936" spans="1:12">
      <c r="A1936" s="19"/>
      <c r="B1936" s="7"/>
      <c r="C1936" s="175"/>
      <c r="D1936" s="175"/>
      <c r="E1936" s="175"/>
      <c r="F1936" s="229"/>
      <c r="G1936" s="229"/>
      <c r="H1936" s="229"/>
      <c r="I1936" s="72"/>
      <c r="J1936" s="185"/>
      <c r="K1936" s="205"/>
      <c r="L1936" s="7"/>
    </row>
    <row r="1937" spans="1:12">
      <c r="A1937" s="19"/>
      <c r="B1937" s="7"/>
      <c r="C1937" s="175"/>
      <c r="D1937" s="175"/>
      <c r="E1937" s="175"/>
      <c r="F1937" s="229"/>
      <c r="G1937" s="229"/>
      <c r="H1937" s="229"/>
      <c r="I1937" s="72"/>
      <c r="J1937" s="185"/>
      <c r="K1937" s="205"/>
      <c r="L1937" s="7"/>
    </row>
    <row r="1938" spans="1:12">
      <c r="A1938" s="19"/>
      <c r="B1938" s="7"/>
      <c r="C1938" s="175"/>
      <c r="D1938" s="175"/>
      <c r="E1938" s="175"/>
      <c r="F1938" s="229"/>
      <c r="G1938" s="229"/>
      <c r="H1938" s="229"/>
      <c r="I1938" s="72"/>
      <c r="J1938" s="185"/>
      <c r="K1938" s="205"/>
      <c r="L1938" s="7"/>
    </row>
    <row r="1939" spans="1:12">
      <c r="A1939" s="19"/>
      <c r="B1939" s="7"/>
      <c r="C1939" s="175"/>
      <c r="D1939" s="175"/>
      <c r="E1939" s="175"/>
      <c r="F1939" s="229"/>
      <c r="G1939" s="229"/>
      <c r="H1939" s="229"/>
      <c r="I1939" s="72"/>
      <c r="J1939" s="185"/>
      <c r="K1939" s="205"/>
      <c r="L1939" s="7"/>
    </row>
    <row r="1940" spans="1:12">
      <c r="A1940" s="20"/>
      <c r="B1940" s="21"/>
      <c r="C1940" s="175"/>
      <c r="D1940" s="175"/>
      <c r="E1940" s="175"/>
      <c r="F1940" s="232"/>
      <c r="G1940" s="232"/>
      <c r="H1940" s="232"/>
      <c r="I1940" s="63"/>
      <c r="J1940" s="190"/>
      <c r="K1940" s="206"/>
      <c r="L1940" s="7"/>
    </row>
    <row r="1941" spans="1:12">
      <c r="A1941" s="20"/>
      <c r="B1941" s="21"/>
      <c r="C1941" s="175"/>
      <c r="D1941" s="175"/>
      <c r="E1941" s="175"/>
      <c r="F1941" s="232"/>
      <c r="G1941" s="232"/>
      <c r="H1941" s="232"/>
      <c r="I1941" s="63"/>
      <c r="J1941" s="190"/>
      <c r="K1941" s="206"/>
      <c r="L1941" s="7"/>
    </row>
    <row r="1942" spans="1:12">
      <c r="A1942" s="20"/>
      <c r="B1942" s="21"/>
      <c r="C1942" s="175"/>
      <c r="D1942" s="175"/>
      <c r="E1942" s="175"/>
      <c r="F1942" s="232"/>
      <c r="G1942" s="232"/>
      <c r="H1942" s="232"/>
      <c r="I1942" s="63"/>
      <c r="J1942" s="190"/>
      <c r="K1942" s="206"/>
      <c r="L1942" s="7"/>
    </row>
    <row r="1943" spans="1:12">
      <c r="A1943" s="20"/>
      <c r="B1943" s="21"/>
      <c r="C1943" s="175"/>
      <c r="D1943" s="175"/>
      <c r="E1943" s="175"/>
      <c r="F1943" s="232"/>
      <c r="G1943" s="232"/>
      <c r="H1943" s="232"/>
      <c r="I1943" s="63"/>
      <c r="J1943" s="190"/>
      <c r="K1943" s="206"/>
      <c r="L1943" s="7"/>
    </row>
    <row r="1944" spans="1:12">
      <c r="A1944" s="19"/>
      <c r="B1944" s="7"/>
      <c r="C1944" s="175"/>
      <c r="D1944" s="175"/>
      <c r="E1944" s="175"/>
      <c r="F1944" s="229"/>
      <c r="G1944" s="229"/>
      <c r="H1944" s="229"/>
      <c r="I1944" s="72"/>
      <c r="J1944" s="185"/>
      <c r="K1944" s="205"/>
      <c r="L1944" s="7"/>
    </row>
    <row r="1945" spans="1:12">
      <c r="A1945" s="19"/>
      <c r="B1945" s="7"/>
      <c r="C1945" s="175"/>
      <c r="D1945" s="175"/>
      <c r="E1945" s="175"/>
      <c r="F1945" s="229"/>
      <c r="G1945" s="229"/>
      <c r="H1945" s="229"/>
      <c r="I1945" s="72"/>
      <c r="J1945" s="185"/>
      <c r="K1945" s="205"/>
      <c r="L1945" s="7"/>
    </row>
    <row r="1946" spans="1:12">
      <c r="A1946" s="19"/>
      <c r="B1946" s="7"/>
      <c r="C1946" s="175"/>
      <c r="D1946" s="175"/>
      <c r="E1946" s="175"/>
      <c r="F1946" s="229"/>
      <c r="G1946" s="229"/>
      <c r="H1946" s="229"/>
      <c r="I1946" s="72"/>
      <c r="J1946" s="185"/>
      <c r="K1946" s="205"/>
      <c r="L1946" s="7"/>
    </row>
    <row r="1947" spans="1:12">
      <c r="A1947" s="19"/>
      <c r="B1947" s="7"/>
      <c r="C1947" s="175"/>
      <c r="D1947" s="175"/>
      <c r="E1947" s="175"/>
      <c r="F1947" s="229"/>
      <c r="G1947" s="229"/>
      <c r="H1947" s="229"/>
      <c r="I1947" s="72"/>
      <c r="J1947" s="185"/>
      <c r="K1947" s="205"/>
      <c r="L1947" s="7"/>
    </row>
    <row r="1948" spans="1:12">
      <c r="A1948" s="19"/>
      <c r="B1948" s="7"/>
      <c r="C1948" s="175"/>
      <c r="D1948" s="175"/>
      <c r="E1948" s="175"/>
      <c r="F1948" s="229"/>
      <c r="G1948" s="229"/>
      <c r="H1948" s="229"/>
      <c r="I1948" s="72"/>
      <c r="J1948" s="185"/>
      <c r="K1948" s="205"/>
      <c r="L1948" s="7"/>
    </row>
    <row r="1949" spans="1:12">
      <c r="A1949" s="19"/>
      <c r="B1949" s="7"/>
      <c r="C1949" s="175"/>
      <c r="D1949" s="175"/>
      <c r="E1949" s="175"/>
      <c r="F1949" s="229"/>
      <c r="G1949" s="229"/>
      <c r="H1949" s="229"/>
      <c r="I1949" s="72"/>
      <c r="J1949" s="185"/>
      <c r="K1949" s="205"/>
      <c r="L1949" s="7"/>
    </row>
    <row r="1950" spans="1:12">
      <c r="A1950" s="19"/>
      <c r="B1950" s="7"/>
      <c r="C1950" s="175"/>
      <c r="D1950" s="175"/>
      <c r="E1950" s="175"/>
      <c r="F1950" s="229"/>
      <c r="G1950" s="229"/>
      <c r="H1950" s="229"/>
      <c r="I1950" s="72"/>
      <c r="J1950" s="185"/>
      <c r="K1950" s="205"/>
      <c r="L1950" s="7"/>
    </row>
    <row r="1951" spans="1:12">
      <c r="A1951" s="19"/>
      <c r="B1951" s="7"/>
      <c r="C1951" s="175"/>
      <c r="D1951" s="175"/>
      <c r="E1951" s="175"/>
      <c r="F1951" s="229"/>
      <c r="G1951" s="229"/>
      <c r="H1951" s="229"/>
      <c r="I1951" s="72"/>
      <c r="J1951" s="185"/>
      <c r="K1951" s="205"/>
      <c r="L1951" s="7"/>
    </row>
    <row r="1952" spans="1:12">
      <c r="A1952" s="19"/>
      <c r="B1952" s="7"/>
      <c r="C1952" s="175"/>
      <c r="D1952" s="175"/>
      <c r="E1952" s="175"/>
      <c r="F1952" s="229"/>
      <c r="G1952" s="229"/>
      <c r="H1952" s="229"/>
      <c r="I1952" s="72"/>
      <c r="J1952" s="185"/>
      <c r="K1952" s="205"/>
      <c r="L1952" s="7"/>
    </row>
    <row r="1953" spans="1:12">
      <c r="A1953" s="19"/>
      <c r="B1953" s="7"/>
      <c r="C1953" s="175"/>
      <c r="D1953" s="175"/>
      <c r="E1953" s="175"/>
      <c r="F1953" s="229"/>
      <c r="G1953" s="229"/>
      <c r="H1953" s="229"/>
      <c r="I1953" s="72"/>
      <c r="J1953" s="185"/>
      <c r="K1953" s="205"/>
      <c r="L1953" s="7"/>
    </row>
    <row r="1954" spans="1:12">
      <c r="A1954" s="19"/>
      <c r="B1954" s="7"/>
      <c r="C1954" s="175"/>
      <c r="D1954" s="175"/>
      <c r="E1954" s="175"/>
      <c r="F1954" s="229"/>
      <c r="G1954" s="229"/>
      <c r="H1954" s="229"/>
      <c r="I1954" s="72"/>
      <c r="J1954" s="185"/>
      <c r="K1954" s="205"/>
      <c r="L1954" s="7"/>
    </row>
    <row r="1955" spans="1:12">
      <c r="A1955" s="19"/>
      <c r="B1955" s="7"/>
      <c r="C1955" s="175"/>
      <c r="D1955" s="175"/>
      <c r="E1955" s="175"/>
      <c r="F1955" s="229"/>
      <c r="G1955" s="229"/>
      <c r="H1955" s="229"/>
      <c r="I1955" s="72"/>
      <c r="J1955" s="185"/>
      <c r="K1955" s="205"/>
      <c r="L1955" s="7"/>
    </row>
    <row r="1956" spans="1:12">
      <c r="A1956" s="19"/>
      <c r="B1956" s="7"/>
      <c r="C1956" s="175"/>
      <c r="D1956" s="175"/>
      <c r="E1956" s="175"/>
      <c r="F1956" s="229"/>
      <c r="G1956" s="229"/>
      <c r="H1956" s="229"/>
      <c r="I1956" s="72"/>
      <c r="J1956" s="185"/>
      <c r="K1956" s="205"/>
      <c r="L1956" s="7"/>
    </row>
    <row r="1957" spans="1:12">
      <c r="A1957" s="19"/>
      <c r="B1957" s="7"/>
      <c r="C1957" s="175"/>
      <c r="D1957" s="175"/>
      <c r="E1957" s="175"/>
      <c r="F1957" s="229"/>
      <c r="G1957" s="229"/>
      <c r="H1957" s="229"/>
      <c r="I1957" s="72"/>
      <c r="J1957" s="185"/>
      <c r="K1957" s="205"/>
      <c r="L1957" s="7"/>
    </row>
    <row r="1958" spans="1:12">
      <c r="A1958" s="19"/>
      <c r="B1958" s="7"/>
      <c r="C1958" s="175"/>
      <c r="D1958" s="175"/>
      <c r="E1958" s="175"/>
      <c r="F1958" s="229"/>
      <c r="G1958" s="229"/>
      <c r="H1958" s="229"/>
      <c r="I1958" s="72"/>
      <c r="J1958" s="185"/>
      <c r="K1958" s="205"/>
      <c r="L1958" s="7"/>
    </row>
    <row r="1959" spans="1:12">
      <c r="A1959" s="19"/>
      <c r="B1959" s="7"/>
      <c r="C1959" s="175"/>
      <c r="D1959" s="175"/>
      <c r="E1959" s="175"/>
      <c r="F1959" s="229"/>
      <c r="G1959" s="229"/>
      <c r="H1959" s="229"/>
      <c r="I1959" s="72"/>
      <c r="J1959" s="185"/>
      <c r="K1959" s="205"/>
      <c r="L1959" s="7"/>
    </row>
    <row r="1960" spans="1:12">
      <c r="A1960" s="19"/>
      <c r="B1960" s="7"/>
      <c r="C1960" s="175"/>
      <c r="D1960" s="175"/>
      <c r="E1960" s="175"/>
      <c r="F1960" s="229"/>
      <c r="G1960" s="229"/>
      <c r="H1960" s="229"/>
      <c r="I1960" s="72"/>
      <c r="J1960" s="185"/>
      <c r="K1960" s="205"/>
      <c r="L1960" s="7"/>
    </row>
    <row r="1961" spans="1:12">
      <c r="A1961" s="19"/>
      <c r="B1961" s="7"/>
      <c r="C1961" s="175"/>
      <c r="D1961" s="175"/>
      <c r="E1961" s="175"/>
      <c r="F1961" s="229"/>
      <c r="G1961" s="229"/>
      <c r="H1961" s="229"/>
      <c r="I1961" s="72"/>
      <c r="J1961" s="185"/>
      <c r="K1961" s="205"/>
      <c r="L1961" s="7"/>
    </row>
    <row r="1962" spans="1:12">
      <c r="A1962" s="19"/>
      <c r="B1962" s="7"/>
      <c r="C1962" s="175"/>
      <c r="D1962" s="175"/>
      <c r="E1962" s="175"/>
      <c r="F1962" s="229"/>
      <c r="G1962" s="229"/>
      <c r="H1962" s="229"/>
      <c r="I1962" s="72"/>
      <c r="J1962" s="185"/>
      <c r="K1962" s="205"/>
      <c r="L1962" s="7"/>
    </row>
    <row r="1963" spans="1:12">
      <c r="A1963" s="19"/>
      <c r="B1963" s="7"/>
      <c r="C1963" s="175"/>
      <c r="D1963" s="175"/>
      <c r="E1963" s="175"/>
      <c r="F1963" s="229"/>
      <c r="G1963" s="229"/>
      <c r="H1963" s="229"/>
      <c r="I1963" s="72"/>
      <c r="J1963" s="185"/>
      <c r="K1963" s="205"/>
      <c r="L1963" s="7"/>
    </row>
    <row r="1964" spans="1:12">
      <c r="A1964" s="19"/>
      <c r="B1964" s="7"/>
      <c r="C1964" s="175"/>
      <c r="D1964" s="175"/>
      <c r="E1964" s="175"/>
      <c r="F1964" s="229"/>
      <c r="G1964" s="229"/>
      <c r="H1964" s="229"/>
      <c r="I1964" s="72"/>
      <c r="J1964" s="185"/>
      <c r="K1964" s="205"/>
      <c r="L1964" s="7"/>
    </row>
    <row r="1965" spans="1:12">
      <c r="A1965" s="19"/>
      <c r="B1965" s="7"/>
      <c r="C1965" s="175"/>
      <c r="D1965" s="175"/>
      <c r="E1965" s="175"/>
      <c r="F1965" s="229"/>
      <c r="G1965" s="229"/>
      <c r="H1965" s="229"/>
      <c r="I1965" s="72"/>
      <c r="J1965" s="185"/>
      <c r="K1965" s="205"/>
      <c r="L1965" s="7"/>
    </row>
    <row r="1966" spans="1:12">
      <c r="A1966" s="19"/>
      <c r="B1966" s="7"/>
      <c r="C1966" s="175"/>
      <c r="D1966" s="175"/>
      <c r="E1966" s="175"/>
      <c r="F1966" s="229"/>
      <c r="G1966" s="229"/>
      <c r="H1966" s="229"/>
      <c r="I1966" s="72"/>
      <c r="J1966" s="185"/>
      <c r="K1966" s="205"/>
      <c r="L1966" s="7"/>
    </row>
    <row r="1967" spans="1:12">
      <c r="A1967" s="19"/>
      <c r="B1967" s="7"/>
      <c r="C1967" s="175"/>
      <c r="D1967" s="175"/>
      <c r="E1967" s="175"/>
      <c r="F1967" s="229"/>
      <c r="G1967" s="229"/>
      <c r="H1967" s="229"/>
      <c r="I1967" s="72"/>
      <c r="J1967" s="185"/>
      <c r="K1967" s="205"/>
      <c r="L1967" s="7"/>
    </row>
    <row r="1968" spans="1:12">
      <c r="A1968" s="19"/>
      <c r="B1968" s="7"/>
      <c r="C1968" s="175"/>
      <c r="D1968" s="175"/>
      <c r="E1968" s="175"/>
      <c r="F1968" s="229"/>
      <c r="G1968" s="229"/>
      <c r="H1968" s="229"/>
      <c r="I1968" s="72"/>
      <c r="J1968" s="185"/>
      <c r="K1968" s="205"/>
      <c r="L1968" s="7"/>
    </row>
    <row r="1969" spans="1:12">
      <c r="A1969" s="19"/>
      <c r="B1969" s="7"/>
      <c r="C1969" s="175"/>
      <c r="D1969" s="175"/>
      <c r="E1969" s="175"/>
      <c r="F1969" s="229"/>
      <c r="G1969" s="229"/>
      <c r="H1969" s="229"/>
      <c r="I1969" s="72"/>
      <c r="J1969" s="185"/>
      <c r="K1969" s="205"/>
      <c r="L1969" s="7"/>
    </row>
    <row r="1970" spans="1:12">
      <c r="A1970" s="19"/>
      <c r="B1970" s="7"/>
      <c r="C1970" s="175"/>
      <c r="D1970" s="175"/>
      <c r="E1970" s="175"/>
      <c r="F1970" s="229"/>
      <c r="G1970" s="229"/>
      <c r="H1970" s="229"/>
      <c r="I1970" s="72"/>
      <c r="J1970" s="185"/>
      <c r="K1970" s="205"/>
      <c r="L1970" s="7"/>
    </row>
    <row r="1971" spans="1:12">
      <c r="A1971" s="19"/>
      <c r="B1971" s="7"/>
      <c r="C1971" s="175"/>
      <c r="D1971" s="175"/>
      <c r="E1971" s="175"/>
      <c r="F1971" s="229"/>
      <c r="G1971" s="229"/>
      <c r="H1971" s="229"/>
      <c r="I1971" s="72"/>
      <c r="J1971" s="185"/>
      <c r="K1971" s="205"/>
      <c r="L1971" s="7"/>
    </row>
    <row r="1972" spans="1:12">
      <c r="A1972" s="19"/>
      <c r="B1972" s="7"/>
      <c r="C1972" s="175"/>
      <c r="D1972" s="175"/>
      <c r="E1972" s="175"/>
      <c r="F1972" s="229"/>
      <c r="G1972" s="229"/>
      <c r="H1972" s="229"/>
      <c r="I1972" s="72"/>
      <c r="J1972" s="185"/>
      <c r="K1972" s="205"/>
      <c r="L1972" s="7"/>
    </row>
    <row r="1973" spans="1:12">
      <c r="A1973" s="19"/>
      <c r="B1973" s="7"/>
      <c r="C1973" s="175"/>
      <c r="D1973" s="175"/>
      <c r="E1973" s="175"/>
      <c r="F1973" s="229"/>
      <c r="G1973" s="229"/>
      <c r="H1973" s="229"/>
      <c r="I1973" s="72"/>
      <c r="J1973" s="185"/>
      <c r="K1973" s="205"/>
      <c r="L1973" s="7"/>
    </row>
    <row r="1974" spans="1:12">
      <c r="A1974" s="19"/>
      <c r="B1974" s="7"/>
      <c r="C1974" s="175"/>
      <c r="D1974" s="175"/>
      <c r="E1974" s="175"/>
      <c r="F1974" s="229"/>
      <c r="G1974" s="229"/>
      <c r="H1974" s="229"/>
      <c r="I1974" s="72"/>
      <c r="J1974" s="185"/>
      <c r="K1974" s="205"/>
      <c r="L1974" s="7"/>
    </row>
    <row r="1975" spans="1:12">
      <c r="A1975" s="19"/>
      <c r="B1975" s="7"/>
      <c r="C1975" s="175"/>
      <c r="D1975" s="175"/>
      <c r="E1975" s="175"/>
      <c r="F1975" s="229"/>
      <c r="G1975" s="229"/>
      <c r="H1975" s="229"/>
      <c r="I1975" s="72"/>
      <c r="J1975" s="185"/>
      <c r="K1975" s="205"/>
      <c r="L1975" s="7"/>
    </row>
    <row r="1976" spans="1:12">
      <c r="A1976" s="19"/>
      <c r="B1976" s="7"/>
      <c r="C1976" s="175"/>
      <c r="D1976" s="175"/>
      <c r="E1976" s="175"/>
      <c r="F1976" s="229"/>
      <c r="G1976" s="229"/>
      <c r="H1976" s="229"/>
      <c r="I1976" s="72"/>
      <c r="J1976" s="185"/>
      <c r="K1976" s="205"/>
      <c r="L1976" s="7"/>
    </row>
    <row r="1977" spans="1:12">
      <c r="A1977" s="19"/>
      <c r="B1977" s="7"/>
      <c r="C1977" s="175"/>
      <c r="D1977" s="175"/>
      <c r="E1977" s="175"/>
      <c r="F1977" s="229"/>
      <c r="G1977" s="229"/>
      <c r="H1977" s="229"/>
      <c r="I1977" s="72"/>
      <c r="J1977" s="185"/>
      <c r="K1977" s="205"/>
      <c r="L1977" s="7"/>
    </row>
    <row r="1978" spans="1:12">
      <c r="A1978" s="19"/>
      <c r="B1978" s="7"/>
      <c r="C1978" s="175"/>
      <c r="D1978" s="175"/>
      <c r="E1978" s="175"/>
      <c r="F1978" s="229"/>
      <c r="G1978" s="229"/>
      <c r="H1978" s="229"/>
      <c r="I1978" s="72"/>
      <c r="J1978" s="185"/>
      <c r="K1978" s="205"/>
      <c r="L1978" s="7"/>
    </row>
    <row r="1979" spans="1:12">
      <c r="A1979" s="19"/>
      <c r="B1979" s="7"/>
      <c r="C1979" s="175"/>
      <c r="D1979" s="175"/>
      <c r="E1979" s="175"/>
      <c r="F1979" s="229"/>
      <c r="G1979" s="229"/>
      <c r="H1979" s="229"/>
      <c r="I1979" s="72"/>
      <c r="J1979" s="185"/>
      <c r="K1979" s="205"/>
      <c r="L1979" s="7"/>
    </row>
    <row r="1980" spans="1:12">
      <c r="A1980" s="19"/>
      <c r="B1980" s="7"/>
      <c r="C1980" s="175"/>
      <c r="D1980" s="175"/>
      <c r="E1980" s="175"/>
      <c r="F1980" s="229"/>
      <c r="G1980" s="229"/>
      <c r="H1980" s="229"/>
      <c r="I1980" s="72"/>
      <c r="J1980" s="185"/>
      <c r="K1980" s="205"/>
      <c r="L1980" s="7"/>
    </row>
    <row r="1981" spans="1:12">
      <c r="A1981" s="19"/>
      <c r="B1981" s="7"/>
      <c r="C1981" s="175"/>
      <c r="D1981" s="175"/>
      <c r="E1981" s="175"/>
      <c r="F1981" s="229"/>
      <c r="G1981" s="229"/>
      <c r="H1981" s="229"/>
      <c r="I1981" s="72"/>
      <c r="J1981" s="185"/>
      <c r="K1981" s="205"/>
      <c r="L1981" s="7"/>
    </row>
    <row r="1982" spans="1:12">
      <c r="A1982" s="19"/>
      <c r="B1982" s="7"/>
      <c r="C1982" s="175"/>
      <c r="D1982" s="175"/>
      <c r="E1982" s="175"/>
      <c r="F1982" s="229"/>
      <c r="G1982" s="229"/>
      <c r="H1982" s="229"/>
      <c r="I1982" s="72"/>
      <c r="J1982" s="185"/>
      <c r="K1982" s="205"/>
      <c r="L1982" s="7"/>
    </row>
    <row r="1983" spans="1:12">
      <c r="A1983" s="19"/>
      <c r="B1983" s="7"/>
      <c r="C1983" s="175"/>
      <c r="D1983" s="175"/>
      <c r="E1983" s="175"/>
      <c r="F1983" s="229"/>
      <c r="G1983" s="229"/>
      <c r="H1983" s="229"/>
      <c r="I1983" s="72"/>
      <c r="J1983" s="185"/>
      <c r="K1983" s="205"/>
      <c r="L1983" s="7"/>
    </row>
    <row r="1984" spans="1:12">
      <c r="A1984" s="19"/>
      <c r="B1984" s="7"/>
      <c r="C1984" s="175"/>
      <c r="D1984" s="175"/>
      <c r="E1984" s="175"/>
      <c r="F1984" s="229"/>
      <c r="G1984" s="229"/>
      <c r="H1984" s="229"/>
      <c r="I1984" s="72"/>
      <c r="J1984" s="185"/>
      <c r="K1984" s="205"/>
      <c r="L1984" s="7"/>
    </row>
    <row r="1985" spans="1:12">
      <c r="A1985" s="19"/>
      <c r="B1985" s="7"/>
      <c r="C1985" s="175"/>
      <c r="D1985" s="175"/>
      <c r="E1985" s="175"/>
      <c r="F1985" s="229"/>
      <c r="G1985" s="229"/>
      <c r="H1985" s="229"/>
      <c r="I1985" s="72"/>
      <c r="J1985" s="185"/>
      <c r="K1985" s="205"/>
      <c r="L1985" s="7"/>
    </row>
    <row r="1986" spans="1:12">
      <c r="A1986" s="19"/>
      <c r="B1986" s="7"/>
      <c r="C1986" s="175"/>
      <c r="D1986" s="175"/>
      <c r="E1986" s="175"/>
      <c r="F1986" s="229"/>
      <c r="G1986" s="229"/>
      <c r="H1986" s="229"/>
      <c r="I1986" s="72"/>
      <c r="J1986" s="185"/>
      <c r="K1986" s="205"/>
      <c r="L1986" s="7"/>
    </row>
    <row r="1987" spans="1:12">
      <c r="A1987" s="20"/>
      <c r="B1987" s="21"/>
      <c r="C1987" s="175"/>
      <c r="D1987" s="175"/>
      <c r="E1987" s="175"/>
      <c r="F1987" s="232"/>
      <c r="G1987" s="232"/>
      <c r="H1987" s="232"/>
      <c r="I1987" s="63"/>
      <c r="J1987" s="190"/>
      <c r="K1987" s="206"/>
      <c r="L1987" s="7"/>
    </row>
    <row r="1988" spans="1:12">
      <c r="A1988" s="20"/>
      <c r="B1988" s="21"/>
      <c r="C1988" s="175"/>
      <c r="D1988" s="175"/>
      <c r="E1988" s="175"/>
      <c r="F1988" s="232"/>
      <c r="G1988" s="232"/>
      <c r="H1988" s="232"/>
      <c r="I1988" s="63"/>
      <c r="J1988" s="190"/>
      <c r="K1988" s="206"/>
      <c r="L1988" s="7"/>
    </row>
    <row r="1989" spans="1:12">
      <c r="A1989" s="19"/>
      <c r="B1989" s="7"/>
      <c r="C1989" s="175"/>
      <c r="D1989" s="175"/>
      <c r="E1989" s="175"/>
      <c r="F1989" s="229"/>
      <c r="G1989" s="229"/>
      <c r="H1989" s="229"/>
      <c r="I1989" s="72"/>
      <c r="J1989" s="185"/>
      <c r="K1989" s="205"/>
      <c r="L1989" s="7"/>
    </row>
    <row r="1990" spans="1:12">
      <c r="A1990" s="20"/>
      <c r="B1990" s="21"/>
      <c r="C1990" s="175"/>
      <c r="D1990" s="175"/>
      <c r="E1990" s="175"/>
      <c r="F1990" s="232"/>
      <c r="G1990" s="232"/>
      <c r="H1990" s="232"/>
      <c r="I1990" s="63"/>
      <c r="J1990" s="190"/>
      <c r="K1990" s="206"/>
      <c r="L1990" s="7"/>
    </row>
    <row r="1991" spans="1:12">
      <c r="A1991" s="19"/>
      <c r="B1991" s="7"/>
      <c r="C1991" s="175"/>
      <c r="D1991" s="175"/>
      <c r="E1991" s="175"/>
      <c r="F1991" s="229"/>
      <c r="G1991" s="229"/>
      <c r="H1991" s="229"/>
      <c r="I1991" s="72"/>
      <c r="J1991" s="185"/>
      <c r="K1991" s="205"/>
      <c r="L1991" s="7"/>
    </row>
    <row r="1992" spans="1:12">
      <c r="A1992" s="19"/>
      <c r="B1992" s="7"/>
      <c r="C1992" s="175"/>
      <c r="D1992" s="175"/>
      <c r="E1992" s="175"/>
      <c r="F1992" s="229"/>
      <c r="G1992" s="229"/>
      <c r="H1992" s="229"/>
      <c r="I1992" s="72"/>
      <c r="J1992" s="185"/>
      <c r="K1992" s="205"/>
      <c r="L1992" s="7"/>
    </row>
    <row r="1993" spans="1:12">
      <c r="A1993" s="20"/>
      <c r="B1993" s="21"/>
      <c r="C1993" s="175"/>
      <c r="D1993" s="175"/>
      <c r="E1993" s="175"/>
      <c r="F1993" s="232"/>
      <c r="G1993" s="232"/>
      <c r="H1993" s="232"/>
      <c r="I1993" s="63"/>
      <c r="J1993" s="190"/>
      <c r="K1993" s="206"/>
      <c r="L1993" s="7"/>
    </row>
    <row r="1994" spans="1:12">
      <c r="A1994" s="20"/>
      <c r="B1994" s="21"/>
      <c r="C1994" s="175"/>
      <c r="D1994" s="175"/>
      <c r="E1994" s="175"/>
      <c r="F1994" s="232"/>
      <c r="G1994" s="232"/>
      <c r="H1994" s="232"/>
      <c r="I1994" s="63"/>
      <c r="J1994" s="190"/>
      <c r="K1994" s="206"/>
      <c r="L1994" s="7"/>
    </row>
    <row r="1995" spans="1:12">
      <c r="A1995" s="19"/>
      <c r="B1995" s="7"/>
      <c r="C1995" s="175"/>
      <c r="D1995" s="175"/>
      <c r="E1995" s="175"/>
      <c r="F1995" s="229"/>
      <c r="G1995" s="229"/>
      <c r="H1995" s="229"/>
      <c r="I1995" s="72"/>
      <c r="J1995" s="185"/>
      <c r="K1995" s="205"/>
      <c r="L1995" s="7"/>
    </row>
    <row r="1996" spans="1:12">
      <c r="A1996" s="19"/>
      <c r="B1996" s="7"/>
      <c r="C1996" s="175"/>
      <c r="D1996" s="175"/>
      <c r="E1996" s="175"/>
      <c r="F1996" s="229"/>
      <c r="G1996" s="229"/>
      <c r="H1996" s="229"/>
      <c r="I1996" s="72"/>
      <c r="J1996" s="185"/>
      <c r="K1996" s="205"/>
      <c r="L1996" s="7"/>
    </row>
    <row r="1997" spans="1:12">
      <c r="A1997" s="19"/>
      <c r="B1997" s="7"/>
      <c r="C1997" s="175"/>
      <c r="D1997" s="175"/>
      <c r="E1997" s="175"/>
      <c r="F1997" s="229"/>
      <c r="G1997" s="229"/>
      <c r="H1997" s="229"/>
      <c r="I1997" s="72"/>
      <c r="J1997" s="185"/>
      <c r="K1997" s="205"/>
      <c r="L1997" s="7"/>
    </row>
    <row r="1998" spans="1:12">
      <c r="A1998" s="19"/>
      <c r="B1998" s="7"/>
      <c r="C1998" s="175"/>
      <c r="D1998" s="175"/>
      <c r="E1998" s="175"/>
      <c r="F1998" s="229"/>
      <c r="G1998" s="229"/>
      <c r="H1998" s="229"/>
      <c r="I1998" s="72"/>
      <c r="J1998" s="185"/>
      <c r="K1998" s="205"/>
      <c r="L1998" s="7"/>
    </row>
    <row r="1999" spans="1:12">
      <c r="A1999" s="19"/>
      <c r="B1999" s="7"/>
      <c r="C1999" s="175"/>
      <c r="D1999" s="175"/>
      <c r="E1999" s="175"/>
      <c r="F1999" s="229"/>
      <c r="G1999" s="229"/>
      <c r="H1999" s="229"/>
      <c r="I1999" s="72"/>
      <c r="J1999" s="185"/>
      <c r="K1999" s="205"/>
      <c r="L1999" s="7"/>
    </row>
    <row r="2000" spans="1:12">
      <c r="A2000" s="19"/>
      <c r="B2000" s="7"/>
      <c r="C2000" s="175"/>
      <c r="D2000" s="175"/>
      <c r="E2000" s="175"/>
      <c r="F2000" s="229"/>
      <c r="G2000" s="229"/>
      <c r="H2000" s="229"/>
      <c r="I2000" s="72"/>
      <c r="J2000" s="185"/>
      <c r="K2000" s="205"/>
      <c r="L2000" s="7"/>
    </row>
    <row r="2001" spans="1:12">
      <c r="A2001" s="19"/>
      <c r="B2001" s="7"/>
      <c r="C2001" s="175"/>
      <c r="D2001" s="175"/>
      <c r="E2001" s="175"/>
      <c r="F2001" s="229"/>
      <c r="G2001" s="229"/>
      <c r="H2001" s="229"/>
      <c r="I2001" s="72"/>
      <c r="J2001" s="185"/>
      <c r="K2001" s="205"/>
      <c r="L2001" s="7"/>
    </row>
    <row r="2002" spans="1:12">
      <c r="A2002" s="19"/>
      <c r="B2002" s="7"/>
      <c r="C2002" s="175"/>
      <c r="D2002" s="175"/>
      <c r="E2002" s="175"/>
      <c r="F2002" s="229"/>
      <c r="G2002" s="229"/>
      <c r="H2002" s="229"/>
      <c r="I2002" s="72"/>
      <c r="J2002" s="185"/>
      <c r="K2002" s="205"/>
      <c r="L2002" s="7"/>
    </row>
    <row r="2003" spans="1:12">
      <c r="A2003" s="19"/>
      <c r="B2003" s="7"/>
      <c r="C2003" s="175"/>
      <c r="D2003" s="175"/>
      <c r="E2003" s="175"/>
      <c r="F2003" s="229"/>
      <c r="G2003" s="229"/>
      <c r="H2003" s="229"/>
      <c r="I2003" s="72"/>
      <c r="J2003" s="185"/>
      <c r="K2003" s="205"/>
      <c r="L2003" s="7"/>
    </row>
    <row r="2004" spans="1:12">
      <c r="A2004" s="19"/>
      <c r="B2004" s="7"/>
      <c r="C2004" s="175"/>
      <c r="D2004" s="175"/>
      <c r="E2004" s="175"/>
      <c r="F2004" s="229"/>
      <c r="G2004" s="229"/>
      <c r="H2004" s="229"/>
      <c r="I2004" s="72"/>
      <c r="J2004" s="185"/>
      <c r="K2004" s="205"/>
      <c r="L2004" s="7"/>
    </row>
    <row r="2005" spans="1:12">
      <c r="A2005" s="19"/>
      <c r="B2005" s="7"/>
      <c r="C2005" s="175"/>
      <c r="D2005" s="175"/>
      <c r="E2005" s="175"/>
      <c r="F2005" s="229"/>
      <c r="G2005" s="229"/>
      <c r="H2005" s="229"/>
      <c r="I2005" s="72"/>
      <c r="J2005" s="185"/>
      <c r="K2005" s="205"/>
      <c r="L2005" s="7"/>
    </row>
    <row r="2006" spans="1:12">
      <c r="A2006" s="19"/>
      <c r="B2006" s="7"/>
      <c r="C2006" s="175"/>
      <c r="D2006" s="175"/>
      <c r="E2006" s="175"/>
      <c r="F2006" s="229"/>
      <c r="G2006" s="229"/>
      <c r="H2006" s="229"/>
      <c r="I2006" s="72"/>
      <c r="J2006" s="185"/>
      <c r="K2006" s="205"/>
      <c r="L2006" s="7"/>
    </row>
    <row r="2007" spans="1:12">
      <c r="A2007" s="19"/>
      <c r="B2007" s="7"/>
      <c r="C2007" s="175"/>
      <c r="D2007" s="175"/>
      <c r="E2007" s="175"/>
      <c r="F2007" s="229"/>
      <c r="G2007" s="229"/>
      <c r="H2007" s="229"/>
      <c r="I2007" s="72"/>
      <c r="J2007" s="185"/>
      <c r="K2007" s="205"/>
      <c r="L2007" s="7"/>
    </row>
    <row r="2008" spans="1:12">
      <c r="A2008" s="20"/>
      <c r="B2008" s="21"/>
      <c r="C2008" s="175"/>
      <c r="D2008" s="175"/>
      <c r="E2008" s="175"/>
      <c r="F2008" s="232"/>
      <c r="G2008" s="232"/>
      <c r="H2008" s="232"/>
      <c r="I2008" s="63"/>
      <c r="J2008" s="190"/>
      <c r="K2008" s="206"/>
      <c r="L2008" s="7"/>
    </row>
    <row r="2009" spans="1:12">
      <c r="A2009" s="20"/>
      <c r="B2009" s="21"/>
      <c r="C2009" s="175"/>
      <c r="D2009" s="175"/>
      <c r="E2009" s="175"/>
      <c r="F2009" s="232"/>
      <c r="G2009" s="232"/>
      <c r="H2009" s="232"/>
      <c r="I2009" s="63"/>
      <c r="J2009" s="190"/>
      <c r="K2009" s="206"/>
      <c r="L2009" s="7"/>
    </row>
    <row r="2010" spans="1:12">
      <c r="A2010" s="20"/>
      <c r="B2010" s="21"/>
      <c r="C2010" s="175"/>
      <c r="D2010" s="175"/>
      <c r="E2010" s="175"/>
      <c r="F2010" s="232"/>
      <c r="G2010" s="232"/>
      <c r="H2010" s="232"/>
      <c r="I2010" s="63"/>
      <c r="J2010" s="190"/>
      <c r="K2010" s="206"/>
      <c r="L2010" s="7"/>
    </row>
    <row r="2011" spans="1:12">
      <c r="A2011" s="20"/>
      <c r="B2011" s="21"/>
      <c r="C2011" s="175"/>
      <c r="D2011" s="175"/>
      <c r="E2011" s="175"/>
      <c r="F2011" s="232"/>
      <c r="G2011" s="232"/>
      <c r="H2011" s="232"/>
      <c r="I2011" s="63"/>
      <c r="J2011" s="190"/>
      <c r="K2011" s="206"/>
      <c r="L2011" s="7"/>
    </row>
    <row r="2012" spans="1:12">
      <c r="A2012" s="20"/>
      <c r="B2012" s="21"/>
      <c r="C2012" s="175"/>
      <c r="D2012" s="175"/>
      <c r="E2012" s="175"/>
      <c r="F2012" s="232"/>
      <c r="G2012" s="232"/>
      <c r="H2012" s="232"/>
      <c r="I2012" s="63"/>
      <c r="J2012" s="190"/>
      <c r="K2012" s="206"/>
      <c r="L2012" s="7"/>
    </row>
    <row r="2013" spans="1:12">
      <c r="A2013" s="20"/>
      <c r="B2013" s="21"/>
      <c r="C2013" s="175"/>
      <c r="D2013" s="175"/>
      <c r="E2013" s="175"/>
      <c r="F2013" s="232"/>
      <c r="G2013" s="232"/>
      <c r="H2013" s="232"/>
      <c r="I2013" s="63"/>
      <c r="J2013" s="190"/>
      <c r="K2013" s="206"/>
      <c r="L2013" s="7"/>
    </row>
    <row r="2014" spans="1:12">
      <c r="A2014" s="20"/>
      <c r="B2014" s="21"/>
      <c r="C2014" s="175"/>
      <c r="D2014" s="175"/>
      <c r="E2014" s="175"/>
      <c r="F2014" s="232"/>
      <c r="G2014" s="232"/>
      <c r="H2014" s="232"/>
      <c r="I2014" s="63"/>
      <c r="J2014" s="190"/>
      <c r="K2014" s="206"/>
      <c r="L2014" s="7"/>
    </row>
    <row r="2015" spans="1:12">
      <c r="A2015" s="19"/>
      <c r="B2015" s="7"/>
      <c r="C2015" s="175"/>
      <c r="D2015" s="175"/>
      <c r="E2015" s="175"/>
      <c r="F2015" s="229"/>
      <c r="G2015" s="229"/>
      <c r="H2015" s="229"/>
      <c r="I2015" s="72"/>
      <c r="J2015" s="185"/>
      <c r="K2015" s="205"/>
      <c r="L2015" s="7"/>
    </row>
    <row r="2016" spans="1:12">
      <c r="A2016" s="19"/>
      <c r="B2016" s="7"/>
      <c r="C2016" s="175"/>
      <c r="D2016" s="175"/>
      <c r="E2016" s="175"/>
      <c r="F2016" s="229"/>
      <c r="G2016" s="229"/>
      <c r="H2016" s="229"/>
      <c r="I2016" s="72"/>
      <c r="J2016" s="185"/>
      <c r="K2016" s="205"/>
      <c r="L2016" s="7"/>
    </row>
    <row r="2017" spans="1:12">
      <c r="A2017" s="19"/>
      <c r="B2017" s="7"/>
      <c r="C2017" s="175"/>
      <c r="D2017" s="175"/>
      <c r="E2017" s="175"/>
      <c r="F2017" s="229"/>
      <c r="G2017" s="229"/>
      <c r="H2017" s="229"/>
      <c r="I2017" s="72"/>
      <c r="J2017" s="185"/>
      <c r="K2017" s="205"/>
      <c r="L2017" s="7"/>
    </row>
    <row r="2018" spans="1:12">
      <c r="A2018" s="19"/>
      <c r="B2018" s="7"/>
      <c r="C2018" s="175"/>
      <c r="D2018" s="175"/>
      <c r="E2018" s="175"/>
      <c r="F2018" s="229"/>
      <c r="G2018" s="229"/>
      <c r="H2018" s="229"/>
      <c r="I2018" s="72"/>
      <c r="J2018" s="185"/>
      <c r="K2018" s="205"/>
      <c r="L2018" s="7"/>
    </row>
    <row r="2019" spans="1:12">
      <c r="A2019" s="19"/>
      <c r="B2019" s="7"/>
      <c r="C2019" s="175"/>
      <c r="D2019" s="175"/>
      <c r="E2019" s="175"/>
      <c r="F2019" s="229"/>
      <c r="G2019" s="229"/>
      <c r="H2019" s="229"/>
      <c r="I2019" s="72"/>
      <c r="J2019" s="185"/>
      <c r="K2019" s="205"/>
      <c r="L2019" s="7"/>
    </row>
    <row r="2020" spans="1:12">
      <c r="A2020" s="19"/>
      <c r="B2020" s="7"/>
      <c r="C2020" s="175"/>
      <c r="D2020" s="175"/>
      <c r="E2020" s="175"/>
      <c r="F2020" s="229"/>
      <c r="G2020" s="229"/>
      <c r="H2020" s="229"/>
      <c r="I2020" s="72"/>
      <c r="J2020" s="185"/>
      <c r="K2020" s="205"/>
      <c r="L2020" s="7"/>
    </row>
    <row r="2021" spans="1:12">
      <c r="A2021" s="19"/>
      <c r="B2021" s="7"/>
      <c r="C2021" s="175"/>
      <c r="D2021" s="175"/>
      <c r="E2021" s="175"/>
      <c r="F2021" s="229"/>
      <c r="G2021" s="229"/>
      <c r="H2021" s="229"/>
      <c r="I2021" s="72"/>
      <c r="J2021" s="185"/>
      <c r="K2021" s="205"/>
      <c r="L2021" s="7"/>
    </row>
    <row r="2022" spans="1:12">
      <c r="A2022" s="19"/>
      <c r="B2022" s="7"/>
      <c r="C2022" s="175"/>
      <c r="D2022" s="175"/>
      <c r="E2022" s="175"/>
      <c r="F2022" s="229"/>
      <c r="G2022" s="229"/>
      <c r="H2022" s="229"/>
      <c r="I2022" s="72"/>
      <c r="J2022" s="185"/>
      <c r="K2022" s="205"/>
      <c r="L2022" s="7"/>
    </row>
    <row r="2023" spans="1:12">
      <c r="A2023" s="19"/>
      <c r="B2023" s="7"/>
      <c r="C2023" s="175"/>
      <c r="D2023" s="175"/>
      <c r="E2023" s="175"/>
      <c r="F2023" s="229"/>
      <c r="G2023" s="229"/>
      <c r="H2023" s="229"/>
      <c r="I2023" s="72"/>
      <c r="J2023" s="185"/>
      <c r="K2023" s="205"/>
      <c r="L2023" s="7"/>
    </row>
    <row r="2024" spans="1:12">
      <c r="A2024" s="19"/>
      <c r="B2024" s="7"/>
      <c r="C2024" s="175"/>
      <c r="D2024" s="175"/>
      <c r="E2024" s="175"/>
      <c r="F2024" s="229"/>
      <c r="G2024" s="229"/>
      <c r="H2024" s="229"/>
      <c r="I2024" s="72"/>
      <c r="J2024" s="185"/>
      <c r="K2024" s="205"/>
      <c r="L2024" s="7"/>
    </row>
    <row r="2025" spans="1:12">
      <c r="A2025" s="19"/>
      <c r="B2025" s="7"/>
      <c r="C2025" s="175"/>
      <c r="D2025" s="175"/>
      <c r="E2025" s="175"/>
      <c r="F2025" s="229"/>
      <c r="G2025" s="229"/>
      <c r="H2025" s="229"/>
      <c r="I2025" s="72"/>
      <c r="J2025" s="185"/>
      <c r="K2025" s="205"/>
      <c r="L2025" s="7"/>
    </row>
    <row r="2026" spans="1:12">
      <c r="A2026" s="19"/>
      <c r="B2026" s="7"/>
      <c r="C2026" s="175"/>
      <c r="D2026" s="175"/>
      <c r="E2026" s="175"/>
      <c r="F2026" s="229"/>
      <c r="G2026" s="229"/>
      <c r="H2026" s="229"/>
      <c r="I2026" s="72"/>
      <c r="J2026" s="185"/>
      <c r="K2026" s="205"/>
      <c r="L2026" s="7"/>
    </row>
    <row r="2027" spans="1:12">
      <c r="A2027" s="19"/>
      <c r="B2027" s="7"/>
      <c r="C2027" s="175"/>
      <c r="D2027" s="175"/>
      <c r="E2027" s="175"/>
      <c r="F2027" s="229"/>
      <c r="G2027" s="229"/>
      <c r="H2027" s="229"/>
      <c r="I2027" s="72"/>
      <c r="J2027" s="185"/>
      <c r="K2027" s="205"/>
      <c r="L2027" s="7"/>
    </row>
    <row r="2028" spans="1:12">
      <c r="A2028" s="19"/>
      <c r="B2028" s="7"/>
      <c r="C2028" s="175"/>
      <c r="D2028" s="175"/>
      <c r="E2028" s="175"/>
      <c r="F2028" s="229"/>
      <c r="G2028" s="229"/>
      <c r="H2028" s="229"/>
      <c r="I2028" s="72"/>
      <c r="J2028" s="185"/>
      <c r="K2028" s="205"/>
      <c r="L2028" s="7"/>
    </row>
    <row r="2029" spans="1:12">
      <c r="A2029" s="19"/>
      <c r="B2029" s="7"/>
      <c r="C2029" s="175"/>
      <c r="D2029" s="175"/>
      <c r="E2029" s="175"/>
      <c r="F2029" s="229"/>
      <c r="G2029" s="229"/>
      <c r="H2029" s="229"/>
      <c r="I2029" s="72"/>
      <c r="J2029" s="185"/>
      <c r="K2029" s="205"/>
      <c r="L2029" s="7"/>
    </row>
    <row r="2030" spans="1:12">
      <c r="A2030" s="19"/>
      <c r="B2030" s="7"/>
      <c r="C2030" s="175"/>
      <c r="D2030" s="175"/>
      <c r="E2030" s="175"/>
      <c r="F2030" s="229"/>
      <c r="G2030" s="229"/>
      <c r="H2030" s="229"/>
      <c r="I2030" s="72"/>
      <c r="J2030" s="185"/>
      <c r="K2030" s="205"/>
      <c r="L2030" s="7"/>
    </row>
    <row r="2031" spans="1:12">
      <c r="A2031" s="19"/>
      <c r="B2031" s="7"/>
      <c r="C2031" s="175"/>
      <c r="D2031" s="175"/>
      <c r="E2031" s="175"/>
      <c r="F2031" s="229"/>
      <c r="G2031" s="229"/>
      <c r="H2031" s="229"/>
      <c r="I2031" s="72"/>
      <c r="J2031" s="185"/>
      <c r="K2031" s="205"/>
      <c r="L2031" s="7"/>
    </row>
    <row r="2032" spans="1:12">
      <c r="A2032" s="19"/>
      <c r="B2032" s="7"/>
      <c r="C2032" s="175"/>
      <c r="D2032" s="175"/>
      <c r="E2032" s="175"/>
      <c r="F2032" s="229"/>
      <c r="G2032" s="229"/>
      <c r="H2032" s="229"/>
      <c r="I2032" s="72"/>
      <c r="J2032" s="185"/>
      <c r="K2032" s="205"/>
      <c r="L2032" s="7"/>
    </row>
    <row r="2033" spans="1:12">
      <c r="A2033" s="19"/>
      <c r="B2033" s="7"/>
      <c r="C2033" s="175"/>
      <c r="D2033" s="175"/>
      <c r="E2033" s="175"/>
      <c r="F2033" s="229"/>
      <c r="G2033" s="229"/>
      <c r="H2033" s="229"/>
      <c r="I2033" s="72"/>
      <c r="J2033" s="185"/>
      <c r="K2033" s="205"/>
      <c r="L2033" s="7"/>
    </row>
    <row r="2034" spans="1:12">
      <c r="A2034" s="19"/>
      <c r="B2034" s="7"/>
      <c r="C2034" s="175"/>
      <c r="D2034" s="175"/>
      <c r="E2034" s="175"/>
      <c r="F2034" s="229"/>
      <c r="G2034" s="229"/>
      <c r="H2034" s="229"/>
      <c r="I2034" s="72"/>
      <c r="J2034" s="185"/>
      <c r="K2034" s="205"/>
      <c r="L2034" s="7"/>
    </row>
    <row r="2035" spans="1:12">
      <c r="A2035" s="19"/>
      <c r="B2035" s="7"/>
      <c r="C2035" s="175"/>
      <c r="D2035" s="175"/>
      <c r="E2035" s="175"/>
      <c r="F2035" s="229"/>
      <c r="G2035" s="229"/>
      <c r="H2035" s="229"/>
      <c r="I2035" s="72"/>
      <c r="J2035" s="185"/>
      <c r="K2035" s="205"/>
      <c r="L2035" s="7"/>
    </row>
    <row r="2036" spans="1:12">
      <c r="A2036" s="19"/>
      <c r="B2036" s="7"/>
      <c r="C2036" s="175"/>
      <c r="D2036" s="175"/>
      <c r="E2036" s="175"/>
      <c r="F2036" s="229"/>
      <c r="G2036" s="229"/>
      <c r="H2036" s="229"/>
      <c r="I2036" s="72"/>
      <c r="J2036" s="185"/>
      <c r="K2036" s="205"/>
      <c r="L2036" s="7"/>
    </row>
    <row r="2037" spans="1:12">
      <c r="A2037" s="19"/>
      <c r="B2037" s="7"/>
      <c r="C2037" s="175"/>
      <c r="D2037" s="175"/>
      <c r="E2037" s="175"/>
      <c r="F2037" s="229"/>
      <c r="G2037" s="229"/>
      <c r="H2037" s="229"/>
      <c r="I2037" s="72"/>
      <c r="J2037" s="185"/>
      <c r="K2037" s="205"/>
      <c r="L2037" s="7"/>
    </row>
    <row r="2038" spans="1:12">
      <c r="A2038" s="19"/>
      <c r="B2038" s="7"/>
      <c r="C2038" s="175"/>
      <c r="D2038" s="175"/>
      <c r="E2038" s="175"/>
      <c r="F2038" s="229"/>
      <c r="G2038" s="229"/>
      <c r="H2038" s="229"/>
      <c r="I2038" s="72"/>
      <c r="J2038" s="185"/>
      <c r="K2038" s="205"/>
      <c r="L2038" s="7"/>
    </row>
    <row r="2039" spans="1:12">
      <c r="A2039" s="19"/>
      <c r="B2039" s="7"/>
      <c r="C2039" s="175"/>
      <c r="D2039" s="175"/>
      <c r="E2039" s="175"/>
      <c r="F2039" s="229"/>
      <c r="G2039" s="229"/>
      <c r="H2039" s="229"/>
      <c r="I2039" s="72"/>
      <c r="J2039" s="185"/>
      <c r="K2039" s="205"/>
      <c r="L2039" s="7"/>
    </row>
    <row r="2040" spans="1:12">
      <c r="A2040" s="19"/>
      <c r="B2040" s="7"/>
      <c r="C2040" s="175"/>
      <c r="D2040" s="175"/>
      <c r="E2040" s="175"/>
      <c r="F2040" s="229"/>
      <c r="G2040" s="229"/>
      <c r="H2040" s="229"/>
      <c r="I2040" s="72"/>
      <c r="J2040" s="185"/>
      <c r="K2040" s="205"/>
      <c r="L2040" s="7"/>
    </row>
    <row r="2041" spans="1:12">
      <c r="A2041" s="19"/>
      <c r="B2041" s="7"/>
      <c r="C2041" s="175"/>
      <c r="D2041" s="175"/>
      <c r="E2041" s="175"/>
      <c r="F2041" s="229"/>
      <c r="G2041" s="229"/>
      <c r="H2041" s="229"/>
      <c r="I2041" s="72"/>
      <c r="J2041" s="185"/>
      <c r="K2041" s="205"/>
      <c r="L2041" s="7"/>
    </row>
    <row r="2042" spans="1:12">
      <c r="A2042" s="19"/>
      <c r="B2042" s="7"/>
      <c r="C2042" s="175"/>
      <c r="D2042" s="175"/>
      <c r="E2042" s="175"/>
      <c r="F2042" s="229"/>
      <c r="G2042" s="229"/>
      <c r="H2042" s="229"/>
      <c r="I2042" s="72"/>
      <c r="J2042" s="185"/>
      <c r="K2042" s="205"/>
      <c r="L2042" s="7"/>
    </row>
    <row r="2043" spans="1:12">
      <c r="A2043" s="19"/>
      <c r="B2043" s="7"/>
      <c r="C2043" s="175"/>
      <c r="D2043" s="175"/>
      <c r="E2043" s="175"/>
      <c r="F2043" s="229"/>
      <c r="G2043" s="229"/>
      <c r="H2043" s="229"/>
      <c r="I2043" s="72"/>
      <c r="J2043" s="185"/>
      <c r="K2043" s="205"/>
      <c r="L2043" s="7"/>
    </row>
    <row r="2044" spans="1:12">
      <c r="A2044" s="19"/>
      <c r="B2044" s="7"/>
      <c r="C2044" s="175"/>
      <c r="D2044" s="175"/>
      <c r="E2044" s="175"/>
      <c r="F2044" s="229"/>
      <c r="G2044" s="229"/>
      <c r="H2044" s="229"/>
      <c r="I2044" s="72"/>
      <c r="J2044" s="185"/>
      <c r="K2044" s="205"/>
      <c r="L2044" s="7"/>
    </row>
    <row r="2045" spans="1:12">
      <c r="A2045" s="19"/>
      <c r="B2045" s="7"/>
      <c r="C2045" s="175"/>
      <c r="D2045" s="175"/>
      <c r="E2045" s="175"/>
      <c r="F2045" s="229"/>
      <c r="G2045" s="229"/>
      <c r="H2045" s="229"/>
      <c r="I2045" s="72"/>
      <c r="J2045" s="185"/>
      <c r="K2045" s="205"/>
      <c r="L2045" s="7"/>
    </row>
    <row r="2046" spans="1:12">
      <c r="A2046" s="19"/>
      <c r="B2046" s="7"/>
      <c r="C2046" s="175"/>
      <c r="D2046" s="175"/>
      <c r="E2046" s="175"/>
      <c r="F2046" s="229"/>
      <c r="G2046" s="229"/>
      <c r="H2046" s="229"/>
      <c r="I2046" s="72"/>
      <c r="J2046" s="185"/>
      <c r="K2046" s="205"/>
      <c r="L2046" s="7"/>
    </row>
    <row r="2047" spans="1:12">
      <c r="A2047" s="19"/>
      <c r="B2047" s="7"/>
      <c r="C2047" s="175"/>
      <c r="D2047" s="175"/>
      <c r="E2047" s="175"/>
      <c r="F2047" s="229"/>
      <c r="G2047" s="229"/>
      <c r="H2047" s="229"/>
      <c r="I2047" s="72"/>
      <c r="J2047" s="185"/>
      <c r="K2047" s="205"/>
      <c r="L2047" s="7"/>
    </row>
    <row r="2048" spans="1:12">
      <c r="A2048" s="19"/>
      <c r="B2048" s="7"/>
      <c r="C2048" s="175"/>
      <c r="D2048" s="175"/>
      <c r="E2048" s="175"/>
      <c r="F2048" s="229"/>
      <c r="G2048" s="229"/>
      <c r="H2048" s="229"/>
      <c r="I2048" s="72"/>
      <c r="J2048" s="185"/>
      <c r="K2048" s="205"/>
      <c r="L2048" s="7"/>
    </row>
    <row r="2049" spans="1:12">
      <c r="A2049" s="19"/>
      <c r="B2049" s="7"/>
      <c r="C2049" s="175"/>
      <c r="D2049" s="175"/>
      <c r="E2049" s="175"/>
      <c r="F2049" s="229"/>
      <c r="G2049" s="229"/>
      <c r="H2049" s="229"/>
      <c r="I2049" s="72"/>
      <c r="J2049" s="185"/>
      <c r="K2049" s="205"/>
      <c r="L2049" s="7"/>
    </row>
    <row r="2050" spans="1:12">
      <c r="A2050" s="20"/>
      <c r="B2050" s="21"/>
      <c r="C2050" s="175"/>
      <c r="D2050" s="175"/>
      <c r="E2050" s="175"/>
      <c r="F2050" s="232"/>
      <c r="G2050" s="232"/>
      <c r="H2050" s="232"/>
      <c r="I2050" s="63"/>
      <c r="J2050" s="190"/>
      <c r="K2050" s="206"/>
      <c r="L2050" s="7"/>
    </row>
    <row r="2051" spans="1:12">
      <c r="A2051" s="19"/>
      <c r="B2051" s="7"/>
      <c r="C2051" s="175"/>
      <c r="D2051" s="175"/>
      <c r="E2051" s="175"/>
      <c r="F2051" s="229"/>
      <c r="G2051" s="229"/>
      <c r="H2051" s="229"/>
      <c r="I2051" s="72"/>
      <c r="J2051" s="185"/>
      <c r="K2051" s="205"/>
      <c r="L2051" s="7"/>
    </row>
    <row r="2052" spans="1:12">
      <c r="A2052" s="20"/>
      <c r="B2052" s="21"/>
      <c r="C2052" s="175"/>
      <c r="D2052" s="175"/>
      <c r="E2052" s="175"/>
      <c r="F2052" s="232"/>
      <c r="G2052" s="232"/>
      <c r="H2052" s="232"/>
      <c r="I2052" s="63"/>
      <c r="J2052" s="190"/>
      <c r="K2052" s="206"/>
      <c r="L2052" s="7"/>
    </row>
    <row r="2053" spans="1:12">
      <c r="A2053" s="20"/>
      <c r="B2053" s="21"/>
      <c r="C2053" s="175"/>
      <c r="D2053" s="175"/>
      <c r="E2053" s="175"/>
      <c r="F2053" s="232"/>
      <c r="G2053" s="232"/>
      <c r="H2053" s="232"/>
      <c r="I2053" s="63"/>
      <c r="J2053" s="190"/>
      <c r="K2053" s="206"/>
      <c r="L2053" s="7"/>
    </row>
    <row r="2054" spans="1:12">
      <c r="A2054" s="19"/>
      <c r="B2054" s="7"/>
      <c r="C2054" s="175"/>
      <c r="D2054" s="175"/>
      <c r="E2054" s="175"/>
      <c r="F2054" s="229"/>
      <c r="G2054" s="229"/>
      <c r="H2054" s="229"/>
      <c r="I2054" s="72"/>
      <c r="J2054" s="185"/>
      <c r="K2054" s="205"/>
      <c r="L2054" s="7"/>
    </row>
    <row r="2055" spans="1:12">
      <c r="A2055" s="19"/>
      <c r="B2055" s="7"/>
      <c r="C2055" s="175"/>
      <c r="D2055" s="175"/>
      <c r="E2055" s="175"/>
      <c r="F2055" s="229"/>
      <c r="G2055" s="229"/>
      <c r="H2055" s="229"/>
      <c r="I2055" s="72"/>
      <c r="J2055" s="185"/>
      <c r="K2055" s="205"/>
      <c r="L2055" s="7"/>
    </row>
    <row r="2056" spans="1:12">
      <c r="A2056" s="20"/>
      <c r="B2056" s="21"/>
      <c r="C2056" s="175"/>
      <c r="D2056" s="175"/>
      <c r="E2056" s="175"/>
      <c r="F2056" s="232"/>
      <c r="G2056" s="232"/>
      <c r="H2056" s="232"/>
      <c r="I2056" s="63"/>
      <c r="J2056" s="190"/>
      <c r="K2056" s="206"/>
      <c r="L2056" s="7"/>
    </row>
    <row r="2057" spans="1:12">
      <c r="A2057" s="20"/>
      <c r="B2057" s="21"/>
      <c r="C2057" s="175"/>
      <c r="D2057" s="175"/>
      <c r="E2057" s="175"/>
      <c r="F2057" s="232"/>
      <c r="G2057" s="232"/>
      <c r="H2057" s="232"/>
      <c r="I2057" s="63"/>
      <c r="J2057" s="190"/>
      <c r="K2057" s="206"/>
      <c r="L2057" s="7"/>
    </row>
    <row r="2058" spans="1:12">
      <c r="A2058" s="19"/>
      <c r="B2058" s="7"/>
      <c r="C2058" s="175"/>
      <c r="D2058" s="175"/>
      <c r="E2058" s="175"/>
      <c r="F2058" s="229"/>
      <c r="G2058" s="229"/>
      <c r="H2058" s="229"/>
      <c r="I2058" s="72"/>
      <c r="J2058" s="185"/>
      <c r="K2058" s="205"/>
      <c r="L2058" s="7"/>
    </row>
    <row r="2059" spans="1:12">
      <c r="A2059" s="19"/>
      <c r="B2059" s="7"/>
      <c r="C2059" s="175"/>
      <c r="D2059" s="175"/>
      <c r="E2059" s="175"/>
      <c r="F2059" s="229"/>
      <c r="G2059" s="229"/>
      <c r="H2059" s="229"/>
      <c r="I2059" s="72"/>
      <c r="J2059" s="185"/>
      <c r="K2059" s="205"/>
      <c r="L2059" s="7"/>
    </row>
    <row r="2060" spans="1:12">
      <c r="A2060" s="19"/>
      <c r="B2060" s="7"/>
      <c r="C2060" s="175"/>
      <c r="D2060" s="175"/>
      <c r="E2060" s="175"/>
      <c r="F2060" s="229"/>
      <c r="G2060" s="229"/>
      <c r="H2060" s="229"/>
      <c r="I2060" s="72"/>
      <c r="J2060" s="185"/>
      <c r="K2060" s="205"/>
      <c r="L2060" s="7"/>
    </row>
    <row r="2061" spans="1:12">
      <c r="A2061" s="19"/>
      <c r="B2061" s="7"/>
      <c r="C2061" s="175"/>
      <c r="D2061" s="175"/>
      <c r="E2061" s="175"/>
      <c r="F2061" s="229"/>
      <c r="G2061" s="229"/>
      <c r="H2061" s="229"/>
      <c r="I2061" s="72"/>
      <c r="J2061" s="185"/>
      <c r="K2061" s="205"/>
      <c r="L2061" s="7"/>
    </row>
    <row r="2062" spans="1:12">
      <c r="A2062" s="19"/>
      <c r="B2062" s="7"/>
      <c r="C2062" s="175"/>
      <c r="D2062" s="175"/>
      <c r="E2062" s="175"/>
      <c r="F2062" s="229"/>
      <c r="G2062" s="229"/>
      <c r="H2062" s="229"/>
      <c r="I2062" s="72"/>
      <c r="J2062" s="185"/>
      <c r="K2062" s="205"/>
      <c r="L2062" s="7"/>
    </row>
    <row r="2063" spans="1:12">
      <c r="A2063" s="19"/>
      <c r="B2063" s="7"/>
      <c r="C2063" s="175"/>
      <c r="D2063" s="175"/>
      <c r="E2063" s="175"/>
      <c r="F2063" s="229"/>
      <c r="G2063" s="229"/>
      <c r="H2063" s="229"/>
      <c r="I2063" s="72"/>
      <c r="J2063" s="185"/>
      <c r="K2063" s="205"/>
      <c r="L2063" s="7"/>
    </row>
    <row r="2064" spans="1:12">
      <c r="A2064" s="19"/>
      <c r="B2064" s="7"/>
      <c r="C2064" s="175"/>
      <c r="D2064" s="175"/>
      <c r="E2064" s="175"/>
      <c r="F2064" s="229"/>
      <c r="G2064" s="229"/>
      <c r="H2064" s="229"/>
      <c r="I2064" s="72"/>
      <c r="J2064" s="185"/>
      <c r="K2064" s="205"/>
      <c r="L2064" s="7"/>
    </row>
    <row r="2065" spans="1:12">
      <c r="A2065" s="19"/>
      <c r="B2065" s="7"/>
      <c r="C2065" s="175"/>
      <c r="D2065" s="175"/>
      <c r="E2065" s="175"/>
      <c r="F2065" s="229"/>
      <c r="G2065" s="229"/>
      <c r="H2065" s="229"/>
      <c r="I2065" s="72"/>
      <c r="J2065" s="185"/>
      <c r="K2065" s="205"/>
      <c r="L2065" s="7"/>
    </row>
    <row r="2066" spans="1:12">
      <c r="A2066" s="19"/>
      <c r="B2066" s="7"/>
      <c r="C2066" s="175"/>
      <c r="D2066" s="175"/>
      <c r="E2066" s="175"/>
      <c r="F2066" s="229"/>
      <c r="G2066" s="229"/>
      <c r="H2066" s="229"/>
      <c r="I2066" s="72"/>
      <c r="J2066" s="185"/>
      <c r="K2066" s="205"/>
      <c r="L2066" s="7"/>
    </row>
    <row r="2067" spans="1:12">
      <c r="A2067" s="19"/>
      <c r="B2067" s="7"/>
      <c r="C2067" s="175"/>
      <c r="D2067" s="175"/>
      <c r="E2067" s="175"/>
      <c r="F2067" s="229"/>
      <c r="G2067" s="229"/>
      <c r="H2067" s="229"/>
      <c r="I2067" s="72"/>
      <c r="J2067" s="185"/>
      <c r="K2067" s="205"/>
      <c r="L2067" s="7"/>
    </row>
    <row r="2068" spans="1:12">
      <c r="A2068" s="19"/>
      <c r="B2068" s="7"/>
      <c r="C2068" s="175"/>
      <c r="D2068" s="175"/>
      <c r="E2068" s="175"/>
      <c r="F2068" s="229"/>
      <c r="G2068" s="229"/>
      <c r="H2068" s="229"/>
      <c r="I2068" s="72"/>
      <c r="J2068" s="185"/>
      <c r="K2068" s="205"/>
      <c r="L2068" s="7"/>
    </row>
    <row r="2069" spans="1:12">
      <c r="A2069" s="19"/>
      <c r="B2069" s="7"/>
      <c r="C2069" s="175"/>
      <c r="D2069" s="175"/>
      <c r="E2069" s="175"/>
      <c r="F2069" s="229"/>
      <c r="G2069" s="229"/>
      <c r="H2069" s="229"/>
      <c r="I2069" s="72"/>
      <c r="J2069" s="185"/>
      <c r="K2069" s="205"/>
      <c r="L2069" s="7"/>
    </row>
    <row r="2070" spans="1:12">
      <c r="A2070" s="20"/>
      <c r="B2070" s="21"/>
      <c r="C2070" s="175"/>
      <c r="D2070" s="175"/>
      <c r="E2070" s="175"/>
      <c r="F2070" s="232"/>
      <c r="G2070" s="232"/>
      <c r="H2070" s="232"/>
      <c r="I2070" s="63"/>
      <c r="J2070" s="190"/>
      <c r="K2070" s="206"/>
      <c r="L2070" s="7"/>
    </row>
    <row r="2071" spans="1:12">
      <c r="A2071" s="20"/>
      <c r="B2071" s="21"/>
      <c r="C2071" s="175"/>
      <c r="D2071" s="175"/>
      <c r="E2071" s="175"/>
      <c r="F2071" s="232"/>
      <c r="G2071" s="232"/>
      <c r="H2071" s="232"/>
      <c r="I2071" s="63"/>
      <c r="J2071" s="190"/>
      <c r="K2071" s="206"/>
      <c r="L2071" s="7"/>
    </row>
    <row r="2072" spans="1:12">
      <c r="A2072" s="20"/>
      <c r="B2072" s="21"/>
      <c r="C2072" s="175"/>
      <c r="D2072" s="175"/>
      <c r="E2072" s="175"/>
      <c r="F2072" s="232"/>
      <c r="G2072" s="232"/>
      <c r="H2072" s="232"/>
      <c r="I2072" s="63"/>
      <c r="J2072" s="190"/>
      <c r="K2072" s="206"/>
      <c r="L2072" s="7"/>
    </row>
    <row r="2073" spans="1:12">
      <c r="A2073" s="20"/>
      <c r="B2073" s="21"/>
      <c r="C2073" s="175"/>
      <c r="D2073" s="175"/>
      <c r="E2073" s="175"/>
      <c r="F2073" s="232"/>
      <c r="G2073" s="232"/>
      <c r="H2073" s="232"/>
      <c r="I2073" s="63"/>
      <c r="J2073" s="190"/>
      <c r="K2073" s="206"/>
      <c r="L2073" s="7"/>
    </row>
    <row r="2074" spans="1:12">
      <c r="A2074" s="20"/>
      <c r="B2074" s="21"/>
      <c r="C2074" s="175"/>
      <c r="D2074" s="175"/>
      <c r="E2074" s="175"/>
      <c r="F2074" s="232"/>
      <c r="G2074" s="232"/>
      <c r="H2074" s="232"/>
      <c r="I2074" s="63"/>
      <c r="J2074" s="190"/>
      <c r="K2074" s="206"/>
      <c r="L2074" s="7"/>
    </row>
    <row r="2075" spans="1:12">
      <c r="A2075" s="20"/>
      <c r="B2075" s="21"/>
      <c r="C2075" s="175"/>
      <c r="D2075" s="175"/>
      <c r="E2075" s="175"/>
      <c r="F2075" s="232"/>
      <c r="G2075" s="232"/>
      <c r="H2075" s="232"/>
      <c r="I2075" s="63"/>
      <c r="J2075" s="190"/>
      <c r="K2075" s="206"/>
      <c r="L2075" s="7"/>
    </row>
    <row r="2076" spans="1:12">
      <c r="A2076" s="20"/>
      <c r="B2076" s="21"/>
      <c r="C2076" s="175"/>
      <c r="D2076" s="175"/>
      <c r="E2076" s="175"/>
      <c r="F2076" s="232"/>
      <c r="G2076" s="232"/>
      <c r="H2076" s="232"/>
      <c r="I2076" s="63"/>
      <c r="J2076" s="190"/>
      <c r="K2076" s="206"/>
      <c r="L2076" s="7"/>
    </row>
    <row r="2077" spans="1:12">
      <c r="A2077" s="20"/>
      <c r="B2077" s="21"/>
      <c r="C2077" s="175"/>
      <c r="D2077" s="175"/>
      <c r="E2077" s="175"/>
      <c r="F2077" s="232"/>
      <c r="G2077" s="232"/>
      <c r="H2077" s="232"/>
      <c r="I2077" s="63"/>
      <c r="J2077" s="190"/>
      <c r="K2077" s="206"/>
      <c r="L2077" s="7"/>
    </row>
    <row r="2078" spans="1:12">
      <c r="A2078" s="20"/>
      <c r="B2078" s="21"/>
      <c r="C2078" s="175"/>
      <c r="D2078" s="175"/>
      <c r="E2078" s="175"/>
      <c r="F2078" s="232"/>
      <c r="G2078" s="232"/>
      <c r="H2078" s="232"/>
      <c r="I2078" s="63"/>
      <c r="J2078" s="190"/>
      <c r="K2078" s="206"/>
      <c r="L2078" s="7"/>
    </row>
    <row r="2079" spans="1:12">
      <c r="A2079" s="20"/>
      <c r="B2079" s="21"/>
      <c r="C2079" s="175"/>
      <c r="D2079" s="175"/>
      <c r="E2079" s="175"/>
      <c r="F2079" s="232"/>
      <c r="G2079" s="232"/>
      <c r="H2079" s="232"/>
      <c r="I2079" s="63"/>
      <c r="J2079" s="190"/>
      <c r="K2079" s="206"/>
      <c r="L2079" s="7"/>
    </row>
    <row r="2080" spans="1:12">
      <c r="A2080" s="19"/>
      <c r="B2080" s="7"/>
      <c r="C2080" s="175"/>
      <c r="D2080" s="175"/>
      <c r="E2080" s="175"/>
      <c r="F2080" s="229"/>
      <c r="G2080" s="229"/>
      <c r="H2080" s="229"/>
      <c r="I2080" s="72"/>
      <c r="J2080" s="185"/>
      <c r="K2080" s="205"/>
      <c r="L2080" s="7"/>
    </row>
    <row r="2081" spans="1:12">
      <c r="A2081" s="19"/>
      <c r="B2081" s="7"/>
      <c r="C2081" s="175"/>
      <c r="D2081" s="175"/>
      <c r="E2081" s="175"/>
      <c r="F2081" s="229"/>
      <c r="G2081" s="229"/>
      <c r="H2081" s="229"/>
      <c r="I2081" s="72"/>
      <c r="J2081" s="185"/>
      <c r="K2081" s="205"/>
      <c r="L2081" s="7"/>
    </row>
    <row r="2082" spans="1:12">
      <c r="A2082" s="19"/>
      <c r="B2082" s="7"/>
      <c r="C2082" s="175"/>
      <c r="D2082" s="175"/>
      <c r="E2082" s="175"/>
      <c r="F2082" s="229"/>
      <c r="G2082" s="229"/>
      <c r="H2082" s="229"/>
      <c r="I2082" s="72"/>
      <c r="J2082" s="185"/>
      <c r="K2082" s="205"/>
      <c r="L2082" s="7"/>
    </row>
    <row r="2083" spans="1:12">
      <c r="A2083" s="19"/>
      <c r="B2083" s="7"/>
      <c r="C2083" s="175"/>
      <c r="D2083" s="175"/>
      <c r="E2083" s="175"/>
      <c r="F2083" s="229"/>
      <c r="G2083" s="229"/>
      <c r="H2083" s="229"/>
      <c r="I2083" s="72"/>
      <c r="J2083" s="185"/>
      <c r="K2083" s="205"/>
      <c r="L2083" s="7"/>
    </row>
    <row r="2084" spans="1:12">
      <c r="A2084" s="19"/>
      <c r="B2084" s="7"/>
      <c r="C2084" s="175"/>
      <c r="D2084" s="175"/>
      <c r="E2084" s="175"/>
      <c r="F2084" s="229"/>
      <c r="G2084" s="229"/>
      <c r="H2084" s="229"/>
      <c r="I2084" s="72"/>
      <c r="J2084" s="185"/>
      <c r="K2084" s="205"/>
      <c r="L2084" s="7"/>
    </row>
    <row r="2085" spans="1:12">
      <c r="A2085" s="19"/>
      <c r="B2085" s="7"/>
      <c r="C2085" s="175"/>
      <c r="D2085" s="175"/>
      <c r="E2085" s="175"/>
      <c r="F2085" s="229"/>
      <c r="G2085" s="229"/>
      <c r="H2085" s="229"/>
      <c r="I2085" s="72"/>
      <c r="J2085" s="185"/>
      <c r="K2085" s="205"/>
      <c r="L2085" s="7"/>
    </row>
    <row r="2086" spans="1:12">
      <c r="A2086" s="19"/>
      <c r="B2086" s="7"/>
      <c r="C2086" s="175"/>
      <c r="D2086" s="175"/>
      <c r="E2086" s="175"/>
      <c r="F2086" s="229"/>
      <c r="G2086" s="229"/>
      <c r="H2086" s="229"/>
      <c r="I2086" s="72"/>
      <c r="J2086" s="185"/>
      <c r="K2086" s="205"/>
      <c r="L2086" s="7"/>
    </row>
    <row r="2087" spans="1:12">
      <c r="A2087" s="19"/>
      <c r="B2087" s="7"/>
      <c r="C2087" s="175"/>
      <c r="D2087" s="175"/>
      <c r="E2087" s="175"/>
      <c r="F2087" s="229"/>
      <c r="G2087" s="229"/>
      <c r="H2087" s="229"/>
      <c r="I2087" s="72"/>
      <c r="J2087" s="185"/>
      <c r="K2087" s="205"/>
      <c r="L2087" s="7"/>
    </row>
    <row r="2088" spans="1:12">
      <c r="A2088" s="19"/>
      <c r="B2088" s="7"/>
      <c r="C2088" s="175"/>
      <c r="D2088" s="175"/>
      <c r="E2088" s="175"/>
      <c r="F2088" s="229"/>
      <c r="G2088" s="229"/>
      <c r="H2088" s="229"/>
      <c r="I2088" s="72"/>
      <c r="J2088" s="185"/>
      <c r="K2088" s="205"/>
      <c r="L2088" s="7"/>
    </row>
    <row r="2089" spans="1:12">
      <c r="A2089" s="19"/>
      <c r="B2089" s="7"/>
      <c r="C2089" s="175"/>
      <c r="D2089" s="175"/>
      <c r="E2089" s="175"/>
      <c r="F2089" s="229"/>
      <c r="G2089" s="229"/>
      <c r="H2089" s="229"/>
      <c r="I2089" s="72"/>
      <c r="J2089" s="185"/>
      <c r="K2089" s="205"/>
      <c r="L2089" s="7"/>
    </row>
    <row r="2090" spans="1:12">
      <c r="A2090" s="19"/>
      <c r="B2090" s="7"/>
      <c r="C2090" s="175"/>
      <c r="D2090" s="175"/>
      <c r="E2090" s="175"/>
      <c r="F2090" s="229"/>
      <c r="G2090" s="229"/>
      <c r="H2090" s="229"/>
      <c r="I2090" s="72"/>
      <c r="J2090" s="185"/>
      <c r="K2090" s="205"/>
      <c r="L2090" s="7"/>
    </row>
    <row r="2091" spans="1:12">
      <c r="A2091" s="19"/>
      <c r="B2091" s="7"/>
      <c r="C2091" s="175"/>
      <c r="D2091" s="175"/>
      <c r="E2091" s="175"/>
      <c r="F2091" s="229"/>
      <c r="G2091" s="229"/>
      <c r="H2091" s="229"/>
      <c r="I2091" s="72"/>
      <c r="J2091" s="185"/>
      <c r="K2091" s="205"/>
      <c r="L2091" s="7"/>
    </row>
    <row r="2092" spans="1:12">
      <c r="A2092" s="19"/>
      <c r="B2092" s="7"/>
      <c r="C2092" s="175"/>
      <c r="D2092" s="175"/>
      <c r="E2092" s="175"/>
      <c r="F2092" s="229"/>
      <c r="G2092" s="229"/>
      <c r="H2092" s="229"/>
      <c r="I2092" s="72"/>
      <c r="J2092" s="185"/>
      <c r="K2092" s="205"/>
      <c r="L2092" s="7"/>
    </row>
    <row r="2093" spans="1:12">
      <c r="A2093" s="19"/>
      <c r="B2093" s="7"/>
      <c r="C2093" s="175"/>
      <c r="D2093" s="175"/>
      <c r="E2093" s="175"/>
      <c r="F2093" s="229"/>
      <c r="G2093" s="229"/>
      <c r="H2093" s="229"/>
      <c r="I2093" s="72"/>
      <c r="J2093" s="185"/>
      <c r="K2093" s="205"/>
      <c r="L2093" s="7"/>
    </row>
    <row r="2094" spans="1:12">
      <c r="A2094" s="19"/>
      <c r="B2094" s="7"/>
      <c r="C2094" s="175"/>
      <c r="D2094" s="175"/>
      <c r="E2094" s="175"/>
      <c r="F2094" s="229"/>
      <c r="G2094" s="229"/>
      <c r="H2094" s="229"/>
      <c r="I2094" s="72"/>
      <c r="J2094" s="185"/>
      <c r="K2094" s="205"/>
      <c r="L2094" s="7"/>
    </row>
    <row r="2095" spans="1:12">
      <c r="A2095" s="19"/>
      <c r="B2095" s="7"/>
      <c r="C2095" s="175"/>
      <c r="D2095" s="175"/>
      <c r="E2095" s="175"/>
      <c r="F2095" s="229"/>
      <c r="G2095" s="229"/>
      <c r="H2095" s="229"/>
      <c r="I2095" s="72"/>
      <c r="J2095" s="185"/>
      <c r="K2095" s="205"/>
      <c r="L2095" s="7"/>
    </row>
    <row r="2096" spans="1:12">
      <c r="A2096" s="19"/>
      <c r="B2096" s="7"/>
      <c r="C2096" s="175"/>
      <c r="D2096" s="175"/>
      <c r="E2096" s="175"/>
      <c r="F2096" s="229"/>
      <c r="G2096" s="229"/>
      <c r="H2096" s="229"/>
      <c r="I2096" s="72"/>
      <c r="J2096" s="185"/>
      <c r="K2096" s="205"/>
      <c r="L2096" s="7"/>
    </row>
    <row r="2097" spans="1:12">
      <c r="A2097" s="19"/>
      <c r="B2097" s="7"/>
      <c r="C2097" s="175"/>
      <c r="D2097" s="175"/>
      <c r="E2097" s="175"/>
      <c r="F2097" s="229"/>
      <c r="G2097" s="229"/>
      <c r="H2097" s="229"/>
      <c r="I2097" s="72"/>
      <c r="J2097" s="185"/>
      <c r="K2097" s="205"/>
      <c r="L2097" s="7"/>
    </row>
    <row r="2098" spans="1:12">
      <c r="A2098" s="19"/>
      <c r="B2098" s="7"/>
      <c r="C2098" s="175"/>
      <c r="D2098" s="175"/>
      <c r="E2098" s="175"/>
      <c r="F2098" s="229"/>
      <c r="G2098" s="229"/>
      <c r="H2098" s="229"/>
      <c r="I2098" s="72"/>
      <c r="J2098" s="185"/>
      <c r="K2098" s="205"/>
      <c r="L2098" s="7"/>
    </row>
    <row r="2099" spans="1:12">
      <c r="A2099" s="19"/>
      <c r="B2099" s="7"/>
      <c r="C2099" s="175"/>
      <c r="D2099" s="175"/>
      <c r="E2099" s="175"/>
      <c r="F2099" s="229"/>
      <c r="G2099" s="229"/>
      <c r="H2099" s="229"/>
      <c r="I2099" s="72"/>
      <c r="J2099" s="185"/>
      <c r="K2099" s="205"/>
      <c r="L2099" s="7"/>
    </row>
    <row r="2100" spans="1:12">
      <c r="A2100" s="19"/>
      <c r="B2100" s="7"/>
      <c r="C2100" s="175"/>
      <c r="D2100" s="175"/>
      <c r="E2100" s="175"/>
      <c r="F2100" s="229"/>
      <c r="G2100" s="229"/>
      <c r="H2100" s="229"/>
      <c r="I2100" s="72"/>
      <c r="J2100" s="185"/>
      <c r="K2100" s="205"/>
      <c r="L2100" s="7"/>
    </row>
    <row r="2101" spans="1:12">
      <c r="A2101" s="19"/>
      <c r="B2101" s="7"/>
      <c r="C2101" s="175"/>
      <c r="D2101" s="175"/>
      <c r="E2101" s="175"/>
      <c r="F2101" s="229"/>
      <c r="G2101" s="229"/>
      <c r="H2101" s="229"/>
      <c r="I2101" s="72"/>
      <c r="J2101" s="185"/>
      <c r="K2101" s="205"/>
      <c r="L2101" s="7"/>
    </row>
    <row r="2102" spans="1:12">
      <c r="A2102" s="19"/>
      <c r="B2102" s="7"/>
      <c r="C2102" s="175"/>
      <c r="D2102" s="175"/>
      <c r="E2102" s="175"/>
      <c r="F2102" s="229"/>
      <c r="G2102" s="229"/>
      <c r="H2102" s="229"/>
      <c r="I2102" s="72"/>
      <c r="J2102" s="185"/>
      <c r="K2102" s="205"/>
      <c r="L2102" s="7"/>
    </row>
    <row r="2103" spans="1:12">
      <c r="A2103" s="19"/>
      <c r="B2103" s="7"/>
      <c r="C2103" s="175"/>
      <c r="D2103" s="175"/>
      <c r="E2103" s="175"/>
      <c r="F2103" s="229"/>
      <c r="G2103" s="229"/>
      <c r="H2103" s="229"/>
      <c r="I2103" s="72"/>
      <c r="J2103" s="185"/>
      <c r="K2103" s="205"/>
      <c r="L2103" s="7"/>
    </row>
    <row r="2104" spans="1:12">
      <c r="A2104" s="19"/>
      <c r="B2104" s="7"/>
      <c r="C2104" s="175"/>
      <c r="D2104" s="175"/>
      <c r="E2104" s="175"/>
      <c r="F2104" s="229"/>
      <c r="G2104" s="229"/>
      <c r="H2104" s="229"/>
      <c r="I2104" s="72"/>
      <c r="J2104" s="185"/>
      <c r="K2104" s="205"/>
      <c r="L2104" s="7"/>
    </row>
    <row r="2105" spans="1:12">
      <c r="A2105" s="19"/>
      <c r="B2105" s="7"/>
      <c r="C2105" s="175"/>
      <c r="D2105" s="175"/>
      <c r="E2105" s="175"/>
      <c r="F2105" s="229"/>
      <c r="G2105" s="229"/>
      <c r="H2105" s="229"/>
      <c r="I2105" s="72"/>
      <c r="J2105" s="185"/>
      <c r="K2105" s="205"/>
      <c r="L2105" s="7"/>
    </row>
    <row r="2106" spans="1:12">
      <c r="A2106" s="19"/>
      <c r="B2106" s="7"/>
      <c r="C2106" s="175"/>
      <c r="D2106" s="175"/>
      <c r="E2106" s="175"/>
      <c r="F2106" s="229"/>
      <c r="G2106" s="229"/>
      <c r="H2106" s="229"/>
      <c r="I2106" s="72"/>
      <c r="J2106" s="185"/>
      <c r="K2106" s="205"/>
      <c r="L2106" s="7"/>
    </row>
    <row r="2107" spans="1:12">
      <c r="A2107" s="19"/>
      <c r="B2107" s="7"/>
      <c r="C2107" s="175"/>
      <c r="D2107" s="175"/>
      <c r="E2107" s="175"/>
      <c r="F2107" s="229"/>
      <c r="G2107" s="229"/>
      <c r="H2107" s="229"/>
      <c r="I2107" s="72"/>
      <c r="J2107" s="185"/>
      <c r="K2107" s="205"/>
      <c r="L2107" s="7"/>
    </row>
    <row r="2108" spans="1:12">
      <c r="A2108" s="19"/>
      <c r="B2108" s="7"/>
      <c r="C2108" s="175"/>
      <c r="D2108" s="175"/>
      <c r="E2108" s="175"/>
      <c r="F2108" s="229"/>
      <c r="G2108" s="229"/>
      <c r="H2108" s="229"/>
      <c r="I2108" s="72"/>
      <c r="J2108" s="185"/>
      <c r="K2108" s="205"/>
      <c r="L2108" s="7"/>
    </row>
    <row r="2109" spans="1:12">
      <c r="A2109" s="19"/>
      <c r="B2109" s="7"/>
      <c r="C2109" s="175"/>
      <c r="D2109" s="175"/>
      <c r="E2109" s="175"/>
      <c r="F2109" s="229"/>
      <c r="G2109" s="229"/>
      <c r="H2109" s="229"/>
      <c r="I2109" s="72"/>
      <c r="J2109" s="185"/>
      <c r="K2109" s="205"/>
      <c r="L2109" s="7"/>
    </row>
    <row r="2110" spans="1:12">
      <c r="A2110" s="19"/>
      <c r="B2110" s="7"/>
      <c r="C2110" s="175"/>
      <c r="D2110" s="175"/>
      <c r="E2110" s="175"/>
      <c r="F2110" s="229"/>
      <c r="G2110" s="229"/>
      <c r="H2110" s="229"/>
      <c r="I2110" s="72"/>
      <c r="J2110" s="185"/>
      <c r="K2110" s="205"/>
      <c r="L2110" s="7"/>
    </row>
    <row r="2111" spans="1:12">
      <c r="A2111" s="19"/>
      <c r="B2111" s="7"/>
      <c r="C2111" s="175"/>
      <c r="D2111" s="175"/>
      <c r="E2111" s="175"/>
      <c r="F2111" s="229"/>
      <c r="G2111" s="229"/>
      <c r="H2111" s="229"/>
      <c r="I2111" s="72"/>
      <c r="J2111" s="185"/>
      <c r="K2111" s="205"/>
      <c r="L2111" s="7"/>
    </row>
    <row r="2112" spans="1:12">
      <c r="A2112" s="19"/>
      <c r="B2112" s="7"/>
      <c r="C2112" s="175"/>
      <c r="D2112" s="175"/>
      <c r="E2112" s="175"/>
      <c r="F2112" s="229"/>
      <c r="G2112" s="229"/>
      <c r="H2112" s="229"/>
      <c r="I2112" s="72"/>
      <c r="J2112" s="185"/>
      <c r="K2112" s="205"/>
      <c r="L2112" s="7"/>
    </row>
    <row r="2113" spans="1:12">
      <c r="A2113" s="19"/>
      <c r="B2113" s="7"/>
      <c r="C2113" s="175"/>
      <c r="D2113" s="175"/>
      <c r="E2113" s="175"/>
      <c r="F2113" s="229"/>
      <c r="G2113" s="229"/>
      <c r="H2113" s="229"/>
      <c r="I2113" s="72"/>
      <c r="J2113" s="185"/>
      <c r="K2113" s="205"/>
      <c r="L2113" s="7"/>
    </row>
    <row r="2114" spans="1:12">
      <c r="A2114" s="19"/>
      <c r="B2114" s="7"/>
      <c r="C2114" s="175"/>
      <c r="D2114" s="175"/>
      <c r="E2114" s="175"/>
      <c r="F2114" s="229"/>
      <c r="G2114" s="229"/>
      <c r="H2114" s="229"/>
      <c r="I2114" s="72"/>
      <c r="J2114" s="185"/>
      <c r="K2114" s="205"/>
      <c r="L2114" s="7"/>
    </row>
    <row r="2115" spans="1:12">
      <c r="A2115" s="19"/>
      <c r="B2115" s="7"/>
      <c r="C2115" s="175"/>
      <c r="D2115" s="175"/>
      <c r="E2115" s="175"/>
      <c r="F2115" s="229"/>
      <c r="G2115" s="229"/>
      <c r="H2115" s="229"/>
      <c r="I2115" s="72"/>
      <c r="J2115" s="185"/>
      <c r="K2115" s="205"/>
      <c r="L2115" s="7"/>
    </row>
    <row r="2116" spans="1:12">
      <c r="A2116" s="19"/>
      <c r="B2116" s="7"/>
      <c r="C2116" s="175"/>
      <c r="D2116" s="175"/>
      <c r="E2116" s="175"/>
      <c r="F2116" s="229"/>
      <c r="G2116" s="229"/>
      <c r="H2116" s="229"/>
      <c r="I2116" s="72"/>
      <c r="J2116" s="185"/>
      <c r="K2116" s="205"/>
      <c r="L2116" s="7"/>
    </row>
    <row r="2117" spans="1:12">
      <c r="A2117" s="19"/>
      <c r="B2117" s="7"/>
      <c r="C2117" s="175"/>
      <c r="D2117" s="175"/>
      <c r="E2117" s="175"/>
      <c r="F2117" s="229"/>
      <c r="G2117" s="229"/>
      <c r="H2117" s="229"/>
      <c r="I2117" s="72"/>
      <c r="J2117" s="185"/>
      <c r="K2117" s="205"/>
      <c r="L2117" s="7"/>
    </row>
    <row r="2118" spans="1:12">
      <c r="A2118" s="19"/>
      <c r="B2118" s="7"/>
      <c r="C2118" s="175"/>
      <c r="D2118" s="175"/>
      <c r="E2118" s="175"/>
      <c r="F2118" s="229"/>
      <c r="G2118" s="229"/>
      <c r="H2118" s="229"/>
      <c r="I2118" s="72"/>
      <c r="J2118" s="185"/>
      <c r="K2118" s="205"/>
      <c r="L2118" s="7"/>
    </row>
    <row r="2119" spans="1:12">
      <c r="A2119" s="19"/>
      <c r="B2119" s="7"/>
      <c r="C2119" s="175"/>
      <c r="D2119" s="175"/>
      <c r="E2119" s="175"/>
      <c r="F2119" s="229"/>
      <c r="G2119" s="229"/>
      <c r="H2119" s="229"/>
      <c r="I2119" s="72"/>
      <c r="J2119" s="185"/>
      <c r="K2119" s="205"/>
      <c r="L2119" s="7"/>
    </row>
    <row r="2120" spans="1:12">
      <c r="A2120" s="20"/>
      <c r="B2120" s="21"/>
      <c r="C2120" s="175"/>
      <c r="D2120" s="175"/>
      <c r="E2120" s="175"/>
      <c r="F2120" s="232"/>
      <c r="G2120" s="232"/>
      <c r="H2120" s="232"/>
      <c r="I2120" s="63"/>
      <c r="J2120" s="190"/>
      <c r="K2120" s="206"/>
      <c r="L2120" s="7"/>
    </row>
    <row r="2121" spans="1:12">
      <c r="A2121" s="20"/>
      <c r="B2121" s="21"/>
      <c r="C2121" s="175"/>
      <c r="D2121" s="175"/>
      <c r="E2121" s="175"/>
      <c r="F2121" s="232"/>
      <c r="G2121" s="232"/>
      <c r="H2121" s="232"/>
      <c r="I2121" s="63"/>
      <c r="J2121" s="190"/>
      <c r="K2121" s="206"/>
      <c r="L2121" s="7"/>
    </row>
    <row r="2122" spans="1:12">
      <c r="A2122" s="19"/>
      <c r="B2122" s="7"/>
      <c r="C2122" s="175"/>
      <c r="D2122" s="175"/>
      <c r="E2122" s="175"/>
      <c r="F2122" s="229"/>
      <c r="G2122" s="229"/>
      <c r="H2122" s="229"/>
      <c r="I2122" s="72"/>
      <c r="J2122" s="185"/>
      <c r="K2122" s="205"/>
      <c r="L2122" s="7"/>
    </row>
    <row r="2123" spans="1:12">
      <c r="A2123" s="19"/>
      <c r="B2123" s="7"/>
      <c r="C2123" s="175"/>
      <c r="D2123" s="175"/>
      <c r="E2123" s="175"/>
      <c r="F2123" s="229"/>
      <c r="G2123" s="229"/>
      <c r="H2123" s="229"/>
      <c r="I2123" s="72"/>
      <c r="J2123" s="185"/>
      <c r="K2123" s="205"/>
      <c r="L2123" s="7"/>
    </row>
    <row r="2124" spans="1:12">
      <c r="A2124" s="19"/>
      <c r="B2124" s="7"/>
      <c r="C2124" s="175"/>
      <c r="D2124" s="175"/>
      <c r="E2124" s="175"/>
      <c r="F2124" s="229"/>
      <c r="G2124" s="229"/>
      <c r="H2124" s="229"/>
      <c r="I2124" s="72"/>
      <c r="J2124" s="185"/>
      <c r="K2124" s="205"/>
      <c r="L2124" s="7"/>
    </row>
    <row r="2125" spans="1:12">
      <c r="A2125" s="19"/>
      <c r="B2125" s="7"/>
      <c r="C2125" s="175"/>
      <c r="D2125" s="175"/>
      <c r="E2125" s="175"/>
      <c r="F2125" s="229"/>
      <c r="G2125" s="229"/>
      <c r="H2125" s="229"/>
      <c r="I2125" s="72"/>
      <c r="J2125" s="185"/>
      <c r="K2125" s="205"/>
      <c r="L2125" s="7"/>
    </row>
    <row r="2126" spans="1:12">
      <c r="A2126" s="19"/>
      <c r="B2126" s="7"/>
      <c r="C2126" s="175"/>
      <c r="D2126" s="175"/>
      <c r="E2126" s="175"/>
      <c r="F2126" s="229"/>
      <c r="G2126" s="229"/>
      <c r="H2126" s="229"/>
      <c r="I2126" s="72"/>
      <c r="J2126" s="185"/>
      <c r="K2126" s="205"/>
      <c r="L2126" s="7"/>
    </row>
    <row r="2127" spans="1:12">
      <c r="A2127" s="19"/>
      <c r="B2127" s="7"/>
      <c r="C2127" s="175"/>
      <c r="D2127" s="175"/>
      <c r="E2127" s="175"/>
      <c r="F2127" s="229"/>
      <c r="G2127" s="229"/>
      <c r="H2127" s="229"/>
      <c r="I2127" s="72"/>
      <c r="J2127" s="185"/>
      <c r="K2127" s="205"/>
      <c r="L2127" s="7"/>
    </row>
    <row r="2128" spans="1:12">
      <c r="A2128" s="19"/>
      <c r="B2128" s="7"/>
      <c r="C2128" s="175"/>
      <c r="D2128" s="175"/>
      <c r="E2128" s="175"/>
      <c r="F2128" s="229"/>
      <c r="G2128" s="229"/>
      <c r="H2128" s="229"/>
      <c r="I2128" s="72"/>
      <c r="J2128" s="185"/>
      <c r="K2128" s="205"/>
      <c r="L2128" s="7"/>
    </row>
    <row r="2129" spans="1:12">
      <c r="A2129" s="19"/>
      <c r="B2129" s="7"/>
      <c r="C2129" s="175"/>
      <c r="D2129" s="175"/>
      <c r="E2129" s="175"/>
      <c r="F2129" s="229"/>
      <c r="G2129" s="229"/>
      <c r="H2129" s="229"/>
      <c r="I2129" s="72"/>
      <c r="J2129" s="185"/>
      <c r="K2129" s="205"/>
      <c r="L2129" s="7"/>
    </row>
    <row r="2130" spans="1:12">
      <c r="A2130" s="19"/>
      <c r="B2130" s="7"/>
      <c r="C2130" s="175"/>
      <c r="D2130" s="175"/>
      <c r="E2130" s="175"/>
      <c r="F2130" s="229"/>
      <c r="G2130" s="229"/>
      <c r="H2130" s="229"/>
      <c r="I2130" s="72"/>
      <c r="J2130" s="185"/>
      <c r="K2130" s="205"/>
      <c r="L2130" s="7"/>
    </row>
    <row r="2131" spans="1:12">
      <c r="A2131" s="19"/>
      <c r="B2131" s="7"/>
      <c r="C2131" s="175"/>
      <c r="D2131" s="175"/>
      <c r="E2131" s="175"/>
      <c r="F2131" s="229"/>
      <c r="G2131" s="229"/>
      <c r="H2131" s="229"/>
      <c r="I2131" s="72"/>
      <c r="J2131" s="185"/>
      <c r="K2131" s="205"/>
      <c r="L2131" s="7"/>
    </row>
    <row r="2132" spans="1:12">
      <c r="A2132" s="19"/>
      <c r="B2132" s="7"/>
      <c r="C2132" s="175"/>
      <c r="D2132" s="175"/>
      <c r="E2132" s="175"/>
      <c r="F2132" s="229"/>
      <c r="G2132" s="229"/>
      <c r="H2132" s="229"/>
      <c r="I2132" s="72"/>
      <c r="J2132" s="185"/>
      <c r="K2132" s="205"/>
      <c r="L2132" s="7"/>
    </row>
    <row r="2133" spans="1:12">
      <c r="A2133" s="19"/>
      <c r="B2133" s="7"/>
      <c r="C2133" s="175"/>
      <c r="D2133" s="175"/>
      <c r="E2133" s="175"/>
      <c r="F2133" s="229"/>
      <c r="G2133" s="229"/>
      <c r="H2133" s="229"/>
      <c r="I2133" s="72"/>
      <c r="J2133" s="185"/>
      <c r="K2133" s="205"/>
      <c r="L2133" s="7"/>
    </row>
    <row r="2134" spans="1:12">
      <c r="A2134" s="20"/>
      <c r="B2134" s="21"/>
      <c r="C2134" s="175"/>
      <c r="D2134" s="175"/>
      <c r="E2134" s="175"/>
      <c r="F2134" s="232"/>
      <c r="G2134" s="232"/>
      <c r="H2134" s="232"/>
      <c r="I2134" s="63"/>
      <c r="J2134" s="190"/>
      <c r="K2134" s="206"/>
      <c r="L2134" s="7"/>
    </row>
    <row r="2135" spans="1:12">
      <c r="A2135" s="20"/>
      <c r="B2135" s="21"/>
      <c r="C2135" s="175"/>
      <c r="D2135" s="175"/>
      <c r="E2135" s="175"/>
      <c r="F2135" s="232"/>
      <c r="G2135" s="232"/>
      <c r="H2135" s="232"/>
      <c r="I2135" s="63"/>
      <c r="J2135" s="190"/>
      <c r="K2135" s="206"/>
      <c r="L2135" s="7"/>
    </row>
    <row r="2136" spans="1:12">
      <c r="A2136" s="20"/>
      <c r="B2136" s="21"/>
      <c r="C2136" s="175"/>
      <c r="D2136" s="175"/>
      <c r="E2136" s="175"/>
      <c r="F2136" s="232"/>
      <c r="G2136" s="232"/>
      <c r="H2136" s="232"/>
      <c r="I2136" s="63"/>
      <c r="J2136" s="190"/>
      <c r="K2136" s="206"/>
      <c r="L2136" s="7"/>
    </row>
    <row r="2137" spans="1:12">
      <c r="A2137" s="19"/>
      <c r="B2137" s="7"/>
      <c r="C2137" s="175"/>
      <c r="D2137" s="175"/>
      <c r="E2137" s="175"/>
      <c r="F2137" s="229"/>
      <c r="G2137" s="229"/>
      <c r="H2137" s="229"/>
      <c r="I2137" s="72"/>
      <c r="J2137" s="185"/>
      <c r="K2137" s="205"/>
      <c r="L2137" s="7"/>
    </row>
    <row r="2138" spans="1:12">
      <c r="A2138" s="20"/>
      <c r="B2138" s="21"/>
      <c r="C2138" s="175"/>
      <c r="D2138" s="175"/>
      <c r="E2138" s="175"/>
      <c r="F2138" s="232"/>
      <c r="G2138" s="232"/>
      <c r="H2138" s="232"/>
      <c r="I2138" s="63"/>
      <c r="J2138" s="190"/>
      <c r="K2138" s="206"/>
      <c r="L2138" s="7"/>
    </row>
    <row r="2139" spans="1:12">
      <c r="A2139" s="20"/>
      <c r="B2139" s="21"/>
      <c r="C2139" s="175"/>
      <c r="D2139" s="175"/>
      <c r="E2139" s="175"/>
      <c r="F2139" s="232"/>
      <c r="G2139" s="232"/>
      <c r="H2139" s="232"/>
      <c r="I2139" s="63"/>
      <c r="J2139" s="190"/>
      <c r="K2139" s="206"/>
      <c r="L2139" s="7"/>
    </row>
    <row r="2140" spans="1:12">
      <c r="A2140" s="20"/>
      <c r="B2140" s="21"/>
      <c r="C2140" s="175"/>
      <c r="D2140" s="175"/>
      <c r="E2140" s="175"/>
      <c r="F2140" s="232"/>
      <c r="G2140" s="232"/>
      <c r="H2140" s="232"/>
      <c r="I2140" s="63"/>
      <c r="J2140" s="190"/>
      <c r="K2140" s="206"/>
      <c r="L2140" s="7"/>
    </row>
    <row r="2141" spans="1:12">
      <c r="A2141" s="20"/>
      <c r="B2141" s="21"/>
      <c r="C2141" s="175"/>
      <c r="D2141" s="175"/>
      <c r="E2141" s="175"/>
      <c r="F2141" s="232"/>
      <c r="G2141" s="232"/>
      <c r="H2141" s="232"/>
      <c r="I2141" s="63"/>
      <c r="J2141" s="190"/>
      <c r="K2141" s="206"/>
      <c r="L2141" s="7"/>
    </row>
    <row r="2142" spans="1:12">
      <c r="A2142" s="19"/>
      <c r="B2142" s="7"/>
      <c r="C2142" s="175"/>
      <c r="D2142" s="175"/>
      <c r="E2142" s="175"/>
      <c r="F2142" s="229"/>
      <c r="G2142" s="229"/>
      <c r="H2142" s="229"/>
      <c r="I2142" s="72"/>
      <c r="J2142" s="185"/>
      <c r="K2142" s="205"/>
      <c r="L2142" s="7"/>
    </row>
    <row r="2143" spans="1:12">
      <c r="A2143" s="19"/>
      <c r="B2143" s="7"/>
      <c r="C2143" s="175"/>
      <c r="D2143" s="175"/>
      <c r="E2143" s="175"/>
      <c r="F2143" s="229"/>
      <c r="G2143" s="229"/>
      <c r="H2143" s="229"/>
      <c r="I2143" s="72"/>
      <c r="J2143" s="185"/>
      <c r="K2143" s="205"/>
      <c r="L2143" s="7"/>
    </row>
    <row r="2144" spans="1:12">
      <c r="A2144" s="19"/>
      <c r="B2144" s="7"/>
      <c r="C2144" s="175"/>
      <c r="D2144" s="175"/>
      <c r="E2144" s="175"/>
      <c r="F2144" s="229"/>
      <c r="G2144" s="229"/>
      <c r="H2144" s="229"/>
      <c r="I2144" s="72"/>
      <c r="J2144" s="185"/>
      <c r="K2144" s="205"/>
      <c r="L2144" s="7"/>
    </row>
    <row r="2145" spans="1:12">
      <c r="A2145" s="19"/>
      <c r="B2145" s="7"/>
      <c r="C2145" s="175"/>
      <c r="D2145" s="175"/>
      <c r="E2145" s="175"/>
      <c r="F2145" s="229"/>
      <c r="G2145" s="229"/>
      <c r="H2145" s="229"/>
      <c r="I2145" s="72"/>
      <c r="J2145" s="185"/>
      <c r="K2145" s="205"/>
      <c r="L2145" s="7"/>
    </row>
    <row r="2146" spans="1:12">
      <c r="A2146" s="19"/>
      <c r="B2146" s="7"/>
      <c r="C2146" s="175"/>
      <c r="D2146" s="175"/>
      <c r="E2146" s="175"/>
      <c r="F2146" s="229"/>
      <c r="G2146" s="229"/>
      <c r="H2146" s="229"/>
      <c r="I2146" s="72"/>
      <c r="J2146" s="185"/>
      <c r="K2146" s="205"/>
      <c r="L2146" s="7"/>
    </row>
    <row r="2147" spans="1:12">
      <c r="A2147" s="19"/>
      <c r="B2147" s="7"/>
      <c r="C2147" s="175"/>
      <c r="D2147" s="175"/>
      <c r="E2147" s="175"/>
      <c r="F2147" s="229"/>
      <c r="G2147" s="229"/>
      <c r="H2147" s="229"/>
      <c r="I2147" s="72"/>
      <c r="J2147" s="185"/>
      <c r="K2147" s="205"/>
      <c r="L2147" s="7"/>
    </row>
    <row r="2148" spans="1:12">
      <c r="A2148" s="19"/>
      <c r="B2148" s="7"/>
      <c r="C2148" s="175"/>
      <c r="D2148" s="175"/>
      <c r="E2148" s="175"/>
      <c r="F2148" s="229"/>
      <c r="G2148" s="229"/>
      <c r="H2148" s="229"/>
      <c r="I2148" s="72"/>
      <c r="J2148" s="185"/>
      <c r="K2148" s="205"/>
      <c r="L2148" s="7"/>
    </row>
    <row r="2149" spans="1:12">
      <c r="A2149" s="19"/>
      <c r="B2149" s="7"/>
      <c r="C2149" s="175"/>
      <c r="D2149" s="175"/>
      <c r="E2149" s="175"/>
      <c r="F2149" s="229"/>
      <c r="G2149" s="229"/>
      <c r="H2149" s="229"/>
      <c r="I2149" s="72"/>
      <c r="J2149" s="185"/>
      <c r="K2149" s="205"/>
      <c r="L2149" s="7"/>
    </row>
    <row r="2150" spans="1:12">
      <c r="A2150" s="19"/>
      <c r="B2150" s="7"/>
      <c r="C2150" s="175"/>
      <c r="D2150" s="175"/>
      <c r="E2150" s="175"/>
      <c r="F2150" s="229"/>
      <c r="G2150" s="229"/>
      <c r="H2150" s="229"/>
      <c r="I2150" s="72"/>
      <c r="J2150" s="185"/>
      <c r="K2150" s="205"/>
      <c r="L2150" s="7"/>
    </row>
    <row r="2151" spans="1:12">
      <c r="A2151" s="19"/>
      <c r="B2151" s="7"/>
      <c r="C2151" s="175"/>
      <c r="D2151" s="175"/>
      <c r="E2151" s="175"/>
      <c r="F2151" s="229"/>
      <c r="G2151" s="229"/>
      <c r="H2151" s="229"/>
      <c r="I2151" s="72"/>
      <c r="J2151" s="185"/>
      <c r="K2151" s="205"/>
      <c r="L2151" s="7"/>
    </row>
    <row r="2152" spans="1:12">
      <c r="A2152" s="19"/>
      <c r="B2152" s="7"/>
      <c r="C2152" s="175"/>
      <c r="D2152" s="175"/>
      <c r="E2152" s="175"/>
      <c r="F2152" s="229"/>
      <c r="G2152" s="229"/>
      <c r="H2152" s="229"/>
      <c r="I2152" s="72"/>
      <c r="J2152" s="185"/>
      <c r="K2152" s="205"/>
      <c r="L2152" s="7"/>
    </row>
    <row r="2153" spans="1:12">
      <c r="A2153" s="19"/>
      <c r="B2153" s="7"/>
      <c r="C2153" s="175"/>
      <c r="D2153" s="175"/>
      <c r="E2153" s="175"/>
      <c r="F2153" s="229"/>
      <c r="G2153" s="229"/>
      <c r="H2153" s="229"/>
      <c r="I2153" s="72"/>
      <c r="J2153" s="185"/>
      <c r="K2153" s="205"/>
      <c r="L2153" s="7"/>
    </row>
    <row r="2154" spans="1:12">
      <c r="A2154" s="19"/>
      <c r="B2154" s="7"/>
      <c r="C2154" s="175"/>
      <c r="D2154" s="175"/>
      <c r="E2154" s="175"/>
      <c r="F2154" s="229"/>
      <c r="G2154" s="229"/>
      <c r="H2154" s="229"/>
      <c r="I2154" s="72"/>
      <c r="J2154" s="185"/>
      <c r="K2154" s="205"/>
      <c r="L2154" s="7"/>
    </row>
    <row r="2155" spans="1:12">
      <c r="A2155" s="19"/>
      <c r="B2155" s="7"/>
      <c r="C2155" s="175"/>
      <c r="D2155" s="175"/>
      <c r="E2155" s="175"/>
      <c r="F2155" s="229"/>
      <c r="G2155" s="229"/>
      <c r="H2155" s="229"/>
      <c r="I2155" s="72"/>
      <c r="J2155" s="185"/>
      <c r="K2155" s="205"/>
      <c r="L2155" s="7"/>
    </row>
    <row r="2156" spans="1:12">
      <c r="A2156" s="19"/>
      <c r="B2156" s="7"/>
      <c r="C2156" s="175"/>
      <c r="D2156" s="175"/>
      <c r="E2156" s="175"/>
      <c r="F2156" s="229"/>
      <c r="G2156" s="229"/>
      <c r="H2156" s="229"/>
      <c r="I2156" s="72"/>
      <c r="J2156" s="185"/>
      <c r="K2156" s="205"/>
      <c r="L2156" s="7"/>
    </row>
    <row r="2157" spans="1:12">
      <c r="A2157" s="19"/>
      <c r="B2157" s="7"/>
      <c r="C2157" s="175"/>
      <c r="D2157" s="175"/>
      <c r="E2157" s="175"/>
      <c r="F2157" s="229"/>
      <c r="G2157" s="229"/>
      <c r="H2157" s="229"/>
      <c r="I2157" s="72"/>
      <c r="J2157" s="185"/>
      <c r="K2157" s="205"/>
      <c r="L2157" s="7"/>
    </row>
    <row r="2158" spans="1:12">
      <c r="A2158" s="19"/>
      <c r="B2158" s="7"/>
      <c r="C2158" s="175"/>
      <c r="D2158" s="175"/>
      <c r="E2158" s="175"/>
      <c r="F2158" s="229"/>
      <c r="G2158" s="229"/>
      <c r="H2158" s="229"/>
      <c r="I2158" s="72"/>
      <c r="J2158" s="185"/>
      <c r="K2158" s="205"/>
      <c r="L2158" s="7"/>
    </row>
    <row r="2159" spans="1:12">
      <c r="A2159" s="19"/>
      <c r="B2159" s="7"/>
      <c r="C2159" s="175"/>
      <c r="D2159" s="175"/>
      <c r="E2159" s="175"/>
      <c r="F2159" s="229"/>
      <c r="G2159" s="229"/>
      <c r="H2159" s="229"/>
      <c r="I2159" s="72"/>
      <c r="J2159" s="185"/>
      <c r="K2159" s="205"/>
      <c r="L2159" s="7"/>
    </row>
    <row r="2160" spans="1:12">
      <c r="A2160" s="19"/>
      <c r="B2160" s="7"/>
      <c r="C2160" s="175"/>
      <c r="D2160" s="175"/>
      <c r="E2160" s="175"/>
      <c r="F2160" s="229"/>
      <c r="G2160" s="229"/>
      <c r="H2160" s="229"/>
      <c r="I2160" s="72"/>
      <c r="J2160" s="185"/>
      <c r="K2160" s="205"/>
      <c r="L2160" s="7"/>
    </row>
    <row r="2161" spans="1:12">
      <c r="A2161" s="19"/>
      <c r="B2161" s="7"/>
      <c r="C2161" s="175"/>
      <c r="D2161" s="175"/>
      <c r="E2161" s="175"/>
      <c r="F2161" s="229"/>
      <c r="G2161" s="229"/>
      <c r="H2161" s="229"/>
      <c r="I2161" s="72"/>
      <c r="J2161" s="185"/>
      <c r="K2161" s="205"/>
      <c r="L2161" s="7"/>
    </row>
    <row r="2162" spans="1:12">
      <c r="A2162" s="19"/>
      <c r="B2162" s="7"/>
      <c r="C2162" s="175"/>
      <c r="D2162" s="175"/>
      <c r="E2162" s="175"/>
      <c r="F2162" s="229"/>
      <c r="G2162" s="229"/>
      <c r="H2162" s="229"/>
      <c r="I2162" s="72"/>
      <c r="J2162" s="185"/>
      <c r="K2162" s="205"/>
      <c r="L2162" s="7"/>
    </row>
    <row r="2163" spans="1:12">
      <c r="A2163" s="19"/>
      <c r="B2163" s="7"/>
      <c r="C2163" s="175"/>
      <c r="D2163" s="175"/>
      <c r="E2163" s="175"/>
      <c r="F2163" s="229"/>
      <c r="G2163" s="229"/>
      <c r="H2163" s="229"/>
      <c r="I2163" s="72"/>
      <c r="J2163" s="185"/>
      <c r="K2163" s="205"/>
      <c r="L2163" s="7"/>
    </row>
    <row r="2164" spans="1:12">
      <c r="A2164" s="19"/>
      <c r="B2164" s="7"/>
      <c r="C2164" s="175"/>
      <c r="D2164" s="175"/>
      <c r="E2164" s="175"/>
      <c r="F2164" s="229"/>
      <c r="G2164" s="229"/>
      <c r="H2164" s="229"/>
      <c r="I2164" s="72"/>
      <c r="J2164" s="185"/>
      <c r="K2164" s="205"/>
      <c r="L2164" s="7"/>
    </row>
    <row r="2165" spans="1:12">
      <c r="A2165" s="19"/>
      <c r="B2165" s="7"/>
      <c r="C2165" s="175"/>
      <c r="D2165" s="175"/>
      <c r="E2165" s="175"/>
      <c r="F2165" s="229"/>
      <c r="G2165" s="229"/>
      <c r="H2165" s="229"/>
      <c r="I2165" s="72"/>
      <c r="J2165" s="185"/>
      <c r="K2165" s="205"/>
      <c r="L2165" s="7"/>
    </row>
    <row r="2166" spans="1:12">
      <c r="A2166" s="19"/>
      <c r="B2166" s="7"/>
      <c r="C2166" s="175"/>
      <c r="D2166" s="175"/>
      <c r="E2166" s="175"/>
      <c r="F2166" s="229"/>
      <c r="G2166" s="229"/>
      <c r="H2166" s="229"/>
      <c r="I2166" s="72"/>
      <c r="J2166" s="185"/>
      <c r="K2166" s="205"/>
      <c r="L2166" s="7"/>
    </row>
    <row r="2167" spans="1:12">
      <c r="A2167" s="19"/>
      <c r="B2167" s="7"/>
      <c r="C2167" s="175"/>
      <c r="D2167" s="175"/>
      <c r="E2167" s="175"/>
      <c r="F2167" s="229"/>
      <c r="G2167" s="229"/>
      <c r="H2167" s="229"/>
      <c r="I2167" s="72"/>
      <c r="J2167" s="185"/>
      <c r="K2167" s="205"/>
      <c r="L2167" s="7"/>
    </row>
    <row r="2168" spans="1:12">
      <c r="A2168" s="19"/>
      <c r="B2168" s="7"/>
      <c r="C2168" s="175"/>
      <c r="D2168" s="175"/>
      <c r="E2168" s="175"/>
      <c r="F2168" s="229"/>
      <c r="G2168" s="229"/>
      <c r="H2168" s="229"/>
      <c r="I2168" s="72"/>
      <c r="J2168" s="185"/>
      <c r="K2168" s="205"/>
      <c r="L2168" s="7"/>
    </row>
    <row r="2169" spans="1:12">
      <c r="A2169" s="19"/>
      <c r="B2169" s="7"/>
      <c r="C2169" s="175"/>
      <c r="D2169" s="175"/>
      <c r="E2169" s="175"/>
      <c r="F2169" s="229"/>
      <c r="G2169" s="229"/>
      <c r="H2169" s="229"/>
      <c r="I2169" s="72"/>
      <c r="J2169" s="185"/>
      <c r="K2169" s="205"/>
      <c r="L2169" s="7"/>
    </row>
    <row r="2170" spans="1:12">
      <c r="A2170" s="19"/>
      <c r="B2170" s="7"/>
      <c r="C2170" s="175"/>
      <c r="D2170" s="175"/>
      <c r="E2170" s="175"/>
      <c r="F2170" s="229"/>
      <c r="G2170" s="229"/>
      <c r="H2170" s="229"/>
      <c r="I2170" s="72"/>
      <c r="J2170" s="185"/>
      <c r="K2170" s="205"/>
      <c r="L2170" s="7"/>
    </row>
    <row r="2171" spans="1:12">
      <c r="A2171" s="19"/>
      <c r="B2171" s="7"/>
      <c r="C2171" s="175"/>
      <c r="D2171" s="175"/>
      <c r="E2171" s="175"/>
      <c r="F2171" s="229"/>
      <c r="G2171" s="229"/>
      <c r="H2171" s="229"/>
      <c r="I2171" s="72"/>
      <c r="J2171" s="185"/>
      <c r="K2171" s="205"/>
      <c r="L2171" s="7"/>
    </row>
    <row r="2172" spans="1:12">
      <c r="A2172" s="19"/>
      <c r="B2172" s="7"/>
      <c r="C2172" s="175"/>
      <c r="D2172" s="175"/>
      <c r="E2172" s="175"/>
      <c r="F2172" s="229"/>
      <c r="G2172" s="229"/>
      <c r="H2172" s="229"/>
      <c r="I2172" s="72"/>
      <c r="J2172" s="185"/>
      <c r="K2172" s="205"/>
      <c r="L2172" s="7"/>
    </row>
    <row r="2173" spans="1:12">
      <c r="A2173" s="19"/>
      <c r="B2173" s="7"/>
      <c r="C2173" s="175"/>
      <c r="D2173" s="175"/>
      <c r="E2173" s="175"/>
      <c r="F2173" s="229"/>
      <c r="G2173" s="229"/>
      <c r="H2173" s="229"/>
      <c r="I2173" s="72"/>
      <c r="J2173" s="185"/>
      <c r="K2173" s="205"/>
      <c r="L2173" s="7"/>
    </row>
    <row r="2174" spans="1:12">
      <c r="A2174" s="19"/>
      <c r="B2174" s="7"/>
      <c r="C2174" s="175"/>
      <c r="D2174" s="175"/>
      <c r="E2174" s="175"/>
      <c r="F2174" s="229"/>
      <c r="G2174" s="229"/>
      <c r="H2174" s="229"/>
      <c r="I2174" s="72"/>
      <c r="J2174" s="185"/>
      <c r="K2174" s="205"/>
      <c r="L2174" s="7"/>
    </row>
    <row r="2175" spans="1:12">
      <c r="A2175" s="19"/>
      <c r="B2175" s="7"/>
      <c r="C2175" s="175"/>
      <c r="D2175" s="175"/>
      <c r="E2175" s="175"/>
      <c r="F2175" s="229"/>
      <c r="G2175" s="229"/>
      <c r="H2175" s="229"/>
      <c r="I2175" s="72"/>
      <c r="J2175" s="185"/>
      <c r="K2175" s="205"/>
      <c r="L2175" s="7"/>
    </row>
    <row r="2176" spans="1:12">
      <c r="A2176" s="19"/>
      <c r="B2176" s="7"/>
      <c r="C2176" s="175"/>
      <c r="D2176" s="175"/>
      <c r="E2176" s="175"/>
      <c r="F2176" s="229"/>
      <c r="G2176" s="229"/>
      <c r="H2176" s="229"/>
      <c r="I2176" s="72"/>
      <c r="J2176" s="185"/>
      <c r="K2176" s="205"/>
      <c r="L2176" s="7"/>
    </row>
    <row r="2177" spans="1:12">
      <c r="A2177" s="19"/>
      <c r="B2177" s="7"/>
      <c r="C2177" s="175"/>
      <c r="D2177" s="175"/>
      <c r="E2177" s="175"/>
      <c r="F2177" s="229"/>
      <c r="G2177" s="229"/>
      <c r="H2177" s="229"/>
      <c r="I2177" s="72"/>
      <c r="J2177" s="185"/>
      <c r="K2177" s="205"/>
      <c r="L2177" s="7"/>
    </row>
    <row r="2178" spans="1:12">
      <c r="A2178" s="20"/>
      <c r="B2178" s="21"/>
      <c r="C2178" s="175"/>
      <c r="D2178" s="175"/>
      <c r="E2178" s="175"/>
      <c r="F2178" s="232"/>
      <c r="G2178" s="232"/>
      <c r="H2178" s="232"/>
      <c r="I2178" s="62"/>
      <c r="J2178" s="190"/>
      <c r="K2178" s="206"/>
      <c r="L2178" s="7"/>
    </row>
    <row r="2179" spans="1:12">
      <c r="A2179" s="19"/>
      <c r="B2179" s="7"/>
      <c r="C2179" s="175"/>
      <c r="D2179" s="175"/>
      <c r="E2179" s="175"/>
      <c r="F2179" s="229"/>
      <c r="G2179" s="229"/>
      <c r="H2179" s="229"/>
      <c r="I2179" s="72"/>
      <c r="J2179" s="185"/>
      <c r="K2179" s="205"/>
      <c r="L2179" s="7"/>
    </row>
    <row r="2180" spans="1:12">
      <c r="A2180" s="19"/>
      <c r="B2180" s="7"/>
      <c r="C2180" s="175"/>
      <c r="D2180" s="175"/>
      <c r="E2180" s="175"/>
      <c r="F2180" s="229"/>
      <c r="G2180" s="229"/>
      <c r="H2180" s="229"/>
      <c r="I2180" s="72"/>
      <c r="J2180" s="185"/>
      <c r="K2180" s="205"/>
      <c r="L2180" s="7"/>
    </row>
    <row r="2181" spans="1:12">
      <c r="A2181" s="19"/>
      <c r="B2181" s="7"/>
      <c r="C2181" s="175"/>
      <c r="D2181" s="175"/>
      <c r="E2181" s="175"/>
      <c r="F2181" s="229"/>
      <c r="G2181" s="229"/>
      <c r="H2181" s="229"/>
      <c r="I2181" s="72"/>
      <c r="J2181" s="185"/>
      <c r="K2181" s="205"/>
      <c r="L2181" s="7"/>
    </row>
    <row r="2182" spans="1:12">
      <c r="A2182" s="19"/>
      <c r="B2182" s="7"/>
      <c r="C2182" s="175"/>
      <c r="D2182" s="175"/>
      <c r="E2182" s="175"/>
      <c r="F2182" s="229"/>
      <c r="G2182" s="229"/>
      <c r="H2182" s="229"/>
      <c r="I2182" s="72"/>
      <c r="J2182" s="185"/>
      <c r="K2182" s="205"/>
      <c r="L2182" s="7"/>
    </row>
    <row r="2183" spans="1:12">
      <c r="A2183" s="20"/>
      <c r="B2183" s="21"/>
      <c r="C2183" s="175"/>
      <c r="D2183" s="175"/>
      <c r="E2183" s="175"/>
      <c r="F2183" s="232"/>
      <c r="G2183" s="232"/>
      <c r="H2183" s="232"/>
      <c r="I2183" s="63"/>
      <c r="J2183" s="190"/>
      <c r="K2183" s="206"/>
      <c r="L2183" s="7"/>
    </row>
    <row r="2184" spans="1:12">
      <c r="A2184" s="20"/>
      <c r="B2184" s="21"/>
      <c r="C2184" s="175"/>
      <c r="D2184" s="175"/>
      <c r="E2184" s="175"/>
      <c r="F2184" s="232"/>
      <c r="G2184" s="232"/>
      <c r="H2184" s="232"/>
      <c r="I2184" s="63"/>
      <c r="J2184" s="190"/>
      <c r="K2184" s="206"/>
      <c r="L2184" s="7"/>
    </row>
    <row r="2185" spans="1:12">
      <c r="A2185" s="20"/>
      <c r="B2185" s="21"/>
      <c r="C2185" s="175"/>
      <c r="D2185" s="175"/>
      <c r="E2185" s="175"/>
      <c r="F2185" s="232"/>
      <c r="G2185" s="232"/>
      <c r="H2185" s="232"/>
      <c r="I2185" s="63"/>
      <c r="J2185" s="190"/>
      <c r="K2185" s="206"/>
      <c r="L2185" s="7"/>
    </row>
    <row r="2186" spans="1:12">
      <c r="A2186" s="19"/>
      <c r="B2186" s="7"/>
      <c r="C2186" s="175"/>
      <c r="D2186" s="175"/>
      <c r="E2186" s="175"/>
      <c r="F2186" s="229"/>
      <c r="G2186" s="229"/>
      <c r="H2186" s="229"/>
      <c r="I2186" s="72"/>
      <c r="J2186" s="185"/>
      <c r="K2186" s="205"/>
      <c r="L2186" s="7"/>
    </row>
    <row r="2187" spans="1:12">
      <c r="A2187" s="19"/>
      <c r="B2187" s="7"/>
      <c r="C2187" s="175"/>
      <c r="D2187" s="175"/>
      <c r="E2187" s="175"/>
      <c r="F2187" s="229"/>
      <c r="G2187" s="229"/>
      <c r="H2187" s="229"/>
      <c r="I2187" s="72"/>
      <c r="J2187" s="185"/>
      <c r="K2187" s="205"/>
      <c r="L2187" s="7"/>
    </row>
    <row r="2188" spans="1:12">
      <c r="A2188" s="19"/>
      <c r="B2188" s="7"/>
      <c r="C2188" s="175"/>
      <c r="D2188" s="175"/>
      <c r="E2188" s="175"/>
      <c r="F2188" s="229"/>
      <c r="G2188" s="229"/>
      <c r="H2188" s="229"/>
      <c r="I2188" s="72"/>
      <c r="J2188" s="185"/>
      <c r="K2188" s="205"/>
      <c r="L2188" s="7"/>
    </row>
    <row r="2189" spans="1:12">
      <c r="A2189" s="19"/>
      <c r="B2189" s="7"/>
      <c r="C2189" s="175"/>
      <c r="D2189" s="175"/>
      <c r="E2189" s="175"/>
      <c r="F2189" s="229"/>
      <c r="G2189" s="229"/>
      <c r="H2189" s="229"/>
      <c r="I2189" s="72"/>
      <c r="J2189" s="185"/>
      <c r="K2189" s="205"/>
      <c r="L2189" s="7"/>
    </row>
    <row r="2190" spans="1:12">
      <c r="A2190" s="19"/>
      <c r="B2190" s="7"/>
      <c r="C2190" s="175"/>
      <c r="D2190" s="175"/>
      <c r="E2190" s="175"/>
      <c r="F2190" s="229"/>
      <c r="G2190" s="229"/>
      <c r="H2190" s="229"/>
      <c r="I2190" s="72"/>
      <c r="J2190" s="185"/>
      <c r="K2190" s="205"/>
      <c r="L2190" s="7"/>
    </row>
    <row r="2191" spans="1:12">
      <c r="A2191" s="19"/>
      <c r="B2191" s="7"/>
      <c r="C2191" s="175"/>
      <c r="D2191" s="175"/>
      <c r="E2191" s="175"/>
      <c r="F2191" s="229"/>
      <c r="G2191" s="229"/>
      <c r="H2191" s="229"/>
      <c r="I2191" s="72"/>
      <c r="J2191" s="185"/>
      <c r="K2191" s="205"/>
      <c r="L2191" s="7"/>
    </row>
    <row r="2192" spans="1:12">
      <c r="A2192" s="19"/>
      <c r="B2192" s="7"/>
      <c r="C2192" s="175"/>
      <c r="D2192" s="175"/>
      <c r="E2192" s="175"/>
      <c r="F2192" s="229"/>
      <c r="G2192" s="229"/>
      <c r="H2192" s="229"/>
      <c r="I2192" s="72"/>
      <c r="J2192" s="185"/>
      <c r="K2192" s="205"/>
      <c r="L2192" s="7"/>
    </row>
    <row r="2193" spans="1:12">
      <c r="A2193" s="19"/>
      <c r="B2193" s="7"/>
      <c r="C2193" s="175"/>
      <c r="D2193" s="175"/>
      <c r="E2193" s="175"/>
      <c r="F2193" s="229"/>
      <c r="G2193" s="229"/>
      <c r="H2193" s="229"/>
      <c r="I2193" s="72"/>
      <c r="J2193" s="185"/>
      <c r="K2193" s="205"/>
      <c r="L2193" s="7"/>
    </row>
    <row r="2194" spans="1:12">
      <c r="A2194" s="19"/>
      <c r="B2194" s="7"/>
      <c r="C2194" s="175"/>
      <c r="D2194" s="175"/>
      <c r="E2194" s="175"/>
      <c r="F2194" s="229"/>
      <c r="G2194" s="229"/>
      <c r="H2194" s="229"/>
      <c r="I2194" s="72"/>
      <c r="J2194" s="185"/>
      <c r="K2194" s="205"/>
      <c r="L2194" s="7"/>
    </row>
    <row r="2195" spans="1:12">
      <c r="A2195" s="19"/>
      <c r="B2195" s="7"/>
      <c r="C2195" s="175"/>
      <c r="D2195" s="175"/>
      <c r="E2195" s="175"/>
      <c r="F2195" s="229"/>
      <c r="G2195" s="229"/>
      <c r="H2195" s="229"/>
      <c r="I2195" s="72"/>
      <c r="J2195" s="185"/>
      <c r="K2195" s="205"/>
      <c r="L2195" s="7"/>
    </row>
    <row r="2196" spans="1:12">
      <c r="A2196" s="19"/>
      <c r="B2196" s="7"/>
      <c r="C2196" s="175"/>
      <c r="D2196" s="175"/>
      <c r="E2196" s="175"/>
      <c r="F2196" s="229"/>
      <c r="G2196" s="229"/>
      <c r="H2196" s="229"/>
      <c r="I2196" s="72"/>
      <c r="J2196" s="185"/>
      <c r="K2196" s="205"/>
      <c r="L2196" s="7"/>
    </row>
    <row r="2197" spans="1:12">
      <c r="A2197" s="19"/>
      <c r="B2197" s="7"/>
      <c r="C2197" s="175"/>
      <c r="D2197" s="175"/>
      <c r="E2197" s="175"/>
      <c r="F2197" s="229"/>
      <c r="G2197" s="229"/>
      <c r="H2197" s="229"/>
      <c r="I2197" s="72"/>
      <c r="J2197" s="185"/>
      <c r="K2197" s="205"/>
      <c r="L2197" s="7"/>
    </row>
    <row r="2198" spans="1:12">
      <c r="A2198" s="20"/>
      <c r="B2198" s="21"/>
      <c r="C2198" s="175"/>
      <c r="D2198" s="175"/>
      <c r="E2198" s="175"/>
      <c r="F2198" s="232"/>
      <c r="G2198" s="232"/>
      <c r="H2198" s="232"/>
      <c r="I2198" s="63"/>
      <c r="J2198" s="190"/>
      <c r="K2198" s="206"/>
      <c r="L2198" s="7"/>
    </row>
    <row r="2199" spans="1:12">
      <c r="A2199" s="20"/>
      <c r="B2199" s="21"/>
      <c r="C2199" s="175"/>
      <c r="D2199" s="175"/>
      <c r="E2199" s="175"/>
      <c r="F2199" s="232"/>
      <c r="G2199" s="232"/>
      <c r="H2199" s="232"/>
      <c r="I2199" s="63"/>
      <c r="J2199" s="190"/>
      <c r="K2199" s="206"/>
      <c r="L2199" s="7"/>
    </row>
    <row r="2200" spans="1:12">
      <c r="A2200" s="20"/>
      <c r="B2200" s="21"/>
      <c r="C2200" s="175"/>
      <c r="D2200" s="175"/>
      <c r="E2200" s="175"/>
      <c r="F2200" s="232"/>
      <c r="G2200" s="232"/>
      <c r="H2200" s="232"/>
      <c r="I2200" s="63"/>
      <c r="J2200" s="190"/>
      <c r="K2200" s="206"/>
      <c r="L2200" s="7"/>
    </row>
    <row r="2201" spans="1:12">
      <c r="A2201" s="20"/>
      <c r="B2201" s="21"/>
      <c r="C2201" s="175"/>
      <c r="D2201" s="175"/>
      <c r="E2201" s="175"/>
      <c r="F2201" s="232"/>
      <c r="G2201" s="232"/>
      <c r="H2201" s="232"/>
      <c r="I2201" s="63"/>
      <c r="J2201" s="189"/>
      <c r="K2201" s="206"/>
      <c r="L2201" s="7"/>
    </row>
    <row r="2202" spans="1:12">
      <c r="A2202" s="20"/>
      <c r="B2202" s="21"/>
      <c r="C2202" s="175"/>
      <c r="D2202" s="175"/>
      <c r="E2202" s="175"/>
      <c r="F2202" s="232"/>
      <c r="G2202" s="232"/>
      <c r="H2202" s="232"/>
      <c r="I2202" s="63"/>
      <c r="J2202" s="189"/>
      <c r="K2202" s="206"/>
      <c r="L2202" s="7"/>
    </row>
    <row r="2203" spans="1:12">
      <c r="A2203" s="19"/>
      <c r="B2203" s="7"/>
      <c r="C2203" s="175"/>
      <c r="D2203" s="175"/>
      <c r="E2203" s="175"/>
      <c r="F2203" s="229"/>
      <c r="G2203" s="229"/>
      <c r="H2203" s="229"/>
      <c r="I2203" s="72"/>
      <c r="J2203" s="185"/>
      <c r="K2203" s="205"/>
      <c r="L2203" s="7"/>
    </row>
    <row r="2204" spans="1:12">
      <c r="A2204" s="31"/>
      <c r="B2204" s="32"/>
      <c r="C2204" s="175"/>
      <c r="D2204" s="175"/>
      <c r="E2204" s="175"/>
      <c r="F2204" s="229"/>
      <c r="G2204" s="229"/>
      <c r="H2204" s="229"/>
      <c r="I2204" s="77"/>
      <c r="J2204" s="185"/>
      <c r="K2204" s="205"/>
      <c r="L2204" s="7"/>
    </row>
    <row r="2205" spans="1:12">
      <c r="A2205" s="33"/>
      <c r="B2205" s="34"/>
      <c r="C2205" s="175"/>
      <c r="D2205" s="175"/>
      <c r="E2205" s="175"/>
      <c r="F2205" s="229"/>
      <c r="G2205" s="229"/>
      <c r="H2205" s="229"/>
      <c r="I2205" s="78"/>
      <c r="J2205" s="185"/>
      <c r="K2205" s="205"/>
      <c r="L2205" s="7"/>
    </row>
    <row r="2206" spans="1:12">
      <c r="A2206" s="20"/>
      <c r="B2206" s="21"/>
      <c r="C2206" s="175"/>
      <c r="D2206" s="175"/>
      <c r="E2206" s="175"/>
      <c r="F2206" s="232"/>
      <c r="G2206" s="232"/>
      <c r="H2206" s="232"/>
      <c r="I2206" s="63"/>
      <c r="J2206" s="189"/>
      <c r="K2206" s="206"/>
      <c r="L2206" s="7"/>
    </row>
    <row r="2207" spans="1:12">
      <c r="A2207" s="20"/>
      <c r="B2207" s="21"/>
      <c r="C2207" s="175"/>
      <c r="D2207" s="175"/>
      <c r="E2207" s="175"/>
      <c r="F2207" s="232"/>
      <c r="G2207" s="232"/>
      <c r="H2207" s="232"/>
      <c r="I2207" s="63"/>
      <c r="J2207" s="190"/>
      <c r="K2207" s="206"/>
      <c r="L2207" s="7"/>
    </row>
    <row r="2208" spans="1:12">
      <c r="A2208" s="19"/>
      <c r="B2208" s="7"/>
      <c r="C2208" s="175"/>
      <c r="D2208" s="175"/>
      <c r="E2208" s="175"/>
      <c r="F2208" s="229"/>
      <c r="G2208" s="229"/>
      <c r="H2208" s="229"/>
      <c r="I2208" s="72"/>
      <c r="J2208" s="185"/>
      <c r="K2208" s="205"/>
      <c r="L2208" s="7"/>
    </row>
    <row r="2209" spans="1:12">
      <c r="A2209" s="19"/>
      <c r="B2209" s="7"/>
      <c r="C2209" s="175"/>
      <c r="D2209" s="175"/>
      <c r="E2209" s="175"/>
      <c r="F2209" s="229"/>
      <c r="G2209" s="229"/>
      <c r="H2209" s="229"/>
      <c r="I2209" s="72"/>
      <c r="J2209" s="185"/>
      <c r="K2209" s="205"/>
      <c r="L2209" s="7"/>
    </row>
    <row r="2210" spans="1:12">
      <c r="A2210" s="19"/>
      <c r="B2210" s="7"/>
      <c r="C2210" s="175"/>
      <c r="D2210" s="175"/>
      <c r="E2210" s="175"/>
      <c r="F2210" s="229"/>
      <c r="G2210" s="229"/>
      <c r="H2210" s="229"/>
      <c r="I2210" s="72"/>
      <c r="J2210" s="185"/>
      <c r="K2210" s="205"/>
      <c r="L2210" s="7"/>
    </row>
    <row r="2211" spans="1:12">
      <c r="A2211" s="19"/>
      <c r="B2211" s="7"/>
      <c r="C2211" s="175"/>
      <c r="D2211" s="175"/>
      <c r="E2211" s="175"/>
      <c r="F2211" s="229"/>
      <c r="G2211" s="229"/>
      <c r="H2211" s="229"/>
      <c r="I2211" s="72"/>
      <c r="J2211" s="185"/>
      <c r="K2211" s="205"/>
      <c r="L2211" s="7"/>
    </row>
    <row r="2212" spans="1:12">
      <c r="A2212" s="19"/>
      <c r="B2212" s="7"/>
      <c r="C2212" s="175"/>
      <c r="D2212" s="175"/>
      <c r="E2212" s="175"/>
      <c r="F2212" s="229"/>
      <c r="G2212" s="229"/>
      <c r="H2212" s="229"/>
      <c r="I2212" s="72"/>
      <c r="J2212" s="185"/>
      <c r="K2212" s="205"/>
      <c r="L2212" s="7"/>
    </row>
    <row r="2213" spans="1:12">
      <c r="A2213" s="19"/>
      <c r="B2213" s="7"/>
      <c r="C2213" s="175"/>
      <c r="D2213" s="175"/>
      <c r="E2213" s="175"/>
      <c r="F2213" s="229"/>
      <c r="G2213" s="229"/>
      <c r="H2213" s="229"/>
      <c r="I2213" s="72"/>
      <c r="J2213" s="185"/>
      <c r="K2213" s="205"/>
      <c r="L2213" s="7"/>
    </row>
    <row r="2214" spans="1:12">
      <c r="A2214" s="19"/>
      <c r="B2214" s="7"/>
      <c r="C2214" s="175"/>
      <c r="D2214" s="175"/>
      <c r="E2214" s="175"/>
      <c r="F2214" s="229"/>
      <c r="G2214" s="229"/>
      <c r="H2214" s="229"/>
      <c r="I2214" s="72"/>
      <c r="J2214" s="185"/>
      <c r="K2214" s="205"/>
      <c r="L2214" s="7"/>
    </row>
    <row r="2215" spans="1:12">
      <c r="A2215" s="19"/>
      <c r="B2215" s="7"/>
      <c r="C2215" s="175"/>
      <c r="D2215" s="175"/>
      <c r="E2215" s="175"/>
      <c r="F2215" s="229"/>
      <c r="G2215" s="229"/>
      <c r="H2215" s="229"/>
      <c r="I2215" s="72"/>
      <c r="J2215" s="185"/>
      <c r="K2215" s="205"/>
      <c r="L2215" s="7"/>
    </row>
    <row r="2216" spans="1:12">
      <c r="A2216" s="19"/>
      <c r="B2216" s="7"/>
      <c r="C2216" s="175"/>
      <c r="D2216" s="175"/>
      <c r="E2216" s="175"/>
      <c r="F2216" s="229"/>
      <c r="G2216" s="229"/>
      <c r="H2216" s="229"/>
      <c r="I2216" s="72"/>
      <c r="J2216" s="185"/>
      <c r="K2216" s="205"/>
      <c r="L2216" s="7"/>
    </row>
    <row r="2217" spans="1:12">
      <c r="A2217" s="19"/>
      <c r="B2217" s="7"/>
      <c r="C2217" s="175"/>
      <c r="D2217" s="175"/>
      <c r="E2217" s="175"/>
      <c r="F2217" s="229"/>
      <c r="G2217" s="229"/>
      <c r="H2217" s="229"/>
      <c r="I2217" s="72"/>
      <c r="J2217" s="185"/>
      <c r="K2217" s="205"/>
      <c r="L2217" s="7"/>
    </row>
    <row r="2218" spans="1:12">
      <c r="A2218" s="19"/>
      <c r="B2218" s="7"/>
      <c r="C2218" s="175"/>
      <c r="D2218" s="175"/>
      <c r="E2218" s="175"/>
      <c r="F2218" s="229"/>
      <c r="G2218" s="229"/>
      <c r="H2218" s="229"/>
      <c r="I2218" s="72"/>
      <c r="J2218" s="185"/>
      <c r="K2218" s="205"/>
      <c r="L2218" s="7"/>
    </row>
    <row r="2219" spans="1:12">
      <c r="A2219" s="19"/>
      <c r="B2219" s="7"/>
      <c r="C2219" s="175"/>
      <c r="D2219" s="175"/>
      <c r="E2219" s="175"/>
      <c r="F2219" s="229"/>
      <c r="G2219" s="229"/>
      <c r="H2219" s="229"/>
      <c r="I2219" s="72"/>
      <c r="J2219" s="185"/>
      <c r="K2219" s="205"/>
      <c r="L2219" s="7"/>
    </row>
    <row r="2220" spans="1:12">
      <c r="A2220" s="19"/>
      <c r="B2220" s="7"/>
      <c r="C2220" s="175"/>
      <c r="D2220" s="175"/>
      <c r="E2220" s="175"/>
      <c r="F2220" s="229"/>
      <c r="G2220" s="229"/>
      <c r="H2220" s="229"/>
      <c r="I2220" s="72"/>
      <c r="J2220" s="185"/>
      <c r="K2220" s="205"/>
      <c r="L2220" s="7"/>
    </row>
    <row r="2221" spans="1:12">
      <c r="A2221" s="19"/>
      <c r="B2221" s="7"/>
      <c r="C2221" s="175"/>
      <c r="D2221" s="175"/>
      <c r="E2221" s="175"/>
      <c r="F2221" s="229"/>
      <c r="G2221" s="229"/>
      <c r="H2221" s="229"/>
      <c r="I2221" s="72"/>
      <c r="J2221" s="185"/>
      <c r="K2221" s="205"/>
      <c r="L2221" s="7"/>
    </row>
    <row r="2222" spans="1:12">
      <c r="A2222" s="19"/>
      <c r="B2222" s="7"/>
      <c r="C2222" s="175"/>
      <c r="D2222" s="175"/>
      <c r="E2222" s="175"/>
      <c r="F2222" s="229"/>
      <c r="G2222" s="229"/>
      <c r="H2222" s="229"/>
      <c r="I2222" s="72"/>
      <c r="J2222" s="185"/>
      <c r="K2222" s="205"/>
      <c r="L2222" s="7"/>
    </row>
    <row r="2223" spans="1:12">
      <c r="A2223" s="19"/>
      <c r="B2223" s="7"/>
      <c r="C2223" s="175"/>
      <c r="D2223" s="175"/>
      <c r="E2223" s="175"/>
      <c r="F2223" s="229"/>
      <c r="G2223" s="229"/>
      <c r="H2223" s="229"/>
      <c r="I2223" s="72"/>
      <c r="J2223" s="185"/>
      <c r="K2223" s="205"/>
      <c r="L2223" s="7"/>
    </row>
    <row r="2224" spans="1:12">
      <c r="A2224" s="19"/>
      <c r="B2224" s="7"/>
      <c r="C2224" s="175"/>
      <c r="D2224" s="175"/>
      <c r="E2224" s="175"/>
      <c r="F2224" s="229"/>
      <c r="G2224" s="229"/>
      <c r="H2224" s="229"/>
      <c r="I2224" s="72"/>
      <c r="J2224" s="185"/>
      <c r="K2224" s="205"/>
      <c r="L2224" s="7"/>
    </row>
    <row r="2225" spans="1:12">
      <c r="A2225" s="19"/>
      <c r="B2225" s="7"/>
      <c r="C2225" s="175"/>
      <c r="D2225" s="175"/>
      <c r="E2225" s="175"/>
      <c r="F2225" s="229"/>
      <c r="G2225" s="229"/>
      <c r="H2225" s="229"/>
      <c r="I2225" s="72"/>
      <c r="J2225" s="185"/>
      <c r="K2225" s="205"/>
      <c r="L2225" s="7"/>
    </row>
    <row r="2226" spans="1:12">
      <c r="A2226" s="19"/>
      <c r="B2226" s="7"/>
      <c r="C2226" s="175"/>
      <c r="D2226" s="175"/>
      <c r="E2226" s="175"/>
      <c r="F2226" s="229"/>
      <c r="G2226" s="229"/>
      <c r="H2226" s="229"/>
      <c r="I2226" s="72"/>
      <c r="J2226" s="185"/>
      <c r="K2226" s="205"/>
      <c r="L2226" s="7"/>
    </row>
    <row r="2227" spans="1:12">
      <c r="A2227" s="19"/>
      <c r="B2227" s="7"/>
      <c r="C2227" s="175"/>
      <c r="D2227" s="175"/>
      <c r="E2227" s="175"/>
      <c r="F2227" s="229"/>
      <c r="G2227" s="229"/>
      <c r="H2227" s="229"/>
      <c r="I2227" s="72"/>
      <c r="J2227" s="185"/>
      <c r="K2227" s="205"/>
      <c r="L2227" s="7"/>
    </row>
    <row r="2228" spans="1:12">
      <c r="A2228" s="19"/>
      <c r="B2228" s="7"/>
      <c r="C2228" s="175"/>
      <c r="D2228" s="175"/>
      <c r="E2228" s="175"/>
      <c r="F2228" s="229"/>
      <c r="G2228" s="229"/>
      <c r="H2228" s="229"/>
      <c r="I2228" s="72"/>
      <c r="J2228" s="185"/>
      <c r="K2228" s="205"/>
      <c r="L2228" s="7"/>
    </row>
    <row r="2229" spans="1:12">
      <c r="A2229" s="19"/>
      <c r="B2229" s="7"/>
      <c r="C2229" s="175"/>
      <c r="D2229" s="175"/>
      <c r="E2229" s="175"/>
      <c r="F2229" s="229"/>
      <c r="G2229" s="229"/>
      <c r="H2229" s="229"/>
      <c r="I2229" s="72"/>
      <c r="J2229" s="185"/>
      <c r="K2229" s="205"/>
      <c r="L2229" s="7"/>
    </row>
    <row r="2230" spans="1:12">
      <c r="A2230" s="19"/>
      <c r="B2230" s="7"/>
      <c r="C2230" s="175"/>
      <c r="D2230" s="175"/>
      <c r="E2230" s="175"/>
      <c r="F2230" s="229"/>
      <c r="G2230" s="229"/>
      <c r="H2230" s="229"/>
      <c r="I2230" s="72"/>
      <c r="J2230" s="185"/>
      <c r="K2230" s="205"/>
      <c r="L2230" s="7"/>
    </row>
    <row r="2231" spans="1:12">
      <c r="A2231" s="19"/>
      <c r="B2231" s="7"/>
      <c r="C2231" s="175"/>
      <c r="D2231" s="175"/>
      <c r="E2231" s="175"/>
      <c r="F2231" s="229"/>
      <c r="G2231" s="229"/>
      <c r="H2231" s="229"/>
      <c r="I2231" s="72"/>
      <c r="J2231" s="185"/>
      <c r="K2231" s="205"/>
      <c r="L2231" s="7"/>
    </row>
    <row r="2232" spans="1:12">
      <c r="A2232" s="19"/>
      <c r="B2232" s="7"/>
      <c r="C2232" s="175"/>
      <c r="D2232" s="175"/>
      <c r="E2232" s="175"/>
      <c r="F2232" s="229"/>
      <c r="G2232" s="229"/>
      <c r="H2232" s="229"/>
      <c r="I2232" s="72"/>
      <c r="J2232" s="185"/>
      <c r="K2232" s="205"/>
      <c r="L2232" s="7"/>
    </row>
    <row r="2233" spans="1:12">
      <c r="A2233" s="19"/>
      <c r="B2233" s="7"/>
      <c r="C2233" s="175"/>
      <c r="D2233" s="175"/>
      <c r="E2233" s="175"/>
      <c r="F2233" s="229"/>
      <c r="G2233" s="229"/>
      <c r="H2233" s="229"/>
      <c r="I2233" s="72"/>
      <c r="J2233" s="185"/>
      <c r="K2233" s="205"/>
      <c r="L2233" s="7"/>
    </row>
    <row r="2234" spans="1:12">
      <c r="A2234" s="19"/>
      <c r="B2234" s="7"/>
      <c r="C2234" s="175"/>
      <c r="D2234" s="175"/>
      <c r="E2234" s="175"/>
      <c r="F2234" s="229"/>
      <c r="G2234" s="229"/>
      <c r="H2234" s="229"/>
      <c r="I2234" s="72"/>
      <c r="J2234" s="185"/>
      <c r="K2234" s="205"/>
      <c r="L2234" s="7"/>
    </row>
    <row r="2235" spans="1:12">
      <c r="A2235" s="19"/>
      <c r="B2235" s="7"/>
      <c r="C2235" s="175"/>
      <c r="D2235" s="175"/>
      <c r="E2235" s="175"/>
      <c r="F2235" s="229"/>
      <c r="G2235" s="229"/>
      <c r="H2235" s="229"/>
      <c r="I2235" s="72"/>
      <c r="J2235" s="185"/>
      <c r="K2235" s="205"/>
      <c r="L2235" s="7"/>
    </row>
    <row r="2236" spans="1:12">
      <c r="A2236" s="19"/>
      <c r="B2236" s="7"/>
      <c r="C2236" s="175"/>
      <c r="D2236" s="175"/>
      <c r="E2236" s="175"/>
      <c r="F2236" s="229"/>
      <c r="G2236" s="229"/>
      <c r="H2236" s="229"/>
      <c r="I2236" s="72"/>
      <c r="J2236" s="185"/>
      <c r="K2236" s="205"/>
      <c r="L2236" s="7"/>
    </row>
    <row r="2237" spans="1:12">
      <c r="A2237" s="19"/>
      <c r="B2237" s="7"/>
      <c r="C2237" s="175"/>
      <c r="D2237" s="175"/>
      <c r="E2237" s="175"/>
      <c r="F2237" s="229"/>
      <c r="G2237" s="229"/>
      <c r="H2237" s="229"/>
      <c r="I2237" s="72"/>
      <c r="J2237" s="185"/>
      <c r="K2237" s="205"/>
      <c r="L2237" s="7"/>
    </row>
    <row r="2238" spans="1:12">
      <c r="A2238" s="19"/>
      <c r="B2238" s="7"/>
      <c r="C2238" s="175"/>
      <c r="D2238" s="175"/>
      <c r="E2238" s="175"/>
      <c r="F2238" s="229"/>
      <c r="G2238" s="229"/>
      <c r="H2238" s="229"/>
      <c r="I2238" s="72"/>
      <c r="J2238" s="185"/>
      <c r="K2238" s="205"/>
      <c r="L2238" s="7"/>
    </row>
    <row r="2239" spans="1:12">
      <c r="A2239" s="19"/>
      <c r="B2239" s="7"/>
      <c r="C2239" s="175"/>
      <c r="D2239" s="175"/>
      <c r="E2239" s="175"/>
      <c r="F2239" s="229"/>
      <c r="G2239" s="229"/>
      <c r="H2239" s="229"/>
      <c r="I2239" s="72"/>
      <c r="J2239" s="185"/>
      <c r="K2239" s="205"/>
      <c r="L2239" s="7"/>
    </row>
    <row r="2240" spans="1:12">
      <c r="A2240" s="19"/>
      <c r="B2240" s="7"/>
      <c r="C2240" s="175"/>
      <c r="D2240" s="175"/>
      <c r="E2240" s="175"/>
      <c r="F2240" s="229"/>
      <c r="G2240" s="229"/>
      <c r="H2240" s="229"/>
      <c r="I2240" s="72"/>
      <c r="J2240" s="185"/>
      <c r="K2240" s="205"/>
      <c r="L2240" s="7"/>
    </row>
    <row r="2241" spans="1:12">
      <c r="A2241" s="19"/>
      <c r="B2241" s="7"/>
      <c r="C2241" s="175"/>
      <c r="D2241" s="175"/>
      <c r="E2241" s="175"/>
      <c r="F2241" s="229"/>
      <c r="G2241" s="229"/>
      <c r="H2241" s="229"/>
      <c r="I2241" s="72"/>
      <c r="J2241" s="185"/>
      <c r="K2241" s="205"/>
      <c r="L2241" s="7"/>
    </row>
    <row r="2242" spans="1:12">
      <c r="A2242" s="19"/>
      <c r="B2242" s="7"/>
      <c r="C2242" s="175"/>
      <c r="D2242" s="175"/>
      <c r="E2242" s="175"/>
      <c r="F2242" s="229"/>
      <c r="G2242" s="229"/>
      <c r="H2242" s="229"/>
      <c r="I2242" s="72"/>
      <c r="J2242" s="185"/>
      <c r="K2242" s="205"/>
      <c r="L2242" s="7"/>
    </row>
    <row r="2243" spans="1:12">
      <c r="A2243" s="19"/>
      <c r="B2243" s="7"/>
      <c r="C2243" s="175"/>
      <c r="D2243" s="175"/>
      <c r="E2243" s="175"/>
      <c r="F2243" s="229"/>
      <c r="G2243" s="229"/>
      <c r="H2243" s="229"/>
      <c r="I2243" s="72"/>
      <c r="J2243" s="185"/>
      <c r="K2243" s="205"/>
      <c r="L2243" s="7"/>
    </row>
    <row r="2244" spans="1:12">
      <c r="A2244" s="19"/>
      <c r="B2244" s="7"/>
      <c r="C2244" s="175"/>
      <c r="D2244" s="175"/>
      <c r="E2244" s="175"/>
      <c r="F2244" s="229"/>
      <c r="G2244" s="229"/>
      <c r="H2244" s="229"/>
      <c r="I2244" s="72"/>
      <c r="J2244" s="185"/>
      <c r="K2244" s="205"/>
      <c r="L2244" s="7"/>
    </row>
    <row r="2245" spans="1:12">
      <c r="A2245" s="19"/>
      <c r="B2245" s="7"/>
      <c r="C2245" s="175"/>
      <c r="D2245" s="175"/>
      <c r="E2245" s="175"/>
      <c r="F2245" s="229"/>
      <c r="G2245" s="229"/>
      <c r="H2245" s="229"/>
      <c r="I2245" s="72"/>
      <c r="J2245" s="185"/>
      <c r="K2245" s="205"/>
      <c r="L2245" s="7"/>
    </row>
    <row r="2246" spans="1:12">
      <c r="A2246" s="19"/>
      <c r="B2246" s="7"/>
      <c r="C2246" s="175"/>
      <c r="D2246" s="175"/>
      <c r="E2246" s="175"/>
      <c r="F2246" s="229"/>
      <c r="G2246" s="229"/>
      <c r="H2246" s="229"/>
      <c r="I2246" s="72"/>
      <c r="J2246" s="185"/>
      <c r="K2246" s="205"/>
      <c r="L2246" s="7"/>
    </row>
    <row r="2247" spans="1:12">
      <c r="A2247" s="19"/>
      <c r="B2247" s="7"/>
      <c r="C2247" s="175"/>
      <c r="D2247" s="175"/>
      <c r="E2247" s="175"/>
      <c r="F2247" s="229"/>
      <c r="G2247" s="229"/>
      <c r="H2247" s="229"/>
      <c r="I2247" s="72"/>
      <c r="J2247" s="185"/>
      <c r="K2247" s="205"/>
      <c r="L2247" s="7"/>
    </row>
    <row r="2248" spans="1:12">
      <c r="A2248" s="19"/>
      <c r="B2248" s="7"/>
      <c r="C2248" s="175"/>
      <c r="D2248" s="175"/>
      <c r="E2248" s="175"/>
      <c r="F2248" s="229"/>
      <c r="G2248" s="229"/>
      <c r="H2248" s="229"/>
      <c r="I2248" s="72"/>
      <c r="J2248" s="185"/>
      <c r="K2248" s="205"/>
      <c r="L2248" s="7"/>
    </row>
    <row r="2249" spans="1:12">
      <c r="A2249" s="19"/>
      <c r="B2249" s="7"/>
      <c r="C2249" s="175"/>
      <c r="D2249" s="175"/>
      <c r="E2249" s="175"/>
      <c r="F2249" s="229"/>
      <c r="G2249" s="229"/>
      <c r="H2249" s="229"/>
      <c r="I2249" s="72"/>
      <c r="J2249" s="185"/>
      <c r="K2249" s="205"/>
      <c r="L2249" s="7"/>
    </row>
    <row r="2250" spans="1:12">
      <c r="A2250" s="31"/>
      <c r="B2250" s="32"/>
      <c r="C2250" s="175"/>
      <c r="D2250" s="175"/>
      <c r="E2250" s="175"/>
      <c r="F2250" s="229"/>
      <c r="G2250" s="229"/>
      <c r="H2250" s="229"/>
      <c r="I2250" s="77"/>
      <c r="J2250" s="185"/>
      <c r="K2250" s="205"/>
      <c r="L2250" s="7"/>
    </row>
    <row r="2251" spans="1:12">
      <c r="A2251" s="33"/>
      <c r="B2251" s="34"/>
      <c r="C2251" s="175"/>
      <c r="D2251" s="175"/>
      <c r="E2251" s="175"/>
      <c r="F2251" s="229"/>
      <c r="G2251" s="229"/>
      <c r="H2251" s="229"/>
      <c r="I2251" s="78"/>
      <c r="J2251" s="185"/>
      <c r="K2251" s="205"/>
      <c r="L2251" s="7"/>
    </row>
    <row r="2252" spans="1:12">
      <c r="A2252" s="19"/>
      <c r="B2252" s="7"/>
      <c r="C2252" s="175"/>
      <c r="D2252" s="175"/>
      <c r="E2252" s="175"/>
      <c r="F2252" s="229"/>
      <c r="G2252" s="229"/>
      <c r="H2252" s="229"/>
      <c r="I2252" s="72"/>
      <c r="J2252" s="185"/>
      <c r="K2252" s="205"/>
      <c r="L2252" s="7"/>
    </row>
    <row r="2253" spans="1:12">
      <c r="A2253" s="31"/>
      <c r="B2253" s="32"/>
      <c r="C2253" s="175"/>
      <c r="D2253" s="175"/>
      <c r="E2253" s="175"/>
      <c r="F2253" s="229"/>
      <c r="G2253" s="229"/>
      <c r="H2253" s="229"/>
      <c r="I2253" s="77"/>
      <c r="J2253" s="185"/>
      <c r="K2253" s="205"/>
      <c r="L2253" s="7"/>
    </row>
    <row r="2254" spans="1:12">
      <c r="A2254" s="33"/>
      <c r="B2254" s="34"/>
      <c r="C2254" s="175"/>
      <c r="D2254" s="175"/>
      <c r="E2254" s="175"/>
      <c r="F2254" s="229"/>
      <c r="G2254" s="229"/>
      <c r="H2254" s="229"/>
      <c r="I2254" s="78"/>
      <c r="J2254" s="185"/>
      <c r="K2254" s="205"/>
      <c r="L2254" s="7"/>
    </row>
    <row r="2255" spans="1:12">
      <c r="A2255" s="20"/>
      <c r="B2255" s="21"/>
      <c r="C2255" s="175"/>
      <c r="D2255" s="175"/>
      <c r="E2255" s="175"/>
      <c r="F2255" s="232"/>
      <c r="G2255" s="232"/>
      <c r="H2255" s="232"/>
      <c r="I2255" s="63"/>
      <c r="J2255" s="189"/>
      <c r="K2255" s="206"/>
      <c r="L2255" s="7"/>
    </row>
    <row r="2256" spans="1:12">
      <c r="A2256" s="20"/>
      <c r="B2256" s="21"/>
      <c r="C2256" s="175"/>
      <c r="D2256" s="175"/>
      <c r="E2256" s="175"/>
      <c r="F2256" s="232"/>
      <c r="G2256" s="232"/>
      <c r="H2256" s="232"/>
      <c r="I2256" s="63"/>
      <c r="J2256" s="189"/>
      <c r="K2256" s="206"/>
      <c r="L2256" s="7"/>
    </row>
    <row r="2257" spans="1:12">
      <c r="A2257" s="31"/>
      <c r="B2257" s="32"/>
      <c r="C2257" s="175"/>
      <c r="D2257" s="175"/>
      <c r="E2257" s="175"/>
      <c r="F2257" s="229"/>
      <c r="G2257" s="229"/>
      <c r="H2257" s="229"/>
      <c r="I2257" s="77"/>
      <c r="J2257" s="185"/>
      <c r="K2257" s="205"/>
      <c r="L2257" s="7"/>
    </row>
    <row r="2258" spans="1:12">
      <c r="A2258" s="33"/>
      <c r="B2258" s="34"/>
      <c r="C2258" s="175"/>
      <c r="D2258" s="175"/>
      <c r="E2258" s="175"/>
      <c r="F2258" s="229"/>
      <c r="G2258" s="229"/>
      <c r="H2258" s="229"/>
      <c r="I2258" s="78"/>
      <c r="J2258" s="185"/>
      <c r="K2258" s="205"/>
      <c r="L2258" s="7"/>
    </row>
    <row r="2259" spans="1:12">
      <c r="A2259" s="19"/>
      <c r="B2259" s="7"/>
      <c r="C2259" s="175"/>
      <c r="D2259" s="175"/>
      <c r="E2259" s="175"/>
      <c r="F2259" s="229"/>
      <c r="G2259" s="229"/>
      <c r="H2259" s="229"/>
      <c r="I2259" s="72"/>
      <c r="J2259" s="185"/>
      <c r="K2259" s="205"/>
      <c r="L2259" s="7"/>
    </row>
    <row r="2260" spans="1:12">
      <c r="A2260" s="19"/>
      <c r="B2260" s="7"/>
      <c r="C2260" s="175"/>
      <c r="D2260" s="175"/>
      <c r="E2260" s="175"/>
      <c r="F2260" s="229"/>
      <c r="G2260" s="229"/>
      <c r="H2260" s="229"/>
      <c r="I2260" s="72"/>
      <c r="J2260" s="185"/>
      <c r="K2260" s="205"/>
      <c r="L2260" s="7"/>
    </row>
    <row r="2261" spans="1:12">
      <c r="A2261" s="19"/>
      <c r="B2261" s="7"/>
      <c r="C2261" s="175"/>
      <c r="D2261" s="175"/>
      <c r="E2261" s="175"/>
      <c r="F2261" s="229"/>
      <c r="G2261" s="229"/>
      <c r="H2261" s="229"/>
      <c r="I2261" s="72"/>
      <c r="J2261" s="185"/>
      <c r="K2261" s="205"/>
      <c r="L2261" s="7"/>
    </row>
    <row r="2262" spans="1:12">
      <c r="A2262" s="19"/>
      <c r="B2262" s="7"/>
      <c r="C2262" s="175"/>
      <c r="D2262" s="175"/>
      <c r="E2262" s="175"/>
      <c r="F2262" s="229"/>
      <c r="G2262" s="229"/>
      <c r="H2262" s="229"/>
      <c r="I2262" s="72"/>
      <c r="J2262" s="185"/>
      <c r="K2262" s="205"/>
      <c r="L2262" s="7"/>
    </row>
    <row r="2263" spans="1:12">
      <c r="A2263" s="19"/>
      <c r="B2263" s="7"/>
      <c r="C2263" s="175"/>
      <c r="D2263" s="175"/>
      <c r="E2263" s="175"/>
      <c r="F2263" s="229"/>
      <c r="G2263" s="229"/>
      <c r="H2263" s="229"/>
      <c r="I2263" s="72"/>
      <c r="J2263" s="185"/>
      <c r="K2263" s="205"/>
      <c r="L2263" s="7"/>
    </row>
    <row r="2264" spans="1:12">
      <c r="A2264" s="19"/>
      <c r="B2264" s="7"/>
      <c r="C2264" s="175"/>
      <c r="D2264" s="175"/>
      <c r="E2264" s="175"/>
      <c r="F2264" s="229"/>
      <c r="G2264" s="229"/>
      <c r="H2264" s="229"/>
      <c r="I2264" s="72"/>
      <c r="J2264" s="185"/>
      <c r="K2264" s="205"/>
      <c r="L2264" s="7"/>
    </row>
    <row r="2265" spans="1:12">
      <c r="A2265" s="19"/>
      <c r="B2265" s="7"/>
      <c r="C2265" s="175"/>
      <c r="D2265" s="175"/>
      <c r="E2265" s="175"/>
      <c r="F2265" s="229"/>
      <c r="G2265" s="229"/>
      <c r="H2265" s="229"/>
      <c r="I2265" s="72"/>
      <c r="J2265" s="185"/>
      <c r="K2265" s="205"/>
      <c r="L2265" s="7"/>
    </row>
    <row r="2266" spans="1:12">
      <c r="A2266" s="19"/>
      <c r="B2266" s="7"/>
      <c r="C2266" s="175"/>
      <c r="D2266" s="175"/>
      <c r="E2266" s="175"/>
      <c r="F2266" s="229"/>
      <c r="G2266" s="229"/>
      <c r="H2266" s="229"/>
      <c r="I2266" s="72"/>
      <c r="J2266" s="185"/>
      <c r="K2266" s="205"/>
      <c r="L2266" s="7"/>
    </row>
    <row r="2267" spans="1:12">
      <c r="A2267" s="19"/>
      <c r="B2267" s="7"/>
      <c r="C2267" s="175"/>
      <c r="D2267" s="175"/>
      <c r="E2267" s="175"/>
      <c r="F2267" s="229"/>
      <c r="G2267" s="229"/>
      <c r="H2267" s="229"/>
      <c r="I2267" s="72"/>
      <c r="J2267" s="185"/>
      <c r="K2267" s="205"/>
      <c r="L2267" s="7"/>
    </row>
    <row r="2268" spans="1:12">
      <c r="A2268" s="19"/>
      <c r="B2268" s="7"/>
      <c r="C2268" s="175"/>
      <c r="D2268" s="175"/>
      <c r="E2268" s="175"/>
      <c r="F2268" s="229"/>
      <c r="G2268" s="229"/>
      <c r="H2268" s="229"/>
      <c r="I2268" s="72"/>
      <c r="J2268" s="185"/>
      <c r="K2268" s="205"/>
      <c r="L2268" s="7"/>
    </row>
    <row r="2269" spans="1:12">
      <c r="A2269" s="19"/>
      <c r="B2269" s="7"/>
      <c r="C2269" s="175"/>
      <c r="D2269" s="175"/>
      <c r="E2269" s="175"/>
      <c r="F2269" s="229"/>
      <c r="G2269" s="229"/>
      <c r="H2269" s="229"/>
      <c r="I2269" s="72"/>
      <c r="J2269" s="185"/>
      <c r="K2269" s="205"/>
      <c r="L2269" s="7"/>
    </row>
    <row r="2270" spans="1:12">
      <c r="A2270" s="19"/>
      <c r="B2270" s="7"/>
      <c r="C2270" s="175"/>
      <c r="D2270" s="175"/>
      <c r="E2270" s="175"/>
      <c r="F2270" s="229"/>
      <c r="G2270" s="229"/>
      <c r="H2270" s="229"/>
      <c r="I2270" s="72"/>
      <c r="J2270" s="185"/>
      <c r="K2270" s="205"/>
      <c r="L2270" s="7"/>
    </row>
    <row r="2271" spans="1:12">
      <c r="A2271" s="19"/>
      <c r="B2271" s="7"/>
      <c r="C2271" s="175"/>
      <c r="D2271" s="175"/>
      <c r="E2271" s="175"/>
      <c r="F2271" s="229"/>
      <c r="G2271" s="229"/>
      <c r="H2271" s="229"/>
      <c r="I2271" s="72"/>
      <c r="J2271" s="185"/>
      <c r="K2271" s="205"/>
      <c r="L2271" s="7"/>
    </row>
    <row r="2272" spans="1:12">
      <c r="A2272" s="19"/>
      <c r="B2272" s="7"/>
      <c r="C2272" s="175"/>
      <c r="D2272" s="175"/>
      <c r="E2272" s="175"/>
      <c r="F2272" s="229"/>
      <c r="G2272" s="229"/>
      <c r="H2272" s="229"/>
      <c r="I2272" s="72"/>
      <c r="J2272" s="185"/>
      <c r="K2272" s="205"/>
      <c r="L2272" s="7"/>
    </row>
    <row r="2273" spans="1:12">
      <c r="A2273" s="20"/>
      <c r="B2273" s="21"/>
      <c r="C2273" s="175"/>
      <c r="D2273" s="175"/>
      <c r="E2273" s="175"/>
      <c r="F2273" s="232"/>
      <c r="G2273" s="232"/>
      <c r="H2273" s="232"/>
      <c r="I2273" s="63"/>
      <c r="J2273" s="190"/>
      <c r="K2273" s="206"/>
      <c r="L2273" s="7"/>
    </row>
    <row r="2274" spans="1:12">
      <c r="A2274" s="20"/>
      <c r="B2274" s="21"/>
      <c r="C2274" s="175"/>
      <c r="D2274" s="175"/>
      <c r="E2274" s="175"/>
      <c r="F2274" s="232"/>
      <c r="G2274" s="232"/>
      <c r="H2274" s="232"/>
      <c r="I2274" s="63"/>
      <c r="J2274" s="190"/>
      <c r="K2274" s="206"/>
      <c r="L2274" s="7"/>
    </row>
    <row r="2275" spans="1:12">
      <c r="A2275" s="31"/>
      <c r="B2275" s="32"/>
      <c r="C2275" s="175"/>
      <c r="D2275" s="175"/>
      <c r="E2275" s="175"/>
      <c r="F2275" s="229"/>
      <c r="G2275" s="229"/>
      <c r="H2275" s="229"/>
      <c r="I2275" s="77"/>
      <c r="J2275" s="185"/>
      <c r="K2275" s="205"/>
      <c r="L2275" s="7"/>
    </row>
    <row r="2276" spans="1:12">
      <c r="A2276" s="33"/>
      <c r="B2276" s="34"/>
      <c r="C2276" s="175"/>
      <c r="D2276" s="175"/>
      <c r="E2276" s="175"/>
      <c r="F2276" s="229"/>
      <c r="G2276" s="229"/>
      <c r="H2276" s="229"/>
      <c r="I2276" s="78"/>
      <c r="J2276" s="185"/>
      <c r="K2276" s="205"/>
      <c r="L2276" s="7"/>
    </row>
    <row r="2277" spans="1:12">
      <c r="A2277" s="20"/>
      <c r="B2277" s="21"/>
      <c r="C2277" s="175"/>
      <c r="D2277" s="175"/>
      <c r="E2277" s="175"/>
      <c r="F2277" s="232"/>
      <c r="G2277" s="232"/>
      <c r="H2277" s="232"/>
      <c r="I2277" s="63"/>
      <c r="J2277" s="190"/>
      <c r="K2277" s="206"/>
      <c r="L2277" s="7"/>
    </row>
    <row r="2278" spans="1:12">
      <c r="A2278" s="20"/>
      <c r="B2278" s="21"/>
      <c r="C2278" s="175"/>
      <c r="D2278" s="175"/>
      <c r="E2278" s="175"/>
      <c r="F2278" s="232"/>
      <c r="G2278" s="232"/>
      <c r="H2278" s="232"/>
      <c r="I2278" s="63"/>
      <c r="J2278" s="190"/>
      <c r="K2278" s="206"/>
      <c r="L2278" s="7"/>
    </row>
    <row r="2279" spans="1:12">
      <c r="A2279" s="31"/>
      <c r="B2279" s="32"/>
      <c r="C2279" s="175"/>
      <c r="D2279" s="175"/>
      <c r="E2279" s="175"/>
      <c r="F2279" s="229"/>
      <c r="G2279" s="229"/>
      <c r="H2279" s="229"/>
      <c r="I2279" s="77"/>
      <c r="J2279" s="185"/>
      <c r="K2279" s="205"/>
      <c r="L2279" s="7"/>
    </row>
    <row r="2280" spans="1:12">
      <c r="A2280" s="33"/>
      <c r="B2280" s="34"/>
      <c r="C2280" s="175"/>
      <c r="D2280" s="175"/>
      <c r="E2280" s="175"/>
      <c r="F2280" s="229"/>
      <c r="G2280" s="229"/>
      <c r="H2280" s="229"/>
      <c r="I2280" s="78"/>
      <c r="J2280" s="185"/>
      <c r="K2280" s="205"/>
      <c r="L2280" s="7"/>
    </row>
    <row r="2281" spans="1:12">
      <c r="A2281" s="19"/>
      <c r="B2281" s="7"/>
      <c r="C2281" s="175"/>
      <c r="D2281" s="175"/>
      <c r="E2281" s="175"/>
      <c r="F2281" s="229"/>
      <c r="G2281" s="229"/>
      <c r="H2281" s="229"/>
      <c r="I2281" s="72"/>
      <c r="J2281" s="185"/>
      <c r="K2281" s="205"/>
      <c r="L2281" s="7"/>
    </row>
    <row r="2282" spans="1:12">
      <c r="A2282" s="31"/>
      <c r="B2282" s="32"/>
      <c r="C2282" s="175"/>
      <c r="D2282" s="175"/>
      <c r="E2282" s="175"/>
      <c r="F2282" s="229"/>
      <c r="G2282" s="229"/>
      <c r="H2282" s="229"/>
      <c r="I2282" s="77"/>
      <c r="J2282" s="185"/>
      <c r="K2282" s="205"/>
      <c r="L2282" s="7"/>
    </row>
    <row r="2283" spans="1:12">
      <c r="A2283" s="33"/>
      <c r="B2283" s="34"/>
      <c r="C2283" s="175"/>
      <c r="D2283" s="175"/>
      <c r="E2283" s="175"/>
      <c r="F2283" s="229"/>
      <c r="G2283" s="229"/>
      <c r="H2283" s="229"/>
      <c r="I2283" s="78"/>
      <c r="J2283" s="185"/>
      <c r="K2283" s="205"/>
      <c r="L2283" s="7"/>
    </row>
    <row r="2284" spans="1:12">
      <c r="A2284" s="19"/>
      <c r="B2284" s="7"/>
      <c r="C2284" s="175"/>
      <c r="D2284" s="175"/>
      <c r="E2284" s="175"/>
      <c r="F2284" s="229"/>
      <c r="G2284" s="229"/>
      <c r="H2284" s="229"/>
      <c r="I2284" s="72"/>
      <c r="J2284" s="185"/>
      <c r="K2284" s="205"/>
      <c r="L2284" s="7"/>
    </row>
    <row r="2285" spans="1:12">
      <c r="A2285" s="20"/>
      <c r="B2285" s="21"/>
      <c r="C2285" s="175"/>
      <c r="D2285" s="175"/>
      <c r="E2285" s="175"/>
      <c r="F2285" s="232"/>
      <c r="G2285" s="232"/>
      <c r="H2285" s="232"/>
      <c r="I2285" s="63"/>
      <c r="J2285" s="190"/>
      <c r="K2285" s="206"/>
      <c r="L2285" s="7"/>
    </row>
    <row r="2286" spans="1:12">
      <c r="A2286" s="19"/>
      <c r="B2286" s="7"/>
      <c r="C2286" s="175"/>
      <c r="D2286" s="175"/>
      <c r="E2286" s="175"/>
      <c r="F2286" s="229"/>
      <c r="G2286" s="229"/>
      <c r="H2286" s="229"/>
      <c r="I2286" s="72"/>
      <c r="J2286" s="185"/>
      <c r="K2286" s="205"/>
      <c r="L2286" s="7"/>
    </row>
    <row r="2287" spans="1:12">
      <c r="A2287" s="19"/>
      <c r="B2287" s="7"/>
      <c r="C2287" s="175"/>
      <c r="D2287" s="175"/>
      <c r="E2287" s="175"/>
      <c r="F2287" s="229"/>
      <c r="G2287" s="229"/>
      <c r="H2287" s="229"/>
      <c r="I2287" s="72"/>
      <c r="J2287" s="185"/>
      <c r="K2287" s="205"/>
      <c r="L2287" s="7"/>
    </row>
    <row r="2288" spans="1:12">
      <c r="A2288" s="19"/>
      <c r="B2288" s="7"/>
      <c r="C2288" s="175"/>
      <c r="D2288" s="175"/>
      <c r="E2288" s="175"/>
      <c r="F2288" s="229"/>
      <c r="G2288" s="229"/>
      <c r="H2288" s="229"/>
      <c r="I2288" s="72"/>
      <c r="J2288" s="185"/>
      <c r="K2288" s="205"/>
      <c r="L2288" s="7"/>
    </row>
    <row r="2289" spans="1:12">
      <c r="A2289" s="19"/>
      <c r="B2289" s="7"/>
      <c r="C2289" s="175"/>
      <c r="D2289" s="175"/>
      <c r="E2289" s="175"/>
      <c r="F2289" s="229"/>
      <c r="G2289" s="229"/>
      <c r="H2289" s="229"/>
      <c r="I2289" s="72"/>
      <c r="J2289" s="185"/>
      <c r="K2289" s="205"/>
      <c r="L2289" s="7"/>
    </row>
    <row r="2290" spans="1:12">
      <c r="A2290" s="19"/>
      <c r="B2290" s="7"/>
      <c r="C2290" s="175"/>
      <c r="D2290" s="175"/>
      <c r="E2290" s="175"/>
      <c r="F2290" s="229"/>
      <c r="G2290" s="229"/>
      <c r="H2290" s="229"/>
      <c r="I2290" s="72"/>
      <c r="J2290" s="185"/>
      <c r="K2290" s="205"/>
      <c r="L2290" s="7"/>
    </row>
    <row r="2291" spans="1:12">
      <c r="A2291" s="19"/>
      <c r="B2291" s="7"/>
      <c r="C2291" s="175"/>
      <c r="D2291" s="175"/>
      <c r="E2291" s="175"/>
      <c r="F2291" s="229"/>
      <c r="G2291" s="229"/>
      <c r="H2291" s="229"/>
      <c r="I2291" s="72"/>
      <c r="J2291" s="185"/>
      <c r="K2291" s="205"/>
      <c r="L2291" s="7"/>
    </row>
    <row r="2292" spans="1:12">
      <c r="A2292" s="19"/>
      <c r="B2292" s="7"/>
      <c r="C2292" s="175"/>
      <c r="D2292" s="175"/>
      <c r="E2292" s="175"/>
      <c r="F2292" s="229"/>
      <c r="G2292" s="229"/>
      <c r="H2292" s="229"/>
      <c r="I2292" s="72"/>
      <c r="J2292" s="185"/>
      <c r="K2292" s="205"/>
      <c r="L2292" s="7"/>
    </row>
    <row r="2293" spans="1:12">
      <c r="A2293" s="19"/>
      <c r="B2293" s="7"/>
      <c r="C2293" s="175"/>
      <c r="D2293" s="175"/>
      <c r="E2293" s="175"/>
      <c r="F2293" s="229"/>
      <c r="G2293" s="229"/>
      <c r="H2293" s="229"/>
      <c r="I2293" s="72"/>
      <c r="J2293" s="185"/>
      <c r="K2293" s="205"/>
      <c r="L2293" s="7"/>
    </row>
    <row r="2294" spans="1:12">
      <c r="A2294" s="19"/>
      <c r="B2294" s="7"/>
      <c r="C2294" s="175"/>
      <c r="D2294" s="175"/>
      <c r="E2294" s="175"/>
      <c r="F2294" s="229"/>
      <c r="G2294" s="229"/>
      <c r="H2294" s="229"/>
      <c r="I2294" s="72"/>
      <c r="J2294" s="185"/>
      <c r="K2294" s="205"/>
      <c r="L2294" s="7"/>
    </row>
    <row r="2295" spans="1:12">
      <c r="A2295" s="19"/>
      <c r="B2295" s="7"/>
      <c r="C2295" s="175"/>
      <c r="D2295" s="175"/>
      <c r="E2295" s="175"/>
      <c r="F2295" s="229"/>
      <c r="G2295" s="229"/>
      <c r="H2295" s="229"/>
      <c r="I2295" s="72"/>
      <c r="J2295" s="185"/>
      <c r="K2295" s="205"/>
      <c r="L2295" s="7"/>
    </row>
    <row r="2296" spans="1:12">
      <c r="A2296" s="19"/>
      <c r="B2296" s="7"/>
      <c r="C2296" s="175"/>
      <c r="D2296" s="175"/>
      <c r="E2296" s="175"/>
      <c r="F2296" s="229"/>
      <c r="G2296" s="229"/>
      <c r="H2296" s="229"/>
      <c r="I2296" s="72"/>
      <c r="J2296" s="185"/>
      <c r="K2296" s="205"/>
      <c r="L2296" s="7"/>
    </row>
    <row r="2297" spans="1:12">
      <c r="A2297" s="19"/>
      <c r="B2297" s="7"/>
      <c r="C2297" s="175"/>
      <c r="D2297" s="175"/>
      <c r="E2297" s="175"/>
      <c r="F2297" s="229"/>
      <c r="G2297" s="229"/>
      <c r="H2297" s="229"/>
      <c r="I2297" s="72"/>
      <c r="J2297" s="185"/>
      <c r="K2297" s="205"/>
      <c r="L2297" s="7"/>
    </row>
    <row r="2298" spans="1:12">
      <c r="A2298" s="19"/>
      <c r="B2298" s="7"/>
      <c r="C2298" s="175"/>
      <c r="D2298" s="175"/>
      <c r="E2298" s="175"/>
      <c r="F2298" s="229"/>
      <c r="G2298" s="229"/>
      <c r="H2298" s="229"/>
      <c r="I2298" s="72"/>
      <c r="J2298" s="185"/>
      <c r="K2298" s="205"/>
      <c r="L2298" s="7"/>
    </row>
    <row r="2299" spans="1:12">
      <c r="A2299" s="19"/>
      <c r="B2299" s="7"/>
      <c r="C2299" s="175"/>
      <c r="D2299" s="175"/>
      <c r="E2299" s="175"/>
      <c r="F2299" s="229"/>
      <c r="G2299" s="229"/>
      <c r="H2299" s="229"/>
      <c r="I2299" s="72"/>
      <c r="J2299" s="185"/>
      <c r="K2299" s="205"/>
      <c r="L2299" s="7"/>
    </row>
    <row r="2300" spans="1:12">
      <c r="A2300" s="19"/>
      <c r="B2300" s="7"/>
      <c r="C2300" s="175"/>
      <c r="D2300" s="175"/>
      <c r="E2300" s="175"/>
      <c r="F2300" s="229"/>
      <c r="G2300" s="229"/>
      <c r="H2300" s="229"/>
      <c r="I2300" s="72"/>
      <c r="J2300" s="185"/>
      <c r="K2300" s="205"/>
      <c r="L2300" s="7"/>
    </row>
    <row r="2301" spans="1:12">
      <c r="A2301" s="19"/>
      <c r="B2301" s="7"/>
      <c r="C2301" s="175"/>
      <c r="D2301" s="175"/>
      <c r="E2301" s="175"/>
      <c r="F2301" s="229"/>
      <c r="G2301" s="229"/>
      <c r="H2301" s="229"/>
      <c r="I2301" s="72"/>
      <c r="J2301" s="185"/>
      <c r="K2301" s="205"/>
      <c r="L2301" s="7"/>
    </row>
    <row r="2302" spans="1:12">
      <c r="A2302" s="19"/>
      <c r="B2302" s="7"/>
      <c r="C2302" s="175"/>
      <c r="D2302" s="175"/>
      <c r="E2302" s="175"/>
      <c r="F2302" s="229"/>
      <c r="G2302" s="229"/>
      <c r="H2302" s="229"/>
      <c r="I2302" s="72"/>
      <c r="J2302" s="185"/>
      <c r="K2302" s="205"/>
      <c r="L2302" s="7"/>
    </row>
    <row r="2303" spans="1:12">
      <c r="A2303" s="19"/>
      <c r="B2303" s="7"/>
      <c r="C2303" s="175"/>
      <c r="D2303" s="175"/>
      <c r="E2303" s="175"/>
      <c r="F2303" s="229"/>
      <c r="G2303" s="229"/>
      <c r="H2303" s="229"/>
      <c r="I2303" s="72"/>
      <c r="J2303" s="185"/>
      <c r="K2303" s="205"/>
      <c r="L2303" s="7"/>
    </row>
    <row r="2304" spans="1:12">
      <c r="A2304" s="19"/>
      <c r="B2304" s="7"/>
      <c r="C2304" s="175"/>
      <c r="D2304" s="175"/>
      <c r="E2304" s="175"/>
      <c r="F2304" s="229"/>
      <c r="G2304" s="229"/>
      <c r="H2304" s="229"/>
      <c r="I2304" s="72"/>
      <c r="J2304" s="185"/>
      <c r="K2304" s="205"/>
      <c r="L2304" s="7"/>
    </row>
    <row r="2305" spans="1:12">
      <c r="A2305" s="19"/>
      <c r="B2305" s="7"/>
      <c r="C2305" s="175"/>
      <c r="D2305" s="175"/>
      <c r="E2305" s="175"/>
      <c r="F2305" s="229"/>
      <c r="G2305" s="229"/>
      <c r="H2305" s="229"/>
      <c r="I2305" s="72"/>
      <c r="J2305" s="185"/>
      <c r="K2305" s="205"/>
      <c r="L2305" s="7"/>
    </row>
    <row r="2306" spans="1:12">
      <c r="A2306" s="19"/>
      <c r="B2306" s="7"/>
      <c r="C2306" s="175"/>
      <c r="D2306" s="175"/>
      <c r="E2306" s="175"/>
      <c r="F2306" s="229"/>
      <c r="G2306" s="229"/>
      <c r="H2306" s="229"/>
      <c r="I2306" s="72"/>
      <c r="J2306" s="185"/>
      <c r="K2306" s="205"/>
      <c r="L2306" s="7"/>
    </row>
    <row r="2307" spans="1:12">
      <c r="A2307" s="19"/>
      <c r="B2307" s="7"/>
      <c r="C2307" s="175"/>
      <c r="D2307" s="175"/>
      <c r="E2307" s="175"/>
      <c r="F2307" s="229"/>
      <c r="G2307" s="229"/>
      <c r="H2307" s="229"/>
      <c r="I2307" s="72"/>
      <c r="J2307" s="185"/>
      <c r="K2307" s="205"/>
      <c r="L2307" s="7"/>
    </row>
    <row r="2308" spans="1:12">
      <c r="A2308" s="19"/>
      <c r="B2308" s="7"/>
      <c r="C2308" s="175"/>
      <c r="D2308" s="175"/>
      <c r="E2308" s="175"/>
      <c r="F2308" s="229"/>
      <c r="G2308" s="229"/>
      <c r="H2308" s="229"/>
      <c r="I2308" s="72"/>
      <c r="J2308" s="185"/>
      <c r="K2308" s="205"/>
      <c r="L2308" s="7"/>
    </row>
    <row r="2309" spans="1:12">
      <c r="A2309" s="19"/>
      <c r="B2309" s="7"/>
      <c r="C2309" s="175"/>
      <c r="D2309" s="175"/>
      <c r="E2309" s="175"/>
      <c r="F2309" s="229"/>
      <c r="G2309" s="229"/>
      <c r="H2309" s="229"/>
      <c r="I2309" s="72"/>
      <c r="J2309" s="185"/>
      <c r="K2309" s="205"/>
      <c r="L2309" s="7"/>
    </row>
    <row r="2310" spans="1:12">
      <c r="A2310" s="19"/>
      <c r="B2310" s="7"/>
      <c r="C2310" s="175"/>
      <c r="D2310" s="175"/>
      <c r="E2310" s="175"/>
      <c r="F2310" s="229"/>
      <c r="G2310" s="229"/>
      <c r="H2310" s="229"/>
      <c r="I2310" s="72"/>
      <c r="J2310" s="185"/>
      <c r="K2310" s="205"/>
      <c r="L2310" s="7"/>
    </row>
    <row r="2311" spans="1:12">
      <c r="A2311" s="19"/>
      <c r="B2311" s="7"/>
      <c r="C2311" s="175"/>
      <c r="D2311" s="175"/>
      <c r="E2311" s="175"/>
      <c r="F2311" s="229"/>
      <c r="G2311" s="229"/>
      <c r="H2311" s="229"/>
      <c r="I2311" s="72"/>
      <c r="J2311" s="185"/>
      <c r="K2311" s="205"/>
      <c r="L2311" s="7"/>
    </row>
    <row r="2312" spans="1:12">
      <c r="A2312" s="19"/>
      <c r="B2312" s="7"/>
      <c r="C2312" s="175"/>
      <c r="D2312" s="175"/>
      <c r="E2312" s="175"/>
      <c r="F2312" s="229"/>
      <c r="G2312" s="229"/>
      <c r="H2312" s="229"/>
      <c r="I2312" s="72"/>
      <c r="J2312" s="185"/>
      <c r="K2312" s="205"/>
      <c r="L2312" s="7"/>
    </row>
    <row r="2313" spans="1:12">
      <c r="A2313" s="19"/>
      <c r="B2313" s="7"/>
      <c r="C2313" s="175"/>
      <c r="D2313" s="175"/>
      <c r="E2313" s="175"/>
      <c r="F2313" s="229"/>
      <c r="G2313" s="229"/>
      <c r="H2313" s="229"/>
      <c r="I2313" s="72"/>
      <c r="J2313" s="185"/>
      <c r="K2313" s="205"/>
      <c r="L2313" s="7"/>
    </row>
    <row r="2314" spans="1:12">
      <c r="A2314" s="19"/>
      <c r="B2314" s="7"/>
      <c r="C2314" s="175"/>
      <c r="D2314" s="175"/>
      <c r="E2314" s="175"/>
      <c r="F2314" s="229"/>
      <c r="G2314" s="229"/>
      <c r="H2314" s="229"/>
      <c r="I2314" s="72"/>
      <c r="J2314" s="185"/>
      <c r="K2314" s="205"/>
      <c r="L2314" s="7"/>
    </row>
    <row r="2315" spans="1:12">
      <c r="A2315" s="19"/>
      <c r="B2315" s="7"/>
      <c r="C2315" s="175"/>
      <c r="D2315" s="175"/>
      <c r="E2315" s="175"/>
      <c r="F2315" s="229"/>
      <c r="G2315" s="229"/>
      <c r="H2315" s="229"/>
      <c r="I2315" s="72"/>
      <c r="J2315" s="185"/>
      <c r="K2315" s="205"/>
      <c r="L2315" s="7"/>
    </row>
    <row r="2316" spans="1:12">
      <c r="A2316" s="19"/>
      <c r="B2316" s="7"/>
      <c r="C2316" s="175"/>
      <c r="D2316" s="175"/>
      <c r="E2316" s="175"/>
      <c r="F2316" s="229"/>
      <c r="G2316" s="229"/>
      <c r="H2316" s="229"/>
      <c r="I2316" s="72"/>
      <c r="J2316" s="185"/>
      <c r="K2316" s="205"/>
      <c r="L2316" s="7"/>
    </row>
    <row r="2317" spans="1:12">
      <c r="A2317" s="19"/>
      <c r="B2317" s="7"/>
      <c r="C2317" s="175"/>
      <c r="D2317" s="175"/>
      <c r="E2317" s="175"/>
      <c r="F2317" s="229"/>
      <c r="G2317" s="229"/>
      <c r="H2317" s="229"/>
      <c r="I2317" s="72"/>
      <c r="J2317" s="185"/>
      <c r="K2317" s="205"/>
      <c r="L2317" s="7"/>
    </row>
    <row r="2318" spans="1:12">
      <c r="A2318" s="19"/>
      <c r="B2318" s="7"/>
      <c r="C2318" s="175"/>
      <c r="D2318" s="175"/>
      <c r="E2318" s="175"/>
      <c r="F2318" s="229"/>
      <c r="G2318" s="229"/>
      <c r="H2318" s="229"/>
      <c r="I2318" s="72"/>
      <c r="J2318" s="185"/>
      <c r="K2318" s="205"/>
      <c r="L2318" s="7"/>
    </row>
    <row r="2319" spans="1:12">
      <c r="A2319" s="19"/>
      <c r="B2319" s="7"/>
      <c r="C2319" s="175"/>
      <c r="D2319" s="175"/>
      <c r="E2319" s="175"/>
      <c r="F2319" s="229"/>
      <c r="G2319" s="229"/>
      <c r="H2319" s="229"/>
      <c r="I2319" s="72"/>
      <c r="J2319" s="185"/>
      <c r="K2319" s="205"/>
      <c r="L2319" s="7"/>
    </row>
    <row r="2320" spans="1:12">
      <c r="A2320" s="19"/>
      <c r="B2320" s="7"/>
      <c r="C2320" s="175"/>
      <c r="D2320" s="175"/>
      <c r="E2320" s="175"/>
      <c r="F2320" s="229"/>
      <c r="G2320" s="229"/>
      <c r="H2320" s="229"/>
      <c r="I2320" s="72"/>
      <c r="J2320" s="185"/>
      <c r="K2320" s="205"/>
      <c r="L2320" s="7"/>
    </row>
    <row r="2321" spans="1:12">
      <c r="A2321" s="19"/>
      <c r="B2321" s="7"/>
      <c r="C2321" s="175"/>
      <c r="D2321" s="175"/>
      <c r="E2321" s="175"/>
      <c r="F2321" s="229"/>
      <c r="G2321" s="229"/>
      <c r="H2321" s="229"/>
      <c r="I2321" s="72"/>
      <c r="J2321" s="191"/>
      <c r="K2321" s="205"/>
      <c r="L2321" s="7"/>
    </row>
    <row r="2322" spans="1:12">
      <c r="A2322" s="19"/>
      <c r="B2322" s="7"/>
      <c r="C2322" s="175"/>
      <c r="D2322" s="175"/>
      <c r="E2322" s="175"/>
      <c r="F2322" s="229"/>
      <c r="G2322" s="229"/>
      <c r="H2322" s="229"/>
      <c r="I2322" s="72"/>
      <c r="J2322" s="185"/>
      <c r="K2322" s="205"/>
      <c r="L2322" s="7"/>
    </row>
    <row r="2323" spans="1:12">
      <c r="A2323" s="19"/>
      <c r="B2323" s="7"/>
      <c r="C2323" s="175"/>
      <c r="D2323" s="175"/>
      <c r="E2323" s="175"/>
      <c r="F2323" s="229"/>
      <c r="G2323" s="229"/>
      <c r="H2323" s="229"/>
      <c r="I2323" s="72"/>
      <c r="J2323" s="185"/>
      <c r="K2323" s="205"/>
      <c r="L2323" s="7"/>
    </row>
    <row r="2324" spans="1:12">
      <c r="A2324" s="19"/>
      <c r="B2324" s="7"/>
      <c r="C2324" s="175"/>
      <c r="D2324" s="175"/>
      <c r="E2324" s="175"/>
      <c r="F2324" s="229"/>
      <c r="G2324" s="229"/>
      <c r="H2324" s="229"/>
      <c r="I2324" s="72"/>
      <c r="J2324" s="185"/>
      <c r="K2324" s="205"/>
      <c r="L2324" s="7"/>
    </row>
    <row r="2325" spans="1:12">
      <c r="A2325" s="19"/>
      <c r="B2325" s="7"/>
      <c r="C2325" s="175"/>
      <c r="D2325" s="175"/>
      <c r="E2325" s="175"/>
      <c r="F2325" s="229"/>
      <c r="G2325" s="229"/>
      <c r="H2325" s="229"/>
      <c r="I2325" s="72"/>
      <c r="J2325" s="185"/>
      <c r="K2325" s="205"/>
      <c r="L2325" s="7"/>
    </row>
    <row r="2326" spans="1:12">
      <c r="A2326" s="19"/>
      <c r="B2326" s="7"/>
      <c r="C2326" s="175"/>
      <c r="D2326" s="175"/>
      <c r="E2326" s="175"/>
      <c r="F2326" s="229"/>
      <c r="G2326" s="229"/>
      <c r="H2326" s="229"/>
      <c r="I2326" s="72"/>
      <c r="J2326" s="185"/>
      <c r="K2326" s="205"/>
      <c r="L2326" s="7"/>
    </row>
    <row r="2327" spans="1:12">
      <c r="A2327" s="19"/>
      <c r="B2327" s="7"/>
      <c r="C2327" s="175"/>
      <c r="D2327" s="175"/>
      <c r="E2327" s="175"/>
      <c r="F2327" s="229"/>
      <c r="G2327" s="229"/>
      <c r="H2327" s="229"/>
      <c r="I2327" s="72"/>
      <c r="J2327" s="185"/>
      <c r="K2327" s="205"/>
      <c r="L2327" s="7"/>
    </row>
    <row r="2328" spans="1:12">
      <c r="A2328" s="19"/>
      <c r="B2328" s="7"/>
      <c r="C2328" s="175"/>
      <c r="D2328" s="175"/>
      <c r="E2328" s="175"/>
      <c r="F2328" s="229"/>
      <c r="G2328" s="229"/>
      <c r="H2328" s="229"/>
      <c r="I2328" s="72"/>
      <c r="J2328" s="185"/>
      <c r="K2328" s="205"/>
      <c r="L2328" s="7"/>
    </row>
    <row r="2329" spans="1:12">
      <c r="A2329" s="19"/>
      <c r="B2329" s="7"/>
      <c r="C2329" s="175"/>
      <c r="D2329" s="175"/>
      <c r="E2329" s="175"/>
      <c r="F2329" s="229"/>
      <c r="G2329" s="229"/>
      <c r="H2329" s="229"/>
      <c r="I2329" s="72"/>
      <c r="J2329" s="185"/>
      <c r="K2329" s="205"/>
      <c r="L2329" s="7"/>
    </row>
    <row r="2330" spans="1:12">
      <c r="A2330" s="19"/>
      <c r="B2330" s="7"/>
      <c r="C2330" s="175"/>
      <c r="D2330" s="175"/>
      <c r="E2330" s="175"/>
      <c r="F2330" s="229"/>
      <c r="G2330" s="229"/>
      <c r="H2330" s="229"/>
      <c r="I2330" s="72"/>
      <c r="J2330" s="185"/>
      <c r="K2330" s="205"/>
      <c r="L2330" s="7"/>
    </row>
    <row r="2331" spans="1:12">
      <c r="A2331" s="19"/>
      <c r="B2331" s="7"/>
      <c r="C2331" s="175"/>
      <c r="D2331" s="175"/>
      <c r="E2331" s="175"/>
      <c r="F2331" s="229"/>
      <c r="G2331" s="229"/>
      <c r="H2331" s="229"/>
      <c r="I2331" s="72"/>
      <c r="J2331" s="185"/>
      <c r="K2331" s="205"/>
      <c r="L2331" s="7"/>
    </row>
    <row r="2332" spans="1:12">
      <c r="A2332" s="19"/>
      <c r="B2332" s="7"/>
      <c r="C2332" s="175"/>
      <c r="D2332" s="175"/>
      <c r="E2332" s="175"/>
      <c r="F2332" s="229"/>
      <c r="G2332" s="229"/>
      <c r="H2332" s="229"/>
      <c r="I2332" s="72"/>
      <c r="J2332" s="185"/>
      <c r="K2332" s="205"/>
      <c r="L2332" s="7"/>
    </row>
    <row r="2333" spans="1:12">
      <c r="A2333" s="19"/>
      <c r="B2333" s="7"/>
      <c r="C2333" s="175"/>
      <c r="D2333" s="175"/>
      <c r="E2333" s="175"/>
      <c r="F2333" s="229"/>
      <c r="G2333" s="229"/>
      <c r="H2333" s="229"/>
      <c r="I2333" s="72"/>
      <c r="J2333" s="185"/>
      <c r="K2333" s="205"/>
      <c r="L2333" s="7"/>
    </row>
    <row r="2334" spans="1:12">
      <c r="A2334" s="20"/>
      <c r="B2334" s="21"/>
      <c r="C2334" s="175"/>
      <c r="D2334" s="175"/>
      <c r="E2334" s="175"/>
      <c r="F2334" s="232"/>
      <c r="G2334" s="232"/>
      <c r="H2334" s="232"/>
      <c r="I2334" s="63"/>
      <c r="J2334" s="190"/>
      <c r="K2334" s="206"/>
      <c r="L2334" s="7"/>
    </row>
    <row r="2335" spans="1:12">
      <c r="A2335" s="20"/>
      <c r="B2335" s="21"/>
      <c r="C2335" s="175"/>
      <c r="D2335" s="175"/>
      <c r="E2335" s="175"/>
      <c r="F2335" s="232"/>
      <c r="G2335" s="232"/>
      <c r="H2335" s="232"/>
      <c r="I2335" s="63"/>
      <c r="J2335" s="190"/>
      <c r="K2335" s="206"/>
      <c r="L2335" s="7"/>
    </row>
    <row r="2336" spans="1:12">
      <c r="A2336" s="20"/>
      <c r="B2336" s="21"/>
      <c r="C2336" s="175"/>
      <c r="D2336" s="175"/>
      <c r="E2336" s="175"/>
      <c r="F2336" s="232"/>
      <c r="G2336" s="232"/>
      <c r="H2336" s="232"/>
      <c r="I2336" s="63"/>
      <c r="J2336" s="190"/>
      <c r="K2336" s="206"/>
      <c r="L2336" s="7"/>
    </row>
    <row r="2337" spans="1:12">
      <c r="A2337" s="19"/>
      <c r="B2337" s="7"/>
      <c r="C2337" s="175"/>
      <c r="D2337" s="175"/>
      <c r="E2337" s="175"/>
      <c r="F2337" s="229"/>
      <c r="G2337" s="229"/>
      <c r="H2337" s="229"/>
      <c r="I2337" s="72"/>
      <c r="J2337" s="185"/>
      <c r="K2337" s="205"/>
      <c r="L2337" s="7"/>
    </row>
    <row r="2338" spans="1:12">
      <c r="A2338" s="19"/>
      <c r="B2338" s="7"/>
      <c r="C2338" s="175"/>
      <c r="D2338" s="175"/>
      <c r="E2338" s="175"/>
      <c r="F2338" s="229"/>
      <c r="G2338" s="229"/>
      <c r="H2338" s="229"/>
      <c r="I2338" s="72"/>
      <c r="J2338" s="185"/>
      <c r="K2338" s="205"/>
      <c r="L2338" s="7"/>
    </row>
    <row r="2339" spans="1:12">
      <c r="A2339" s="19"/>
      <c r="B2339" s="7"/>
      <c r="C2339" s="175"/>
      <c r="D2339" s="175"/>
      <c r="E2339" s="175"/>
      <c r="F2339" s="229"/>
      <c r="G2339" s="229"/>
      <c r="H2339" s="229"/>
      <c r="I2339" s="72"/>
      <c r="J2339" s="185"/>
      <c r="K2339" s="205"/>
      <c r="L2339" s="7"/>
    </row>
    <row r="2340" spans="1:12">
      <c r="A2340" s="19"/>
      <c r="B2340" s="7"/>
      <c r="C2340" s="175"/>
      <c r="D2340" s="175"/>
      <c r="E2340" s="175"/>
      <c r="F2340" s="229"/>
      <c r="G2340" s="229"/>
      <c r="H2340" s="229"/>
      <c r="I2340" s="72"/>
      <c r="J2340" s="185"/>
      <c r="K2340" s="205"/>
      <c r="L2340" s="7"/>
    </row>
    <row r="2341" spans="1:12">
      <c r="A2341" s="19"/>
      <c r="B2341" s="7"/>
      <c r="C2341" s="175"/>
      <c r="D2341" s="175"/>
      <c r="E2341" s="175"/>
      <c r="F2341" s="229"/>
      <c r="G2341" s="229"/>
      <c r="H2341" s="229"/>
      <c r="I2341" s="72"/>
      <c r="J2341" s="185"/>
      <c r="K2341" s="205"/>
      <c r="L2341" s="7"/>
    </row>
    <row r="2342" spans="1:12">
      <c r="A2342" s="19"/>
      <c r="B2342" s="7"/>
      <c r="C2342" s="175"/>
      <c r="D2342" s="175"/>
      <c r="E2342" s="175"/>
      <c r="F2342" s="229"/>
      <c r="G2342" s="229"/>
      <c r="H2342" s="229"/>
      <c r="I2342" s="72"/>
      <c r="J2342" s="185"/>
      <c r="K2342" s="205"/>
      <c r="L2342" s="7"/>
    </row>
    <row r="2343" spans="1:12">
      <c r="A2343" s="19"/>
      <c r="B2343" s="7"/>
      <c r="C2343" s="175"/>
      <c r="D2343" s="175"/>
      <c r="E2343" s="175"/>
      <c r="F2343" s="229"/>
      <c r="G2343" s="229"/>
      <c r="H2343" s="229"/>
      <c r="I2343" s="72"/>
      <c r="J2343" s="185"/>
      <c r="K2343" s="205"/>
      <c r="L2343" s="7"/>
    </row>
    <row r="2344" spans="1:12">
      <c r="A2344" s="19"/>
      <c r="B2344" s="7"/>
      <c r="C2344" s="175"/>
      <c r="D2344" s="175"/>
      <c r="E2344" s="175"/>
      <c r="F2344" s="229"/>
      <c r="G2344" s="229"/>
      <c r="H2344" s="229"/>
      <c r="I2344" s="72"/>
      <c r="J2344" s="185"/>
      <c r="K2344" s="205"/>
      <c r="L2344" s="7"/>
    </row>
    <row r="2345" spans="1:12">
      <c r="A2345" s="19"/>
      <c r="B2345" s="7"/>
      <c r="C2345" s="175"/>
      <c r="D2345" s="175"/>
      <c r="E2345" s="175"/>
      <c r="F2345" s="229"/>
      <c r="G2345" s="229"/>
      <c r="H2345" s="229"/>
      <c r="I2345" s="72"/>
      <c r="J2345" s="185"/>
      <c r="K2345" s="205"/>
      <c r="L2345" s="7"/>
    </row>
    <row r="2346" spans="1:12">
      <c r="A2346" s="19"/>
      <c r="B2346" s="7"/>
      <c r="C2346" s="175"/>
      <c r="D2346" s="175"/>
      <c r="E2346" s="175"/>
      <c r="F2346" s="229"/>
      <c r="G2346" s="229"/>
      <c r="H2346" s="229"/>
      <c r="I2346" s="72"/>
      <c r="J2346" s="185"/>
      <c r="K2346" s="205"/>
      <c r="L2346" s="7"/>
    </row>
    <row r="2347" spans="1:12">
      <c r="A2347" s="19"/>
      <c r="B2347" s="7"/>
      <c r="C2347" s="175"/>
      <c r="D2347" s="175"/>
      <c r="E2347" s="175"/>
      <c r="F2347" s="229"/>
      <c r="G2347" s="229"/>
      <c r="H2347" s="229"/>
      <c r="I2347" s="72"/>
      <c r="J2347" s="185"/>
      <c r="K2347" s="205"/>
      <c r="L2347" s="7"/>
    </row>
    <row r="2348" spans="1:12">
      <c r="A2348" s="19"/>
      <c r="B2348" s="7"/>
      <c r="C2348" s="175"/>
      <c r="D2348" s="175"/>
      <c r="E2348" s="175"/>
      <c r="F2348" s="229"/>
      <c r="G2348" s="229"/>
      <c r="H2348" s="229"/>
      <c r="I2348" s="72"/>
      <c r="J2348" s="185"/>
      <c r="K2348" s="205"/>
      <c r="L2348" s="7"/>
    </row>
    <row r="2349" spans="1:12">
      <c r="A2349" s="20"/>
      <c r="B2349" s="21"/>
      <c r="C2349" s="175"/>
      <c r="D2349" s="175"/>
      <c r="E2349" s="175"/>
      <c r="F2349" s="232"/>
      <c r="G2349" s="232"/>
      <c r="H2349" s="232"/>
      <c r="I2349" s="63"/>
      <c r="J2349" s="190"/>
      <c r="K2349" s="206"/>
      <c r="L2349" s="7"/>
    </row>
    <row r="2350" spans="1:12">
      <c r="A2350" s="20"/>
      <c r="B2350" s="21"/>
      <c r="C2350" s="175"/>
      <c r="D2350" s="175"/>
      <c r="E2350" s="175"/>
      <c r="F2350" s="232"/>
      <c r="G2350" s="232"/>
      <c r="H2350" s="232"/>
      <c r="I2350" s="63"/>
      <c r="J2350" s="190"/>
      <c r="K2350" s="206"/>
      <c r="L2350" s="7"/>
    </row>
    <row r="2351" spans="1:12">
      <c r="A2351" s="20"/>
      <c r="B2351" s="21"/>
      <c r="C2351" s="175"/>
      <c r="D2351" s="175"/>
      <c r="E2351" s="175"/>
      <c r="F2351" s="232"/>
      <c r="G2351" s="232"/>
      <c r="H2351" s="232"/>
      <c r="I2351" s="63"/>
      <c r="J2351" s="190"/>
      <c r="K2351" s="206"/>
      <c r="L2351" s="7"/>
    </row>
    <row r="2352" spans="1:12">
      <c r="A2352" s="20"/>
      <c r="B2352" s="21"/>
      <c r="C2352" s="175"/>
      <c r="D2352" s="175"/>
      <c r="E2352" s="175"/>
      <c r="F2352" s="232"/>
      <c r="G2352" s="232"/>
      <c r="H2352" s="232"/>
      <c r="I2352" s="63"/>
      <c r="J2352" s="190"/>
      <c r="K2352" s="206"/>
      <c r="L2352" s="7"/>
    </row>
    <row r="2353" spans="1:12">
      <c r="A2353" s="20"/>
      <c r="B2353" s="21"/>
      <c r="C2353" s="175"/>
      <c r="D2353" s="175"/>
      <c r="E2353" s="175"/>
      <c r="F2353" s="232"/>
      <c r="G2353" s="232"/>
      <c r="H2353" s="232"/>
      <c r="I2353" s="63"/>
      <c r="J2353" s="190"/>
      <c r="K2353" s="206"/>
      <c r="L2353" s="7"/>
    </row>
    <row r="2354" spans="1:12">
      <c r="A2354" s="20"/>
      <c r="B2354" s="21"/>
      <c r="C2354" s="175"/>
      <c r="D2354" s="175"/>
      <c r="E2354" s="175"/>
      <c r="F2354" s="232"/>
      <c r="G2354" s="232"/>
      <c r="H2354" s="232"/>
      <c r="I2354" s="63"/>
      <c r="J2354" s="190"/>
      <c r="K2354" s="206"/>
      <c r="L2354" s="7"/>
    </row>
    <row r="2355" spans="1:12">
      <c r="A2355" s="20"/>
      <c r="B2355" s="21"/>
      <c r="C2355" s="175"/>
      <c r="D2355" s="175"/>
      <c r="E2355" s="175"/>
      <c r="F2355" s="232"/>
      <c r="G2355" s="232"/>
      <c r="H2355" s="232"/>
      <c r="I2355" s="63"/>
      <c r="J2355" s="190"/>
      <c r="K2355" s="206"/>
      <c r="L2355" s="7"/>
    </row>
    <row r="2356" spans="1:12">
      <c r="A2356" s="20"/>
      <c r="B2356" s="21"/>
      <c r="C2356" s="175"/>
      <c r="D2356" s="175"/>
      <c r="E2356" s="175"/>
      <c r="F2356" s="232"/>
      <c r="G2356" s="232"/>
      <c r="H2356" s="232"/>
      <c r="I2356" s="63"/>
      <c r="J2356" s="190"/>
      <c r="K2356" s="206"/>
      <c r="L2356" s="7"/>
    </row>
    <row r="2357" spans="1:12">
      <c r="A2357" s="20"/>
      <c r="B2357" s="21"/>
      <c r="C2357" s="175"/>
      <c r="D2357" s="175"/>
      <c r="E2357" s="175"/>
      <c r="F2357" s="232"/>
      <c r="G2357" s="232"/>
      <c r="H2357" s="232"/>
      <c r="I2357" s="63"/>
      <c r="J2357" s="190"/>
      <c r="K2357" s="206"/>
      <c r="L2357" s="7"/>
    </row>
    <row r="2358" spans="1:12">
      <c r="A2358" s="20"/>
      <c r="B2358" s="21"/>
      <c r="C2358" s="175"/>
      <c r="D2358" s="175"/>
      <c r="E2358" s="175"/>
      <c r="F2358" s="232"/>
      <c r="G2358" s="232"/>
      <c r="H2358" s="232"/>
      <c r="I2358" s="63"/>
      <c r="J2358" s="190"/>
      <c r="K2358" s="206"/>
      <c r="L2358" s="7"/>
    </row>
    <row r="2359" spans="1:12">
      <c r="A2359" s="20"/>
      <c r="B2359" s="21"/>
      <c r="C2359" s="175"/>
      <c r="D2359" s="175"/>
      <c r="E2359" s="175"/>
      <c r="F2359" s="232"/>
      <c r="G2359" s="232"/>
      <c r="H2359" s="232"/>
      <c r="I2359" s="63"/>
      <c r="J2359" s="190"/>
      <c r="K2359" s="206"/>
      <c r="L2359" s="7"/>
    </row>
    <row r="2360" spans="1:12">
      <c r="A2360" s="19"/>
      <c r="B2360" s="7"/>
      <c r="C2360" s="175"/>
      <c r="D2360" s="175"/>
      <c r="E2360" s="175"/>
      <c r="F2360" s="229"/>
      <c r="G2360" s="229"/>
      <c r="H2360" s="229"/>
      <c r="I2360" s="72"/>
      <c r="J2360" s="185"/>
      <c r="K2360" s="205"/>
      <c r="L2360" s="7"/>
    </row>
    <row r="2361" spans="1:12">
      <c r="A2361" s="19"/>
      <c r="B2361" s="7"/>
      <c r="C2361" s="175"/>
      <c r="D2361" s="175"/>
      <c r="E2361" s="175"/>
      <c r="F2361" s="229"/>
      <c r="G2361" s="229"/>
      <c r="H2361" s="229"/>
      <c r="I2361" s="72"/>
      <c r="J2361" s="185"/>
      <c r="K2361" s="205"/>
      <c r="L2361" s="7"/>
    </row>
    <row r="2362" spans="1:12">
      <c r="A2362" s="19"/>
      <c r="B2362" s="7"/>
      <c r="C2362" s="175"/>
      <c r="D2362" s="175"/>
      <c r="E2362" s="175"/>
      <c r="F2362" s="229"/>
      <c r="G2362" s="229"/>
      <c r="H2362" s="229"/>
      <c r="I2362" s="72"/>
      <c r="J2362" s="185"/>
      <c r="K2362" s="205"/>
      <c r="L2362" s="7"/>
    </row>
    <row r="2363" spans="1:12">
      <c r="A2363" s="19"/>
      <c r="B2363" s="7"/>
      <c r="C2363" s="175"/>
      <c r="D2363" s="175"/>
      <c r="E2363" s="175"/>
      <c r="F2363" s="229"/>
      <c r="G2363" s="229"/>
      <c r="H2363" s="229"/>
      <c r="I2363" s="72"/>
      <c r="J2363" s="185"/>
      <c r="K2363" s="205"/>
      <c r="L2363" s="7"/>
    </row>
    <row r="2364" spans="1:12">
      <c r="A2364" s="19"/>
      <c r="B2364" s="7"/>
      <c r="C2364" s="175"/>
      <c r="D2364" s="175"/>
      <c r="E2364" s="175"/>
      <c r="F2364" s="229"/>
      <c r="G2364" s="229"/>
      <c r="H2364" s="229"/>
      <c r="I2364" s="72"/>
      <c r="J2364" s="185"/>
      <c r="K2364" s="205"/>
      <c r="L2364" s="7"/>
    </row>
    <row r="2365" spans="1:12">
      <c r="A2365" s="19"/>
      <c r="B2365" s="7"/>
      <c r="C2365" s="175"/>
      <c r="D2365" s="175"/>
      <c r="E2365" s="175"/>
      <c r="F2365" s="229"/>
      <c r="G2365" s="229"/>
      <c r="H2365" s="229"/>
      <c r="I2365" s="72"/>
      <c r="J2365" s="185"/>
      <c r="K2365" s="205"/>
      <c r="L2365" s="7"/>
    </row>
    <row r="2366" spans="1:12">
      <c r="A2366" s="19"/>
      <c r="B2366" s="7"/>
      <c r="C2366" s="175"/>
      <c r="D2366" s="175"/>
      <c r="E2366" s="175"/>
      <c r="F2366" s="229"/>
      <c r="G2366" s="229"/>
      <c r="H2366" s="229"/>
      <c r="I2366" s="72"/>
      <c r="J2366" s="185"/>
      <c r="K2366" s="205"/>
      <c r="L2366" s="7"/>
    </row>
    <row r="2367" spans="1:12">
      <c r="A2367" s="19"/>
      <c r="B2367" s="7"/>
      <c r="C2367" s="175"/>
      <c r="D2367" s="175"/>
      <c r="E2367" s="175"/>
      <c r="F2367" s="229"/>
      <c r="G2367" s="229"/>
      <c r="H2367" s="229"/>
      <c r="I2367" s="72"/>
      <c r="J2367" s="185"/>
      <c r="K2367" s="205"/>
      <c r="L2367" s="7"/>
    </row>
    <row r="2368" spans="1:12">
      <c r="A2368" s="19"/>
      <c r="B2368" s="7"/>
      <c r="C2368" s="175"/>
      <c r="D2368" s="175"/>
      <c r="E2368" s="175"/>
      <c r="F2368" s="229"/>
      <c r="G2368" s="229"/>
      <c r="H2368" s="229"/>
      <c r="I2368" s="72"/>
      <c r="J2368" s="185"/>
      <c r="K2368" s="205"/>
      <c r="L2368" s="7"/>
    </row>
    <row r="2369" spans="1:12">
      <c r="A2369" s="19"/>
      <c r="B2369" s="7"/>
      <c r="C2369" s="175"/>
      <c r="D2369" s="175"/>
      <c r="E2369" s="175"/>
      <c r="F2369" s="229"/>
      <c r="G2369" s="229"/>
      <c r="H2369" s="229"/>
      <c r="I2369" s="72"/>
      <c r="J2369" s="185"/>
      <c r="K2369" s="205"/>
      <c r="L2369" s="7"/>
    </row>
    <row r="2370" spans="1:12">
      <c r="A2370" s="19"/>
      <c r="B2370" s="7"/>
      <c r="C2370" s="175"/>
      <c r="D2370" s="175"/>
      <c r="E2370" s="175"/>
      <c r="F2370" s="229"/>
      <c r="G2370" s="229"/>
      <c r="H2370" s="229"/>
      <c r="I2370" s="72"/>
      <c r="J2370" s="185"/>
      <c r="K2370" s="205"/>
      <c r="L2370" s="7"/>
    </row>
    <row r="2371" spans="1:12">
      <c r="A2371" s="19"/>
      <c r="B2371" s="7"/>
      <c r="C2371" s="175"/>
      <c r="D2371" s="175"/>
      <c r="E2371" s="175"/>
      <c r="F2371" s="229"/>
      <c r="G2371" s="229"/>
      <c r="H2371" s="229"/>
      <c r="I2371" s="72"/>
      <c r="J2371" s="185"/>
      <c r="K2371" s="205"/>
      <c r="L2371" s="7"/>
    </row>
    <row r="2372" spans="1:12">
      <c r="A2372" s="19"/>
      <c r="B2372" s="7"/>
      <c r="C2372" s="175"/>
      <c r="D2372" s="175"/>
      <c r="E2372" s="175"/>
      <c r="F2372" s="229"/>
      <c r="G2372" s="229"/>
      <c r="H2372" s="229"/>
      <c r="I2372" s="72"/>
      <c r="J2372" s="185"/>
      <c r="K2372" s="205"/>
      <c r="L2372" s="7"/>
    </row>
    <row r="2373" spans="1:12">
      <c r="A2373" s="19"/>
      <c r="B2373" s="7"/>
      <c r="C2373" s="175"/>
      <c r="D2373" s="175"/>
      <c r="E2373" s="175"/>
      <c r="F2373" s="229"/>
      <c r="G2373" s="229"/>
      <c r="H2373" s="229"/>
      <c r="I2373" s="72"/>
      <c r="J2373" s="185"/>
      <c r="K2373" s="205"/>
      <c r="L2373" s="7"/>
    </row>
    <row r="2374" spans="1:12">
      <c r="A2374" s="19"/>
      <c r="B2374" s="7"/>
      <c r="C2374" s="175"/>
      <c r="D2374" s="175"/>
      <c r="E2374" s="175"/>
      <c r="F2374" s="229"/>
      <c r="G2374" s="229"/>
      <c r="H2374" s="229"/>
      <c r="I2374" s="72"/>
      <c r="J2374" s="185"/>
      <c r="K2374" s="205"/>
      <c r="L2374" s="7"/>
    </row>
    <row r="2375" spans="1:12">
      <c r="A2375" s="19"/>
      <c r="B2375" s="7"/>
      <c r="C2375" s="175"/>
      <c r="D2375" s="175"/>
      <c r="E2375" s="175"/>
      <c r="F2375" s="229"/>
      <c r="G2375" s="229"/>
      <c r="H2375" s="229"/>
      <c r="I2375" s="72"/>
      <c r="J2375" s="185"/>
      <c r="K2375" s="205"/>
      <c r="L2375" s="7"/>
    </row>
    <row r="2376" spans="1:12">
      <c r="A2376" s="19"/>
      <c r="B2376" s="7"/>
      <c r="C2376" s="175"/>
      <c r="D2376" s="175"/>
      <c r="E2376" s="175"/>
      <c r="F2376" s="229"/>
      <c r="G2376" s="229"/>
      <c r="H2376" s="229"/>
      <c r="I2376" s="72"/>
      <c r="J2376" s="185"/>
      <c r="K2376" s="205"/>
      <c r="L2376" s="7"/>
    </row>
    <row r="2377" spans="1:12">
      <c r="A2377" s="19"/>
      <c r="B2377" s="7"/>
      <c r="C2377" s="175"/>
      <c r="D2377" s="175"/>
      <c r="E2377" s="175"/>
      <c r="F2377" s="229"/>
      <c r="G2377" s="229"/>
      <c r="H2377" s="229"/>
      <c r="I2377" s="72"/>
      <c r="J2377" s="185"/>
      <c r="K2377" s="205"/>
      <c r="L2377" s="7"/>
    </row>
    <row r="2378" spans="1:12">
      <c r="A2378" s="19"/>
      <c r="B2378" s="7"/>
      <c r="C2378" s="175"/>
      <c r="D2378" s="175"/>
      <c r="E2378" s="175"/>
      <c r="F2378" s="229"/>
      <c r="G2378" s="229"/>
      <c r="H2378" s="229"/>
      <c r="I2378" s="72"/>
      <c r="J2378" s="185"/>
      <c r="K2378" s="205"/>
      <c r="L2378" s="7"/>
    </row>
    <row r="2379" spans="1:12">
      <c r="A2379" s="19"/>
      <c r="B2379" s="7"/>
      <c r="C2379" s="175"/>
      <c r="D2379" s="175"/>
      <c r="E2379" s="175"/>
      <c r="F2379" s="229"/>
      <c r="G2379" s="229"/>
      <c r="H2379" s="229"/>
      <c r="I2379" s="72"/>
      <c r="J2379" s="185"/>
      <c r="K2379" s="205"/>
      <c r="L2379" s="7"/>
    </row>
    <row r="2380" spans="1:12">
      <c r="A2380" s="19"/>
      <c r="B2380" s="7"/>
      <c r="C2380" s="175"/>
      <c r="D2380" s="175"/>
      <c r="E2380" s="175"/>
      <c r="F2380" s="229"/>
      <c r="G2380" s="229"/>
      <c r="H2380" s="229"/>
      <c r="I2380" s="72"/>
      <c r="J2380" s="185"/>
      <c r="K2380" s="205"/>
      <c r="L2380" s="7"/>
    </row>
    <row r="2381" spans="1:12">
      <c r="A2381" s="19"/>
      <c r="B2381" s="7"/>
      <c r="C2381" s="175"/>
      <c r="D2381" s="175"/>
      <c r="E2381" s="175"/>
      <c r="F2381" s="229"/>
      <c r="G2381" s="229"/>
      <c r="H2381" s="229"/>
      <c r="I2381" s="72"/>
      <c r="J2381" s="185"/>
      <c r="K2381" s="205"/>
      <c r="L2381" s="7"/>
    </row>
    <row r="2382" spans="1:12">
      <c r="A2382" s="19"/>
      <c r="B2382" s="7"/>
      <c r="C2382" s="175"/>
      <c r="D2382" s="175"/>
      <c r="E2382" s="175"/>
      <c r="F2382" s="229"/>
      <c r="G2382" s="229"/>
      <c r="H2382" s="229"/>
      <c r="I2382" s="72"/>
      <c r="J2382" s="185"/>
      <c r="K2382" s="205"/>
      <c r="L2382" s="7"/>
    </row>
    <row r="2383" spans="1:12">
      <c r="A2383" s="19"/>
      <c r="B2383" s="7"/>
      <c r="C2383" s="175"/>
      <c r="D2383" s="175"/>
      <c r="E2383" s="175"/>
      <c r="F2383" s="229"/>
      <c r="G2383" s="229"/>
      <c r="H2383" s="229"/>
      <c r="I2383" s="72"/>
      <c r="J2383" s="185"/>
      <c r="K2383" s="205"/>
      <c r="L2383" s="7"/>
    </row>
    <row r="2384" spans="1:12">
      <c r="A2384" s="19"/>
      <c r="B2384" s="7"/>
      <c r="C2384" s="175"/>
      <c r="D2384" s="175"/>
      <c r="E2384" s="175"/>
      <c r="F2384" s="229"/>
      <c r="G2384" s="229"/>
      <c r="H2384" s="229"/>
      <c r="I2384" s="72"/>
      <c r="J2384" s="185"/>
      <c r="K2384" s="205"/>
      <c r="L2384" s="7"/>
    </row>
    <row r="2385" spans="1:12">
      <c r="A2385" s="19"/>
      <c r="B2385" s="7"/>
      <c r="C2385" s="175"/>
      <c r="D2385" s="175"/>
      <c r="E2385" s="175"/>
      <c r="F2385" s="229"/>
      <c r="G2385" s="229"/>
      <c r="H2385" s="229"/>
      <c r="I2385" s="72"/>
      <c r="J2385" s="185"/>
      <c r="K2385" s="205"/>
      <c r="L2385" s="7"/>
    </row>
    <row r="2386" spans="1:12">
      <c r="A2386" s="19"/>
      <c r="B2386" s="7"/>
      <c r="C2386" s="175"/>
      <c r="D2386" s="175"/>
      <c r="E2386" s="175"/>
      <c r="F2386" s="229"/>
      <c r="G2386" s="229"/>
      <c r="H2386" s="229"/>
      <c r="I2386" s="72"/>
      <c r="J2386" s="185"/>
      <c r="K2386" s="205"/>
      <c r="L2386" s="7"/>
    </row>
    <row r="2387" spans="1:12">
      <c r="A2387" s="19"/>
      <c r="B2387" s="7"/>
      <c r="C2387" s="175"/>
      <c r="D2387" s="175"/>
      <c r="E2387" s="175"/>
      <c r="F2387" s="229"/>
      <c r="G2387" s="229"/>
      <c r="H2387" s="229"/>
      <c r="I2387" s="72"/>
      <c r="J2387" s="185"/>
      <c r="K2387" s="205"/>
      <c r="L2387" s="7"/>
    </row>
    <row r="2388" spans="1:12">
      <c r="A2388" s="19"/>
      <c r="B2388" s="7"/>
      <c r="C2388" s="175"/>
      <c r="D2388" s="175"/>
      <c r="E2388" s="175"/>
      <c r="F2388" s="229"/>
      <c r="G2388" s="229"/>
      <c r="H2388" s="229"/>
      <c r="I2388" s="72"/>
      <c r="J2388" s="185"/>
      <c r="K2388" s="205"/>
      <c r="L2388" s="7"/>
    </row>
    <row r="2389" spans="1:12">
      <c r="A2389" s="19"/>
      <c r="B2389" s="7"/>
      <c r="C2389" s="175"/>
      <c r="D2389" s="175"/>
      <c r="E2389" s="175"/>
      <c r="F2389" s="229"/>
      <c r="G2389" s="229"/>
      <c r="H2389" s="229"/>
      <c r="I2389" s="72"/>
      <c r="J2389" s="185"/>
      <c r="K2389" s="205"/>
      <c r="L2389" s="7"/>
    </row>
    <row r="2390" spans="1:12">
      <c r="A2390" s="19"/>
      <c r="B2390" s="7"/>
      <c r="C2390" s="175"/>
      <c r="D2390" s="175"/>
      <c r="E2390" s="175"/>
      <c r="F2390" s="229"/>
      <c r="G2390" s="229"/>
      <c r="H2390" s="229"/>
      <c r="I2390" s="72"/>
      <c r="J2390" s="185"/>
      <c r="K2390" s="205"/>
      <c r="L2390" s="7"/>
    </row>
    <row r="2391" spans="1:12">
      <c r="A2391" s="19"/>
      <c r="B2391" s="7"/>
      <c r="C2391" s="175"/>
      <c r="D2391" s="175"/>
      <c r="E2391" s="175"/>
      <c r="F2391" s="229"/>
      <c r="G2391" s="229"/>
      <c r="H2391" s="229"/>
      <c r="I2391" s="72"/>
      <c r="J2391" s="185"/>
      <c r="K2391" s="205"/>
      <c r="L2391" s="7"/>
    </row>
    <row r="2392" spans="1:12">
      <c r="A2392" s="19"/>
      <c r="B2392" s="7"/>
      <c r="C2392" s="175"/>
      <c r="D2392" s="175"/>
      <c r="E2392" s="175"/>
      <c r="F2392" s="229"/>
      <c r="G2392" s="229"/>
      <c r="H2392" s="229"/>
      <c r="I2392" s="72"/>
      <c r="J2392" s="185"/>
      <c r="K2392" s="205"/>
      <c r="L2392" s="7"/>
    </row>
    <row r="2393" spans="1:12">
      <c r="A2393" s="19"/>
      <c r="B2393" s="7"/>
      <c r="C2393" s="175"/>
      <c r="D2393" s="175"/>
      <c r="E2393" s="175"/>
      <c r="F2393" s="229"/>
      <c r="G2393" s="229"/>
      <c r="H2393" s="229"/>
      <c r="I2393" s="72"/>
      <c r="J2393" s="185"/>
      <c r="K2393" s="205"/>
      <c r="L2393" s="7"/>
    </row>
    <row r="2394" spans="1:12">
      <c r="A2394" s="19"/>
      <c r="B2394" s="7"/>
      <c r="C2394" s="175"/>
      <c r="D2394" s="175"/>
      <c r="E2394" s="175"/>
      <c r="F2394" s="229"/>
      <c r="G2394" s="229"/>
      <c r="H2394" s="229"/>
      <c r="I2394" s="72"/>
      <c r="J2394" s="185"/>
      <c r="K2394" s="205"/>
      <c r="L2394" s="7"/>
    </row>
    <row r="2395" spans="1:12">
      <c r="A2395" s="19"/>
      <c r="B2395" s="7"/>
      <c r="C2395" s="175"/>
      <c r="D2395" s="175"/>
      <c r="E2395" s="175"/>
      <c r="F2395" s="229"/>
      <c r="G2395" s="229"/>
      <c r="H2395" s="229"/>
      <c r="I2395" s="72"/>
      <c r="J2395" s="185"/>
      <c r="K2395" s="205"/>
      <c r="L2395" s="7"/>
    </row>
    <row r="2396" spans="1:12">
      <c r="A2396" s="19"/>
      <c r="B2396" s="7"/>
      <c r="C2396" s="175"/>
      <c r="D2396" s="175"/>
      <c r="E2396" s="175"/>
      <c r="F2396" s="229"/>
      <c r="G2396" s="229"/>
      <c r="H2396" s="229"/>
      <c r="I2396" s="72"/>
      <c r="J2396" s="185"/>
      <c r="K2396" s="205"/>
      <c r="L2396" s="7"/>
    </row>
    <row r="2397" spans="1:12">
      <c r="A2397" s="19"/>
      <c r="B2397" s="7"/>
      <c r="C2397" s="175"/>
      <c r="D2397" s="175"/>
      <c r="E2397" s="175"/>
      <c r="F2397" s="229"/>
      <c r="G2397" s="229"/>
      <c r="H2397" s="229"/>
      <c r="I2397" s="72"/>
      <c r="J2397" s="191"/>
      <c r="K2397" s="205"/>
      <c r="L2397" s="7"/>
    </row>
    <row r="2398" spans="1:12">
      <c r="A2398" s="19"/>
      <c r="B2398" s="7"/>
      <c r="C2398" s="175"/>
      <c r="D2398" s="175"/>
      <c r="E2398" s="175"/>
      <c r="F2398" s="229"/>
      <c r="G2398" s="229"/>
      <c r="H2398" s="229"/>
      <c r="I2398" s="72"/>
      <c r="J2398" s="185"/>
      <c r="K2398" s="205"/>
      <c r="L2398" s="7"/>
    </row>
    <row r="2399" spans="1:12">
      <c r="A2399" s="19"/>
      <c r="B2399" s="7"/>
      <c r="C2399" s="175"/>
      <c r="D2399" s="175"/>
      <c r="E2399" s="175"/>
      <c r="F2399" s="229"/>
      <c r="G2399" s="229"/>
      <c r="H2399" s="229"/>
      <c r="I2399" s="72"/>
      <c r="J2399" s="185"/>
      <c r="K2399" s="205"/>
      <c r="L2399" s="7"/>
    </row>
    <row r="2400" spans="1:12">
      <c r="A2400" s="19"/>
      <c r="B2400" s="7"/>
      <c r="C2400" s="175"/>
      <c r="D2400" s="175"/>
      <c r="E2400" s="175"/>
      <c r="F2400" s="229"/>
      <c r="G2400" s="229"/>
      <c r="H2400" s="229"/>
      <c r="I2400" s="72"/>
      <c r="J2400" s="185"/>
      <c r="K2400" s="205"/>
      <c r="L2400" s="7"/>
    </row>
    <row r="2401" spans="1:12">
      <c r="A2401" s="19"/>
      <c r="B2401" s="7"/>
      <c r="C2401" s="175"/>
      <c r="D2401" s="175"/>
      <c r="E2401" s="175"/>
      <c r="F2401" s="229"/>
      <c r="G2401" s="229"/>
      <c r="H2401" s="229"/>
      <c r="I2401" s="72"/>
      <c r="J2401" s="185"/>
      <c r="K2401" s="205"/>
      <c r="L2401" s="7"/>
    </row>
    <row r="2402" spans="1:12">
      <c r="A2402" s="19"/>
      <c r="B2402" s="7"/>
      <c r="C2402" s="175"/>
      <c r="D2402" s="175"/>
      <c r="E2402" s="175"/>
      <c r="F2402" s="229"/>
      <c r="G2402" s="229"/>
      <c r="H2402" s="229"/>
      <c r="I2402" s="72"/>
      <c r="J2402" s="185"/>
      <c r="K2402" s="205"/>
      <c r="L2402" s="7"/>
    </row>
    <row r="2403" spans="1:12">
      <c r="A2403" s="19"/>
      <c r="B2403" s="7"/>
      <c r="C2403" s="175"/>
      <c r="D2403" s="175"/>
      <c r="E2403" s="175"/>
      <c r="F2403" s="229"/>
      <c r="G2403" s="229"/>
      <c r="H2403" s="229"/>
      <c r="I2403" s="72"/>
      <c r="J2403" s="185"/>
      <c r="K2403" s="205"/>
      <c r="L2403" s="7"/>
    </row>
    <row r="2404" spans="1:12">
      <c r="A2404" s="19"/>
      <c r="B2404" s="7"/>
      <c r="C2404" s="175"/>
      <c r="D2404" s="175"/>
      <c r="E2404" s="175"/>
      <c r="F2404" s="229"/>
      <c r="G2404" s="229"/>
      <c r="H2404" s="229"/>
      <c r="I2404" s="72"/>
      <c r="J2404" s="185"/>
      <c r="K2404" s="205"/>
      <c r="L2404" s="7"/>
    </row>
    <row r="2405" spans="1:12">
      <c r="A2405" s="20"/>
      <c r="B2405" s="21"/>
      <c r="C2405" s="175"/>
      <c r="D2405" s="175"/>
      <c r="E2405" s="175"/>
      <c r="F2405" s="232"/>
      <c r="G2405" s="232"/>
      <c r="H2405" s="232"/>
      <c r="I2405" s="63"/>
      <c r="J2405" s="190"/>
      <c r="K2405" s="206"/>
      <c r="L2405" s="7"/>
    </row>
    <row r="2406" spans="1:12">
      <c r="A2406" s="19"/>
      <c r="B2406" s="7"/>
      <c r="C2406" s="175"/>
      <c r="D2406" s="175"/>
      <c r="E2406" s="175"/>
      <c r="F2406" s="229"/>
      <c r="G2406" s="229"/>
      <c r="H2406" s="229"/>
      <c r="I2406" s="72"/>
      <c r="J2406" s="185"/>
      <c r="K2406" s="205"/>
      <c r="L2406" s="7"/>
    </row>
    <row r="2407" spans="1:12">
      <c r="A2407" s="19"/>
      <c r="B2407" s="7"/>
      <c r="C2407" s="175"/>
      <c r="D2407" s="175"/>
      <c r="E2407" s="175"/>
      <c r="F2407" s="229"/>
      <c r="G2407" s="229"/>
      <c r="H2407" s="229"/>
      <c r="I2407" s="72"/>
      <c r="J2407" s="185"/>
      <c r="K2407" s="205"/>
      <c r="L2407" s="7"/>
    </row>
    <row r="2408" spans="1:12">
      <c r="A2408" s="19"/>
      <c r="B2408" s="7"/>
      <c r="C2408" s="175"/>
      <c r="D2408" s="175"/>
      <c r="E2408" s="175"/>
      <c r="F2408" s="229"/>
      <c r="G2408" s="229"/>
      <c r="H2408" s="229"/>
      <c r="I2408" s="72"/>
      <c r="J2408" s="185"/>
      <c r="K2408" s="205"/>
      <c r="L2408" s="7"/>
    </row>
    <row r="2409" spans="1:12">
      <c r="A2409" s="19"/>
      <c r="B2409" s="7"/>
      <c r="C2409" s="175"/>
      <c r="D2409" s="175"/>
      <c r="E2409" s="175"/>
      <c r="F2409" s="229"/>
      <c r="G2409" s="229"/>
      <c r="H2409" s="229"/>
      <c r="I2409" s="72"/>
      <c r="J2409" s="185"/>
      <c r="K2409" s="205"/>
      <c r="L2409" s="7"/>
    </row>
    <row r="2410" spans="1:12">
      <c r="A2410" s="20"/>
      <c r="B2410" s="21"/>
      <c r="C2410" s="175"/>
      <c r="D2410" s="175"/>
      <c r="E2410" s="175"/>
      <c r="F2410" s="232"/>
      <c r="G2410" s="232"/>
      <c r="H2410" s="232"/>
      <c r="I2410" s="63"/>
      <c r="J2410" s="190"/>
      <c r="K2410" s="206"/>
      <c r="L2410" s="7"/>
    </row>
    <row r="2411" spans="1:12">
      <c r="A2411" s="20"/>
      <c r="B2411" s="21"/>
      <c r="C2411" s="175"/>
      <c r="D2411" s="175"/>
      <c r="E2411" s="175"/>
      <c r="F2411" s="232"/>
      <c r="G2411" s="232"/>
      <c r="H2411" s="232"/>
      <c r="I2411" s="63"/>
      <c r="J2411" s="190"/>
      <c r="K2411" s="206"/>
      <c r="L2411" s="7"/>
    </row>
    <row r="2412" spans="1:12">
      <c r="A2412" s="19"/>
      <c r="B2412" s="7"/>
      <c r="C2412" s="175"/>
      <c r="D2412" s="175"/>
      <c r="E2412" s="175"/>
      <c r="F2412" s="229"/>
      <c r="G2412" s="229"/>
      <c r="H2412" s="229"/>
      <c r="I2412" s="72"/>
      <c r="J2412" s="185"/>
      <c r="K2412" s="205"/>
      <c r="L2412" s="7"/>
    </row>
    <row r="2413" spans="1:12">
      <c r="A2413" s="19"/>
      <c r="B2413" s="7"/>
      <c r="C2413" s="175"/>
      <c r="D2413" s="175"/>
      <c r="E2413" s="175"/>
      <c r="F2413" s="229"/>
      <c r="G2413" s="229"/>
      <c r="H2413" s="229"/>
      <c r="I2413" s="72"/>
      <c r="J2413" s="185"/>
      <c r="K2413" s="205"/>
      <c r="L2413" s="7"/>
    </row>
    <row r="2414" spans="1:12">
      <c r="A2414" s="19"/>
      <c r="B2414" s="7"/>
      <c r="C2414" s="175"/>
      <c r="D2414" s="175"/>
      <c r="E2414" s="175"/>
      <c r="F2414" s="229"/>
      <c r="G2414" s="229"/>
      <c r="H2414" s="229"/>
      <c r="I2414" s="72"/>
      <c r="J2414" s="185"/>
      <c r="K2414" s="205"/>
      <c r="L2414" s="7"/>
    </row>
    <row r="2415" spans="1:12">
      <c r="A2415" s="19"/>
      <c r="B2415" s="7"/>
      <c r="C2415" s="175"/>
      <c r="D2415" s="175"/>
      <c r="E2415" s="175"/>
      <c r="F2415" s="229"/>
      <c r="G2415" s="229"/>
      <c r="H2415" s="229"/>
      <c r="I2415" s="72"/>
      <c r="J2415" s="185"/>
      <c r="K2415" s="205"/>
      <c r="L2415" s="7"/>
    </row>
    <row r="2416" spans="1:12">
      <c r="A2416" s="19"/>
      <c r="B2416" s="7"/>
      <c r="C2416" s="175"/>
      <c r="D2416" s="175"/>
      <c r="E2416" s="175"/>
      <c r="F2416" s="229"/>
      <c r="G2416" s="229"/>
      <c r="H2416" s="229"/>
      <c r="I2416" s="72"/>
      <c r="J2416" s="185"/>
      <c r="K2416" s="205"/>
      <c r="L2416" s="7"/>
    </row>
    <row r="2417" spans="1:12">
      <c r="A2417" s="19"/>
      <c r="B2417" s="7"/>
      <c r="C2417" s="175"/>
      <c r="D2417" s="175"/>
      <c r="E2417" s="175"/>
      <c r="F2417" s="229"/>
      <c r="G2417" s="229"/>
      <c r="H2417" s="229"/>
      <c r="I2417" s="72"/>
      <c r="J2417" s="185"/>
      <c r="K2417" s="205"/>
      <c r="L2417" s="7"/>
    </row>
    <row r="2418" spans="1:12">
      <c r="A2418" s="19"/>
      <c r="B2418" s="7"/>
      <c r="C2418" s="175"/>
      <c r="D2418" s="175"/>
      <c r="E2418" s="175"/>
      <c r="F2418" s="229"/>
      <c r="G2418" s="229"/>
      <c r="H2418" s="229"/>
      <c r="I2418" s="72"/>
      <c r="J2418" s="185"/>
      <c r="K2418" s="205"/>
      <c r="L2418" s="7"/>
    </row>
    <row r="2419" spans="1:12">
      <c r="A2419" s="19"/>
      <c r="B2419" s="7"/>
      <c r="C2419" s="175"/>
      <c r="D2419" s="175"/>
      <c r="E2419" s="175"/>
      <c r="F2419" s="229"/>
      <c r="G2419" s="229"/>
      <c r="H2419" s="229"/>
      <c r="I2419" s="72"/>
      <c r="J2419" s="185"/>
      <c r="K2419" s="205"/>
      <c r="L2419" s="7"/>
    </row>
    <row r="2420" spans="1:12">
      <c r="A2420" s="19"/>
      <c r="B2420" s="7"/>
      <c r="C2420" s="175"/>
      <c r="D2420" s="175"/>
      <c r="E2420" s="175"/>
      <c r="F2420" s="229"/>
      <c r="G2420" s="229"/>
      <c r="H2420" s="229"/>
      <c r="I2420" s="72"/>
      <c r="J2420" s="185"/>
      <c r="K2420" s="205"/>
      <c r="L2420" s="7"/>
    </row>
    <row r="2421" spans="1:12">
      <c r="A2421" s="19"/>
      <c r="B2421" s="7"/>
      <c r="C2421" s="175"/>
      <c r="D2421" s="175"/>
      <c r="E2421" s="175"/>
      <c r="F2421" s="229"/>
      <c r="G2421" s="229"/>
      <c r="H2421" s="229"/>
      <c r="I2421" s="72"/>
      <c r="J2421" s="185"/>
      <c r="K2421" s="205"/>
      <c r="L2421" s="7"/>
    </row>
    <row r="2422" spans="1:12">
      <c r="A2422" s="19"/>
      <c r="B2422" s="7"/>
      <c r="C2422" s="175"/>
      <c r="D2422" s="175"/>
      <c r="E2422" s="175"/>
      <c r="F2422" s="229"/>
      <c r="G2422" s="229"/>
      <c r="H2422" s="229"/>
      <c r="I2422" s="72"/>
      <c r="J2422" s="185"/>
      <c r="K2422" s="205"/>
      <c r="L2422" s="7"/>
    </row>
    <row r="2423" spans="1:12">
      <c r="A2423" s="20"/>
      <c r="B2423" s="21"/>
      <c r="C2423" s="175"/>
      <c r="D2423" s="175"/>
      <c r="E2423" s="175"/>
      <c r="F2423" s="232"/>
      <c r="G2423" s="232"/>
      <c r="H2423" s="232"/>
      <c r="I2423" s="63"/>
      <c r="J2423" s="190"/>
      <c r="K2423" s="206"/>
      <c r="L2423" s="7"/>
    </row>
    <row r="2424" spans="1:12">
      <c r="A2424" s="20"/>
      <c r="B2424" s="21"/>
      <c r="C2424" s="175"/>
      <c r="D2424" s="175"/>
      <c r="E2424" s="175"/>
      <c r="F2424" s="232"/>
      <c r="G2424" s="232"/>
      <c r="H2424" s="232"/>
      <c r="I2424" s="63"/>
      <c r="J2424" s="190"/>
      <c r="K2424" s="206"/>
      <c r="L2424" s="7"/>
    </row>
    <row r="2425" spans="1:12">
      <c r="A2425" s="20"/>
      <c r="B2425" s="21"/>
      <c r="C2425" s="175"/>
      <c r="D2425" s="175"/>
      <c r="E2425" s="175"/>
      <c r="F2425" s="232"/>
      <c r="G2425" s="232"/>
      <c r="H2425" s="232"/>
      <c r="I2425" s="63"/>
      <c r="J2425" s="190"/>
      <c r="K2425" s="206"/>
      <c r="L2425" s="7"/>
    </row>
    <row r="2426" spans="1:12">
      <c r="A2426" s="20"/>
      <c r="B2426" s="21"/>
      <c r="C2426" s="175"/>
      <c r="D2426" s="175"/>
      <c r="E2426" s="175"/>
      <c r="F2426" s="232"/>
      <c r="G2426" s="232"/>
      <c r="H2426" s="232"/>
      <c r="I2426" s="63"/>
      <c r="J2426" s="190"/>
      <c r="K2426" s="206"/>
      <c r="L2426" s="7"/>
    </row>
    <row r="2427" spans="1:12">
      <c r="A2427" s="20"/>
      <c r="B2427" s="24"/>
      <c r="C2427" s="175"/>
      <c r="D2427" s="175"/>
      <c r="E2427" s="175"/>
      <c r="F2427" s="232"/>
      <c r="G2427" s="232"/>
      <c r="H2427" s="232"/>
      <c r="I2427" s="63"/>
      <c r="J2427" s="190"/>
      <c r="K2427" s="206"/>
      <c r="L2427" s="7"/>
    </row>
    <row r="2428" spans="1:12">
      <c r="A2428" s="19"/>
      <c r="B2428" s="7"/>
      <c r="C2428" s="175"/>
      <c r="D2428" s="175"/>
      <c r="E2428" s="175"/>
      <c r="F2428" s="229"/>
      <c r="G2428" s="229"/>
      <c r="H2428" s="229"/>
      <c r="I2428" s="72"/>
      <c r="J2428" s="185"/>
      <c r="K2428" s="205"/>
      <c r="L2428" s="7"/>
    </row>
    <row r="2429" spans="1:12">
      <c r="A2429" s="19"/>
      <c r="B2429" s="7"/>
      <c r="C2429" s="175"/>
      <c r="D2429" s="175"/>
      <c r="E2429" s="175"/>
      <c r="F2429" s="229"/>
      <c r="G2429" s="229"/>
      <c r="H2429" s="229"/>
      <c r="I2429" s="72"/>
      <c r="J2429" s="185"/>
      <c r="K2429" s="205"/>
      <c r="L2429" s="7"/>
    </row>
    <row r="2430" spans="1:12">
      <c r="A2430" s="19"/>
      <c r="B2430" s="7"/>
      <c r="C2430" s="175"/>
      <c r="D2430" s="175"/>
      <c r="E2430" s="175"/>
      <c r="F2430" s="229"/>
      <c r="G2430" s="229"/>
      <c r="H2430" s="229"/>
      <c r="I2430" s="72"/>
      <c r="J2430" s="185"/>
      <c r="K2430" s="205"/>
      <c r="L2430" s="7"/>
    </row>
    <row r="2431" spans="1:12">
      <c r="A2431" s="19"/>
      <c r="B2431" s="7"/>
      <c r="C2431" s="175"/>
      <c r="D2431" s="175"/>
      <c r="E2431" s="175"/>
      <c r="F2431" s="229"/>
      <c r="G2431" s="229"/>
      <c r="H2431" s="229"/>
      <c r="I2431" s="72"/>
      <c r="J2431" s="185"/>
      <c r="K2431" s="205"/>
      <c r="L2431" s="7"/>
    </row>
    <row r="2432" spans="1:12">
      <c r="A2432" s="19"/>
      <c r="B2432" s="7"/>
      <c r="C2432" s="175"/>
      <c r="D2432" s="175"/>
      <c r="E2432" s="175"/>
      <c r="F2432" s="229"/>
      <c r="G2432" s="229"/>
      <c r="H2432" s="229"/>
      <c r="I2432" s="72"/>
      <c r="J2432" s="185"/>
      <c r="K2432" s="205"/>
      <c r="L2432" s="7"/>
    </row>
    <row r="2433" spans="1:12">
      <c r="A2433" s="19"/>
      <c r="B2433" s="7"/>
      <c r="C2433" s="175"/>
      <c r="D2433" s="175"/>
      <c r="E2433" s="175"/>
      <c r="F2433" s="229"/>
      <c r="G2433" s="229"/>
      <c r="H2433" s="229"/>
      <c r="I2433" s="72"/>
      <c r="J2433" s="185"/>
      <c r="K2433" s="205"/>
      <c r="L2433" s="7"/>
    </row>
    <row r="2434" spans="1:12">
      <c r="A2434" s="19"/>
      <c r="B2434" s="7"/>
      <c r="C2434" s="175"/>
      <c r="D2434" s="175"/>
      <c r="E2434" s="175"/>
      <c r="F2434" s="229"/>
      <c r="G2434" s="229"/>
      <c r="H2434" s="229"/>
      <c r="I2434" s="72"/>
      <c r="J2434" s="185"/>
      <c r="K2434" s="205"/>
      <c r="L2434" s="7"/>
    </row>
    <row r="2435" spans="1:12">
      <c r="A2435" s="19"/>
      <c r="B2435" s="7"/>
      <c r="C2435" s="175"/>
      <c r="D2435" s="175"/>
      <c r="E2435" s="175"/>
      <c r="F2435" s="229"/>
      <c r="G2435" s="229"/>
      <c r="H2435" s="229"/>
      <c r="I2435" s="72"/>
      <c r="J2435" s="185"/>
      <c r="K2435" s="205"/>
      <c r="L2435" s="7"/>
    </row>
    <row r="2436" spans="1:12">
      <c r="A2436" s="19"/>
      <c r="B2436" s="7"/>
      <c r="C2436" s="175"/>
      <c r="D2436" s="175"/>
      <c r="E2436" s="175"/>
      <c r="F2436" s="229"/>
      <c r="G2436" s="229"/>
      <c r="H2436" s="229"/>
      <c r="I2436" s="72"/>
      <c r="J2436" s="185"/>
      <c r="K2436" s="205"/>
      <c r="L2436" s="7"/>
    </row>
    <row r="2437" spans="1:12">
      <c r="A2437" s="19"/>
      <c r="B2437" s="7"/>
      <c r="C2437" s="175"/>
      <c r="D2437" s="175"/>
      <c r="E2437" s="175"/>
      <c r="F2437" s="229"/>
      <c r="G2437" s="229"/>
      <c r="H2437" s="229"/>
      <c r="I2437" s="72"/>
      <c r="J2437" s="185"/>
      <c r="K2437" s="205"/>
      <c r="L2437" s="7"/>
    </row>
    <row r="2438" spans="1:12">
      <c r="A2438" s="19"/>
      <c r="B2438" s="7"/>
      <c r="C2438" s="175"/>
      <c r="D2438" s="175"/>
      <c r="E2438" s="175"/>
      <c r="F2438" s="229"/>
      <c r="G2438" s="229"/>
      <c r="H2438" s="229"/>
      <c r="I2438" s="72"/>
      <c r="J2438" s="185"/>
      <c r="K2438" s="205"/>
      <c r="L2438" s="7"/>
    </row>
    <row r="2439" spans="1:12">
      <c r="A2439" s="19"/>
      <c r="B2439" s="7"/>
      <c r="C2439" s="175"/>
      <c r="D2439" s="175"/>
      <c r="E2439" s="175"/>
      <c r="F2439" s="229"/>
      <c r="G2439" s="229"/>
      <c r="H2439" s="229"/>
      <c r="I2439" s="72"/>
      <c r="J2439" s="185"/>
      <c r="K2439" s="205"/>
      <c r="L2439" s="7"/>
    </row>
    <row r="2440" spans="1:12">
      <c r="A2440" s="19"/>
      <c r="B2440" s="7"/>
      <c r="C2440" s="175"/>
      <c r="D2440" s="175"/>
      <c r="E2440" s="175"/>
      <c r="F2440" s="229"/>
      <c r="G2440" s="229"/>
      <c r="H2440" s="229"/>
      <c r="I2440" s="72"/>
      <c r="J2440" s="185"/>
      <c r="K2440" s="205"/>
      <c r="L2440" s="7"/>
    </row>
    <row r="2441" spans="1:12">
      <c r="A2441" s="19"/>
      <c r="B2441" s="7"/>
      <c r="C2441" s="175"/>
      <c r="D2441" s="175"/>
      <c r="E2441" s="175"/>
      <c r="F2441" s="229"/>
      <c r="G2441" s="229"/>
      <c r="H2441" s="229"/>
      <c r="I2441" s="72"/>
      <c r="J2441" s="185"/>
      <c r="K2441" s="205"/>
      <c r="L2441" s="7"/>
    </row>
    <row r="2442" spans="1:12">
      <c r="A2442" s="19"/>
      <c r="B2442" s="7"/>
      <c r="C2442" s="175"/>
      <c r="D2442" s="175"/>
      <c r="E2442" s="175"/>
      <c r="F2442" s="229"/>
      <c r="G2442" s="229"/>
      <c r="H2442" s="229"/>
      <c r="I2442" s="72"/>
      <c r="J2442" s="185"/>
      <c r="K2442" s="205"/>
      <c r="L2442" s="7"/>
    </row>
    <row r="2443" spans="1:12">
      <c r="A2443" s="19"/>
      <c r="B2443" s="7"/>
      <c r="C2443" s="175"/>
      <c r="D2443" s="175"/>
      <c r="E2443" s="175"/>
      <c r="F2443" s="229"/>
      <c r="G2443" s="229"/>
      <c r="H2443" s="229"/>
      <c r="I2443" s="72"/>
      <c r="J2443" s="185"/>
      <c r="K2443" s="205"/>
      <c r="L2443" s="7"/>
    </row>
    <row r="2444" spans="1:12">
      <c r="A2444" s="19"/>
      <c r="B2444" s="7"/>
      <c r="C2444" s="175"/>
      <c r="D2444" s="175"/>
      <c r="E2444" s="175"/>
      <c r="F2444" s="229"/>
      <c r="G2444" s="229"/>
      <c r="H2444" s="229"/>
      <c r="I2444" s="72"/>
      <c r="J2444" s="185"/>
      <c r="K2444" s="205"/>
      <c r="L2444" s="7"/>
    </row>
    <row r="2445" spans="1:12">
      <c r="A2445" s="19"/>
      <c r="B2445" s="7"/>
      <c r="C2445" s="175"/>
      <c r="D2445" s="175"/>
      <c r="E2445" s="175"/>
      <c r="F2445" s="229"/>
      <c r="G2445" s="229"/>
      <c r="H2445" s="229"/>
      <c r="I2445" s="72"/>
      <c r="J2445" s="185"/>
      <c r="K2445" s="205"/>
      <c r="L2445" s="7"/>
    </row>
    <row r="2446" spans="1:12">
      <c r="A2446" s="19"/>
      <c r="B2446" s="7"/>
      <c r="C2446" s="175"/>
      <c r="D2446" s="175"/>
      <c r="E2446" s="175"/>
      <c r="F2446" s="229"/>
      <c r="G2446" s="229"/>
      <c r="H2446" s="229"/>
      <c r="I2446" s="72"/>
      <c r="J2446" s="185"/>
      <c r="K2446" s="205"/>
      <c r="L2446" s="7"/>
    </row>
    <row r="2447" spans="1:12">
      <c r="A2447" s="19"/>
      <c r="B2447" s="7"/>
      <c r="C2447" s="175"/>
      <c r="D2447" s="175"/>
      <c r="E2447" s="175"/>
      <c r="F2447" s="229"/>
      <c r="G2447" s="229"/>
      <c r="H2447" s="229"/>
      <c r="I2447" s="72"/>
      <c r="J2447" s="185"/>
      <c r="K2447" s="205"/>
      <c r="L2447" s="7"/>
    </row>
    <row r="2448" spans="1:12">
      <c r="A2448" s="19"/>
      <c r="B2448" s="7"/>
      <c r="C2448" s="175"/>
      <c r="D2448" s="175"/>
      <c r="E2448" s="175"/>
      <c r="F2448" s="229"/>
      <c r="G2448" s="229"/>
      <c r="H2448" s="229"/>
      <c r="I2448" s="72"/>
      <c r="J2448" s="185"/>
      <c r="K2448" s="205"/>
      <c r="L2448" s="7"/>
    </row>
    <row r="2449" spans="1:12">
      <c r="A2449" s="19"/>
      <c r="B2449" s="7"/>
      <c r="C2449" s="175"/>
      <c r="D2449" s="175"/>
      <c r="E2449" s="175"/>
      <c r="F2449" s="229"/>
      <c r="G2449" s="229"/>
      <c r="H2449" s="229"/>
      <c r="I2449" s="72"/>
      <c r="J2449" s="185"/>
      <c r="K2449" s="205"/>
      <c r="L2449" s="7"/>
    </row>
    <row r="2450" spans="1:12">
      <c r="A2450" s="19"/>
      <c r="B2450" s="7"/>
      <c r="C2450" s="175"/>
      <c r="D2450" s="175"/>
      <c r="E2450" s="175"/>
      <c r="F2450" s="229"/>
      <c r="G2450" s="229"/>
      <c r="H2450" s="229"/>
      <c r="I2450" s="72"/>
      <c r="J2450" s="185"/>
      <c r="K2450" s="205"/>
      <c r="L2450" s="7"/>
    </row>
    <row r="2451" spans="1:12">
      <c r="A2451" s="19"/>
      <c r="B2451" s="7"/>
      <c r="C2451" s="175"/>
      <c r="D2451" s="175"/>
      <c r="E2451" s="175"/>
      <c r="F2451" s="229"/>
      <c r="G2451" s="229"/>
      <c r="H2451" s="229"/>
      <c r="I2451" s="72"/>
      <c r="J2451" s="185"/>
      <c r="K2451" s="205"/>
      <c r="L2451" s="7"/>
    </row>
    <row r="2452" spans="1:12">
      <c r="A2452" s="19"/>
      <c r="B2452" s="7"/>
      <c r="C2452" s="175"/>
      <c r="D2452" s="175"/>
      <c r="E2452" s="175"/>
      <c r="F2452" s="229"/>
      <c r="G2452" s="229"/>
      <c r="H2452" s="229"/>
      <c r="I2452" s="72"/>
      <c r="J2452" s="185"/>
      <c r="K2452" s="205"/>
      <c r="L2452" s="7"/>
    </row>
    <row r="2453" spans="1:12">
      <c r="A2453" s="19"/>
      <c r="B2453" s="7"/>
      <c r="C2453" s="175"/>
      <c r="D2453" s="175"/>
      <c r="E2453" s="175"/>
      <c r="F2453" s="229"/>
      <c r="G2453" s="229"/>
      <c r="H2453" s="229"/>
      <c r="I2453" s="72"/>
      <c r="J2453" s="185"/>
      <c r="K2453" s="205"/>
      <c r="L2453" s="7"/>
    </row>
    <row r="2454" spans="1:12">
      <c r="A2454" s="19"/>
      <c r="B2454" s="7"/>
      <c r="C2454" s="175"/>
      <c r="D2454" s="175"/>
      <c r="E2454" s="175"/>
      <c r="F2454" s="229"/>
      <c r="G2454" s="229"/>
      <c r="H2454" s="229"/>
      <c r="I2454" s="72"/>
      <c r="J2454" s="185"/>
      <c r="K2454" s="205"/>
      <c r="L2454" s="7"/>
    </row>
    <row r="2455" spans="1:12">
      <c r="A2455" s="19"/>
      <c r="B2455" s="7"/>
      <c r="C2455" s="175"/>
      <c r="D2455" s="175"/>
      <c r="E2455" s="175"/>
      <c r="F2455" s="229"/>
      <c r="G2455" s="229"/>
      <c r="H2455" s="229"/>
      <c r="I2455" s="72"/>
      <c r="J2455" s="185"/>
      <c r="K2455" s="205"/>
      <c r="L2455" s="7"/>
    </row>
    <row r="2456" spans="1:12">
      <c r="A2456" s="19"/>
      <c r="B2456" s="7"/>
      <c r="C2456" s="175"/>
      <c r="D2456" s="175"/>
      <c r="E2456" s="175"/>
      <c r="F2456" s="229"/>
      <c r="G2456" s="229"/>
      <c r="H2456" s="229"/>
      <c r="I2456" s="72"/>
      <c r="J2456" s="185"/>
      <c r="K2456" s="205"/>
      <c r="L2456" s="7"/>
    </row>
    <row r="2457" spans="1:12">
      <c r="A2457" s="19"/>
      <c r="B2457" s="7"/>
      <c r="C2457" s="175"/>
      <c r="D2457" s="175"/>
      <c r="E2457" s="175"/>
      <c r="F2457" s="229"/>
      <c r="G2457" s="229"/>
      <c r="H2457" s="229"/>
      <c r="I2457" s="72"/>
      <c r="J2457" s="185"/>
      <c r="K2457" s="205"/>
      <c r="L2457" s="7"/>
    </row>
    <row r="2458" spans="1:12">
      <c r="A2458" s="19"/>
      <c r="B2458" s="7"/>
      <c r="C2458" s="175"/>
      <c r="D2458" s="175"/>
      <c r="E2458" s="175"/>
      <c r="F2458" s="229"/>
      <c r="G2458" s="229"/>
      <c r="H2458" s="229"/>
      <c r="I2458" s="72"/>
      <c r="J2458" s="185"/>
      <c r="K2458" s="205"/>
      <c r="L2458" s="7"/>
    </row>
    <row r="2459" spans="1:12">
      <c r="A2459" s="19"/>
      <c r="B2459" s="7"/>
      <c r="C2459" s="175"/>
      <c r="D2459" s="175"/>
      <c r="E2459" s="175"/>
      <c r="F2459" s="229"/>
      <c r="G2459" s="229"/>
      <c r="H2459" s="229"/>
      <c r="I2459" s="72"/>
      <c r="J2459" s="185"/>
      <c r="K2459" s="205"/>
      <c r="L2459" s="7"/>
    </row>
    <row r="2460" spans="1:12">
      <c r="A2460" s="19"/>
      <c r="B2460" s="7"/>
      <c r="C2460" s="175"/>
      <c r="D2460" s="175"/>
      <c r="E2460" s="175"/>
      <c r="F2460" s="229"/>
      <c r="G2460" s="229"/>
      <c r="H2460" s="229"/>
      <c r="I2460" s="72"/>
      <c r="J2460" s="185"/>
      <c r="K2460" s="205"/>
      <c r="L2460" s="7"/>
    </row>
    <row r="2461" spans="1:12">
      <c r="A2461" s="19"/>
      <c r="B2461" s="7"/>
      <c r="C2461" s="175"/>
      <c r="D2461" s="175"/>
      <c r="E2461" s="175"/>
      <c r="F2461" s="229"/>
      <c r="G2461" s="229"/>
      <c r="H2461" s="229"/>
      <c r="I2461" s="72"/>
      <c r="J2461" s="185"/>
      <c r="K2461" s="205"/>
      <c r="L2461" s="7"/>
    </row>
    <row r="2462" spans="1:12">
      <c r="A2462" s="19"/>
      <c r="B2462" s="7"/>
      <c r="C2462" s="175"/>
      <c r="D2462" s="175"/>
      <c r="E2462" s="175"/>
      <c r="F2462" s="229"/>
      <c r="G2462" s="229"/>
      <c r="H2462" s="229"/>
      <c r="I2462" s="72"/>
      <c r="J2462" s="185"/>
      <c r="K2462" s="205"/>
      <c r="L2462" s="7"/>
    </row>
    <row r="2463" spans="1:12">
      <c r="A2463" s="19"/>
      <c r="B2463" s="7"/>
      <c r="C2463" s="175"/>
      <c r="D2463" s="175"/>
      <c r="E2463" s="175"/>
      <c r="F2463" s="229"/>
      <c r="G2463" s="229"/>
      <c r="H2463" s="229"/>
      <c r="I2463" s="72"/>
      <c r="J2463" s="185"/>
      <c r="K2463" s="205"/>
      <c r="L2463" s="7"/>
    </row>
    <row r="2464" spans="1:12">
      <c r="A2464" s="19"/>
      <c r="B2464" s="7"/>
      <c r="C2464" s="175"/>
      <c r="D2464" s="175"/>
      <c r="E2464" s="175"/>
      <c r="F2464" s="229"/>
      <c r="G2464" s="229"/>
      <c r="H2464" s="229"/>
      <c r="I2464" s="72"/>
      <c r="J2464" s="185"/>
      <c r="K2464" s="205"/>
      <c r="L2464" s="7"/>
    </row>
    <row r="2465" spans="1:12">
      <c r="A2465" s="19"/>
      <c r="B2465" s="7"/>
      <c r="C2465" s="175"/>
      <c r="D2465" s="175"/>
      <c r="E2465" s="175"/>
      <c r="F2465" s="229"/>
      <c r="G2465" s="229"/>
      <c r="H2465" s="229"/>
      <c r="I2465" s="72"/>
      <c r="J2465" s="185"/>
      <c r="K2465" s="205"/>
      <c r="L2465" s="7"/>
    </row>
    <row r="2466" spans="1:12">
      <c r="A2466" s="19"/>
      <c r="B2466" s="7"/>
      <c r="C2466" s="175"/>
      <c r="D2466" s="175"/>
      <c r="E2466" s="175"/>
      <c r="F2466" s="229"/>
      <c r="G2466" s="229"/>
      <c r="H2466" s="229"/>
      <c r="I2466" s="72"/>
      <c r="J2466" s="185"/>
      <c r="K2466" s="205"/>
      <c r="L2466" s="7"/>
    </row>
    <row r="2467" spans="1:12">
      <c r="A2467" s="19"/>
      <c r="B2467" s="7"/>
      <c r="C2467" s="175"/>
      <c r="D2467" s="175"/>
      <c r="E2467" s="175"/>
      <c r="F2467" s="229"/>
      <c r="G2467" s="229"/>
      <c r="H2467" s="229"/>
      <c r="I2467" s="72"/>
      <c r="J2467" s="185"/>
      <c r="K2467" s="205"/>
      <c r="L2467" s="7"/>
    </row>
    <row r="2468" spans="1:12">
      <c r="A2468" s="19"/>
      <c r="B2468" s="7"/>
      <c r="C2468" s="175"/>
      <c r="D2468" s="175"/>
      <c r="E2468" s="175"/>
      <c r="F2468" s="229"/>
      <c r="G2468" s="229"/>
      <c r="H2468" s="229"/>
      <c r="I2468" s="72"/>
      <c r="J2468" s="185"/>
      <c r="K2468" s="205"/>
      <c r="L2468" s="7"/>
    </row>
    <row r="2469" spans="1:12">
      <c r="A2469" s="19"/>
      <c r="B2469" s="7"/>
      <c r="C2469" s="175"/>
      <c r="D2469" s="175"/>
      <c r="E2469" s="175"/>
      <c r="F2469" s="229"/>
      <c r="G2469" s="229"/>
      <c r="H2469" s="229"/>
      <c r="I2469" s="72"/>
      <c r="J2469" s="185"/>
      <c r="K2469" s="205"/>
      <c r="L2469" s="7"/>
    </row>
    <row r="2470" spans="1:12">
      <c r="A2470" s="19"/>
      <c r="B2470" s="7"/>
      <c r="C2470" s="175"/>
      <c r="D2470" s="175"/>
      <c r="E2470" s="175"/>
      <c r="F2470" s="229"/>
      <c r="G2470" s="229"/>
      <c r="H2470" s="229"/>
      <c r="I2470" s="72"/>
      <c r="J2470" s="185"/>
      <c r="K2470" s="205"/>
      <c r="L2470" s="7"/>
    </row>
    <row r="2471" spans="1:12">
      <c r="A2471" s="20"/>
      <c r="B2471" s="21"/>
      <c r="C2471" s="175"/>
      <c r="D2471" s="175"/>
      <c r="E2471" s="175"/>
      <c r="F2471" s="232"/>
      <c r="G2471" s="232"/>
      <c r="H2471" s="232"/>
      <c r="I2471" s="63"/>
      <c r="J2471" s="190"/>
      <c r="K2471" s="206"/>
      <c r="L2471" s="7"/>
    </row>
    <row r="2472" spans="1:12">
      <c r="A2472" s="20"/>
      <c r="B2472" s="21"/>
      <c r="C2472" s="175"/>
      <c r="D2472" s="175"/>
      <c r="E2472" s="175"/>
      <c r="F2472" s="232"/>
      <c r="G2472" s="232"/>
      <c r="H2472" s="232"/>
      <c r="I2472" s="63"/>
      <c r="J2472" s="190"/>
      <c r="K2472" s="206"/>
      <c r="L2472" s="7"/>
    </row>
    <row r="2473" spans="1:12">
      <c r="A2473" s="19"/>
      <c r="B2473" s="7"/>
      <c r="C2473" s="175"/>
      <c r="D2473" s="175"/>
      <c r="E2473" s="175"/>
      <c r="F2473" s="229"/>
      <c r="G2473" s="229"/>
      <c r="H2473" s="229"/>
      <c r="I2473" s="72"/>
      <c r="J2473" s="185"/>
      <c r="K2473" s="205"/>
      <c r="L2473" s="7"/>
    </row>
    <row r="2474" spans="1:12">
      <c r="A2474" s="19"/>
      <c r="B2474" s="7"/>
      <c r="C2474" s="175"/>
      <c r="D2474" s="175"/>
      <c r="E2474" s="175"/>
      <c r="F2474" s="229"/>
      <c r="G2474" s="229"/>
      <c r="H2474" s="229"/>
      <c r="I2474" s="72"/>
      <c r="J2474" s="185"/>
      <c r="K2474" s="205"/>
      <c r="L2474" s="7"/>
    </row>
    <row r="2475" spans="1:12">
      <c r="A2475" s="19"/>
      <c r="B2475" s="7"/>
      <c r="C2475" s="175"/>
      <c r="D2475" s="175"/>
      <c r="E2475" s="175"/>
      <c r="F2475" s="229"/>
      <c r="G2475" s="229"/>
      <c r="H2475" s="229"/>
      <c r="I2475" s="72"/>
      <c r="J2475" s="185"/>
      <c r="K2475" s="205"/>
      <c r="L2475" s="7"/>
    </row>
    <row r="2476" spans="1:12">
      <c r="A2476" s="19"/>
      <c r="B2476" s="7"/>
      <c r="C2476" s="175"/>
      <c r="D2476" s="175"/>
      <c r="E2476" s="175"/>
      <c r="F2476" s="229"/>
      <c r="G2476" s="229"/>
      <c r="H2476" s="229"/>
      <c r="I2476" s="72"/>
      <c r="J2476" s="185"/>
      <c r="K2476" s="205"/>
      <c r="L2476" s="7"/>
    </row>
    <row r="2477" spans="1:12">
      <c r="A2477" s="19"/>
      <c r="B2477" s="7"/>
      <c r="C2477" s="175"/>
      <c r="D2477" s="175"/>
      <c r="E2477" s="175"/>
      <c r="F2477" s="229"/>
      <c r="G2477" s="229"/>
      <c r="H2477" s="229"/>
      <c r="I2477" s="72"/>
      <c r="J2477" s="185"/>
      <c r="K2477" s="205"/>
      <c r="L2477" s="7"/>
    </row>
    <row r="2478" spans="1:12">
      <c r="A2478" s="19"/>
      <c r="B2478" s="7"/>
      <c r="C2478" s="175"/>
      <c r="D2478" s="175"/>
      <c r="E2478" s="175"/>
      <c r="F2478" s="229"/>
      <c r="G2478" s="229"/>
      <c r="H2478" s="229"/>
      <c r="I2478" s="72"/>
      <c r="J2478" s="185"/>
      <c r="K2478" s="205"/>
      <c r="L2478" s="7"/>
    </row>
    <row r="2479" spans="1:12">
      <c r="A2479" s="19"/>
      <c r="B2479" s="7"/>
      <c r="C2479" s="175"/>
      <c r="D2479" s="175"/>
      <c r="E2479" s="175"/>
      <c r="F2479" s="229"/>
      <c r="G2479" s="229"/>
      <c r="H2479" s="229"/>
      <c r="I2479" s="72"/>
      <c r="J2479" s="185"/>
      <c r="K2479" s="205"/>
      <c r="L2479" s="7"/>
    </row>
    <row r="2480" spans="1:12">
      <c r="A2480" s="19"/>
      <c r="B2480" s="7"/>
      <c r="C2480" s="175"/>
      <c r="D2480" s="175"/>
      <c r="E2480" s="175"/>
      <c r="F2480" s="229"/>
      <c r="G2480" s="229"/>
      <c r="H2480" s="229"/>
      <c r="I2480" s="72"/>
      <c r="J2480" s="185"/>
      <c r="K2480" s="205"/>
      <c r="L2480" s="7"/>
    </row>
    <row r="2481" spans="1:12">
      <c r="A2481" s="19"/>
      <c r="B2481" s="7"/>
      <c r="C2481" s="175"/>
      <c r="D2481" s="175"/>
      <c r="E2481" s="175"/>
      <c r="F2481" s="229"/>
      <c r="G2481" s="229"/>
      <c r="H2481" s="229"/>
      <c r="I2481" s="72"/>
      <c r="J2481" s="185"/>
      <c r="K2481" s="205"/>
      <c r="L2481" s="7"/>
    </row>
    <row r="2482" spans="1:12">
      <c r="A2482" s="19"/>
      <c r="B2482" s="7"/>
      <c r="C2482" s="175"/>
      <c r="D2482" s="175"/>
      <c r="E2482" s="175"/>
      <c r="F2482" s="229"/>
      <c r="G2482" s="229"/>
      <c r="H2482" s="229"/>
      <c r="I2482" s="72"/>
      <c r="J2482" s="185"/>
      <c r="K2482" s="205"/>
      <c r="L2482" s="7"/>
    </row>
    <row r="2483" spans="1:12">
      <c r="A2483" s="19"/>
      <c r="B2483" s="7"/>
      <c r="C2483" s="175"/>
      <c r="D2483" s="175"/>
      <c r="E2483" s="175"/>
      <c r="F2483" s="229"/>
      <c r="G2483" s="229"/>
      <c r="H2483" s="229"/>
      <c r="I2483" s="72"/>
      <c r="J2483" s="185"/>
      <c r="K2483" s="205"/>
      <c r="L2483" s="7"/>
    </row>
    <row r="2484" spans="1:12">
      <c r="A2484" s="20"/>
      <c r="B2484" s="21"/>
      <c r="C2484" s="175"/>
      <c r="D2484" s="175"/>
      <c r="E2484" s="175"/>
      <c r="F2484" s="232"/>
      <c r="G2484" s="232"/>
      <c r="H2484" s="232"/>
      <c r="I2484" s="63"/>
      <c r="J2484" s="190"/>
      <c r="K2484" s="206"/>
      <c r="L2484" s="7"/>
    </row>
    <row r="2485" spans="1:12">
      <c r="A2485" s="20"/>
      <c r="B2485" s="21"/>
      <c r="C2485" s="175"/>
      <c r="D2485" s="175"/>
      <c r="E2485" s="175"/>
      <c r="F2485" s="232"/>
      <c r="G2485" s="232"/>
      <c r="H2485" s="232"/>
      <c r="I2485" s="63"/>
      <c r="J2485" s="190"/>
      <c r="K2485" s="206"/>
      <c r="L2485" s="7"/>
    </row>
    <row r="2486" spans="1:12">
      <c r="A2486" s="20"/>
      <c r="B2486" s="24"/>
      <c r="C2486" s="175"/>
      <c r="D2486" s="175"/>
      <c r="E2486" s="175"/>
      <c r="F2486" s="232"/>
      <c r="G2486" s="232"/>
      <c r="H2486" s="232"/>
      <c r="I2486" s="63"/>
      <c r="J2486" s="190"/>
      <c r="K2486" s="206"/>
      <c r="L2486" s="7"/>
    </row>
    <row r="2487" spans="1:12">
      <c r="A2487" s="20"/>
      <c r="B2487" s="21"/>
      <c r="C2487" s="175"/>
      <c r="D2487" s="175"/>
      <c r="E2487" s="175"/>
      <c r="F2487" s="232"/>
      <c r="G2487" s="232"/>
      <c r="H2487" s="232"/>
      <c r="I2487" s="63"/>
      <c r="J2487" s="190"/>
      <c r="K2487" s="206"/>
      <c r="L2487" s="7"/>
    </row>
    <row r="2488" spans="1:12">
      <c r="A2488" s="20"/>
      <c r="B2488" s="21"/>
      <c r="C2488" s="175"/>
      <c r="D2488" s="175"/>
      <c r="E2488" s="175"/>
      <c r="F2488" s="232"/>
      <c r="G2488" s="232"/>
      <c r="H2488" s="232"/>
      <c r="I2488" s="63"/>
      <c r="J2488" s="189"/>
      <c r="K2488" s="206"/>
      <c r="L2488" s="7"/>
    </row>
    <row r="2489" spans="1:12">
      <c r="A2489" s="19"/>
      <c r="B2489" s="7"/>
      <c r="C2489" s="175"/>
      <c r="D2489" s="175"/>
      <c r="E2489" s="175"/>
      <c r="F2489" s="229"/>
      <c r="G2489" s="229"/>
      <c r="H2489" s="229"/>
      <c r="I2489" s="72"/>
      <c r="J2489" s="185"/>
      <c r="K2489" s="205"/>
      <c r="L2489" s="7"/>
    </row>
    <row r="2490" spans="1:12">
      <c r="A2490" s="19"/>
      <c r="B2490" s="7"/>
      <c r="C2490" s="175"/>
      <c r="D2490" s="175"/>
      <c r="E2490" s="175"/>
      <c r="F2490" s="229"/>
      <c r="G2490" s="229"/>
      <c r="H2490" s="229"/>
      <c r="I2490" s="72"/>
      <c r="J2490" s="185"/>
      <c r="K2490" s="205"/>
      <c r="L2490" s="7"/>
    </row>
    <row r="2491" spans="1:12">
      <c r="A2491" s="19"/>
      <c r="B2491" s="7"/>
      <c r="C2491" s="175"/>
      <c r="D2491" s="175"/>
      <c r="E2491" s="175"/>
      <c r="F2491" s="229"/>
      <c r="G2491" s="229"/>
      <c r="H2491" s="229"/>
      <c r="I2491" s="72"/>
      <c r="J2491" s="185"/>
      <c r="K2491" s="205"/>
      <c r="L2491" s="7"/>
    </row>
    <row r="2492" spans="1:12">
      <c r="A2492" s="19"/>
      <c r="B2492" s="7"/>
      <c r="C2492" s="175"/>
      <c r="D2492" s="175"/>
      <c r="E2492" s="175"/>
      <c r="F2492" s="229"/>
      <c r="G2492" s="229"/>
      <c r="H2492" s="229"/>
      <c r="I2492" s="72"/>
      <c r="J2492" s="185"/>
      <c r="K2492" s="205"/>
      <c r="L2492" s="7"/>
    </row>
    <row r="2493" spans="1:12">
      <c r="A2493" s="19"/>
      <c r="B2493" s="7"/>
      <c r="C2493" s="175"/>
      <c r="D2493" s="175"/>
      <c r="E2493" s="175"/>
      <c r="F2493" s="229"/>
      <c r="G2493" s="229"/>
      <c r="H2493" s="229"/>
      <c r="I2493" s="72"/>
      <c r="J2493" s="185"/>
      <c r="K2493" s="205"/>
      <c r="L2493" s="7"/>
    </row>
    <row r="2494" spans="1:12">
      <c r="A2494" s="19"/>
      <c r="B2494" s="7"/>
      <c r="C2494" s="175"/>
      <c r="D2494" s="175"/>
      <c r="E2494" s="175"/>
      <c r="F2494" s="229"/>
      <c r="G2494" s="229"/>
      <c r="H2494" s="229"/>
      <c r="I2494" s="72"/>
      <c r="J2494" s="185"/>
      <c r="K2494" s="205"/>
      <c r="L2494" s="7"/>
    </row>
    <row r="2495" spans="1:12">
      <c r="A2495" s="19"/>
      <c r="B2495" s="7"/>
      <c r="C2495" s="175"/>
      <c r="D2495" s="175"/>
      <c r="E2495" s="175"/>
      <c r="F2495" s="229"/>
      <c r="G2495" s="229"/>
      <c r="H2495" s="229"/>
      <c r="I2495" s="72"/>
      <c r="J2495" s="185"/>
      <c r="K2495" s="205"/>
      <c r="L2495" s="7"/>
    </row>
    <row r="2496" spans="1:12">
      <c r="A2496" s="19"/>
      <c r="B2496" s="7"/>
      <c r="C2496" s="175"/>
      <c r="D2496" s="175"/>
      <c r="E2496" s="175"/>
      <c r="F2496" s="229"/>
      <c r="G2496" s="229"/>
      <c r="H2496" s="229"/>
      <c r="I2496" s="72"/>
      <c r="J2496" s="185"/>
      <c r="K2496" s="205"/>
      <c r="L2496" s="7"/>
    </row>
    <row r="2497" spans="1:12">
      <c r="A2497" s="19"/>
      <c r="B2497" s="7"/>
      <c r="C2497" s="175"/>
      <c r="D2497" s="175"/>
      <c r="E2497" s="175"/>
      <c r="F2497" s="229"/>
      <c r="G2497" s="229"/>
      <c r="H2497" s="229"/>
      <c r="I2497" s="72"/>
      <c r="J2497" s="185"/>
      <c r="K2497" s="205"/>
      <c r="L2497" s="7"/>
    </row>
    <row r="2498" spans="1:12">
      <c r="A2498" s="19"/>
      <c r="B2498" s="7"/>
      <c r="C2498" s="175"/>
      <c r="D2498" s="175"/>
      <c r="E2498" s="175"/>
      <c r="F2498" s="229"/>
      <c r="G2498" s="229"/>
      <c r="H2498" s="229"/>
      <c r="I2498" s="72"/>
      <c r="J2498" s="185"/>
      <c r="K2498" s="205"/>
      <c r="L2498" s="7"/>
    </row>
    <row r="2499" spans="1:12">
      <c r="A2499" s="19"/>
      <c r="B2499" s="7"/>
      <c r="C2499" s="175"/>
      <c r="D2499" s="175"/>
      <c r="E2499" s="175"/>
      <c r="F2499" s="229"/>
      <c r="G2499" s="229"/>
      <c r="H2499" s="229"/>
      <c r="I2499" s="72"/>
      <c r="J2499" s="185"/>
      <c r="K2499" s="205"/>
      <c r="L2499" s="7"/>
    </row>
    <row r="2500" spans="1:12">
      <c r="A2500" s="19"/>
      <c r="B2500" s="7"/>
      <c r="C2500" s="175"/>
      <c r="D2500" s="175"/>
      <c r="E2500" s="175"/>
      <c r="F2500" s="229"/>
      <c r="G2500" s="229"/>
      <c r="H2500" s="229"/>
      <c r="I2500" s="72"/>
      <c r="J2500" s="185"/>
      <c r="K2500" s="205"/>
      <c r="L2500" s="7"/>
    </row>
    <row r="2501" spans="1:12">
      <c r="A2501" s="19"/>
      <c r="B2501" s="7"/>
      <c r="C2501" s="175"/>
      <c r="D2501" s="175"/>
      <c r="E2501" s="175"/>
      <c r="F2501" s="229"/>
      <c r="G2501" s="229"/>
      <c r="H2501" s="229"/>
      <c r="I2501" s="72"/>
      <c r="J2501" s="185"/>
      <c r="K2501" s="205"/>
      <c r="L2501" s="7"/>
    </row>
    <row r="2502" spans="1:12">
      <c r="A2502" s="19"/>
      <c r="B2502" s="7"/>
      <c r="C2502" s="175"/>
      <c r="D2502" s="175"/>
      <c r="E2502" s="175"/>
      <c r="F2502" s="229"/>
      <c r="G2502" s="229"/>
      <c r="H2502" s="229"/>
      <c r="I2502" s="72"/>
      <c r="J2502" s="185"/>
      <c r="K2502" s="205"/>
      <c r="L2502" s="7"/>
    </row>
    <row r="2503" spans="1:12">
      <c r="A2503" s="19"/>
      <c r="B2503" s="7"/>
      <c r="C2503" s="175"/>
      <c r="D2503" s="175"/>
      <c r="E2503" s="175"/>
      <c r="F2503" s="229"/>
      <c r="G2503" s="229"/>
      <c r="H2503" s="229"/>
      <c r="I2503" s="72"/>
      <c r="J2503" s="185"/>
      <c r="K2503" s="205"/>
      <c r="L2503" s="7"/>
    </row>
    <row r="2504" spans="1:12">
      <c r="A2504" s="19"/>
      <c r="B2504" s="7"/>
      <c r="C2504" s="175"/>
      <c r="D2504" s="175"/>
      <c r="E2504" s="175"/>
      <c r="F2504" s="229"/>
      <c r="G2504" s="229"/>
      <c r="H2504" s="229"/>
      <c r="I2504" s="72"/>
      <c r="J2504" s="185"/>
      <c r="K2504" s="205"/>
      <c r="L2504" s="7"/>
    </row>
    <row r="2505" spans="1:12">
      <c r="A2505" s="19"/>
      <c r="B2505" s="7"/>
      <c r="C2505" s="175"/>
      <c r="D2505" s="175"/>
      <c r="E2505" s="175"/>
      <c r="F2505" s="229"/>
      <c r="G2505" s="229"/>
      <c r="H2505" s="229"/>
      <c r="I2505" s="72"/>
      <c r="J2505" s="185"/>
      <c r="K2505" s="205"/>
      <c r="L2505" s="7"/>
    </row>
    <row r="2506" spans="1:12">
      <c r="A2506" s="19"/>
      <c r="B2506" s="7"/>
      <c r="C2506" s="175"/>
      <c r="D2506" s="175"/>
      <c r="E2506" s="175"/>
      <c r="F2506" s="229"/>
      <c r="G2506" s="229"/>
      <c r="H2506" s="229"/>
      <c r="I2506" s="72"/>
      <c r="J2506" s="185"/>
      <c r="K2506" s="205"/>
      <c r="L2506" s="7"/>
    </row>
    <row r="2507" spans="1:12">
      <c r="A2507" s="19"/>
      <c r="B2507" s="7"/>
      <c r="C2507" s="175"/>
      <c r="D2507" s="175"/>
      <c r="E2507" s="175"/>
      <c r="F2507" s="229"/>
      <c r="G2507" s="229"/>
      <c r="H2507" s="229"/>
      <c r="I2507" s="72"/>
      <c r="J2507" s="185"/>
      <c r="K2507" s="205"/>
      <c r="L2507" s="7"/>
    </row>
    <row r="2508" spans="1:12">
      <c r="A2508" s="19"/>
      <c r="B2508" s="7"/>
      <c r="C2508" s="175"/>
      <c r="D2508" s="175"/>
      <c r="E2508" s="175"/>
      <c r="F2508" s="229"/>
      <c r="G2508" s="229"/>
      <c r="H2508" s="229"/>
      <c r="I2508" s="72"/>
      <c r="J2508" s="185"/>
      <c r="K2508" s="205"/>
      <c r="L2508" s="7"/>
    </row>
    <row r="2509" spans="1:12">
      <c r="A2509" s="19"/>
      <c r="B2509" s="7"/>
      <c r="C2509" s="175"/>
      <c r="D2509" s="175"/>
      <c r="E2509" s="175"/>
      <c r="F2509" s="229"/>
      <c r="G2509" s="229"/>
      <c r="H2509" s="229"/>
      <c r="I2509" s="72"/>
      <c r="J2509" s="185"/>
      <c r="K2509" s="205"/>
      <c r="L2509" s="7"/>
    </row>
    <row r="2510" spans="1:12">
      <c r="A2510" s="19"/>
      <c r="B2510" s="7"/>
      <c r="C2510" s="175"/>
      <c r="D2510" s="175"/>
      <c r="E2510" s="175"/>
      <c r="F2510" s="229"/>
      <c r="G2510" s="229"/>
      <c r="H2510" s="229"/>
      <c r="I2510" s="72"/>
      <c r="J2510" s="185"/>
      <c r="K2510" s="205"/>
      <c r="L2510" s="7"/>
    </row>
    <row r="2511" spans="1:12">
      <c r="A2511" s="19"/>
      <c r="B2511" s="7"/>
      <c r="C2511" s="175"/>
      <c r="D2511" s="175"/>
      <c r="E2511" s="175"/>
      <c r="F2511" s="229"/>
      <c r="G2511" s="229"/>
      <c r="H2511" s="229"/>
      <c r="I2511" s="72"/>
      <c r="J2511" s="185"/>
      <c r="K2511" s="205"/>
      <c r="L2511" s="7"/>
    </row>
    <row r="2512" spans="1:12">
      <c r="A2512" s="19"/>
      <c r="B2512" s="7"/>
      <c r="C2512" s="175"/>
      <c r="D2512" s="175"/>
      <c r="E2512" s="175"/>
      <c r="F2512" s="229"/>
      <c r="G2512" s="229"/>
      <c r="H2512" s="229"/>
      <c r="I2512" s="72"/>
      <c r="J2512" s="185"/>
      <c r="K2512" s="205"/>
      <c r="L2512" s="7"/>
    </row>
    <row r="2513" spans="1:12">
      <c r="A2513" s="19"/>
      <c r="B2513" s="7"/>
      <c r="C2513" s="175"/>
      <c r="D2513" s="175"/>
      <c r="E2513" s="175"/>
      <c r="F2513" s="229"/>
      <c r="G2513" s="229"/>
      <c r="H2513" s="229"/>
      <c r="I2513" s="72"/>
      <c r="J2513" s="185"/>
      <c r="K2513" s="205"/>
      <c r="L2513" s="7"/>
    </row>
    <row r="2514" spans="1:12">
      <c r="A2514" s="19"/>
      <c r="B2514" s="7"/>
      <c r="C2514" s="175"/>
      <c r="D2514" s="175"/>
      <c r="E2514" s="175"/>
      <c r="F2514" s="229"/>
      <c r="G2514" s="229"/>
      <c r="H2514" s="229"/>
      <c r="I2514" s="72"/>
      <c r="J2514" s="185"/>
      <c r="K2514" s="205"/>
      <c r="L2514" s="7"/>
    </row>
    <row r="2515" spans="1:12">
      <c r="A2515" s="19"/>
      <c r="B2515" s="7"/>
      <c r="C2515" s="175"/>
      <c r="D2515" s="175"/>
      <c r="E2515" s="175"/>
      <c r="F2515" s="229"/>
      <c r="G2515" s="229"/>
      <c r="H2515" s="229"/>
      <c r="I2515" s="72"/>
      <c r="J2515" s="185"/>
      <c r="K2515" s="205"/>
      <c r="L2515" s="7"/>
    </row>
    <row r="2516" spans="1:12">
      <c r="A2516" s="19"/>
      <c r="B2516" s="7"/>
      <c r="C2516" s="175"/>
      <c r="D2516" s="175"/>
      <c r="E2516" s="175"/>
      <c r="F2516" s="229"/>
      <c r="G2516" s="229"/>
      <c r="H2516" s="229"/>
      <c r="I2516" s="72"/>
      <c r="J2516" s="185"/>
      <c r="K2516" s="205"/>
      <c r="L2516" s="7"/>
    </row>
    <row r="2517" spans="1:12">
      <c r="A2517" s="19"/>
      <c r="B2517" s="7"/>
      <c r="C2517" s="175"/>
      <c r="D2517" s="175"/>
      <c r="E2517" s="175"/>
      <c r="F2517" s="229"/>
      <c r="G2517" s="229"/>
      <c r="H2517" s="229"/>
      <c r="I2517" s="72"/>
      <c r="J2517" s="185"/>
      <c r="K2517" s="205"/>
      <c r="L2517" s="7"/>
    </row>
    <row r="2518" spans="1:12">
      <c r="A2518" s="19"/>
      <c r="B2518" s="7"/>
      <c r="C2518" s="175"/>
      <c r="D2518" s="175"/>
      <c r="E2518" s="175"/>
      <c r="F2518" s="229"/>
      <c r="G2518" s="229"/>
      <c r="H2518" s="229"/>
      <c r="I2518" s="72"/>
      <c r="J2518" s="185"/>
      <c r="K2518" s="205"/>
      <c r="L2518" s="7"/>
    </row>
    <row r="2519" spans="1:12">
      <c r="A2519" s="19"/>
      <c r="B2519" s="7"/>
      <c r="C2519" s="175"/>
      <c r="D2519" s="175"/>
      <c r="E2519" s="175"/>
      <c r="F2519" s="229"/>
      <c r="G2519" s="229"/>
      <c r="H2519" s="229"/>
      <c r="I2519" s="72"/>
      <c r="J2519" s="185"/>
      <c r="K2519" s="205"/>
      <c r="L2519" s="7"/>
    </row>
    <row r="2520" spans="1:12">
      <c r="A2520" s="19"/>
      <c r="B2520" s="7"/>
      <c r="C2520" s="175"/>
      <c r="D2520" s="175"/>
      <c r="E2520" s="175"/>
      <c r="F2520" s="229"/>
      <c r="G2520" s="229"/>
      <c r="H2520" s="229"/>
      <c r="I2520" s="72"/>
      <c r="J2520" s="185"/>
      <c r="K2520" s="205"/>
      <c r="L2520" s="7"/>
    </row>
    <row r="2521" spans="1:12">
      <c r="A2521" s="19"/>
      <c r="B2521" s="7"/>
      <c r="C2521" s="175"/>
      <c r="D2521" s="175"/>
      <c r="E2521" s="175"/>
      <c r="F2521" s="229"/>
      <c r="G2521" s="229"/>
      <c r="H2521" s="229"/>
      <c r="I2521" s="72"/>
      <c r="J2521" s="185"/>
      <c r="K2521" s="205"/>
      <c r="L2521" s="7"/>
    </row>
    <row r="2522" spans="1:12">
      <c r="A2522" s="19"/>
      <c r="B2522" s="7"/>
      <c r="C2522" s="175"/>
      <c r="D2522" s="175"/>
      <c r="E2522" s="175"/>
      <c r="F2522" s="229"/>
      <c r="G2522" s="229"/>
      <c r="H2522" s="229"/>
      <c r="I2522" s="72"/>
      <c r="J2522" s="185"/>
      <c r="K2522" s="205"/>
      <c r="L2522" s="7"/>
    </row>
    <row r="2523" spans="1:12">
      <c r="A2523" s="19"/>
      <c r="B2523" s="7"/>
      <c r="C2523" s="175"/>
      <c r="D2523" s="175"/>
      <c r="E2523" s="175"/>
      <c r="F2523" s="229"/>
      <c r="G2523" s="229"/>
      <c r="H2523" s="229"/>
      <c r="I2523" s="72"/>
      <c r="J2523" s="185"/>
      <c r="K2523" s="205"/>
      <c r="L2523" s="7"/>
    </row>
    <row r="2524" spans="1:12">
      <c r="A2524" s="19"/>
      <c r="B2524" s="7"/>
      <c r="C2524" s="175"/>
      <c r="D2524" s="175"/>
      <c r="E2524" s="175"/>
      <c r="F2524" s="229"/>
      <c r="G2524" s="229"/>
      <c r="H2524" s="229"/>
      <c r="I2524" s="72"/>
      <c r="J2524" s="185"/>
      <c r="K2524" s="205"/>
      <c r="L2524" s="7"/>
    </row>
    <row r="2525" spans="1:12">
      <c r="A2525" s="19"/>
      <c r="B2525" s="7"/>
      <c r="C2525" s="175"/>
      <c r="D2525" s="175"/>
      <c r="E2525" s="175"/>
      <c r="F2525" s="229"/>
      <c r="G2525" s="229"/>
      <c r="H2525" s="229"/>
      <c r="I2525" s="72"/>
      <c r="J2525" s="185"/>
      <c r="K2525" s="205"/>
      <c r="L2525" s="7"/>
    </row>
    <row r="2526" spans="1:12">
      <c r="A2526" s="19"/>
      <c r="B2526" s="7"/>
      <c r="C2526" s="175"/>
      <c r="D2526" s="175"/>
      <c r="E2526" s="175"/>
      <c r="F2526" s="229"/>
      <c r="G2526" s="229"/>
      <c r="H2526" s="229"/>
      <c r="I2526" s="72"/>
      <c r="J2526" s="185"/>
      <c r="K2526" s="205"/>
      <c r="L2526" s="7"/>
    </row>
    <row r="2527" spans="1:12">
      <c r="A2527" s="19"/>
      <c r="B2527" s="7"/>
      <c r="C2527" s="175"/>
      <c r="D2527" s="175"/>
      <c r="E2527" s="175"/>
      <c r="F2527" s="229"/>
      <c r="G2527" s="229"/>
      <c r="H2527" s="229"/>
      <c r="I2527" s="72"/>
      <c r="J2527" s="185"/>
      <c r="K2527" s="205"/>
      <c r="L2527" s="7"/>
    </row>
    <row r="2528" spans="1:12">
      <c r="A2528" s="19"/>
      <c r="B2528" s="7"/>
      <c r="C2528" s="175"/>
      <c r="D2528" s="175"/>
      <c r="E2528" s="175"/>
      <c r="F2528" s="229"/>
      <c r="G2528" s="229"/>
      <c r="H2528" s="229"/>
      <c r="I2528" s="72"/>
      <c r="J2528" s="185"/>
      <c r="K2528" s="205"/>
      <c r="L2528" s="7"/>
    </row>
    <row r="2529" spans="1:12">
      <c r="A2529" s="19"/>
      <c r="B2529" s="7"/>
      <c r="C2529" s="175"/>
      <c r="D2529" s="175"/>
      <c r="E2529" s="175"/>
      <c r="F2529" s="229"/>
      <c r="G2529" s="229"/>
      <c r="H2529" s="229"/>
      <c r="I2529" s="72"/>
      <c r="J2529" s="185"/>
      <c r="K2529" s="205"/>
      <c r="L2529" s="7"/>
    </row>
    <row r="2530" spans="1:12">
      <c r="A2530" s="19"/>
      <c r="B2530" s="7"/>
      <c r="C2530" s="175"/>
      <c r="D2530" s="175"/>
      <c r="E2530" s="175"/>
      <c r="F2530" s="229"/>
      <c r="G2530" s="229"/>
      <c r="H2530" s="229"/>
      <c r="I2530" s="72"/>
      <c r="J2530" s="185"/>
      <c r="K2530" s="205"/>
      <c r="L2530" s="7"/>
    </row>
    <row r="2531" spans="1:12">
      <c r="A2531" s="19"/>
      <c r="B2531" s="7"/>
      <c r="C2531" s="175"/>
      <c r="D2531" s="175"/>
      <c r="E2531" s="175"/>
      <c r="F2531" s="229"/>
      <c r="G2531" s="229"/>
      <c r="H2531" s="229"/>
      <c r="I2531" s="72"/>
      <c r="J2531" s="185"/>
      <c r="K2531" s="205"/>
      <c r="L2531" s="7"/>
    </row>
    <row r="2532" spans="1:12">
      <c r="A2532" s="19"/>
      <c r="B2532" s="7"/>
      <c r="C2532" s="175"/>
      <c r="D2532" s="175"/>
      <c r="E2532" s="175"/>
      <c r="F2532" s="229"/>
      <c r="G2532" s="229"/>
      <c r="H2532" s="229"/>
      <c r="I2532" s="72"/>
      <c r="J2532" s="185"/>
      <c r="K2532" s="205"/>
      <c r="L2532" s="7"/>
    </row>
    <row r="2533" spans="1:12">
      <c r="A2533" s="19"/>
      <c r="B2533" s="7"/>
      <c r="C2533" s="175"/>
      <c r="D2533" s="175"/>
      <c r="E2533" s="175"/>
      <c r="F2533" s="229"/>
      <c r="G2533" s="229"/>
      <c r="H2533" s="229"/>
      <c r="I2533" s="72"/>
      <c r="J2533" s="185"/>
      <c r="K2533" s="205"/>
      <c r="L2533" s="7"/>
    </row>
    <row r="2534" spans="1:12">
      <c r="A2534" s="19"/>
      <c r="B2534" s="7"/>
      <c r="C2534" s="175"/>
      <c r="D2534" s="175"/>
      <c r="E2534" s="175"/>
      <c r="F2534" s="229"/>
      <c r="G2534" s="229"/>
      <c r="H2534" s="229"/>
      <c r="I2534" s="72"/>
      <c r="J2534" s="185"/>
      <c r="K2534" s="205"/>
      <c r="L2534" s="7"/>
    </row>
    <row r="2535" spans="1:12">
      <c r="A2535" s="20"/>
      <c r="B2535" s="21"/>
      <c r="C2535" s="175"/>
      <c r="D2535" s="175"/>
      <c r="E2535" s="175"/>
      <c r="F2535" s="232"/>
      <c r="G2535" s="232"/>
      <c r="H2535" s="232"/>
      <c r="I2535" s="63"/>
      <c r="J2535" s="189"/>
      <c r="K2535" s="206"/>
      <c r="L2535" s="7"/>
    </row>
    <row r="2536" spans="1:12">
      <c r="A2536" s="20"/>
      <c r="B2536" s="21"/>
      <c r="C2536" s="175"/>
      <c r="D2536" s="175"/>
      <c r="E2536" s="175"/>
      <c r="F2536" s="232"/>
      <c r="G2536" s="232"/>
      <c r="H2536" s="232"/>
      <c r="I2536" s="63"/>
      <c r="J2536" s="190"/>
      <c r="K2536" s="206"/>
      <c r="L2536" s="7"/>
    </row>
    <row r="2537" spans="1:12">
      <c r="A2537" s="19"/>
      <c r="B2537" s="7"/>
      <c r="C2537" s="175"/>
      <c r="D2537" s="175"/>
      <c r="E2537" s="175"/>
      <c r="F2537" s="229"/>
      <c r="G2537" s="229"/>
      <c r="H2537" s="229"/>
      <c r="I2537" s="72"/>
      <c r="J2537" s="185"/>
      <c r="K2537" s="205"/>
      <c r="L2537" s="7"/>
    </row>
    <row r="2538" spans="1:12">
      <c r="A2538" s="20"/>
      <c r="B2538" s="21"/>
      <c r="C2538" s="175"/>
      <c r="D2538" s="175"/>
      <c r="E2538" s="175"/>
      <c r="F2538" s="232"/>
      <c r="G2538" s="232"/>
      <c r="H2538" s="232"/>
      <c r="I2538" s="63"/>
      <c r="J2538" s="190"/>
      <c r="K2538" s="206"/>
      <c r="L2538" s="7"/>
    </row>
    <row r="2539" spans="1:12">
      <c r="A2539" s="19"/>
      <c r="B2539" s="7"/>
      <c r="C2539" s="175"/>
      <c r="D2539" s="175"/>
      <c r="E2539" s="175"/>
      <c r="F2539" s="229"/>
      <c r="G2539" s="229"/>
      <c r="H2539" s="229"/>
      <c r="I2539" s="72"/>
      <c r="J2539" s="185"/>
      <c r="K2539" s="205"/>
      <c r="L2539" s="7"/>
    </row>
    <row r="2540" spans="1:12">
      <c r="A2540" s="19"/>
      <c r="B2540" s="7"/>
      <c r="C2540" s="175"/>
      <c r="D2540" s="175"/>
      <c r="E2540" s="175"/>
      <c r="F2540" s="229"/>
      <c r="G2540" s="229"/>
      <c r="H2540" s="229"/>
      <c r="I2540" s="72"/>
      <c r="J2540" s="185"/>
      <c r="K2540" s="205"/>
      <c r="L2540" s="7"/>
    </row>
    <row r="2541" spans="1:12">
      <c r="A2541" s="19"/>
      <c r="B2541" s="7"/>
      <c r="C2541" s="175"/>
      <c r="D2541" s="175"/>
      <c r="E2541" s="175"/>
      <c r="F2541" s="229"/>
      <c r="G2541" s="229"/>
      <c r="H2541" s="229"/>
      <c r="I2541" s="72"/>
      <c r="J2541" s="185"/>
      <c r="K2541" s="205"/>
      <c r="L2541" s="7"/>
    </row>
    <row r="2542" spans="1:12">
      <c r="A2542" s="19"/>
      <c r="B2542" s="7"/>
      <c r="C2542" s="175"/>
      <c r="D2542" s="175"/>
      <c r="E2542" s="175"/>
      <c r="F2542" s="229"/>
      <c r="G2542" s="229"/>
      <c r="H2542" s="229"/>
      <c r="I2542" s="72"/>
      <c r="J2542" s="185"/>
      <c r="K2542" s="205"/>
      <c r="L2542" s="7"/>
    </row>
    <row r="2543" spans="1:12">
      <c r="A2543" s="20"/>
      <c r="B2543" s="24"/>
      <c r="C2543" s="175"/>
      <c r="D2543" s="175"/>
      <c r="E2543" s="175"/>
      <c r="F2543" s="232"/>
      <c r="G2543" s="232"/>
      <c r="H2543" s="232"/>
      <c r="I2543" s="63"/>
      <c r="J2543" s="190"/>
      <c r="K2543" s="206"/>
      <c r="L2543" s="7"/>
    </row>
    <row r="2544" spans="1:12">
      <c r="A2544" s="20"/>
      <c r="B2544" s="21"/>
      <c r="C2544" s="175"/>
      <c r="D2544" s="175"/>
      <c r="E2544" s="175"/>
      <c r="F2544" s="232"/>
      <c r="G2544" s="232"/>
      <c r="H2544" s="232"/>
      <c r="I2544" s="63"/>
      <c r="J2544" s="190"/>
      <c r="K2544" s="206"/>
      <c r="L2544" s="7"/>
    </row>
    <row r="2545" spans="1:12">
      <c r="A2545" s="20"/>
      <c r="B2545" s="21"/>
      <c r="C2545" s="175"/>
      <c r="D2545" s="175"/>
      <c r="E2545" s="175"/>
      <c r="F2545" s="232"/>
      <c r="G2545" s="232"/>
      <c r="H2545" s="232"/>
      <c r="I2545" s="63"/>
      <c r="J2545" s="190"/>
      <c r="K2545" s="206"/>
      <c r="L2545" s="7"/>
    </row>
    <row r="2546" spans="1:12">
      <c r="A2546" s="19"/>
      <c r="B2546" s="7"/>
      <c r="C2546" s="175"/>
      <c r="D2546" s="175"/>
      <c r="E2546" s="175"/>
      <c r="F2546" s="229"/>
      <c r="G2546" s="229"/>
      <c r="H2546" s="229"/>
      <c r="I2546" s="72"/>
      <c r="J2546" s="185"/>
      <c r="K2546" s="205"/>
      <c r="L2546" s="7"/>
    </row>
    <row r="2547" spans="1:12">
      <c r="A2547" s="19"/>
      <c r="B2547" s="7"/>
      <c r="C2547" s="175"/>
      <c r="D2547" s="175"/>
      <c r="E2547" s="175"/>
      <c r="F2547" s="229"/>
      <c r="G2547" s="229"/>
      <c r="H2547" s="229"/>
      <c r="I2547" s="72"/>
      <c r="J2547" s="185"/>
      <c r="K2547" s="205"/>
      <c r="L2547" s="7"/>
    </row>
    <row r="2548" spans="1:12">
      <c r="A2548" s="19"/>
      <c r="B2548" s="7"/>
      <c r="C2548" s="175"/>
      <c r="D2548" s="175"/>
      <c r="E2548" s="175"/>
      <c r="F2548" s="229"/>
      <c r="G2548" s="229"/>
      <c r="H2548" s="229"/>
      <c r="I2548" s="72"/>
      <c r="J2548" s="185"/>
      <c r="K2548" s="205"/>
      <c r="L2548" s="7"/>
    </row>
    <row r="2549" spans="1:12">
      <c r="A2549" s="19"/>
      <c r="B2549" s="7"/>
      <c r="C2549" s="175"/>
      <c r="D2549" s="175"/>
      <c r="E2549" s="175"/>
      <c r="F2549" s="229"/>
      <c r="G2549" s="229"/>
      <c r="H2549" s="229"/>
      <c r="I2549" s="72"/>
      <c r="J2549" s="185"/>
      <c r="K2549" s="205"/>
      <c r="L2549" s="7"/>
    </row>
    <row r="2550" spans="1:12">
      <c r="A2550" s="19"/>
      <c r="B2550" s="7"/>
      <c r="C2550" s="175"/>
      <c r="D2550" s="175"/>
      <c r="E2550" s="175"/>
      <c r="F2550" s="229"/>
      <c r="G2550" s="229"/>
      <c r="H2550" s="229"/>
      <c r="I2550" s="72"/>
      <c r="J2550" s="185"/>
      <c r="K2550" s="205"/>
      <c r="L2550" s="7"/>
    </row>
    <row r="2551" spans="1:12">
      <c r="A2551" s="19"/>
      <c r="B2551" s="7"/>
      <c r="C2551" s="175"/>
      <c r="D2551" s="175"/>
      <c r="E2551" s="175"/>
      <c r="F2551" s="229"/>
      <c r="G2551" s="229"/>
      <c r="H2551" s="229"/>
      <c r="I2551" s="72"/>
      <c r="J2551" s="185"/>
      <c r="K2551" s="205"/>
      <c r="L2551" s="7"/>
    </row>
    <row r="2552" spans="1:12">
      <c r="A2552" s="19"/>
      <c r="B2552" s="7"/>
      <c r="C2552" s="175"/>
      <c r="D2552" s="175"/>
      <c r="E2552" s="175"/>
      <c r="F2552" s="229"/>
      <c r="G2552" s="229"/>
      <c r="H2552" s="229"/>
      <c r="I2552" s="72"/>
      <c r="J2552" s="185"/>
      <c r="K2552" s="205"/>
      <c r="L2552" s="7"/>
    </row>
    <row r="2553" spans="1:12">
      <c r="A2553" s="19"/>
      <c r="B2553" s="7"/>
      <c r="C2553" s="175"/>
      <c r="D2553" s="175"/>
      <c r="E2553" s="175"/>
      <c r="F2553" s="229"/>
      <c r="G2553" s="229"/>
      <c r="H2553" s="229"/>
      <c r="I2553" s="72"/>
      <c r="J2553" s="185"/>
      <c r="K2553" s="205"/>
      <c r="L2553" s="7"/>
    </row>
    <row r="2554" spans="1:12">
      <c r="A2554" s="19"/>
      <c r="B2554" s="7"/>
      <c r="C2554" s="175"/>
      <c r="D2554" s="175"/>
      <c r="E2554" s="175"/>
      <c r="F2554" s="229"/>
      <c r="G2554" s="229"/>
      <c r="H2554" s="229"/>
      <c r="I2554" s="72"/>
      <c r="J2554" s="185"/>
      <c r="K2554" s="205"/>
      <c r="L2554" s="7"/>
    </row>
    <row r="2555" spans="1:12">
      <c r="A2555" s="19"/>
      <c r="B2555" s="7"/>
      <c r="C2555" s="175"/>
      <c r="D2555" s="175"/>
      <c r="E2555" s="175"/>
      <c r="F2555" s="229"/>
      <c r="G2555" s="229"/>
      <c r="H2555" s="229"/>
      <c r="I2555" s="72"/>
      <c r="J2555" s="185"/>
      <c r="K2555" s="205"/>
      <c r="L2555" s="7"/>
    </row>
    <row r="2556" spans="1:12">
      <c r="A2556" s="19"/>
      <c r="B2556" s="7"/>
      <c r="C2556" s="175"/>
      <c r="D2556" s="175"/>
      <c r="E2556" s="175"/>
      <c r="F2556" s="229"/>
      <c r="G2556" s="229"/>
      <c r="H2556" s="229"/>
      <c r="I2556" s="72"/>
      <c r="J2556" s="185"/>
      <c r="K2556" s="205"/>
      <c r="L2556" s="7"/>
    </row>
    <row r="2557" spans="1:12">
      <c r="A2557" s="19"/>
      <c r="B2557" s="7"/>
      <c r="C2557" s="175"/>
      <c r="D2557" s="175"/>
      <c r="E2557" s="175"/>
      <c r="F2557" s="229"/>
      <c r="G2557" s="229"/>
      <c r="H2557" s="229"/>
      <c r="I2557" s="72"/>
      <c r="J2557" s="185"/>
      <c r="K2557" s="205"/>
      <c r="L2557" s="7"/>
    </row>
    <row r="2558" spans="1:12">
      <c r="A2558" s="20"/>
      <c r="B2558" s="21"/>
      <c r="C2558" s="175"/>
      <c r="D2558" s="175"/>
      <c r="E2558" s="175"/>
      <c r="F2558" s="232"/>
      <c r="G2558" s="232"/>
      <c r="H2558" s="232"/>
      <c r="I2558" s="63"/>
      <c r="J2558" s="190"/>
      <c r="K2558" s="206"/>
      <c r="L2558" s="7"/>
    </row>
    <row r="2559" spans="1:12">
      <c r="A2559" s="20"/>
      <c r="B2559" s="21"/>
      <c r="C2559" s="175"/>
      <c r="D2559" s="175"/>
      <c r="E2559" s="175"/>
      <c r="F2559" s="232"/>
      <c r="G2559" s="232"/>
      <c r="H2559" s="232"/>
      <c r="I2559" s="63"/>
      <c r="J2559" s="190"/>
      <c r="K2559" s="206"/>
      <c r="L2559" s="7"/>
    </row>
    <row r="2560" spans="1:12">
      <c r="A2560" s="20"/>
      <c r="B2560" s="21"/>
      <c r="C2560" s="175"/>
      <c r="D2560" s="175"/>
      <c r="E2560" s="175"/>
      <c r="F2560" s="232"/>
      <c r="G2560" s="232"/>
      <c r="H2560" s="232"/>
      <c r="I2560" s="63"/>
      <c r="J2560" s="190"/>
      <c r="K2560" s="206"/>
      <c r="L2560" s="7"/>
    </row>
    <row r="2561" spans="1:12">
      <c r="A2561" s="20"/>
      <c r="B2561" s="21"/>
      <c r="C2561" s="175"/>
      <c r="D2561" s="175"/>
      <c r="E2561" s="175"/>
      <c r="F2561" s="232"/>
      <c r="G2561" s="232"/>
      <c r="H2561" s="232"/>
      <c r="I2561" s="63"/>
      <c r="J2561" s="190"/>
      <c r="K2561" s="206"/>
      <c r="L2561" s="7"/>
    </row>
    <row r="2562" spans="1:12">
      <c r="A2562" s="20"/>
      <c r="B2562" s="21"/>
      <c r="C2562" s="175"/>
      <c r="D2562" s="175"/>
      <c r="E2562" s="175"/>
      <c r="F2562" s="232"/>
      <c r="G2562" s="232"/>
      <c r="H2562" s="232"/>
      <c r="I2562" s="63"/>
      <c r="J2562" s="190"/>
      <c r="K2562" s="206"/>
      <c r="L2562" s="7"/>
    </row>
    <row r="2563" spans="1:12">
      <c r="A2563" s="20"/>
      <c r="B2563" s="21"/>
      <c r="C2563" s="175"/>
      <c r="D2563" s="175"/>
      <c r="E2563" s="175"/>
      <c r="F2563" s="232"/>
      <c r="G2563" s="232"/>
      <c r="H2563" s="232"/>
      <c r="I2563" s="63"/>
      <c r="J2563" s="190"/>
      <c r="K2563" s="206"/>
      <c r="L2563" s="7"/>
    </row>
    <row r="2564" spans="1:12">
      <c r="A2564" s="19"/>
      <c r="B2564" s="7"/>
      <c r="C2564" s="175"/>
      <c r="D2564" s="175"/>
      <c r="E2564" s="175"/>
      <c r="F2564" s="229"/>
      <c r="G2564" s="229"/>
      <c r="H2564" s="229"/>
      <c r="I2564" s="72"/>
      <c r="J2564" s="185"/>
      <c r="K2564" s="205"/>
      <c r="L2564" s="7"/>
    </row>
    <row r="2565" spans="1:12">
      <c r="A2565" s="19"/>
      <c r="B2565" s="7"/>
      <c r="C2565" s="175"/>
      <c r="D2565" s="175"/>
      <c r="E2565" s="175"/>
      <c r="F2565" s="229"/>
      <c r="G2565" s="229"/>
      <c r="H2565" s="229"/>
      <c r="I2565" s="72"/>
      <c r="J2565" s="185"/>
      <c r="K2565" s="205"/>
      <c r="L2565" s="7"/>
    </row>
    <row r="2566" spans="1:12">
      <c r="A2566" s="19"/>
      <c r="B2566" s="7"/>
      <c r="C2566" s="175"/>
      <c r="D2566" s="175"/>
      <c r="E2566" s="175"/>
      <c r="F2566" s="229"/>
      <c r="G2566" s="229"/>
      <c r="H2566" s="229"/>
      <c r="I2566" s="72"/>
      <c r="J2566" s="185"/>
      <c r="K2566" s="205"/>
      <c r="L2566" s="7"/>
    </row>
    <row r="2567" spans="1:12">
      <c r="A2567" s="19"/>
      <c r="B2567" s="7"/>
      <c r="C2567" s="175"/>
      <c r="D2567" s="175"/>
      <c r="E2567" s="175"/>
      <c r="F2567" s="229"/>
      <c r="G2567" s="229"/>
      <c r="H2567" s="229"/>
      <c r="I2567" s="72"/>
      <c r="J2567" s="185"/>
      <c r="K2567" s="205"/>
      <c r="L2567" s="7"/>
    </row>
    <row r="2568" spans="1:12">
      <c r="A2568" s="19"/>
      <c r="B2568" s="7"/>
      <c r="C2568" s="175"/>
      <c r="D2568" s="175"/>
      <c r="E2568" s="175"/>
      <c r="F2568" s="229"/>
      <c r="G2568" s="229"/>
      <c r="H2568" s="229"/>
      <c r="I2568" s="72"/>
      <c r="J2568" s="185"/>
      <c r="K2568" s="205"/>
      <c r="L2568" s="7"/>
    </row>
    <row r="2569" spans="1:12">
      <c r="A2569" s="19"/>
      <c r="B2569" s="7"/>
      <c r="C2569" s="175"/>
      <c r="D2569" s="175"/>
      <c r="E2569" s="175"/>
      <c r="F2569" s="229"/>
      <c r="G2569" s="229"/>
      <c r="H2569" s="229"/>
      <c r="I2569" s="72"/>
      <c r="J2569" s="185"/>
      <c r="K2569" s="205"/>
      <c r="L2569" s="7"/>
    </row>
    <row r="2570" spans="1:12">
      <c r="A2570" s="19"/>
      <c r="B2570" s="7"/>
      <c r="C2570" s="175"/>
      <c r="D2570" s="175"/>
      <c r="E2570" s="175"/>
      <c r="F2570" s="229"/>
      <c r="G2570" s="229"/>
      <c r="H2570" s="229"/>
      <c r="I2570" s="72"/>
      <c r="J2570" s="185"/>
      <c r="K2570" s="205"/>
      <c r="L2570" s="7"/>
    </row>
    <row r="2571" spans="1:12">
      <c r="A2571" s="19"/>
      <c r="B2571" s="7"/>
      <c r="C2571" s="175"/>
      <c r="D2571" s="175"/>
      <c r="E2571" s="175"/>
      <c r="F2571" s="229"/>
      <c r="G2571" s="229"/>
      <c r="H2571" s="229"/>
      <c r="I2571" s="72"/>
      <c r="J2571" s="185"/>
      <c r="K2571" s="205"/>
      <c r="L2571" s="7"/>
    </row>
    <row r="2572" spans="1:12">
      <c r="A2572" s="19"/>
      <c r="B2572" s="7"/>
      <c r="C2572" s="175"/>
      <c r="D2572" s="175"/>
      <c r="E2572" s="175"/>
      <c r="F2572" s="229"/>
      <c r="G2572" s="229"/>
      <c r="H2572" s="229"/>
      <c r="I2572" s="72"/>
      <c r="J2572" s="185"/>
      <c r="K2572" s="205"/>
      <c r="L2572" s="7"/>
    </row>
    <row r="2573" spans="1:12">
      <c r="A2573" s="19"/>
      <c r="B2573" s="7"/>
      <c r="C2573" s="175"/>
      <c r="D2573" s="175"/>
      <c r="E2573" s="175"/>
      <c r="F2573" s="229"/>
      <c r="G2573" s="229"/>
      <c r="H2573" s="229"/>
      <c r="I2573" s="72"/>
      <c r="J2573" s="185"/>
      <c r="K2573" s="205"/>
      <c r="L2573" s="7"/>
    </row>
    <row r="2574" spans="1:12">
      <c r="A2574" s="19"/>
      <c r="B2574" s="7"/>
      <c r="C2574" s="175"/>
      <c r="D2574" s="175"/>
      <c r="E2574" s="175"/>
      <c r="F2574" s="229"/>
      <c r="G2574" s="229"/>
      <c r="H2574" s="229"/>
      <c r="I2574" s="72"/>
      <c r="J2574" s="185"/>
      <c r="K2574" s="205"/>
      <c r="L2574" s="7"/>
    </row>
    <row r="2575" spans="1:12">
      <c r="A2575" s="19"/>
      <c r="B2575" s="7"/>
      <c r="C2575" s="175"/>
      <c r="D2575" s="175"/>
      <c r="E2575" s="175"/>
      <c r="F2575" s="229"/>
      <c r="G2575" s="229"/>
      <c r="H2575" s="229"/>
      <c r="I2575" s="72"/>
      <c r="J2575" s="185"/>
      <c r="K2575" s="205"/>
      <c r="L2575" s="7"/>
    </row>
    <row r="2576" spans="1:12">
      <c r="A2576" s="19"/>
      <c r="B2576" s="7"/>
      <c r="C2576" s="175"/>
      <c r="D2576" s="175"/>
      <c r="E2576" s="175"/>
      <c r="F2576" s="229"/>
      <c r="G2576" s="229"/>
      <c r="H2576" s="229"/>
      <c r="I2576" s="72"/>
      <c r="J2576" s="185"/>
      <c r="K2576" s="205"/>
      <c r="L2576" s="7"/>
    </row>
    <row r="2577" spans="1:12">
      <c r="A2577" s="19"/>
      <c r="B2577" s="7"/>
      <c r="C2577" s="175"/>
      <c r="D2577" s="175"/>
      <c r="E2577" s="175"/>
      <c r="F2577" s="229"/>
      <c r="G2577" s="229"/>
      <c r="H2577" s="229"/>
      <c r="I2577" s="72"/>
      <c r="J2577" s="185"/>
      <c r="K2577" s="205"/>
      <c r="L2577" s="7"/>
    </row>
    <row r="2578" spans="1:12">
      <c r="A2578" s="19"/>
      <c r="B2578" s="7"/>
      <c r="C2578" s="175"/>
      <c r="D2578" s="175"/>
      <c r="E2578" s="175"/>
      <c r="F2578" s="229"/>
      <c r="G2578" s="229"/>
      <c r="H2578" s="229"/>
      <c r="I2578" s="72"/>
      <c r="J2578" s="185"/>
      <c r="K2578" s="205"/>
      <c r="L2578" s="7"/>
    </row>
    <row r="2579" spans="1:12">
      <c r="A2579" s="19"/>
      <c r="B2579" s="7"/>
      <c r="C2579" s="175"/>
      <c r="D2579" s="175"/>
      <c r="E2579" s="175"/>
      <c r="F2579" s="229"/>
      <c r="G2579" s="229"/>
      <c r="H2579" s="229"/>
      <c r="I2579" s="72"/>
      <c r="J2579" s="185"/>
      <c r="K2579" s="205"/>
      <c r="L2579" s="7"/>
    </row>
    <row r="2580" spans="1:12">
      <c r="A2580" s="19"/>
      <c r="B2580" s="7"/>
      <c r="C2580" s="175"/>
      <c r="D2580" s="175"/>
      <c r="E2580" s="175"/>
      <c r="F2580" s="229"/>
      <c r="G2580" s="229"/>
      <c r="H2580" s="229"/>
      <c r="I2580" s="72"/>
      <c r="J2580" s="185"/>
      <c r="K2580" s="205"/>
      <c r="L2580" s="7"/>
    </row>
    <row r="2581" spans="1:12">
      <c r="A2581" s="19"/>
      <c r="B2581" s="7"/>
      <c r="C2581" s="175"/>
      <c r="D2581" s="175"/>
      <c r="E2581" s="175"/>
      <c r="F2581" s="229"/>
      <c r="G2581" s="229"/>
      <c r="H2581" s="229"/>
      <c r="I2581" s="72"/>
      <c r="J2581" s="185"/>
      <c r="K2581" s="205"/>
      <c r="L2581" s="7"/>
    </row>
    <row r="2582" spans="1:12">
      <c r="A2582" s="19"/>
      <c r="B2582" s="7"/>
      <c r="C2582" s="175"/>
      <c r="D2582" s="175"/>
      <c r="E2582" s="175"/>
      <c r="F2582" s="229"/>
      <c r="G2582" s="229"/>
      <c r="H2582" s="229"/>
      <c r="I2582" s="72"/>
      <c r="J2582" s="185"/>
      <c r="K2582" s="205"/>
      <c r="L2582" s="7"/>
    </row>
    <row r="2583" spans="1:12">
      <c r="A2583" s="19"/>
      <c r="B2583" s="7"/>
      <c r="C2583" s="175"/>
      <c r="D2583" s="175"/>
      <c r="E2583" s="175"/>
      <c r="F2583" s="229"/>
      <c r="G2583" s="229"/>
      <c r="H2583" s="229"/>
      <c r="I2583" s="72"/>
      <c r="J2583" s="185"/>
      <c r="K2583" s="205"/>
      <c r="L2583" s="7"/>
    </row>
    <row r="2584" spans="1:12">
      <c r="A2584" s="19"/>
      <c r="B2584" s="7"/>
      <c r="C2584" s="175"/>
      <c r="D2584" s="175"/>
      <c r="E2584" s="175"/>
      <c r="F2584" s="229"/>
      <c r="G2584" s="229"/>
      <c r="H2584" s="229"/>
      <c r="I2584" s="72"/>
      <c r="J2584" s="185"/>
      <c r="K2584" s="205"/>
      <c r="L2584" s="7"/>
    </row>
    <row r="2585" spans="1:12">
      <c r="A2585" s="19"/>
      <c r="B2585" s="7"/>
      <c r="C2585" s="175"/>
      <c r="D2585" s="175"/>
      <c r="E2585" s="175"/>
      <c r="F2585" s="229"/>
      <c r="G2585" s="229"/>
      <c r="H2585" s="229"/>
      <c r="I2585" s="72"/>
      <c r="J2585" s="185"/>
      <c r="K2585" s="205"/>
      <c r="L2585" s="7"/>
    </row>
    <row r="2586" spans="1:12">
      <c r="A2586" s="19"/>
      <c r="B2586" s="7"/>
      <c r="C2586" s="175"/>
      <c r="D2586" s="175"/>
      <c r="E2586" s="175"/>
      <c r="F2586" s="229"/>
      <c r="G2586" s="229"/>
      <c r="H2586" s="229"/>
      <c r="I2586" s="72"/>
      <c r="J2586" s="185"/>
      <c r="K2586" s="205"/>
      <c r="L2586" s="7"/>
    </row>
    <row r="2587" spans="1:12">
      <c r="A2587" s="19"/>
      <c r="B2587" s="7"/>
      <c r="C2587" s="175"/>
      <c r="D2587" s="175"/>
      <c r="E2587" s="175"/>
      <c r="F2587" s="229"/>
      <c r="G2587" s="229"/>
      <c r="H2587" s="229"/>
      <c r="I2587" s="72"/>
      <c r="J2587" s="185"/>
      <c r="K2587" s="205"/>
      <c r="L2587" s="7"/>
    </row>
    <row r="2588" spans="1:12">
      <c r="A2588" s="19"/>
      <c r="B2588" s="7"/>
      <c r="C2588" s="175"/>
      <c r="D2588" s="175"/>
      <c r="E2588" s="175"/>
      <c r="F2588" s="229"/>
      <c r="G2588" s="229"/>
      <c r="H2588" s="229"/>
      <c r="I2588" s="72"/>
      <c r="J2588" s="185"/>
      <c r="K2588" s="205"/>
      <c r="L2588" s="7"/>
    </row>
    <row r="2589" spans="1:12">
      <c r="A2589" s="19"/>
      <c r="B2589" s="7"/>
      <c r="C2589" s="175"/>
      <c r="D2589" s="175"/>
      <c r="E2589" s="175"/>
      <c r="F2589" s="229"/>
      <c r="G2589" s="229"/>
      <c r="H2589" s="229"/>
      <c r="I2589" s="72"/>
      <c r="J2589" s="185"/>
      <c r="K2589" s="205"/>
      <c r="L2589" s="7"/>
    </row>
    <row r="2590" spans="1:12">
      <c r="A2590" s="19"/>
      <c r="B2590" s="7"/>
      <c r="C2590" s="175"/>
      <c r="D2590" s="175"/>
      <c r="E2590" s="175"/>
      <c r="F2590" s="229"/>
      <c r="G2590" s="229"/>
      <c r="H2590" s="229"/>
      <c r="I2590" s="72"/>
      <c r="J2590" s="185"/>
      <c r="K2590" s="205"/>
      <c r="L2590" s="7"/>
    </row>
    <row r="2591" spans="1:12">
      <c r="A2591" s="19"/>
      <c r="B2591" s="7"/>
      <c r="C2591" s="175"/>
      <c r="D2591" s="175"/>
      <c r="E2591" s="175"/>
      <c r="F2591" s="229"/>
      <c r="G2591" s="229"/>
      <c r="H2591" s="229"/>
      <c r="I2591" s="72"/>
      <c r="J2591" s="185"/>
      <c r="K2591" s="205"/>
      <c r="L2591" s="7"/>
    </row>
    <row r="2592" spans="1:12">
      <c r="A2592" s="19"/>
      <c r="B2592" s="7"/>
      <c r="C2592" s="175"/>
      <c r="D2592" s="175"/>
      <c r="E2592" s="175"/>
      <c r="F2592" s="229"/>
      <c r="G2592" s="229"/>
      <c r="H2592" s="229"/>
      <c r="I2592" s="72"/>
      <c r="J2592" s="185"/>
      <c r="K2592" s="205"/>
      <c r="L2592" s="7"/>
    </row>
    <row r="2593" spans="1:12">
      <c r="A2593" s="19"/>
      <c r="B2593" s="7"/>
      <c r="C2593" s="175"/>
      <c r="D2593" s="175"/>
      <c r="E2593" s="175"/>
      <c r="F2593" s="229"/>
      <c r="G2593" s="229"/>
      <c r="H2593" s="229"/>
      <c r="I2593" s="72"/>
      <c r="J2593" s="185"/>
      <c r="K2593" s="205"/>
      <c r="L2593" s="7"/>
    </row>
    <row r="2594" spans="1:12">
      <c r="A2594" s="19"/>
      <c r="B2594" s="7"/>
      <c r="C2594" s="175"/>
      <c r="D2594" s="175"/>
      <c r="E2594" s="175"/>
      <c r="F2594" s="229"/>
      <c r="G2594" s="229"/>
      <c r="H2594" s="229"/>
      <c r="I2594" s="72"/>
      <c r="J2594" s="185"/>
      <c r="K2594" s="205"/>
      <c r="L2594" s="7"/>
    </row>
    <row r="2595" spans="1:12">
      <c r="A2595" s="19"/>
      <c r="B2595" s="7"/>
      <c r="C2595" s="175"/>
      <c r="D2595" s="175"/>
      <c r="E2595" s="175"/>
      <c r="F2595" s="229"/>
      <c r="G2595" s="229"/>
      <c r="H2595" s="229"/>
      <c r="I2595" s="72"/>
      <c r="J2595" s="185"/>
      <c r="K2595" s="205"/>
      <c r="L2595" s="7"/>
    </row>
    <row r="2596" spans="1:12">
      <c r="A2596" s="19"/>
      <c r="B2596" s="7"/>
      <c r="C2596" s="175"/>
      <c r="D2596" s="175"/>
      <c r="E2596" s="175"/>
      <c r="F2596" s="229"/>
      <c r="G2596" s="229"/>
      <c r="H2596" s="229"/>
      <c r="I2596" s="72"/>
      <c r="J2596" s="185"/>
      <c r="K2596" s="205"/>
      <c r="L2596" s="7"/>
    </row>
    <row r="2597" spans="1:12">
      <c r="A2597" s="19"/>
      <c r="B2597" s="7"/>
      <c r="C2597" s="175"/>
      <c r="D2597" s="175"/>
      <c r="E2597" s="175"/>
      <c r="F2597" s="229"/>
      <c r="G2597" s="229"/>
      <c r="H2597" s="229"/>
      <c r="I2597" s="72"/>
      <c r="J2597" s="185"/>
      <c r="K2597" s="205"/>
      <c r="L2597" s="7"/>
    </row>
    <row r="2598" spans="1:12">
      <c r="A2598" s="19"/>
      <c r="B2598" s="7"/>
      <c r="C2598" s="175"/>
      <c r="D2598" s="175"/>
      <c r="E2598" s="175"/>
      <c r="F2598" s="229"/>
      <c r="G2598" s="229"/>
      <c r="H2598" s="229"/>
      <c r="I2598" s="72"/>
      <c r="J2598" s="185"/>
      <c r="K2598" s="205"/>
      <c r="L2598" s="7"/>
    </row>
    <row r="2599" spans="1:12">
      <c r="A2599" s="19"/>
      <c r="B2599" s="7"/>
      <c r="C2599" s="175"/>
      <c r="D2599" s="175"/>
      <c r="E2599" s="175"/>
      <c r="F2599" s="229"/>
      <c r="G2599" s="229"/>
      <c r="H2599" s="229"/>
      <c r="I2599" s="72"/>
      <c r="J2599" s="185"/>
      <c r="K2599" s="205"/>
      <c r="L2599" s="7"/>
    </row>
    <row r="2600" spans="1:12">
      <c r="A2600" s="19"/>
      <c r="B2600" s="7"/>
      <c r="C2600" s="175"/>
      <c r="D2600" s="175"/>
      <c r="E2600" s="175"/>
      <c r="F2600" s="229"/>
      <c r="G2600" s="229"/>
      <c r="H2600" s="229"/>
      <c r="I2600" s="72"/>
      <c r="J2600" s="185"/>
      <c r="K2600" s="205"/>
      <c r="L2600" s="7"/>
    </row>
    <row r="2601" spans="1:12">
      <c r="A2601" s="19"/>
      <c r="B2601" s="7"/>
      <c r="C2601" s="175"/>
      <c r="D2601" s="175"/>
      <c r="E2601" s="175"/>
      <c r="F2601" s="229"/>
      <c r="G2601" s="229"/>
      <c r="H2601" s="229"/>
      <c r="I2601" s="72"/>
      <c r="J2601" s="185"/>
      <c r="K2601" s="205"/>
      <c r="L2601" s="7"/>
    </row>
    <row r="2602" spans="1:12">
      <c r="A2602" s="19"/>
      <c r="B2602" s="7"/>
      <c r="C2602" s="175"/>
      <c r="D2602" s="175"/>
      <c r="E2602" s="175"/>
      <c r="F2602" s="229"/>
      <c r="G2602" s="229"/>
      <c r="H2602" s="229"/>
      <c r="I2602" s="72"/>
      <c r="J2602" s="185"/>
      <c r="K2602" s="205"/>
      <c r="L2602" s="7"/>
    </row>
    <row r="2603" spans="1:12">
      <c r="A2603" s="19"/>
      <c r="B2603" s="7"/>
      <c r="C2603" s="175"/>
      <c r="D2603" s="175"/>
      <c r="E2603" s="175"/>
      <c r="F2603" s="229"/>
      <c r="G2603" s="229"/>
      <c r="H2603" s="229"/>
      <c r="I2603" s="72"/>
      <c r="J2603" s="185"/>
      <c r="K2603" s="205"/>
      <c r="L2603" s="7"/>
    </row>
    <row r="2604" spans="1:12">
      <c r="A2604" s="20"/>
      <c r="B2604" s="21"/>
      <c r="C2604" s="175"/>
      <c r="D2604" s="175"/>
      <c r="E2604" s="175"/>
      <c r="F2604" s="232"/>
      <c r="G2604" s="232"/>
      <c r="H2604" s="232"/>
      <c r="I2604" s="63"/>
      <c r="J2604" s="190"/>
      <c r="K2604" s="206"/>
      <c r="L2604" s="7"/>
    </row>
    <row r="2605" spans="1:12">
      <c r="A2605" s="20"/>
      <c r="B2605" s="21"/>
      <c r="C2605" s="175"/>
      <c r="D2605" s="175"/>
      <c r="E2605" s="175"/>
      <c r="F2605" s="232"/>
      <c r="G2605" s="232"/>
      <c r="H2605" s="232"/>
      <c r="I2605" s="63"/>
      <c r="J2605" s="190"/>
      <c r="K2605" s="206"/>
      <c r="L2605" s="7"/>
    </row>
    <row r="2606" spans="1:12">
      <c r="A2606" s="19"/>
      <c r="B2606" s="7"/>
      <c r="C2606" s="175"/>
      <c r="D2606" s="175"/>
      <c r="E2606" s="175"/>
      <c r="F2606" s="229"/>
      <c r="G2606" s="229"/>
      <c r="H2606" s="229"/>
      <c r="I2606" s="72"/>
      <c r="J2606" s="185"/>
      <c r="K2606" s="205"/>
      <c r="L2606" s="7"/>
    </row>
    <row r="2607" spans="1:12">
      <c r="A2607" s="19"/>
      <c r="B2607" s="7"/>
      <c r="C2607" s="175"/>
      <c r="D2607" s="175"/>
      <c r="E2607" s="175"/>
      <c r="F2607" s="229"/>
      <c r="G2607" s="229"/>
      <c r="H2607" s="229"/>
      <c r="I2607" s="72"/>
      <c r="J2607" s="185"/>
      <c r="K2607" s="205"/>
      <c r="L2607" s="7"/>
    </row>
    <row r="2608" spans="1:12">
      <c r="A2608" s="19"/>
      <c r="B2608" s="7"/>
      <c r="C2608" s="175"/>
      <c r="D2608" s="175"/>
      <c r="E2608" s="175"/>
      <c r="F2608" s="229"/>
      <c r="G2608" s="229"/>
      <c r="H2608" s="229"/>
      <c r="I2608" s="72"/>
      <c r="J2608" s="185"/>
      <c r="K2608" s="205"/>
      <c r="L2608" s="7"/>
    </row>
    <row r="2609" spans="1:12">
      <c r="A2609" s="20"/>
      <c r="B2609" s="21"/>
      <c r="C2609" s="175"/>
      <c r="D2609" s="175"/>
      <c r="E2609" s="175"/>
      <c r="F2609" s="232"/>
      <c r="G2609" s="232"/>
      <c r="H2609" s="232"/>
      <c r="I2609" s="63"/>
      <c r="J2609" s="190"/>
      <c r="K2609" s="206"/>
      <c r="L2609" s="7"/>
    </row>
    <row r="2610" spans="1:12">
      <c r="A2610" s="20"/>
      <c r="B2610" s="21"/>
      <c r="C2610" s="175"/>
      <c r="D2610" s="175"/>
      <c r="E2610" s="175"/>
      <c r="F2610" s="232"/>
      <c r="G2610" s="232"/>
      <c r="H2610" s="232"/>
      <c r="I2610" s="63"/>
      <c r="J2610" s="190"/>
      <c r="K2610" s="206"/>
      <c r="L2610" s="7"/>
    </row>
    <row r="2611" spans="1:12">
      <c r="A2611" s="20"/>
      <c r="B2611" s="24"/>
      <c r="C2611" s="175"/>
      <c r="D2611" s="175"/>
      <c r="E2611" s="175"/>
      <c r="F2611" s="232"/>
      <c r="G2611" s="232"/>
      <c r="H2611" s="232"/>
      <c r="I2611" s="63"/>
      <c r="J2611" s="190"/>
      <c r="K2611" s="206"/>
      <c r="L2611" s="7"/>
    </row>
    <row r="2612" spans="1:12">
      <c r="A2612" s="20"/>
      <c r="B2612" s="21"/>
      <c r="C2612" s="175"/>
      <c r="D2612" s="175"/>
      <c r="E2612" s="175"/>
      <c r="F2612" s="232"/>
      <c r="G2612" s="232"/>
      <c r="H2612" s="232"/>
      <c r="I2612" s="63"/>
      <c r="J2612" s="190"/>
      <c r="K2612" s="206"/>
      <c r="L2612" s="7"/>
    </row>
    <row r="2613" spans="1:12">
      <c r="A2613" s="20"/>
      <c r="B2613" s="21"/>
      <c r="C2613" s="175"/>
      <c r="D2613" s="175"/>
      <c r="E2613" s="175"/>
      <c r="F2613" s="232"/>
      <c r="G2613" s="232"/>
      <c r="H2613" s="232"/>
      <c r="I2613" s="63"/>
      <c r="J2613" s="190"/>
      <c r="K2613" s="206"/>
      <c r="L2613" s="7"/>
    </row>
    <row r="2614" spans="1:12">
      <c r="A2614" s="19"/>
      <c r="B2614" s="7"/>
      <c r="C2614" s="175"/>
      <c r="D2614" s="175"/>
      <c r="E2614" s="175"/>
      <c r="F2614" s="229"/>
      <c r="G2614" s="229"/>
      <c r="H2614" s="229"/>
      <c r="I2614" s="72"/>
      <c r="J2614" s="185"/>
      <c r="K2614" s="205"/>
      <c r="L2614" s="7"/>
    </row>
    <row r="2615" spans="1:12">
      <c r="A2615" s="19"/>
      <c r="B2615" s="7"/>
      <c r="C2615" s="175"/>
      <c r="D2615" s="175"/>
      <c r="E2615" s="175"/>
      <c r="F2615" s="229"/>
      <c r="G2615" s="229"/>
      <c r="H2615" s="229"/>
      <c r="I2615" s="72"/>
      <c r="J2615" s="185"/>
      <c r="K2615" s="205"/>
      <c r="L2615" s="7"/>
    </row>
    <row r="2616" spans="1:12">
      <c r="A2616" s="19"/>
      <c r="B2616" s="7"/>
      <c r="C2616" s="175"/>
      <c r="D2616" s="175"/>
      <c r="E2616" s="175"/>
      <c r="F2616" s="229"/>
      <c r="G2616" s="229"/>
      <c r="H2616" s="229"/>
      <c r="I2616" s="72"/>
      <c r="J2616" s="185"/>
      <c r="K2616" s="205"/>
      <c r="L2616" s="7"/>
    </row>
    <row r="2617" spans="1:12">
      <c r="A2617" s="19"/>
      <c r="B2617" s="7"/>
      <c r="C2617" s="175"/>
      <c r="D2617" s="175"/>
      <c r="E2617" s="175"/>
      <c r="F2617" s="229"/>
      <c r="G2617" s="229"/>
      <c r="H2617" s="229"/>
      <c r="I2617" s="72"/>
      <c r="J2617" s="185"/>
      <c r="K2617" s="205"/>
      <c r="L2617" s="7"/>
    </row>
    <row r="2618" spans="1:12">
      <c r="A2618" s="19"/>
      <c r="B2618" s="7"/>
      <c r="C2618" s="175"/>
      <c r="D2618" s="175"/>
      <c r="E2618" s="175"/>
      <c r="F2618" s="229"/>
      <c r="G2618" s="229"/>
      <c r="H2618" s="229"/>
      <c r="I2618" s="72"/>
      <c r="J2618" s="185"/>
      <c r="K2618" s="205"/>
      <c r="L2618" s="7"/>
    </row>
    <row r="2619" spans="1:12">
      <c r="A2619" s="19"/>
      <c r="B2619" s="7"/>
      <c r="C2619" s="175"/>
      <c r="D2619" s="175"/>
      <c r="E2619" s="175"/>
      <c r="F2619" s="229"/>
      <c r="G2619" s="229"/>
      <c r="H2619" s="229"/>
      <c r="I2619" s="72"/>
      <c r="J2619" s="185"/>
      <c r="K2619" s="205"/>
      <c r="L2619" s="7"/>
    </row>
    <row r="2620" spans="1:12">
      <c r="A2620" s="19"/>
      <c r="B2620" s="7"/>
      <c r="C2620" s="175"/>
      <c r="D2620" s="175"/>
      <c r="E2620" s="175"/>
      <c r="F2620" s="229"/>
      <c r="G2620" s="229"/>
      <c r="H2620" s="229"/>
      <c r="I2620" s="72"/>
      <c r="J2620" s="185"/>
      <c r="K2620" s="205"/>
      <c r="L2620" s="7"/>
    </row>
    <row r="2621" spans="1:12">
      <c r="A2621" s="19"/>
      <c r="B2621" s="7"/>
      <c r="C2621" s="175"/>
      <c r="D2621" s="175"/>
      <c r="E2621" s="175"/>
      <c r="F2621" s="229"/>
      <c r="G2621" s="229"/>
      <c r="H2621" s="229"/>
      <c r="I2621" s="72"/>
      <c r="J2621" s="185"/>
      <c r="K2621" s="205"/>
      <c r="L2621" s="7"/>
    </row>
    <row r="2622" spans="1:12">
      <c r="A2622" s="19"/>
      <c r="B2622" s="7"/>
      <c r="C2622" s="175"/>
      <c r="D2622" s="175"/>
      <c r="E2622" s="175"/>
      <c r="F2622" s="229"/>
      <c r="G2622" s="229"/>
      <c r="H2622" s="229"/>
      <c r="I2622" s="72"/>
      <c r="J2622" s="185"/>
      <c r="K2622" s="205"/>
      <c r="L2622" s="7"/>
    </row>
    <row r="2623" spans="1:12">
      <c r="A2623" s="19"/>
      <c r="B2623" s="7"/>
      <c r="C2623" s="175"/>
      <c r="D2623" s="175"/>
      <c r="E2623" s="175"/>
      <c r="F2623" s="229"/>
      <c r="G2623" s="229"/>
      <c r="H2623" s="229"/>
      <c r="I2623" s="72"/>
      <c r="J2623" s="185"/>
      <c r="K2623" s="205"/>
      <c r="L2623" s="7"/>
    </row>
    <row r="2624" spans="1:12">
      <c r="A2624" s="19"/>
      <c r="B2624" s="7"/>
      <c r="C2624" s="175"/>
      <c r="D2624" s="175"/>
      <c r="E2624" s="175"/>
      <c r="F2624" s="229"/>
      <c r="G2624" s="229"/>
      <c r="H2624" s="229"/>
      <c r="I2624" s="72"/>
      <c r="J2624" s="185"/>
      <c r="K2624" s="205"/>
      <c r="L2624" s="7"/>
    </row>
    <row r="2625" spans="1:12">
      <c r="A2625" s="20"/>
      <c r="B2625" s="21"/>
      <c r="C2625" s="175"/>
      <c r="D2625" s="175"/>
      <c r="E2625" s="175"/>
      <c r="F2625" s="232"/>
      <c r="G2625" s="232"/>
      <c r="H2625" s="232"/>
      <c r="I2625" s="63"/>
      <c r="J2625" s="190"/>
      <c r="K2625" s="206"/>
      <c r="L2625" s="7"/>
    </row>
    <row r="2626" spans="1:12">
      <c r="A2626" s="20"/>
      <c r="B2626" s="21"/>
      <c r="C2626" s="175"/>
      <c r="D2626" s="175"/>
      <c r="E2626" s="175"/>
      <c r="F2626" s="232"/>
      <c r="G2626" s="232"/>
      <c r="H2626" s="232"/>
      <c r="I2626" s="63"/>
      <c r="J2626" s="190"/>
      <c r="K2626" s="206"/>
      <c r="L2626" s="7"/>
    </row>
    <row r="2627" spans="1:12">
      <c r="A2627" s="20"/>
      <c r="B2627" s="21"/>
      <c r="C2627" s="175"/>
      <c r="D2627" s="175"/>
      <c r="E2627" s="175"/>
      <c r="F2627" s="232"/>
      <c r="G2627" s="232"/>
      <c r="H2627" s="232"/>
      <c r="I2627" s="63"/>
      <c r="J2627" s="190"/>
      <c r="K2627" s="206"/>
      <c r="L2627" s="7"/>
    </row>
    <row r="2628" spans="1:12">
      <c r="A2628" s="19"/>
      <c r="B2628" s="7"/>
      <c r="C2628" s="175"/>
      <c r="D2628" s="175"/>
      <c r="E2628" s="175"/>
      <c r="F2628" s="229"/>
      <c r="G2628" s="229"/>
      <c r="H2628" s="229"/>
      <c r="I2628" s="72"/>
      <c r="J2628" s="185"/>
      <c r="K2628" s="205"/>
      <c r="L2628" s="7"/>
    </row>
    <row r="2629" spans="1:12">
      <c r="A2629" s="20"/>
      <c r="B2629" s="21"/>
      <c r="C2629" s="175"/>
      <c r="D2629" s="175"/>
      <c r="E2629" s="175"/>
      <c r="F2629" s="232"/>
      <c r="G2629" s="232"/>
      <c r="H2629" s="232"/>
      <c r="I2629" s="63"/>
      <c r="J2629" s="190"/>
      <c r="K2629" s="206"/>
      <c r="L2629" s="7"/>
    </row>
    <row r="2630" spans="1:12">
      <c r="A2630" s="19"/>
      <c r="B2630" s="7"/>
      <c r="C2630" s="175"/>
      <c r="D2630" s="175"/>
      <c r="E2630" s="175"/>
      <c r="F2630" s="229"/>
      <c r="G2630" s="229"/>
      <c r="H2630" s="229"/>
      <c r="I2630" s="72"/>
      <c r="J2630" s="185"/>
      <c r="K2630" s="205"/>
      <c r="L2630" s="7"/>
    </row>
    <row r="2631" spans="1:12">
      <c r="A2631" s="19"/>
      <c r="B2631" s="7"/>
      <c r="C2631" s="175"/>
      <c r="D2631" s="175"/>
      <c r="E2631" s="175"/>
      <c r="F2631" s="229"/>
      <c r="G2631" s="229"/>
      <c r="H2631" s="229"/>
      <c r="I2631" s="72"/>
      <c r="J2631" s="185"/>
      <c r="K2631" s="205"/>
      <c r="L2631" s="7"/>
    </row>
    <row r="2632" spans="1:12">
      <c r="A2632" s="19"/>
      <c r="B2632" s="7"/>
      <c r="C2632" s="175"/>
      <c r="D2632" s="175"/>
      <c r="E2632" s="175"/>
      <c r="F2632" s="229"/>
      <c r="G2632" s="229"/>
      <c r="H2632" s="229"/>
      <c r="I2632" s="72"/>
      <c r="J2632" s="185"/>
      <c r="K2632" s="205"/>
      <c r="L2632" s="7"/>
    </row>
    <row r="2633" spans="1:12">
      <c r="A2633" s="19"/>
      <c r="B2633" s="7"/>
      <c r="C2633" s="175"/>
      <c r="D2633" s="175"/>
      <c r="E2633" s="175"/>
      <c r="F2633" s="229"/>
      <c r="G2633" s="229"/>
      <c r="H2633" s="229"/>
      <c r="I2633" s="72"/>
      <c r="J2633" s="185"/>
      <c r="K2633" s="205"/>
      <c r="L2633" s="7"/>
    </row>
    <row r="2634" spans="1:12">
      <c r="A2634" s="19"/>
      <c r="B2634" s="7"/>
      <c r="C2634" s="175"/>
      <c r="D2634" s="175"/>
      <c r="E2634" s="175"/>
      <c r="F2634" s="229"/>
      <c r="G2634" s="229"/>
      <c r="H2634" s="229"/>
      <c r="I2634" s="72"/>
      <c r="J2634" s="185"/>
      <c r="K2634" s="205"/>
      <c r="L2634" s="7"/>
    </row>
    <row r="2635" spans="1:12">
      <c r="A2635" s="19"/>
      <c r="B2635" s="7"/>
      <c r="C2635" s="175"/>
      <c r="D2635" s="175"/>
      <c r="E2635" s="175"/>
      <c r="F2635" s="229"/>
      <c r="G2635" s="229"/>
      <c r="H2635" s="229"/>
      <c r="I2635" s="72"/>
      <c r="J2635" s="185"/>
      <c r="K2635" s="205"/>
      <c r="L2635" s="7"/>
    </row>
    <row r="2636" spans="1:12">
      <c r="A2636" s="19"/>
      <c r="B2636" s="7"/>
      <c r="C2636" s="175"/>
      <c r="D2636" s="175"/>
      <c r="E2636" s="175"/>
      <c r="F2636" s="229"/>
      <c r="G2636" s="229"/>
      <c r="H2636" s="229"/>
      <c r="I2636" s="72"/>
      <c r="J2636" s="185"/>
      <c r="K2636" s="205"/>
      <c r="L2636" s="7"/>
    </row>
    <row r="2637" spans="1:12">
      <c r="A2637" s="19"/>
      <c r="B2637" s="7"/>
      <c r="C2637" s="175"/>
      <c r="D2637" s="175"/>
      <c r="E2637" s="175"/>
      <c r="F2637" s="229"/>
      <c r="G2637" s="229"/>
      <c r="H2637" s="229"/>
      <c r="I2637" s="72"/>
      <c r="J2637" s="185"/>
      <c r="K2637" s="205"/>
      <c r="L2637" s="7"/>
    </row>
    <row r="2638" spans="1:12">
      <c r="A2638" s="19"/>
      <c r="B2638" s="7"/>
      <c r="C2638" s="175"/>
      <c r="D2638" s="175"/>
      <c r="E2638" s="175"/>
      <c r="F2638" s="229"/>
      <c r="G2638" s="229"/>
      <c r="H2638" s="229"/>
      <c r="I2638" s="72"/>
      <c r="J2638" s="185"/>
      <c r="K2638" s="205"/>
      <c r="L2638" s="7"/>
    </row>
    <row r="2639" spans="1:12">
      <c r="A2639" s="19"/>
      <c r="B2639" s="7"/>
      <c r="C2639" s="175"/>
      <c r="D2639" s="175"/>
      <c r="E2639" s="175"/>
      <c r="F2639" s="229"/>
      <c r="G2639" s="229"/>
      <c r="H2639" s="229"/>
      <c r="I2639" s="72"/>
      <c r="J2639" s="185"/>
      <c r="K2639" s="205"/>
      <c r="L2639" s="7"/>
    </row>
    <row r="2640" spans="1:12">
      <c r="A2640" s="19"/>
      <c r="B2640" s="7"/>
      <c r="C2640" s="175"/>
      <c r="D2640" s="175"/>
      <c r="E2640" s="175"/>
      <c r="F2640" s="229"/>
      <c r="G2640" s="229"/>
      <c r="H2640" s="229"/>
      <c r="I2640" s="72"/>
      <c r="J2640" s="185"/>
      <c r="K2640" s="205"/>
      <c r="L2640" s="7"/>
    </row>
    <row r="2641" spans="1:12">
      <c r="A2641" s="19"/>
      <c r="B2641" s="7"/>
      <c r="C2641" s="175"/>
      <c r="D2641" s="175"/>
      <c r="E2641" s="175"/>
      <c r="F2641" s="229"/>
      <c r="G2641" s="229"/>
      <c r="H2641" s="229"/>
      <c r="I2641" s="72"/>
      <c r="J2641" s="185"/>
      <c r="K2641" s="205"/>
      <c r="L2641" s="7"/>
    </row>
    <row r="2642" spans="1:12">
      <c r="A2642" s="19"/>
      <c r="B2642" s="7"/>
      <c r="C2642" s="175"/>
      <c r="D2642" s="175"/>
      <c r="E2642" s="175"/>
      <c r="F2642" s="229"/>
      <c r="G2642" s="229"/>
      <c r="H2642" s="229"/>
      <c r="I2642" s="72"/>
      <c r="J2642" s="185"/>
      <c r="K2642" s="205"/>
      <c r="L2642" s="7"/>
    </row>
    <row r="2643" spans="1:12">
      <c r="A2643" s="19"/>
      <c r="B2643" s="7"/>
      <c r="C2643" s="175"/>
      <c r="D2643" s="175"/>
      <c r="E2643" s="175"/>
      <c r="F2643" s="229"/>
      <c r="G2643" s="229"/>
      <c r="H2643" s="229"/>
      <c r="I2643" s="72"/>
      <c r="J2643" s="185"/>
      <c r="K2643" s="205"/>
      <c r="L2643" s="7"/>
    </row>
    <row r="2644" spans="1:12">
      <c r="A2644" s="19"/>
      <c r="B2644" s="7"/>
      <c r="C2644" s="175"/>
      <c r="D2644" s="175"/>
      <c r="E2644" s="175"/>
      <c r="F2644" s="229"/>
      <c r="G2644" s="229"/>
      <c r="H2644" s="229"/>
      <c r="I2644" s="72"/>
      <c r="J2644" s="185"/>
      <c r="K2644" s="205"/>
      <c r="L2644" s="7"/>
    </row>
    <row r="2645" spans="1:12">
      <c r="A2645" s="19"/>
      <c r="B2645" s="7"/>
      <c r="C2645" s="175"/>
      <c r="D2645" s="175"/>
      <c r="E2645" s="175"/>
      <c r="F2645" s="229"/>
      <c r="G2645" s="229"/>
      <c r="H2645" s="229"/>
      <c r="I2645" s="72"/>
      <c r="J2645" s="185"/>
      <c r="K2645" s="205"/>
      <c r="L2645" s="7"/>
    </row>
    <row r="2646" spans="1:12">
      <c r="A2646" s="19"/>
      <c r="B2646" s="7"/>
      <c r="C2646" s="175"/>
      <c r="D2646" s="175"/>
      <c r="E2646" s="175"/>
      <c r="F2646" s="229"/>
      <c r="G2646" s="229"/>
      <c r="H2646" s="229"/>
      <c r="I2646" s="72"/>
      <c r="J2646" s="185"/>
      <c r="K2646" s="205"/>
      <c r="L2646" s="7"/>
    </row>
    <row r="2647" spans="1:12">
      <c r="A2647" s="19"/>
      <c r="B2647" s="7"/>
      <c r="C2647" s="175"/>
      <c r="D2647" s="175"/>
      <c r="E2647" s="175"/>
      <c r="F2647" s="229"/>
      <c r="G2647" s="229"/>
      <c r="H2647" s="229"/>
      <c r="I2647" s="72"/>
      <c r="J2647" s="185"/>
      <c r="K2647" s="205"/>
      <c r="L2647" s="7"/>
    </row>
    <row r="2648" spans="1:12">
      <c r="A2648" s="19"/>
      <c r="B2648" s="7"/>
      <c r="C2648" s="175"/>
      <c r="D2648" s="175"/>
      <c r="E2648" s="175"/>
      <c r="F2648" s="229"/>
      <c r="G2648" s="229"/>
      <c r="H2648" s="229"/>
      <c r="I2648" s="72"/>
      <c r="J2648" s="185"/>
      <c r="K2648" s="205"/>
      <c r="L2648" s="7"/>
    </row>
    <row r="2649" spans="1:12">
      <c r="A2649" s="19"/>
      <c r="B2649" s="7"/>
      <c r="C2649" s="175"/>
      <c r="D2649" s="175"/>
      <c r="E2649" s="175"/>
      <c r="F2649" s="229"/>
      <c r="G2649" s="229"/>
      <c r="H2649" s="229"/>
      <c r="I2649" s="72"/>
      <c r="J2649" s="185"/>
      <c r="K2649" s="205"/>
      <c r="L2649" s="7"/>
    </row>
    <row r="2650" spans="1:12">
      <c r="A2650" s="19"/>
      <c r="B2650" s="7"/>
      <c r="C2650" s="175"/>
      <c r="D2650" s="175"/>
      <c r="E2650" s="175"/>
      <c r="F2650" s="229"/>
      <c r="G2650" s="229"/>
      <c r="H2650" s="229"/>
      <c r="I2650" s="72"/>
      <c r="J2650" s="185"/>
      <c r="K2650" s="205"/>
      <c r="L2650" s="7"/>
    </row>
    <row r="2651" spans="1:12">
      <c r="A2651" s="19"/>
      <c r="B2651" s="7"/>
      <c r="C2651" s="175"/>
      <c r="D2651" s="175"/>
      <c r="E2651" s="175"/>
      <c r="F2651" s="229"/>
      <c r="G2651" s="229"/>
      <c r="H2651" s="229"/>
      <c r="I2651" s="72"/>
      <c r="J2651" s="185"/>
      <c r="K2651" s="205"/>
      <c r="L2651" s="7"/>
    </row>
    <row r="2652" spans="1:12">
      <c r="A2652" s="19"/>
      <c r="B2652" s="7"/>
      <c r="C2652" s="175"/>
      <c r="D2652" s="175"/>
      <c r="E2652" s="175"/>
      <c r="F2652" s="229"/>
      <c r="G2652" s="229"/>
      <c r="H2652" s="229"/>
      <c r="I2652" s="72"/>
      <c r="J2652" s="185"/>
      <c r="K2652" s="205"/>
      <c r="L2652" s="7"/>
    </row>
    <row r="2653" spans="1:12">
      <c r="A2653" s="19"/>
      <c r="B2653" s="7"/>
      <c r="C2653" s="175"/>
      <c r="D2653" s="175"/>
      <c r="E2653" s="175"/>
      <c r="F2653" s="229"/>
      <c r="G2653" s="229"/>
      <c r="H2653" s="229"/>
      <c r="I2653" s="72"/>
      <c r="J2653" s="185"/>
      <c r="K2653" s="205"/>
      <c r="L2653" s="7"/>
    </row>
    <row r="2654" spans="1:12">
      <c r="A2654" s="19"/>
      <c r="B2654" s="7"/>
      <c r="C2654" s="175"/>
      <c r="D2654" s="175"/>
      <c r="E2654" s="175"/>
      <c r="F2654" s="229"/>
      <c r="G2654" s="229"/>
      <c r="H2654" s="229"/>
      <c r="I2654" s="72"/>
      <c r="J2654" s="185"/>
      <c r="K2654" s="205"/>
      <c r="L2654" s="7"/>
    </row>
    <row r="2655" spans="1:12">
      <c r="A2655" s="19"/>
      <c r="B2655" s="7"/>
      <c r="C2655" s="175"/>
      <c r="D2655" s="175"/>
      <c r="E2655" s="175"/>
      <c r="F2655" s="229"/>
      <c r="G2655" s="229"/>
      <c r="H2655" s="229"/>
      <c r="I2655" s="72"/>
      <c r="J2655" s="185"/>
      <c r="K2655" s="205"/>
      <c r="L2655" s="7"/>
    </row>
    <row r="2656" spans="1:12">
      <c r="A2656" s="19"/>
      <c r="B2656" s="7"/>
      <c r="C2656" s="175"/>
      <c r="D2656" s="175"/>
      <c r="E2656" s="175"/>
      <c r="F2656" s="229"/>
      <c r="G2656" s="229"/>
      <c r="H2656" s="229"/>
      <c r="I2656" s="72"/>
      <c r="J2656" s="185"/>
      <c r="K2656" s="205"/>
      <c r="L2656" s="7"/>
    </row>
    <row r="2657" spans="1:12">
      <c r="A2657" s="19"/>
      <c r="B2657" s="7"/>
      <c r="C2657" s="175"/>
      <c r="D2657" s="175"/>
      <c r="E2657" s="175"/>
      <c r="F2657" s="229"/>
      <c r="G2657" s="229"/>
      <c r="H2657" s="229"/>
      <c r="I2657" s="72"/>
      <c r="J2657" s="185"/>
      <c r="K2657" s="205"/>
      <c r="L2657" s="7"/>
    </row>
    <row r="2658" spans="1:12">
      <c r="A2658" s="19"/>
      <c r="B2658" s="7"/>
      <c r="C2658" s="175"/>
      <c r="D2658" s="175"/>
      <c r="E2658" s="175"/>
      <c r="F2658" s="229"/>
      <c r="G2658" s="229"/>
      <c r="H2658" s="229"/>
      <c r="I2658" s="72"/>
      <c r="J2658" s="185"/>
      <c r="K2658" s="205"/>
      <c r="L2658" s="7"/>
    </row>
    <row r="2659" spans="1:12">
      <c r="A2659" s="19"/>
      <c r="B2659" s="7"/>
      <c r="C2659" s="175"/>
      <c r="D2659" s="175"/>
      <c r="E2659" s="175"/>
      <c r="F2659" s="229"/>
      <c r="G2659" s="229"/>
      <c r="H2659" s="229"/>
      <c r="I2659" s="72"/>
      <c r="J2659" s="185"/>
      <c r="K2659" s="205"/>
      <c r="L2659" s="7"/>
    </row>
    <row r="2660" spans="1:12">
      <c r="A2660" s="19"/>
      <c r="B2660" s="7"/>
      <c r="C2660" s="175"/>
      <c r="D2660" s="175"/>
      <c r="E2660" s="175"/>
      <c r="F2660" s="229"/>
      <c r="G2660" s="229"/>
      <c r="H2660" s="229"/>
      <c r="I2660" s="72"/>
      <c r="J2660" s="185"/>
      <c r="K2660" s="205"/>
      <c r="L2660" s="7"/>
    </row>
    <row r="2661" spans="1:12">
      <c r="A2661" s="19"/>
      <c r="B2661" s="7"/>
      <c r="C2661" s="175"/>
      <c r="D2661" s="175"/>
      <c r="E2661" s="175"/>
      <c r="F2661" s="229"/>
      <c r="G2661" s="229"/>
      <c r="H2661" s="229"/>
      <c r="I2661" s="72"/>
      <c r="J2661" s="185"/>
      <c r="K2661" s="205"/>
      <c r="L2661" s="7"/>
    </row>
    <row r="2662" spans="1:12">
      <c r="A2662" s="19"/>
      <c r="B2662" s="7"/>
      <c r="C2662" s="175"/>
      <c r="D2662" s="175"/>
      <c r="E2662" s="175"/>
      <c r="F2662" s="229"/>
      <c r="G2662" s="229"/>
      <c r="H2662" s="229"/>
      <c r="I2662" s="72"/>
      <c r="J2662" s="185"/>
      <c r="K2662" s="205"/>
      <c r="L2662" s="7"/>
    </row>
    <row r="2663" spans="1:12">
      <c r="A2663" s="19"/>
      <c r="B2663" s="7"/>
      <c r="C2663" s="175"/>
      <c r="D2663" s="175"/>
      <c r="E2663" s="175"/>
      <c r="F2663" s="229"/>
      <c r="G2663" s="229"/>
      <c r="H2663" s="229"/>
      <c r="I2663" s="72"/>
      <c r="J2663" s="185"/>
      <c r="K2663" s="205"/>
      <c r="L2663" s="7"/>
    </row>
    <row r="2664" spans="1:12">
      <c r="A2664" s="19"/>
      <c r="B2664" s="7"/>
      <c r="C2664" s="175"/>
      <c r="D2664" s="175"/>
      <c r="E2664" s="175"/>
      <c r="F2664" s="229"/>
      <c r="G2664" s="229"/>
      <c r="H2664" s="229"/>
      <c r="I2664" s="72"/>
      <c r="J2664" s="185"/>
      <c r="K2664" s="205"/>
      <c r="L2664" s="7"/>
    </row>
    <row r="2665" spans="1:12">
      <c r="A2665" s="19"/>
      <c r="B2665" s="7"/>
      <c r="C2665" s="175"/>
      <c r="D2665" s="175"/>
      <c r="E2665" s="175"/>
      <c r="F2665" s="229"/>
      <c r="G2665" s="229"/>
      <c r="H2665" s="229"/>
      <c r="I2665" s="72"/>
      <c r="J2665" s="185"/>
      <c r="K2665" s="205"/>
      <c r="L2665" s="7"/>
    </row>
    <row r="2666" spans="1:12">
      <c r="A2666" s="19"/>
      <c r="B2666" s="7"/>
      <c r="C2666" s="175"/>
      <c r="D2666" s="175"/>
      <c r="E2666" s="175"/>
      <c r="F2666" s="229"/>
      <c r="G2666" s="229"/>
      <c r="H2666" s="229"/>
      <c r="I2666" s="72"/>
      <c r="J2666" s="185"/>
      <c r="K2666" s="205"/>
      <c r="L2666" s="7"/>
    </row>
    <row r="2667" spans="1:12">
      <c r="A2667" s="19"/>
      <c r="B2667" s="7"/>
      <c r="C2667" s="175"/>
      <c r="D2667" s="175"/>
      <c r="E2667" s="175"/>
      <c r="F2667" s="229"/>
      <c r="G2667" s="229"/>
      <c r="H2667" s="229"/>
      <c r="I2667" s="72"/>
      <c r="J2667" s="185"/>
      <c r="K2667" s="205"/>
      <c r="L2667" s="7"/>
    </row>
    <row r="2668" spans="1:12">
      <c r="A2668" s="19"/>
      <c r="B2668" s="7"/>
      <c r="C2668" s="175"/>
      <c r="D2668" s="175"/>
      <c r="E2668" s="175"/>
      <c r="F2668" s="229"/>
      <c r="G2668" s="229"/>
      <c r="H2668" s="229"/>
      <c r="I2668" s="72"/>
      <c r="J2668" s="185"/>
      <c r="K2668" s="205"/>
      <c r="L2668" s="7"/>
    </row>
    <row r="2669" spans="1:12">
      <c r="A2669" s="19"/>
      <c r="B2669" s="7"/>
      <c r="C2669" s="175"/>
      <c r="D2669" s="175"/>
      <c r="E2669" s="175"/>
      <c r="F2669" s="229"/>
      <c r="G2669" s="229"/>
      <c r="H2669" s="229"/>
      <c r="I2669" s="72"/>
      <c r="J2669" s="185"/>
      <c r="K2669" s="205"/>
      <c r="L2669" s="7"/>
    </row>
    <row r="2670" spans="1:12">
      <c r="A2670" s="20"/>
      <c r="B2670" s="24"/>
      <c r="C2670" s="175"/>
      <c r="D2670" s="175"/>
      <c r="E2670" s="175"/>
      <c r="F2670" s="232"/>
      <c r="G2670" s="232"/>
      <c r="H2670" s="232"/>
      <c r="I2670" s="63"/>
      <c r="J2670" s="190"/>
      <c r="K2670" s="206"/>
      <c r="L2670" s="7"/>
    </row>
    <row r="2671" spans="1:12">
      <c r="A2671" s="20"/>
      <c r="B2671" s="21"/>
      <c r="C2671" s="175"/>
      <c r="D2671" s="175"/>
      <c r="E2671" s="175"/>
      <c r="F2671" s="232"/>
      <c r="G2671" s="232"/>
      <c r="H2671" s="232"/>
      <c r="I2671" s="63"/>
      <c r="J2671" s="190"/>
      <c r="K2671" s="206"/>
      <c r="L2671" s="7"/>
    </row>
    <row r="2672" spans="1:12">
      <c r="A2672" s="20"/>
      <c r="B2672" s="21"/>
      <c r="C2672" s="175"/>
      <c r="D2672" s="175"/>
      <c r="E2672" s="175"/>
      <c r="F2672" s="232"/>
      <c r="G2672" s="232"/>
      <c r="H2672" s="232"/>
      <c r="I2672" s="63"/>
      <c r="J2672" s="190"/>
      <c r="K2672" s="206"/>
      <c r="L2672" s="7"/>
    </row>
    <row r="2673" spans="1:12">
      <c r="A2673" s="20"/>
      <c r="B2673" s="21"/>
      <c r="C2673" s="175"/>
      <c r="D2673" s="175"/>
      <c r="E2673" s="175"/>
      <c r="F2673" s="232"/>
      <c r="G2673" s="232"/>
      <c r="H2673" s="232"/>
      <c r="I2673" s="63"/>
      <c r="J2673" s="190"/>
      <c r="K2673" s="206"/>
      <c r="L2673" s="7"/>
    </row>
    <row r="2674" spans="1:12">
      <c r="A2674" s="19"/>
      <c r="B2674" s="7"/>
      <c r="C2674" s="175"/>
      <c r="D2674" s="175"/>
      <c r="E2674" s="175"/>
      <c r="F2674" s="229"/>
      <c r="G2674" s="229"/>
      <c r="H2674" s="229"/>
      <c r="I2674" s="72"/>
      <c r="J2674" s="185"/>
      <c r="K2674" s="205"/>
      <c r="L2674" s="7"/>
    </row>
    <row r="2675" spans="1:12">
      <c r="A2675" s="19"/>
      <c r="B2675" s="7"/>
      <c r="C2675" s="175"/>
      <c r="D2675" s="175"/>
      <c r="E2675" s="175"/>
      <c r="F2675" s="229"/>
      <c r="G2675" s="229"/>
      <c r="H2675" s="229"/>
      <c r="I2675" s="72"/>
      <c r="J2675" s="185"/>
      <c r="K2675" s="205"/>
      <c r="L2675" s="7"/>
    </row>
    <row r="2676" spans="1:12">
      <c r="A2676" s="19"/>
      <c r="B2676" s="7"/>
      <c r="C2676" s="175"/>
      <c r="D2676" s="175"/>
      <c r="E2676" s="175"/>
      <c r="F2676" s="229"/>
      <c r="G2676" s="229"/>
      <c r="H2676" s="229"/>
      <c r="I2676" s="72"/>
      <c r="J2676" s="185"/>
      <c r="K2676" s="205"/>
      <c r="L2676" s="7"/>
    </row>
    <row r="2677" spans="1:12">
      <c r="A2677" s="19"/>
      <c r="B2677" s="7"/>
      <c r="C2677" s="175"/>
      <c r="D2677" s="175"/>
      <c r="E2677" s="175"/>
      <c r="F2677" s="229"/>
      <c r="G2677" s="229"/>
      <c r="H2677" s="229"/>
      <c r="I2677" s="72"/>
      <c r="J2677" s="185"/>
      <c r="K2677" s="205"/>
      <c r="L2677" s="7"/>
    </row>
    <row r="2678" spans="1:12">
      <c r="A2678" s="19"/>
      <c r="B2678" s="7"/>
      <c r="C2678" s="175"/>
      <c r="D2678" s="175"/>
      <c r="E2678" s="175"/>
      <c r="F2678" s="229"/>
      <c r="G2678" s="229"/>
      <c r="H2678" s="229"/>
      <c r="I2678" s="72"/>
      <c r="J2678" s="185"/>
      <c r="K2678" s="205"/>
      <c r="L2678" s="7"/>
    </row>
    <row r="2679" spans="1:12">
      <c r="A2679" s="19"/>
      <c r="B2679" s="7"/>
      <c r="C2679" s="175"/>
      <c r="D2679" s="175"/>
      <c r="E2679" s="175"/>
      <c r="F2679" s="229"/>
      <c r="G2679" s="229"/>
      <c r="H2679" s="229"/>
      <c r="I2679" s="72"/>
      <c r="J2679" s="185"/>
      <c r="K2679" s="205"/>
      <c r="L2679" s="7"/>
    </row>
    <row r="2680" spans="1:12">
      <c r="A2680" s="19"/>
      <c r="B2680" s="7"/>
      <c r="C2680" s="175"/>
      <c r="D2680" s="175"/>
      <c r="E2680" s="175"/>
      <c r="F2680" s="229"/>
      <c r="G2680" s="229"/>
      <c r="H2680" s="229"/>
      <c r="I2680" s="72"/>
      <c r="J2680" s="185"/>
      <c r="K2680" s="205"/>
      <c r="L2680" s="7"/>
    </row>
    <row r="2681" spans="1:12">
      <c r="A2681" s="19"/>
      <c r="B2681" s="7"/>
      <c r="C2681" s="175"/>
      <c r="D2681" s="175"/>
      <c r="E2681" s="175"/>
      <c r="F2681" s="229"/>
      <c r="G2681" s="229"/>
      <c r="H2681" s="229"/>
      <c r="I2681" s="72"/>
      <c r="J2681" s="185"/>
      <c r="K2681" s="205"/>
      <c r="L2681" s="7"/>
    </row>
    <row r="2682" spans="1:12">
      <c r="A2682" s="19"/>
      <c r="B2682" s="7"/>
      <c r="C2682" s="175"/>
      <c r="D2682" s="175"/>
      <c r="E2682" s="175"/>
      <c r="F2682" s="229"/>
      <c r="G2682" s="229"/>
      <c r="H2682" s="229"/>
      <c r="I2682" s="72"/>
      <c r="J2682" s="185"/>
      <c r="K2682" s="205"/>
      <c r="L2682" s="7"/>
    </row>
    <row r="2683" spans="1:12">
      <c r="A2683" s="19"/>
      <c r="B2683" s="7"/>
      <c r="C2683" s="175"/>
      <c r="D2683" s="175"/>
      <c r="E2683" s="175"/>
      <c r="F2683" s="229"/>
      <c r="G2683" s="229"/>
      <c r="H2683" s="229"/>
      <c r="I2683" s="72"/>
      <c r="J2683" s="185"/>
      <c r="K2683" s="205"/>
      <c r="L2683" s="7"/>
    </row>
    <row r="2684" spans="1:12">
      <c r="A2684" s="19"/>
      <c r="B2684" s="7"/>
      <c r="C2684" s="175"/>
      <c r="D2684" s="175"/>
      <c r="E2684" s="175"/>
      <c r="F2684" s="229"/>
      <c r="G2684" s="229"/>
      <c r="H2684" s="229"/>
      <c r="I2684" s="72"/>
      <c r="J2684" s="185"/>
      <c r="K2684" s="205"/>
      <c r="L2684" s="7"/>
    </row>
    <row r="2685" spans="1:12">
      <c r="A2685" s="20"/>
      <c r="B2685" s="21"/>
      <c r="C2685" s="175"/>
      <c r="D2685" s="175"/>
      <c r="E2685" s="175"/>
      <c r="F2685" s="232"/>
      <c r="G2685" s="232"/>
      <c r="H2685" s="232"/>
      <c r="I2685" s="63"/>
      <c r="J2685" s="190"/>
      <c r="K2685" s="206"/>
      <c r="L2685" s="7"/>
    </row>
    <row r="2686" spans="1:12">
      <c r="A2686" s="20"/>
      <c r="B2686" s="21"/>
      <c r="C2686" s="175"/>
      <c r="D2686" s="175"/>
      <c r="E2686" s="175"/>
      <c r="F2686" s="232"/>
      <c r="G2686" s="232"/>
      <c r="H2686" s="232"/>
      <c r="I2686" s="63"/>
      <c r="J2686" s="190"/>
      <c r="K2686" s="206"/>
      <c r="L2686" s="7"/>
    </row>
    <row r="2687" spans="1:12">
      <c r="A2687" s="20"/>
      <c r="B2687" s="21"/>
      <c r="C2687" s="175"/>
      <c r="D2687" s="175"/>
      <c r="E2687" s="175"/>
      <c r="F2687" s="232"/>
      <c r="G2687" s="232"/>
      <c r="H2687" s="232"/>
      <c r="I2687" s="63"/>
      <c r="J2687" s="190"/>
      <c r="K2687" s="206"/>
      <c r="L2687" s="7"/>
    </row>
    <row r="2688" spans="1:12">
      <c r="A2688" s="20"/>
      <c r="B2688" s="21"/>
      <c r="C2688" s="175"/>
      <c r="D2688" s="175"/>
      <c r="E2688" s="175"/>
      <c r="F2688" s="232"/>
      <c r="G2688" s="232"/>
      <c r="H2688" s="232"/>
      <c r="I2688" s="63"/>
      <c r="J2688" s="190"/>
      <c r="K2688" s="206"/>
      <c r="L2688" s="7"/>
    </row>
    <row r="2689" spans="1:12">
      <c r="A2689" s="20"/>
      <c r="B2689" s="21"/>
      <c r="C2689" s="175"/>
      <c r="D2689" s="175"/>
      <c r="E2689" s="175"/>
      <c r="F2689" s="232"/>
      <c r="G2689" s="232"/>
      <c r="H2689" s="232"/>
      <c r="I2689" s="63"/>
      <c r="J2689" s="190"/>
      <c r="K2689" s="206"/>
      <c r="L2689" s="7"/>
    </row>
    <row r="2690" spans="1:12">
      <c r="A2690" s="20"/>
      <c r="B2690" s="21"/>
      <c r="C2690" s="175"/>
      <c r="D2690" s="175"/>
      <c r="E2690" s="175"/>
      <c r="F2690" s="232"/>
      <c r="G2690" s="232"/>
      <c r="H2690" s="232"/>
      <c r="I2690" s="63"/>
      <c r="J2690" s="190"/>
      <c r="K2690" s="206"/>
      <c r="L2690" s="7"/>
    </row>
    <row r="2691" spans="1:12">
      <c r="A2691" s="20"/>
      <c r="B2691" s="21"/>
      <c r="C2691" s="175"/>
      <c r="D2691" s="175"/>
      <c r="E2691" s="175"/>
      <c r="F2691" s="232"/>
      <c r="G2691" s="232"/>
      <c r="H2691" s="232"/>
      <c r="I2691" s="63"/>
      <c r="J2691" s="190"/>
      <c r="K2691" s="206"/>
      <c r="L2691" s="13"/>
    </row>
    <row r="2692" spans="1:12">
      <c r="A2692" s="19"/>
      <c r="B2692" s="7"/>
      <c r="C2692" s="175"/>
      <c r="D2692" s="175"/>
      <c r="E2692" s="175"/>
      <c r="F2692" s="229"/>
      <c r="G2692" s="229"/>
      <c r="H2692" s="229"/>
      <c r="I2692" s="72"/>
      <c r="J2692" s="185"/>
      <c r="K2692" s="205"/>
      <c r="L2692" s="7"/>
    </row>
    <row r="2693" spans="1:12">
      <c r="A2693" s="19"/>
      <c r="B2693" s="7"/>
      <c r="C2693" s="175"/>
      <c r="D2693" s="175"/>
      <c r="E2693" s="175"/>
      <c r="F2693" s="229"/>
      <c r="G2693" s="229"/>
      <c r="H2693" s="229"/>
      <c r="I2693" s="72"/>
      <c r="J2693" s="185"/>
      <c r="K2693" s="205"/>
      <c r="L2693" s="7"/>
    </row>
    <row r="2694" spans="1:12">
      <c r="A2694" s="19"/>
      <c r="B2694" s="7"/>
      <c r="C2694" s="175"/>
      <c r="D2694" s="175"/>
      <c r="E2694" s="175"/>
      <c r="F2694" s="229"/>
      <c r="G2694" s="229"/>
      <c r="H2694" s="229"/>
      <c r="I2694" s="72"/>
      <c r="J2694" s="185"/>
      <c r="K2694" s="205"/>
      <c r="L2694" s="7"/>
    </row>
    <row r="2695" spans="1:12">
      <c r="A2695" s="19"/>
      <c r="B2695" s="7"/>
      <c r="C2695" s="175"/>
      <c r="D2695" s="175"/>
      <c r="E2695" s="175"/>
      <c r="F2695" s="229"/>
      <c r="G2695" s="229"/>
      <c r="H2695" s="229"/>
      <c r="I2695" s="72"/>
      <c r="J2695" s="185"/>
      <c r="K2695" s="205"/>
      <c r="L2695" s="7"/>
    </row>
    <row r="2696" spans="1:12">
      <c r="A2696" s="19"/>
      <c r="B2696" s="7"/>
      <c r="C2696" s="175"/>
      <c r="D2696" s="175"/>
      <c r="E2696" s="175"/>
      <c r="F2696" s="229"/>
      <c r="G2696" s="229"/>
      <c r="H2696" s="229"/>
      <c r="I2696" s="72"/>
      <c r="J2696" s="185"/>
      <c r="K2696" s="205"/>
      <c r="L2696" s="7"/>
    </row>
    <row r="2697" spans="1:12">
      <c r="A2697" s="19"/>
      <c r="B2697" s="7"/>
      <c r="C2697" s="175"/>
      <c r="D2697" s="175"/>
      <c r="E2697" s="175"/>
      <c r="F2697" s="229"/>
      <c r="G2697" s="229"/>
      <c r="H2697" s="229"/>
      <c r="I2697" s="72"/>
      <c r="J2697" s="185"/>
      <c r="K2697" s="205"/>
      <c r="L2697" s="7"/>
    </row>
    <row r="2698" spans="1:12">
      <c r="A2698" s="19"/>
      <c r="B2698" s="7"/>
      <c r="C2698" s="175"/>
      <c r="D2698" s="175"/>
      <c r="E2698" s="175"/>
      <c r="F2698" s="229"/>
      <c r="G2698" s="229"/>
      <c r="H2698" s="229"/>
      <c r="I2698" s="72"/>
      <c r="J2698" s="185"/>
      <c r="K2698" s="205"/>
      <c r="L2698" s="7"/>
    </row>
    <row r="2699" spans="1:12">
      <c r="A2699" s="19"/>
      <c r="B2699" s="7"/>
      <c r="C2699" s="175"/>
      <c r="D2699" s="175"/>
      <c r="E2699" s="175"/>
      <c r="F2699" s="229"/>
      <c r="G2699" s="229"/>
      <c r="H2699" s="229"/>
      <c r="I2699" s="72"/>
      <c r="J2699" s="185"/>
      <c r="K2699" s="205"/>
      <c r="L2699" s="7"/>
    </row>
    <row r="2700" spans="1:12">
      <c r="A2700" s="19"/>
      <c r="B2700" s="7"/>
      <c r="C2700" s="175"/>
      <c r="D2700" s="175"/>
      <c r="E2700" s="175"/>
      <c r="F2700" s="229"/>
      <c r="G2700" s="229"/>
      <c r="H2700" s="229"/>
      <c r="I2700" s="72"/>
      <c r="J2700" s="185"/>
      <c r="K2700" s="205"/>
      <c r="L2700" s="7"/>
    </row>
    <row r="2701" spans="1:12">
      <c r="A2701" s="19"/>
      <c r="B2701" s="7"/>
      <c r="C2701" s="175"/>
      <c r="D2701" s="175"/>
      <c r="E2701" s="175"/>
      <c r="F2701" s="229"/>
      <c r="G2701" s="229"/>
      <c r="H2701" s="229"/>
      <c r="I2701" s="72"/>
      <c r="J2701" s="185"/>
      <c r="K2701" s="205"/>
      <c r="L2701" s="7"/>
    </row>
    <row r="2702" spans="1:12">
      <c r="A2702" s="19"/>
      <c r="B2702" s="7"/>
      <c r="C2702" s="175"/>
      <c r="D2702" s="175"/>
      <c r="E2702" s="175"/>
      <c r="F2702" s="229"/>
      <c r="G2702" s="229"/>
      <c r="H2702" s="229"/>
      <c r="I2702" s="72"/>
      <c r="J2702" s="185"/>
      <c r="K2702" s="205"/>
      <c r="L2702" s="7"/>
    </row>
    <row r="2703" spans="1:12">
      <c r="A2703" s="19"/>
      <c r="B2703" s="7"/>
      <c r="C2703" s="175"/>
      <c r="D2703" s="175"/>
      <c r="E2703" s="175"/>
      <c r="F2703" s="229"/>
      <c r="G2703" s="229"/>
      <c r="H2703" s="229"/>
      <c r="I2703" s="72"/>
      <c r="J2703" s="185"/>
      <c r="K2703" s="205"/>
      <c r="L2703" s="7"/>
    </row>
    <row r="2704" spans="1:12">
      <c r="A2704" s="19"/>
      <c r="B2704" s="7"/>
      <c r="C2704" s="175"/>
      <c r="D2704" s="175"/>
      <c r="E2704" s="175"/>
      <c r="F2704" s="229"/>
      <c r="G2704" s="229"/>
      <c r="H2704" s="229"/>
      <c r="I2704" s="72"/>
      <c r="J2704" s="185"/>
      <c r="K2704" s="205"/>
      <c r="L2704" s="7"/>
    </row>
    <row r="2705" spans="1:12">
      <c r="A2705" s="19"/>
      <c r="B2705" s="7"/>
      <c r="C2705" s="175"/>
      <c r="D2705" s="175"/>
      <c r="E2705" s="175"/>
      <c r="F2705" s="229"/>
      <c r="G2705" s="229"/>
      <c r="H2705" s="229"/>
      <c r="I2705" s="72"/>
      <c r="J2705" s="185"/>
      <c r="K2705" s="205"/>
      <c r="L2705" s="7"/>
    </row>
    <row r="2706" spans="1:12">
      <c r="A2706" s="19"/>
      <c r="B2706" s="7"/>
      <c r="C2706" s="175"/>
      <c r="D2706" s="175"/>
      <c r="E2706" s="175"/>
      <c r="F2706" s="229"/>
      <c r="G2706" s="229"/>
      <c r="H2706" s="229"/>
      <c r="I2706" s="72"/>
      <c r="J2706" s="185"/>
      <c r="K2706" s="205"/>
      <c r="L2706" s="7"/>
    </row>
    <row r="2707" spans="1:12">
      <c r="A2707" s="19"/>
      <c r="B2707" s="7"/>
      <c r="C2707" s="175"/>
      <c r="D2707" s="175"/>
      <c r="E2707" s="175"/>
      <c r="F2707" s="229"/>
      <c r="G2707" s="229"/>
      <c r="H2707" s="229"/>
      <c r="I2707" s="72"/>
      <c r="J2707" s="185"/>
      <c r="K2707" s="205"/>
      <c r="L2707" s="7"/>
    </row>
    <row r="2708" spans="1:12">
      <c r="A2708" s="19"/>
      <c r="B2708" s="7"/>
      <c r="C2708" s="175"/>
      <c r="D2708" s="175"/>
      <c r="E2708" s="175"/>
      <c r="F2708" s="229"/>
      <c r="G2708" s="229"/>
      <c r="H2708" s="229"/>
      <c r="I2708" s="72"/>
      <c r="J2708" s="185"/>
      <c r="K2708" s="205"/>
      <c r="L2708" s="7"/>
    </row>
    <row r="2709" spans="1:12">
      <c r="A2709" s="19"/>
      <c r="B2709" s="7"/>
      <c r="C2709" s="175"/>
      <c r="D2709" s="175"/>
      <c r="E2709" s="175"/>
      <c r="F2709" s="229"/>
      <c r="G2709" s="229"/>
      <c r="H2709" s="229"/>
      <c r="I2709" s="72"/>
      <c r="J2709" s="185"/>
      <c r="K2709" s="205"/>
      <c r="L2709" s="7"/>
    </row>
    <row r="2710" spans="1:12">
      <c r="A2710" s="19"/>
      <c r="B2710" s="7"/>
      <c r="C2710" s="175"/>
      <c r="D2710" s="175"/>
      <c r="E2710" s="175"/>
      <c r="F2710" s="229"/>
      <c r="G2710" s="229"/>
      <c r="H2710" s="229"/>
      <c r="I2710" s="72"/>
      <c r="J2710" s="185"/>
      <c r="K2710" s="205"/>
      <c r="L2710" s="7"/>
    </row>
    <row r="2711" spans="1:12">
      <c r="A2711" s="19"/>
      <c r="B2711" s="7"/>
      <c r="C2711" s="175"/>
      <c r="D2711" s="175"/>
      <c r="E2711" s="175"/>
      <c r="F2711" s="229"/>
      <c r="G2711" s="229"/>
      <c r="H2711" s="229"/>
      <c r="I2711" s="72"/>
      <c r="J2711" s="185"/>
      <c r="K2711" s="205"/>
      <c r="L2711" s="7"/>
    </row>
    <row r="2712" spans="1:12">
      <c r="A2712" s="19"/>
      <c r="B2712" s="7"/>
      <c r="C2712" s="175"/>
      <c r="D2712" s="175"/>
      <c r="E2712" s="175"/>
      <c r="F2712" s="229"/>
      <c r="G2712" s="229"/>
      <c r="H2712" s="229"/>
      <c r="I2712" s="72"/>
      <c r="J2712" s="185"/>
      <c r="K2712" s="205"/>
      <c r="L2712" s="7"/>
    </row>
    <row r="2713" spans="1:12">
      <c r="A2713" s="19"/>
      <c r="B2713" s="7"/>
      <c r="C2713" s="175"/>
      <c r="D2713" s="175"/>
      <c r="E2713" s="175"/>
      <c r="F2713" s="229"/>
      <c r="G2713" s="229"/>
      <c r="H2713" s="229"/>
      <c r="I2713" s="72"/>
      <c r="J2713" s="185"/>
      <c r="K2713" s="205"/>
      <c r="L2713" s="7"/>
    </row>
    <row r="2714" spans="1:12">
      <c r="A2714" s="19"/>
      <c r="B2714" s="7"/>
      <c r="C2714" s="175"/>
      <c r="D2714" s="175"/>
      <c r="E2714" s="175"/>
      <c r="F2714" s="229"/>
      <c r="G2714" s="229"/>
      <c r="H2714" s="229"/>
      <c r="I2714" s="72"/>
      <c r="J2714" s="185"/>
      <c r="K2714" s="205"/>
      <c r="L2714" s="7"/>
    </row>
    <row r="2715" spans="1:12">
      <c r="A2715" s="19"/>
      <c r="B2715" s="7"/>
      <c r="C2715" s="175"/>
      <c r="D2715" s="175"/>
      <c r="E2715" s="175"/>
      <c r="F2715" s="229"/>
      <c r="G2715" s="229"/>
      <c r="H2715" s="229"/>
      <c r="I2715" s="72"/>
      <c r="J2715" s="185"/>
      <c r="K2715" s="205"/>
      <c r="L2715" s="7"/>
    </row>
    <row r="2716" spans="1:12">
      <c r="A2716" s="19"/>
      <c r="B2716" s="7"/>
      <c r="C2716" s="175"/>
      <c r="D2716" s="175"/>
      <c r="E2716" s="175"/>
      <c r="F2716" s="229"/>
      <c r="G2716" s="229"/>
      <c r="H2716" s="229"/>
      <c r="I2716" s="72"/>
      <c r="J2716" s="185"/>
      <c r="K2716" s="205"/>
      <c r="L2716" s="7"/>
    </row>
    <row r="2717" spans="1:12">
      <c r="A2717" s="19"/>
      <c r="B2717" s="7"/>
      <c r="C2717" s="175"/>
      <c r="D2717" s="175"/>
      <c r="E2717" s="175"/>
      <c r="F2717" s="229"/>
      <c r="G2717" s="229"/>
      <c r="H2717" s="229"/>
      <c r="I2717" s="72"/>
      <c r="J2717" s="185"/>
      <c r="K2717" s="205"/>
      <c r="L2717" s="7"/>
    </row>
    <row r="2718" spans="1:12">
      <c r="A2718" s="19"/>
      <c r="B2718" s="7"/>
      <c r="C2718" s="175"/>
      <c r="D2718" s="175"/>
      <c r="E2718" s="175"/>
      <c r="F2718" s="229"/>
      <c r="G2718" s="229"/>
      <c r="H2718" s="229"/>
      <c r="I2718" s="72"/>
      <c r="J2718" s="185"/>
      <c r="K2718" s="205"/>
      <c r="L2718" s="7"/>
    </row>
    <row r="2719" spans="1:12">
      <c r="A2719" s="19"/>
      <c r="B2719" s="7"/>
      <c r="C2719" s="175"/>
      <c r="D2719" s="175"/>
      <c r="E2719" s="175"/>
      <c r="F2719" s="229"/>
      <c r="G2719" s="229"/>
      <c r="H2719" s="229"/>
      <c r="I2719" s="72"/>
      <c r="J2719" s="185"/>
      <c r="K2719" s="205"/>
      <c r="L2719" s="7"/>
    </row>
    <row r="2720" spans="1:12">
      <c r="A2720" s="19"/>
      <c r="B2720" s="7"/>
      <c r="C2720" s="175"/>
      <c r="D2720" s="175"/>
      <c r="E2720" s="175"/>
      <c r="F2720" s="229"/>
      <c r="G2720" s="229"/>
      <c r="H2720" s="229"/>
      <c r="I2720" s="72"/>
      <c r="J2720" s="185"/>
      <c r="K2720" s="205"/>
      <c r="L2720" s="7"/>
    </row>
    <row r="2721" spans="1:12">
      <c r="A2721" s="19"/>
      <c r="B2721" s="7"/>
      <c r="C2721" s="175"/>
      <c r="D2721" s="175"/>
      <c r="E2721" s="175"/>
      <c r="F2721" s="229"/>
      <c r="G2721" s="229"/>
      <c r="H2721" s="229"/>
      <c r="I2721" s="72"/>
      <c r="J2721" s="185"/>
      <c r="K2721" s="205"/>
      <c r="L2721" s="7"/>
    </row>
    <row r="2722" spans="1:12">
      <c r="A2722" s="19"/>
      <c r="B2722" s="7"/>
      <c r="C2722" s="175"/>
      <c r="D2722" s="175"/>
      <c r="E2722" s="175"/>
      <c r="F2722" s="229"/>
      <c r="G2722" s="229"/>
      <c r="H2722" s="229"/>
      <c r="I2722" s="72"/>
      <c r="J2722" s="185"/>
      <c r="K2722" s="205"/>
      <c r="L2722" s="7"/>
    </row>
    <row r="2723" spans="1:12">
      <c r="A2723" s="19"/>
      <c r="B2723" s="7"/>
      <c r="C2723" s="175"/>
      <c r="D2723" s="175"/>
      <c r="E2723" s="175"/>
      <c r="F2723" s="229"/>
      <c r="G2723" s="229"/>
      <c r="H2723" s="229"/>
      <c r="I2723" s="72"/>
      <c r="J2723" s="185"/>
      <c r="K2723" s="205"/>
      <c r="L2723" s="7"/>
    </row>
    <row r="2724" spans="1:12">
      <c r="A2724" s="19"/>
      <c r="B2724" s="7"/>
      <c r="C2724" s="175"/>
      <c r="D2724" s="175"/>
      <c r="E2724" s="175"/>
      <c r="F2724" s="229"/>
      <c r="G2724" s="229"/>
      <c r="H2724" s="229"/>
      <c r="I2724" s="72"/>
      <c r="J2724" s="185"/>
      <c r="K2724" s="205"/>
      <c r="L2724" s="7"/>
    </row>
    <row r="2725" spans="1:12">
      <c r="A2725" s="20"/>
      <c r="B2725" s="21"/>
      <c r="C2725" s="175"/>
      <c r="D2725" s="175"/>
      <c r="E2725" s="175"/>
      <c r="F2725" s="232"/>
      <c r="G2725" s="232"/>
      <c r="H2725" s="232"/>
      <c r="I2725" s="63"/>
      <c r="J2725" s="190"/>
      <c r="K2725" s="206"/>
      <c r="L2725" s="7"/>
    </row>
    <row r="2726" spans="1:12">
      <c r="A2726" s="20"/>
      <c r="B2726" s="21"/>
      <c r="C2726" s="175"/>
      <c r="D2726" s="175"/>
      <c r="E2726" s="175"/>
      <c r="F2726" s="232"/>
      <c r="G2726" s="232"/>
      <c r="H2726" s="232"/>
      <c r="I2726" s="63"/>
      <c r="J2726" s="190"/>
      <c r="K2726" s="206"/>
      <c r="L2726" s="7"/>
    </row>
    <row r="2727" spans="1:12">
      <c r="A2727" s="20"/>
      <c r="B2727" s="21"/>
      <c r="C2727" s="175"/>
      <c r="D2727" s="175"/>
      <c r="E2727" s="175"/>
      <c r="F2727" s="232"/>
      <c r="G2727" s="232"/>
      <c r="H2727" s="232"/>
      <c r="I2727" s="63"/>
      <c r="J2727" s="190"/>
      <c r="K2727" s="206"/>
      <c r="L2727" s="7"/>
    </row>
    <row r="2728" spans="1:12">
      <c r="A2728" s="20"/>
      <c r="B2728" s="21"/>
      <c r="C2728" s="175"/>
      <c r="D2728" s="175"/>
      <c r="E2728" s="175"/>
      <c r="F2728" s="232"/>
      <c r="G2728" s="232"/>
      <c r="H2728" s="232"/>
      <c r="I2728" s="63"/>
      <c r="J2728" s="190"/>
      <c r="K2728" s="206"/>
      <c r="L2728" s="7"/>
    </row>
    <row r="2729" spans="1:12">
      <c r="A2729" s="19"/>
      <c r="B2729" s="7"/>
      <c r="C2729" s="175"/>
      <c r="D2729" s="175"/>
      <c r="E2729" s="175"/>
      <c r="F2729" s="229"/>
      <c r="G2729" s="229"/>
      <c r="H2729" s="229"/>
      <c r="I2729" s="72"/>
      <c r="J2729" s="185"/>
      <c r="K2729" s="205"/>
      <c r="L2729" s="7"/>
    </row>
    <row r="2730" spans="1:12">
      <c r="A2730" s="19"/>
      <c r="B2730" s="7"/>
      <c r="C2730" s="175"/>
      <c r="D2730" s="175"/>
      <c r="E2730" s="175"/>
      <c r="F2730" s="229"/>
      <c r="G2730" s="229"/>
      <c r="H2730" s="229"/>
      <c r="I2730" s="72"/>
      <c r="J2730" s="185"/>
      <c r="K2730" s="205"/>
      <c r="L2730" s="7"/>
    </row>
    <row r="2731" spans="1:12">
      <c r="A2731" s="19"/>
      <c r="B2731" s="7"/>
      <c r="C2731" s="175"/>
      <c r="D2731" s="175"/>
      <c r="E2731" s="175"/>
      <c r="F2731" s="229"/>
      <c r="G2731" s="229"/>
      <c r="H2731" s="229"/>
      <c r="I2731" s="72"/>
      <c r="J2731" s="185"/>
      <c r="K2731" s="205"/>
      <c r="L2731" s="7"/>
    </row>
    <row r="2732" spans="1:12">
      <c r="A2732" s="19"/>
      <c r="B2732" s="7"/>
      <c r="C2732" s="175"/>
      <c r="D2732" s="175"/>
      <c r="E2732" s="175"/>
      <c r="F2732" s="229"/>
      <c r="G2732" s="229"/>
      <c r="H2732" s="229"/>
      <c r="I2732" s="72"/>
      <c r="J2732" s="185"/>
      <c r="K2732" s="205"/>
      <c r="L2732" s="7"/>
    </row>
    <row r="2733" spans="1:12">
      <c r="A2733" s="19"/>
      <c r="B2733" s="7"/>
      <c r="C2733" s="175"/>
      <c r="D2733" s="175"/>
      <c r="E2733" s="175"/>
      <c r="F2733" s="229"/>
      <c r="G2733" s="229"/>
      <c r="H2733" s="229"/>
      <c r="I2733" s="72"/>
      <c r="J2733" s="185"/>
      <c r="K2733" s="205"/>
      <c r="L2733" s="7"/>
    </row>
    <row r="2734" spans="1:12">
      <c r="A2734" s="19"/>
      <c r="B2734" s="7"/>
      <c r="C2734" s="175"/>
      <c r="D2734" s="175"/>
      <c r="E2734" s="175"/>
      <c r="F2734" s="229"/>
      <c r="G2734" s="229"/>
      <c r="H2734" s="229"/>
      <c r="I2734" s="72"/>
      <c r="J2734" s="185"/>
      <c r="K2734" s="205"/>
      <c r="L2734" s="7"/>
    </row>
    <row r="2735" spans="1:12">
      <c r="A2735" s="19"/>
      <c r="B2735" s="7"/>
      <c r="C2735" s="175"/>
      <c r="D2735" s="175"/>
      <c r="E2735" s="175"/>
      <c r="F2735" s="229"/>
      <c r="G2735" s="229"/>
      <c r="H2735" s="229"/>
      <c r="I2735" s="72"/>
      <c r="J2735" s="185"/>
      <c r="K2735" s="205"/>
      <c r="L2735" s="7"/>
    </row>
    <row r="2736" spans="1:12">
      <c r="A2736" s="19"/>
      <c r="B2736" s="7"/>
      <c r="C2736" s="175"/>
      <c r="D2736" s="175"/>
      <c r="E2736" s="175"/>
      <c r="F2736" s="229"/>
      <c r="G2736" s="229"/>
      <c r="H2736" s="229"/>
      <c r="I2736" s="72"/>
      <c r="J2736" s="185"/>
      <c r="K2736" s="205"/>
      <c r="L2736" s="7"/>
    </row>
    <row r="2737" spans="1:12">
      <c r="A2737" s="19"/>
      <c r="B2737" s="7"/>
      <c r="C2737" s="175"/>
      <c r="D2737" s="175"/>
      <c r="E2737" s="175"/>
      <c r="F2737" s="229"/>
      <c r="G2737" s="229"/>
      <c r="H2737" s="229"/>
      <c r="I2737" s="72"/>
      <c r="J2737" s="185"/>
      <c r="K2737" s="205"/>
      <c r="L2737" s="7"/>
    </row>
    <row r="2738" spans="1:12">
      <c r="A2738" s="19"/>
      <c r="B2738" s="7"/>
      <c r="C2738" s="175"/>
      <c r="D2738" s="175"/>
      <c r="E2738" s="175"/>
      <c r="F2738" s="229"/>
      <c r="G2738" s="229"/>
      <c r="H2738" s="229"/>
      <c r="I2738" s="72"/>
      <c r="J2738" s="185"/>
      <c r="K2738" s="205"/>
      <c r="L2738" s="7"/>
    </row>
    <row r="2739" spans="1:12">
      <c r="A2739" s="20"/>
      <c r="B2739" s="21"/>
      <c r="C2739" s="175"/>
      <c r="D2739" s="175"/>
      <c r="E2739" s="175"/>
      <c r="F2739" s="232"/>
      <c r="G2739" s="232"/>
      <c r="H2739" s="232"/>
      <c r="I2739" s="63"/>
      <c r="J2739" s="190"/>
      <c r="K2739" s="206"/>
      <c r="L2739" s="7"/>
    </row>
    <row r="2740" spans="1:12">
      <c r="A2740" s="20"/>
      <c r="B2740" s="21"/>
      <c r="C2740" s="175"/>
      <c r="D2740" s="175"/>
      <c r="E2740" s="175"/>
      <c r="F2740" s="232"/>
      <c r="G2740" s="232"/>
      <c r="H2740" s="232"/>
      <c r="I2740" s="63"/>
      <c r="J2740" s="190"/>
      <c r="K2740" s="206"/>
      <c r="L2740" s="7"/>
    </row>
    <row r="2741" spans="1:12">
      <c r="A2741" s="20"/>
      <c r="B2741" s="21"/>
      <c r="C2741" s="175"/>
      <c r="D2741" s="175"/>
      <c r="E2741" s="175"/>
      <c r="F2741" s="232"/>
      <c r="G2741" s="232"/>
      <c r="H2741" s="232"/>
      <c r="I2741" s="63"/>
      <c r="J2741" s="190"/>
      <c r="K2741" s="206"/>
      <c r="L2741" s="7"/>
    </row>
    <row r="2742" spans="1:12">
      <c r="A2742" s="20"/>
      <c r="B2742" s="21"/>
      <c r="C2742" s="175"/>
      <c r="D2742" s="175"/>
      <c r="E2742" s="175"/>
      <c r="F2742" s="232"/>
      <c r="G2742" s="232"/>
      <c r="H2742" s="232"/>
      <c r="I2742" s="63"/>
      <c r="J2742" s="190"/>
      <c r="K2742" s="206"/>
      <c r="L2742" s="7"/>
    </row>
    <row r="2743" spans="1:12">
      <c r="A2743" s="19"/>
      <c r="B2743" s="7"/>
      <c r="C2743" s="175"/>
      <c r="D2743" s="175"/>
      <c r="E2743" s="175"/>
      <c r="F2743" s="229"/>
      <c r="G2743" s="229"/>
      <c r="H2743" s="229"/>
      <c r="I2743" s="72"/>
      <c r="J2743" s="185"/>
      <c r="K2743" s="205"/>
      <c r="L2743" s="7"/>
    </row>
    <row r="2744" spans="1:12">
      <c r="A2744" s="19"/>
      <c r="B2744" s="7"/>
      <c r="C2744" s="175"/>
      <c r="D2744" s="175"/>
      <c r="E2744" s="175"/>
      <c r="F2744" s="229"/>
      <c r="G2744" s="229"/>
      <c r="H2744" s="229"/>
      <c r="I2744" s="72"/>
      <c r="J2744" s="185"/>
      <c r="K2744" s="205"/>
      <c r="L2744" s="7"/>
    </row>
    <row r="2745" spans="1:12">
      <c r="A2745" s="19"/>
      <c r="B2745" s="7"/>
      <c r="C2745" s="175"/>
      <c r="D2745" s="175"/>
      <c r="E2745" s="175"/>
      <c r="F2745" s="229"/>
      <c r="G2745" s="229"/>
      <c r="H2745" s="229"/>
      <c r="I2745" s="72"/>
      <c r="J2745" s="185"/>
      <c r="K2745" s="205"/>
      <c r="L2745" s="7"/>
    </row>
    <row r="2746" spans="1:12">
      <c r="A2746" s="19"/>
      <c r="B2746" s="7"/>
      <c r="C2746" s="175"/>
      <c r="D2746" s="175"/>
      <c r="E2746" s="175"/>
      <c r="F2746" s="229"/>
      <c r="G2746" s="229"/>
      <c r="H2746" s="229"/>
      <c r="I2746" s="72"/>
      <c r="J2746" s="185"/>
      <c r="K2746" s="205"/>
      <c r="L2746" s="7"/>
    </row>
    <row r="2747" spans="1:12">
      <c r="A2747" s="19"/>
      <c r="B2747" s="7"/>
      <c r="C2747" s="175"/>
      <c r="D2747" s="175"/>
      <c r="E2747" s="175"/>
      <c r="F2747" s="229"/>
      <c r="G2747" s="229"/>
      <c r="H2747" s="229"/>
      <c r="I2747" s="72"/>
      <c r="J2747" s="185"/>
      <c r="K2747" s="205"/>
      <c r="L2747" s="7"/>
    </row>
    <row r="2748" spans="1:12">
      <c r="A2748" s="19"/>
      <c r="B2748" s="7"/>
      <c r="C2748" s="175"/>
      <c r="D2748" s="175"/>
      <c r="E2748" s="175"/>
      <c r="F2748" s="229"/>
      <c r="G2748" s="229"/>
      <c r="H2748" s="229"/>
      <c r="I2748" s="72"/>
      <c r="J2748" s="185"/>
      <c r="K2748" s="205"/>
      <c r="L2748" s="7"/>
    </row>
    <row r="2749" spans="1:12">
      <c r="A2749" s="19"/>
      <c r="B2749" s="7"/>
      <c r="C2749" s="175"/>
      <c r="D2749" s="175"/>
      <c r="E2749" s="175"/>
      <c r="F2749" s="229"/>
      <c r="G2749" s="229"/>
      <c r="H2749" s="229"/>
      <c r="I2749" s="72"/>
      <c r="J2749" s="185"/>
      <c r="K2749" s="205"/>
      <c r="L2749" s="7"/>
    </row>
    <row r="2750" spans="1:12">
      <c r="A2750" s="19"/>
      <c r="B2750" s="7"/>
      <c r="C2750" s="175"/>
      <c r="D2750" s="175"/>
      <c r="E2750" s="175"/>
      <c r="F2750" s="229"/>
      <c r="G2750" s="229"/>
      <c r="H2750" s="229"/>
      <c r="I2750" s="72"/>
      <c r="J2750" s="185"/>
      <c r="K2750" s="205"/>
      <c r="L2750" s="7"/>
    </row>
    <row r="2751" spans="1:12">
      <c r="A2751" s="19"/>
      <c r="B2751" s="7"/>
      <c r="C2751" s="175"/>
      <c r="D2751" s="175"/>
      <c r="E2751" s="175"/>
      <c r="F2751" s="229"/>
      <c r="G2751" s="229"/>
      <c r="H2751" s="229"/>
      <c r="I2751" s="72"/>
      <c r="J2751" s="185"/>
      <c r="K2751" s="205"/>
      <c r="L2751" s="7"/>
    </row>
    <row r="2752" spans="1:12">
      <c r="A2752" s="19"/>
      <c r="B2752" s="7"/>
      <c r="C2752" s="175"/>
      <c r="D2752" s="175"/>
      <c r="E2752" s="175"/>
      <c r="F2752" s="229"/>
      <c r="G2752" s="229"/>
      <c r="H2752" s="229"/>
      <c r="I2752" s="72"/>
      <c r="J2752" s="185"/>
      <c r="K2752" s="205"/>
      <c r="L2752" s="7"/>
    </row>
    <row r="2753" spans="1:12">
      <c r="A2753" s="19"/>
      <c r="B2753" s="7"/>
      <c r="C2753" s="175"/>
      <c r="D2753" s="175"/>
      <c r="E2753" s="175"/>
      <c r="F2753" s="229"/>
      <c r="G2753" s="229"/>
      <c r="H2753" s="229"/>
      <c r="I2753" s="72"/>
      <c r="J2753" s="185"/>
      <c r="K2753" s="205"/>
      <c r="L2753" s="7"/>
    </row>
    <row r="2754" spans="1:12">
      <c r="A2754" s="19"/>
      <c r="B2754" s="7"/>
      <c r="C2754" s="175"/>
      <c r="D2754" s="175"/>
      <c r="E2754" s="175"/>
      <c r="F2754" s="229"/>
      <c r="G2754" s="229"/>
      <c r="H2754" s="229"/>
      <c r="I2754" s="72"/>
      <c r="J2754" s="185"/>
      <c r="K2754" s="205"/>
      <c r="L2754" s="7"/>
    </row>
    <row r="2755" spans="1:12">
      <c r="A2755" s="19"/>
      <c r="B2755" s="7"/>
      <c r="C2755" s="175"/>
      <c r="D2755" s="175"/>
      <c r="E2755" s="175"/>
      <c r="F2755" s="229"/>
      <c r="G2755" s="229"/>
      <c r="H2755" s="229"/>
      <c r="I2755" s="72"/>
      <c r="J2755" s="185"/>
      <c r="K2755" s="205"/>
      <c r="L2755" s="7"/>
    </row>
    <row r="2756" spans="1:12">
      <c r="A2756" s="19"/>
      <c r="B2756" s="7"/>
      <c r="C2756" s="175"/>
      <c r="D2756" s="175"/>
      <c r="E2756" s="175"/>
      <c r="F2756" s="229"/>
      <c r="G2756" s="229"/>
      <c r="H2756" s="229"/>
      <c r="I2756" s="72"/>
      <c r="J2756" s="185"/>
      <c r="K2756" s="205"/>
      <c r="L2756" s="7"/>
    </row>
    <row r="2757" spans="1:12">
      <c r="A2757" s="19"/>
      <c r="B2757" s="7"/>
      <c r="C2757" s="175"/>
      <c r="D2757" s="175"/>
      <c r="E2757" s="175"/>
      <c r="F2757" s="229"/>
      <c r="G2757" s="229"/>
      <c r="H2757" s="229"/>
      <c r="I2757" s="72"/>
      <c r="J2757" s="185"/>
      <c r="K2757" s="205"/>
      <c r="L2757" s="7"/>
    </row>
    <row r="2758" spans="1:12">
      <c r="A2758" s="19"/>
      <c r="B2758" s="7"/>
      <c r="C2758" s="175"/>
      <c r="D2758" s="175"/>
      <c r="E2758" s="175"/>
      <c r="F2758" s="229"/>
      <c r="G2758" s="229"/>
      <c r="H2758" s="229"/>
      <c r="I2758" s="72"/>
      <c r="J2758" s="185"/>
      <c r="K2758" s="205"/>
      <c r="L2758" s="7"/>
    </row>
    <row r="2759" spans="1:12">
      <c r="A2759" s="19"/>
      <c r="B2759" s="7"/>
      <c r="C2759" s="175"/>
      <c r="D2759" s="175"/>
      <c r="E2759" s="175"/>
      <c r="F2759" s="229"/>
      <c r="G2759" s="229"/>
      <c r="H2759" s="229"/>
      <c r="I2759" s="72"/>
      <c r="J2759" s="185"/>
      <c r="K2759" s="205"/>
      <c r="L2759" s="7"/>
    </row>
    <row r="2760" spans="1:12">
      <c r="A2760" s="19"/>
      <c r="B2760" s="7"/>
      <c r="C2760" s="175"/>
      <c r="D2760" s="175"/>
      <c r="E2760" s="175"/>
      <c r="F2760" s="229"/>
      <c r="G2760" s="229"/>
      <c r="H2760" s="229"/>
      <c r="I2760" s="72"/>
      <c r="J2760" s="185"/>
      <c r="K2760" s="205"/>
      <c r="L2760" s="7"/>
    </row>
    <row r="2761" spans="1:12">
      <c r="A2761" s="19"/>
      <c r="B2761" s="7"/>
      <c r="C2761" s="175"/>
      <c r="D2761" s="175"/>
      <c r="E2761" s="175"/>
      <c r="F2761" s="229"/>
      <c r="G2761" s="229"/>
      <c r="H2761" s="229"/>
      <c r="I2761" s="72"/>
      <c r="J2761" s="185"/>
      <c r="K2761" s="205"/>
      <c r="L2761" s="7"/>
    </row>
    <row r="2762" spans="1:12">
      <c r="A2762" s="19"/>
      <c r="B2762" s="7"/>
      <c r="C2762" s="175"/>
      <c r="D2762" s="175"/>
      <c r="E2762" s="175"/>
      <c r="F2762" s="229"/>
      <c r="G2762" s="229"/>
      <c r="H2762" s="229"/>
      <c r="I2762" s="72"/>
      <c r="J2762" s="185"/>
      <c r="K2762" s="205"/>
      <c r="L2762" s="7"/>
    </row>
    <row r="2763" spans="1:12">
      <c r="A2763" s="19"/>
      <c r="B2763" s="7"/>
      <c r="C2763" s="175"/>
      <c r="D2763" s="175"/>
      <c r="E2763" s="175"/>
      <c r="F2763" s="229"/>
      <c r="G2763" s="229"/>
      <c r="H2763" s="229"/>
      <c r="I2763" s="72"/>
      <c r="J2763" s="185"/>
      <c r="K2763" s="205"/>
      <c r="L2763" s="7"/>
    </row>
    <row r="2764" spans="1:12">
      <c r="A2764" s="19"/>
      <c r="B2764" s="7"/>
      <c r="C2764" s="175"/>
      <c r="D2764" s="175"/>
      <c r="E2764" s="175"/>
      <c r="F2764" s="229"/>
      <c r="G2764" s="229"/>
      <c r="H2764" s="229"/>
      <c r="I2764" s="72"/>
      <c r="J2764" s="185"/>
      <c r="K2764" s="205"/>
      <c r="L2764" s="7"/>
    </row>
    <row r="2765" spans="1:12">
      <c r="A2765" s="19"/>
      <c r="B2765" s="7"/>
      <c r="C2765" s="175"/>
      <c r="D2765" s="175"/>
      <c r="E2765" s="175"/>
      <c r="F2765" s="229"/>
      <c r="G2765" s="229"/>
      <c r="H2765" s="229"/>
      <c r="I2765" s="72"/>
      <c r="J2765" s="185"/>
      <c r="K2765" s="205"/>
      <c r="L2765" s="7"/>
    </row>
    <row r="2766" spans="1:12">
      <c r="A2766" s="19"/>
      <c r="B2766" s="7"/>
      <c r="C2766" s="175"/>
      <c r="D2766" s="175"/>
      <c r="E2766" s="175"/>
      <c r="F2766" s="229"/>
      <c r="G2766" s="229"/>
      <c r="H2766" s="229"/>
      <c r="I2766" s="72"/>
      <c r="J2766" s="185"/>
      <c r="K2766" s="205"/>
      <c r="L2766" s="7"/>
    </row>
    <row r="2767" spans="1:12">
      <c r="A2767" s="19"/>
      <c r="B2767" s="7"/>
      <c r="C2767" s="175"/>
      <c r="D2767" s="175"/>
      <c r="E2767" s="175"/>
      <c r="F2767" s="229"/>
      <c r="G2767" s="229"/>
      <c r="H2767" s="229"/>
      <c r="I2767" s="72"/>
      <c r="J2767" s="185"/>
      <c r="K2767" s="205"/>
      <c r="L2767" s="7"/>
    </row>
    <row r="2768" spans="1:12">
      <c r="A2768" s="19"/>
      <c r="B2768" s="7"/>
      <c r="C2768" s="175"/>
      <c r="D2768" s="175"/>
      <c r="E2768" s="175"/>
      <c r="F2768" s="229"/>
      <c r="G2768" s="229"/>
      <c r="H2768" s="229"/>
      <c r="I2768" s="72"/>
      <c r="J2768" s="185"/>
      <c r="K2768" s="205"/>
      <c r="L2768" s="7"/>
    </row>
    <row r="2769" spans="1:12">
      <c r="A2769" s="19"/>
      <c r="B2769" s="7"/>
      <c r="C2769" s="175"/>
      <c r="D2769" s="175"/>
      <c r="E2769" s="175"/>
      <c r="F2769" s="229"/>
      <c r="G2769" s="229"/>
      <c r="H2769" s="229"/>
      <c r="I2769" s="72"/>
      <c r="J2769" s="185"/>
      <c r="K2769" s="205"/>
      <c r="L2769" s="7"/>
    </row>
    <row r="2770" spans="1:12">
      <c r="A2770" s="20"/>
      <c r="B2770" s="21"/>
      <c r="C2770" s="175"/>
      <c r="D2770" s="175"/>
      <c r="E2770" s="175"/>
      <c r="F2770" s="232"/>
      <c r="G2770" s="232"/>
      <c r="H2770" s="232"/>
      <c r="I2770" s="63"/>
      <c r="J2770" s="190"/>
      <c r="K2770" s="206"/>
      <c r="L2770" s="7"/>
    </row>
    <row r="2771" spans="1:12">
      <c r="A2771" s="19"/>
      <c r="B2771" s="7"/>
      <c r="C2771" s="175"/>
      <c r="D2771" s="175"/>
      <c r="E2771" s="175"/>
      <c r="F2771" s="229"/>
      <c r="G2771" s="229"/>
      <c r="H2771" s="229"/>
      <c r="I2771" s="72"/>
      <c r="J2771" s="185"/>
      <c r="K2771" s="205"/>
      <c r="L2771" s="7"/>
    </row>
    <row r="2772" spans="1:12">
      <c r="A2772" s="19"/>
      <c r="B2772" s="7"/>
      <c r="C2772" s="175"/>
      <c r="D2772" s="175"/>
      <c r="E2772" s="175"/>
      <c r="F2772" s="229"/>
      <c r="G2772" s="229"/>
      <c r="H2772" s="229"/>
      <c r="I2772" s="72"/>
      <c r="J2772" s="185"/>
      <c r="K2772" s="205"/>
      <c r="L2772" s="7"/>
    </row>
    <row r="2773" spans="1:12">
      <c r="A2773" s="19"/>
      <c r="B2773" s="7"/>
      <c r="C2773" s="175"/>
      <c r="D2773" s="175"/>
      <c r="E2773" s="175"/>
      <c r="F2773" s="229"/>
      <c r="G2773" s="229"/>
      <c r="H2773" s="229"/>
      <c r="I2773" s="72"/>
      <c r="J2773" s="185"/>
      <c r="K2773" s="205"/>
      <c r="L2773" s="7"/>
    </row>
    <row r="2774" spans="1:12">
      <c r="A2774" s="19"/>
      <c r="B2774" s="7"/>
      <c r="C2774" s="175"/>
      <c r="D2774" s="175"/>
      <c r="E2774" s="175"/>
      <c r="F2774" s="229"/>
      <c r="G2774" s="229"/>
      <c r="H2774" s="229"/>
      <c r="I2774" s="72"/>
      <c r="J2774" s="185"/>
      <c r="K2774" s="205"/>
      <c r="L2774" s="7"/>
    </row>
    <row r="2775" spans="1:12">
      <c r="A2775" s="20"/>
      <c r="B2775" s="21"/>
      <c r="C2775" s="175"/>
      <c r="D2775" s="175"/>
      <c r="E2775" s="175"/>
      <c r="F2775" s="232"/>
      <c r="G2775" s="232"/>
      <c r="H2775" s="232"/>
      <c r="I2775" s="63"/>
      <c r="J2775" s="190"/>
      <c r="K2775" s="206"/>
      <c r="L2775" s="7"/>
    </row>
    <row r="2776" spans="1:12">
      <c r="A2776" s="19"/>
      <c r="B2776" s="7"/>
      <c r="C2776" s="175"/>
      <c r="D2776" s="175"/>
      <c r="E2776" s="175"/>
      <c r="F2776" s="229"/>
      <c r="G2776" s="229"/>
      <c r="H2776" s="229"/>
      <c r="I2776" s="72"/>
      <c r="J2776" s="185"/>
      <c r="K2776" s="205"/>
      <c r="L2776" s="7"/>
    </row>
    <row r="2777" spans="1:12">
      <c r="A2777" s="20"/>
      <c r="B2777" s="21"/>
      <c r="C2777" s="175"/>
      <c r="D2777" s="175"/>
      <c r="E2777" s="175"/>
      <c r="F2777" s="232"/>
      <c r="G2777" s="232"/>
      <c r="H2777" s="232"/>
      <c r="I2777" s="63"/>
      <c r="J2777" s="190"/>
      <c r="K2777" s="206"/>
      <c r="L2777" s="7"/>
    </row>
    <row r="2778" spans="1:12">
      <c r="A2778" s="20"/>
      <c r="B2778" s="21"/>
      <c r="C2778" s="175"/>
      <c r="D2778" s="175"/>
      <c r="E2778" s="175"/>
      <c r="F2778" s="232"/>
      <c r="G2778" s="232"/>
      <c r="H2778" s="232"/>
      <c r="I2778" s="63"/>
      <c r="J2778" s="190"/>
      <c r="K2778" s="206"/>
      <c r="L2778" s="7"/>
    </row>
    <row r="2779" spans="1:12">
      <c r="A2779" s="19"/>
      <c r="B2779" s="7"/>
      <c r="C2779" s="175"/>
      <c r="D2779" s="175"/>
      <c r="E2779" s="175"/>
      <c r="F2779" s="229"/>
      <c r="G2779" s="229"/>
      <c r="H2779" s="229"/>
      <c r="I2779" s="72"/>
      <c r="J2779" s="185"/>
      <c r="K2779" s="205"/>
      <c r="L2779" s="7"/>
    </row>
    <row r="2780" spans="1:12">
      <c r="A2780" s="19"/>
      <c r="B2780" s="7"/>
      <c r="C2780" s="175"/>
      <c r="D2780" s="175"/>
      <c r="E2780" s="175"/>
      <c r="F2780" s="229"/>
      <c r="G2780" s="229"/>
      <c r="H2780" s="229"/>
      <c r="I2780" s="72"/>
      <c r="J2780" s="185"/>
      <c r="K2780" s="205"/>
      <c r="L2780" s="7"/>
    </row>
    <row r="2781" spans="1:12">
      <c r="A2781" s="19"/>
      <c r="B2781" s="7"/>
      <c r="C2781" s="175"/>
      <c r="D2781" s="175"/>
      <c r="E2781" s="175"/>
      <c r="F2781" s="229"/>
      <c r="G2781" s="229"/>
      <c r="H2781" s="229"/>
      <c r="I2781" s="72"/>
      <c r="J2781" s="185"/>
      <c r="K2781" s="205"/>
      <c r="L2781" s="7"/>
    </row>
    <row r="2782" spans="1:12">
      <c r="A2782" s="19"/>
      <c r="B2782" s="7"/>
      <c r="C2782" s="175"/>
      <c r="D2782" s="175"/>
      <c r="E2782" s="175"/>
      <c r="F2782" s="229"/>
      <c r="G2782" s="229"/>
      <c r="H2782" s="229"/>
      <c r="I2782" s="72"/>
      <c r="J2782" s="185"/>
      <c r="K2782" s="205"/>
      <c r="L2782" s="7"/>
    </row>
    <row r="2783" spans="1:12">
      <c r="A2783" s="19"/>
      <c r="B2783" s="7"/>
      <c r="C2783" s="175"/>
      <c r="D2783" s="175"/>
      <c r="E2783" s="175"/>
      <c r="F2783" s="229"/>
      <c r="G2783" s="229"/>
      <c r="H2783" s="229"/>
      <c r="I2783" s="72"/>
      <c r="J2783" s="185"/>
      <c r="K2783" s="205"/>
      <c r="L2783" s="7"/>
    </row>
    <row r="2784" spans="1:12">
      <c r="A2784" s="19"/>
      <c r="B2784" s="7"/>
      <c r="C2784" s="175"/>
      <c r="D2784" s="175"/>
      <c r="E2784" s="175"/>
      <c r="F2784" s="229"/>
      <c r="G2784" s="229"/>
      <c r="H2784" s="229"/>
      <c r="I2784" s="72"/>
      <c r="J2784" s="185"/>
      <c r="K2784" s="205"/>
      <c r="L2784" s="7"/>
    </row>
    <row r="2785" spans="1:12">
      <c r="A2785" s="19"/>
      <c r="B2785" s="7"/>
      <c r="C2785" s="175"/>
      <c r="D2785" s="175"/>
      <c r="E2785" s="175"/>
      <c r="F2785" s="229"/>
      <c r="G2785" s="229"/>
      <c r="H2785" s="229"/>
      <c r="I2785" s="72"/>
      <c r="J2785" s="185"/>
      <c r="K2785" s="205"/>
      <c r="L2785" s="7"/>
    </row>
    <row r="2786" spans="1:12">
      <c r="A2786" s="19"/>
      <c r="B2786" s="7"/>
      <c r="C2786" s="175"/>
      <c r="D2786" s="175"/>
      <c r="E2786" s="175"/>
      <c r="F2786" s="229"/>
      <c r="G2786" s="229"/>
      <c r="H2786" s="229"/>
      <c r="I2786" s="72"/>
      <c r="J2786" s="185"/>
      <c r="K2786" s="205"/>
      <c r="L2786" s="7"/>
    </row>
    <row r="2787" spans="1:12">
      <c r="A2787" s="19"/>
      <c r="B2787" s="7"/>
      <c r="C2787" s="175"/>
      <c r="D2787" s="175"/>
      <c r="E2787" s="175"/>
      <c r="F2787" s="229"/>
      <c r="G2787" s="229"/>
      <c r="H2787" s="229"/>
      <c r="I2787" s="72"/>
      <c r="J2787" s="185"/>
      <c r="K2787" s="205"/>
      <c r="L2787" s="7"/>
    </row>
    <row r="2788" spans="1:12">
      <c r="A2788" s="19"/>
      <c r="B2788" s="7"/>
      <c r="C2788" s="175"/>
      <c r="D2788" s="175"/>
      <c r="E2788" s="175"/>
      <c r="F2788" s="229"/>
      <c r="G2788" s="229"/>
      <c r="H2788" s="229"/>
      <c r="I2788" s="72"/>
      <c r="J2788" s="185"/>
      <c r="K2788" s="205"/>
      <c r="L2788" s="7"/>
    </row>
    <row r="2789" spans="1:12">
      <c r="A2789" s="20"/>
      <c r="B2789" s="21"/>
      <c r="C2789" s="175"/>
      <c r="D2789" s="175"/>
      <c r="E2789" s="175"/>
      <c r="F2789" s="232"/>
      <c r="G2789" s="232"/>
      <c r="H2789" s="232"/>
      <c r="I2789" s="63"/>
      <c r="J2789" s="190"/>
      <c r="K2789" s="206"/>
      <c r="L2789" s="7"/>
    </row>
    <row r="2790" spans="1:12">
      <c r="A2790" s="20"/>
      <c r="B2790" s="21"/>
      <c r="C2790" s="175"/>
      <c r="D2790" s="175"/>
      <c r="E2790" s="175"/>
      <c r="F2790" s="232"/>
      <c r="G2790" s="232"/>
      <c r="H2790" s="232"/>
      <c r="I2790" s="63"/>
      <c r="J2790" s="190"/>
      <c r="K2790" s="206"/>
      <c r="L2790" s="7"/>
    </row>
    <row r="2791" spans="1:12">
      <c r="A2791" s="19"/>
      <c r="B2791" s="7"/>
      <c r="C2791" s="175"/>
      <c r="D2791" s="175"/>
      <c r="E2791" s="175"/>
      <c r="F2791" s="229"/>
      <c r="G2791" s="229"/>
      <c r="H2791" s="229"/>
      <c r="I2791" s="72"/>
      <c r="J2791" s="185"/>
      <c r="K2791" s="205"/>
      <c r="L2791" s="7"/>
    </row>
    <row r="2792" spans="1:12">
      <c r="A2792" s="19"/>
      <c r="B2792" s="7"/>
      <c r="C2792" s="175"/>
      <c r="D2792" s="175"/>
      <c r="E2792" s="175"/>
      <c r="F2792" s="229"/>
      <c r="G2792" s="229"/>
      <c r="H2792" s="229"/>
      <c r="I2792" s="72"/>
      <c r="J2792" s="185"/>
      <c r="K2792" s="205"/>
      <c r="L2792" s="7"/>
    </row>
    <row r="2793" spans="1:12">
      <c r="A2793" s="20"/>
      <c r="B2793" s="21"/>
      <c r="C2793" s="175"/>
      <c r="D2793" s="175"/>
      <c r="E2793" s="175"/>
      <c r="F2793" s="232"/>
      <c r="G2793" s="232"/>
      <c r="H2793" s="232"/>
      <c r="I2793" s="63"/>
      <c r="J2793" s="190"/>
      <c r="K2793" s="206"/>
      <c r="L2793" s="7"/>
    </row>
    <row r="2794" spans="1:12">
      <c r="A2794" s="20"/>
      <c r="B2794" s="21"/>
      <c r="C2794" s="175"/>
      <c r="D2794" s="175"/>
      <c r="E2794" s="175"/>
      <c r="F2794" s="232"/>
      <c r="G2794" s="232"/>
      <c r="H2794" s="232"/>
      <c r="I2794" s="63"/>
      <c r="J2794" s="190"/>
      <c r="K2794" s="206"/>
      <c r="L2794" s="32"/>
    </row>
    <row r="2795" spans="1:12">
      <c r="A2795" s="19"/>
      <c r="B2795" s="7"/>
      <c r="C2795" s="175"/>
      <c r="D2795" s="175"/>
      <c r="E2795" s="175"/>
      <c r="F2795" s="229"/>
      <c r="G2795" s="229"/>
      <c r="H2795" s="229"/>
      <c r="I2795" s="72"/>
      <c r="J2795" s="185"/>
      <c r="K2795" s="205"/>
      <c r="L2795" s="32"/>
    </row>
    <row r="2796" spans="1:12">
      <c r="A2796" s="19"/>
      <c r="B2796" s="7"/>
      <c r="C2796" s="175"/>
      <c r="D2796" s="175"/>
      <c r="E2796" s="175"/>
      <c r="F2796" s="229"/>
      <c r="G2796" s="229"/>
      <c r="H2796" s="229"/>
      <c r="I2796" s="72"/>
      <c r="J2796" s="185"/>
      <c r="K2796" s="205"/>
      <c r="L2796" s="32"/>
    </row>
    <row r="2797" spans="1:12">
      <c r="A2797" s="19"/>
      <c r="B2797" s="7"/>
      <c r="C2797" s="175"/>
      <c r="D2797" s="175"/>
      <c r="E2797" s="175"/>
      <c r="F2797" s="229"/>
      <c r="G2797" s="229"/>
      <c r="H2797" s="229"/>
      <c r="I2797" s="72"/>
      <c r="J2797" s="185"/>
      <c r="K2797" s="205"/>
      <c r="L2797" s="32"/>
    </row>
    <row r="2798" spans="1:12">
      <c r="A2798" s="19"/>
      <c r="B2798" s="7"/>
      <c r="C2798" s="175"/>
      <c r="D2798" s="175"/>
      <c r="E2798" s="175"/>
      <c r="F2798" s="229"/>
      <c r="G2798" s="229"/>
      <c r="H2798" s="229"/>
      <c r="I2798" s="72"/>
      <c r="J2798" s="185"/>
      <c r="K2798" s="205"/>
      <c r="L2798" s="32"/>
    </row>
    <row r="2799" spans="1:12">
      <c r="A2799" s="19"/>
      <c r="B2799" s="7"/>
      <c r="C2799" s="175"/>
      <c r="D2799" s="175"/>
      <c r="E2799" s="175"/>
      <c r="F2799" s="229"/>
      <c r="G2799" s="229"/>
      <c r="H2799" s="229"/>
      <c r="I2799" s="72"/>
      <c r="J2799" s="185"/>
      <c r="K2799" s="205"/>
      <c r="L2799" s="32"/>
    </row>
    <row r="2800" spans="1:12">
      <c r="A2800" s="19"/>
      <c r="B2800" s="7"/>
      <c r="C2800" s="175"/>
      <c r="D2800" s="175"/>
      <c r="E2800" s="175"/>
      <c r="F2800" s="229"/>
      <c r="G2800" s="229"/>
      <c r="H2800" s="229"/>
      <c r="I2800" s="72"/>
      <c r="J2800" s="185"/>
      <c r="K2800" s="205"/>
      <c r="L2800" s="32"/>
    </row>
    <row r="2801" spans="1:12">
      <c r="A2801" s="19"/>
      <c r="B2801" s="7"/>
      <c r="C2801" s="175"/>
      <c r="D2801" s="175"/>
      <c r="E2801" s="175"/>
      <c r="F2801" s="229"/>
      <c r="G2801" s="229"/>
      <c r="H2801" s="229"/>
      <c r="I2801" s="72"/>
      <c r="J2801" s="185"/>
      <c r="K2801" s="205"/>
      <c r="L2801" s="34"/>
    </row>
    <row r="2802" spans="1:12">
      <c r="A2802" s="19"/>
      <c r="B2802" s="7"/>
      <c r="C2802" s="175"/>
      <c r="D2802" s="175"/>
      <c r="E2802" s="175"/>
      <c r="F2802" s="229"/>
      <c r="G2802" s="229"/>
      <c r="H2802" s="229"/>
      <c r="I2802" s="72"/>
      <c r="J2802" s="185"/>
      <c r="K2802" s="205"/>
      <c r="L2802" s="34"/>
    </row>
    <row r="2803" spans="1:12">
      <c r="A2803" s="19"/>
      <c r="B2803" s="7"/>
      <c r="C2803" s="175"/>
      <c r="D2803" s="175"/>
      <c r="E2803" s="175"/>
      <c r="F2803" s="229"/>
      <c r="G2803" s="229"/>
      <c r="H2803" s="229"/>
      <c r="I2803" s="72"/>
      <c r="J2803" s="185"/>
      <c r="K2803" s="205"/>
      <c r="L2803" s="34"/>
    </row>
    <row r="2804" spans="1:12">
      <c r="A2804" s="19"/>
      <c r="B2804" s="7"/>
      <c r="C2804" s="175"/>
      <c r="D2804" s="175"/>
      <c r="E2804" s="175"/>
      <c r="F2804" s="229"/>
      <c r="G2804" s="229"/>
      <c r="H2804" s="229"/>
      <c r="I2804" s="72"/>
      <c r="J2804" s="185"/>
      <c r="K2804" s="205"/>
      <c r="L2804" s="34"/>
    </row>
    <row r="2805" spans="1:12">
      <c r="A2805" s="19"/>
      <c r="B2805" s="7"/>
      <c r="C2805" s="175"/>
      <c r="D2805" s="175"/>
      <c r="E2805" s="175"/>
      <c r="F2805" s="229"/>
      <c r="G2805" s="229"/>
      <c r="H2805" s="229"/>
      <c r="I2805" s="72"/>
      <c r="J2805" s="185"/>
      <c r="K2805" s="205"/>
      <c r="L2805" s="34"/>
    </row>
    <row r="2806" spans="1:12">
      <c r="A2806" s="19"/>
      <c r="B2806" s="7"/>
      <c r="C2806" s="175"/>
      <c r="D2806" s="175"/>
      <c r="E2806" s="175"/>
      <c r="F2806" s="229"/>
      <c r="G2806" s="229"/>
      <c r="H2806" s="229"/>
      <c r="I2806" s="72"/>
      <c r="J2806" s="185"/>
      <c r="K2806" s="205"/>
      <c r="L2806" s="34"/>
    </row>
    <row r="2807" spans="1:12">
      <c r="A2807" s="19"/>
      <c r="B2807" s="7"/>
      <c r="C2807" s="175"/>
      <c r="D2807" s="175"/>
      <c r="E2807" s="175"/>
      <c r="F2807" s="229"/>
      <c r="G2807" s="229"/>
      <c r="H2807" s="229"/>
      <c r="I2807" s="72"/>
      <c r="J2807" s="185"/>
      <c r="K2807" s="205"/>
      <c r="L2807" s="34"/>
    </row>
    <row r="2808" spans="1:12">
      <c r="A2808" s="19"/>
      <c r="B2808" s="7"/>
      <c r="C2808" s="175"/>
      <c r="D2808" s="175"/>
      <c r="E2808" s="175"/>
      <c r="F2808" s="229"/>
      <c r="G2808" s="229"/>
      <c r="H2808" s="229"/>
      <c r="I2808" s="72"/>
      <c r="J2808" s="185"/>
      <c r="K2808" s="205"/>
      <c r="L2808" s="7"/>
    </row>
    <row r="2809" spans="1:12">
      <c r="A2809" s="19"/>
      <c r="B2809" s="7"/>
      <c r="C2809" s="175"/>
      <c r="D2809" s="175"/>
      <c r="E2809" s="175"/>
      <c r="F2809" s="229"/>
      <c r="G2809" s="229"/>
      <c r="H2809" s="229"/>
      <c r="I2809" s="72"/>
      <c r="J2809" s="185"/>
      <c r="K2809" s="205"/>
      <c r="L2809" s="7"/>
    </row>
    <row r="2810" spans="1:12">
      <c r="A2810" s="19"/>
      <c r="B2810" s="7"/>
      <c r="C2810" s="175"/>
      <c r="D2810" s="175"/>
      <c r="E2810" s="175"/>
      <c r="F2810" s="229"/>
      <c r="G2810" s="229"/>
      <c r="H2810" s="229"/>
      <c r="I2810" s="72"/>
      <c r="J2810" s="185"/>
      <c r="K2810" s="205"/>
      <c r="L2810" s="7"/>
    </row>
    <row r="2811" spans="1:12">
      <c r="A2811" s="19"/>
      <c r="B2811" s="7"/>
      <c r="C2811" s="175"/>
      <c r="D2811" s="175"/>
      <c r="E2811" s="175"/>
      <c r="F2811" s="229"/>
      <c r="G2811" s="229"/>
      <c r="H2811" s="229"/>
      <c r="I2811" s="72"/>
      <c r="J2811" s="185"/>
      <c r="K2811" s="205"/>
      <c r="L2811" s="7"/>
    </row>
    <row r="2812" spans="1:12">
      <c r="A2812" s="19"/>
      <c r="B2812" s="7"/>
      <c r="C2812" s="175"/>
      <c r="D2812" s="175"/>
      <c r="E2812" s="175"/>
      <c r="F2812" s="229"/>
      <c r="G2812" s="229"/>
      <c r="H2812" s="229"/>
      <c r="I2812" s="72"/>
      <c r="J2812" s="185"/>
      <c r="K2812" s="205"/>
      <c r="L2812" s="7"/>
    </row>
    <row r="2813" spans="1:12">
      <c r="A2813" s="19"/>
      <c r="B2813" s="7"/>
      <c r="C2813" s="175"/>
      <c r="D2813" s="175"/>
      <c r="E2813" s="175"/>
      <c r="F2813" s="229"/>
      <c r="G2813" s="229"/>
      <c r="H2813" s="229"/>
      <c r="I2813" s="72"/>
      <c r="J2813" s="185"/>
      <c r="K2813" s="205"/>
      <c r="L2813" s="7"/>
    </row>
    <row r="2814" spans="1:12">
      <c r="A2814" s="19"/>
      <c r="B2814" s="7"/>
      <c r="C2814" s="175"/>
      <c r="D2814" s="175"/>
      <c r="E2814" s="175"/>
      <c r="F2814" s="229"/>
      <c r="G2814" s="229"/>
      <c r="H2814" s="229"/>
      <c r="I2814" s="72"/>
      <c r="J2814" s="185"/>
      <c r="K2814" s="205"/>
      <c r="L2814" s="7"/>
    </row>
    <row r="2815" spans="1:12">
      <c r="A2815" s="19"/>
      <c r="B2815" s="7"/>
      <c r="C2815" s="175"/>
      <c r="D2815" s="175"/>
      <c r="E2815" s="175"/>
      <c r="F2815" s="229"/>
      <c r="G2815" s="229"/>
      <c r="H2815" s="229"/>
      <c r="I2815" s="72"/>
      <c r="J2815" s="185"/>
      <c r="K2815" s="205"/>
      <c r="L2815" s="7"/>
    </row>
    <row r="2816" spans="1:12">
      <c r="A2816" s="19"/>
      <c r="B2816" s="7"/>
      <c r="C2816" s="175"/>
      <c r="D2816" s="175"/>
      <c r="E2816" s="175"/>
      <c r="F2816" s="229"/>
      <c r="G2816" s="229"/>
      <c r="H2816" s="229"/>
      <c r="I2816" s="72"/>
      <c r="J2816" s="185"/>
      <c r="K2816" s="205"/>
      <c r="L2816" s="7"/>
    </row>
    <row r="2817" spans="1:12">
      <c r="A2817" s="19"/>
      <c r="B2817" s="7"/>
      <c r="C2817" s="175"/>
      <c r="D2817" s="175"/>
      <c r="E2817" s="175"/>
      <c r="F2817" s="229"/>
      <c r="G2817" s="229"/>
      <c r="H2817" s="229"/>
      <c r="I2817" s="72"/>
      <c r="J2817" s="185"/>
      <c r="K2817" s="205"/>
      <c r="L2817" s="7"/>
    </row>
    <row r="2818" spans="1:12">
      <c r="A2818" s="19"/>
      <c r="B2818" s="7"/>
      <c r="C2818" s="175"/>
      <c r="D2818" s="175"/>
      <c r="E2818" s="175"/>
      <c r="F2818" s="229"/>
      <c r="G2818" s="229"/>
      <c r="H2818" s="229"/>
      <c r="I2818" s="72"/>
      <c r="J2818" s="185"/>
      <c r="K2818" s="205"/>
      <c r="L2818" s="7"/>
    </row>
    <row r="2819" spans="1:12">
      <c r="A2819" s="19"/>
      <c r="B2819" s="7"/>
      <c r="C2819" s="175"/>
      <c r="D2819" s="175"/>
      <c r="E2819" s="175"/>
      <c r="F2819" s="229"/>
      <c r="G2819" s="229"/>
      <c r="H2819" s="229"/>
      <c r="I2819" s="72"/>
      <c r="J2819" s="185"/>
      <c r="K2819" s="205"/>
      <c r="L2819" s="7"/>
    </row>
    <row r="2820" spans="1:12">
      <c r="A2820" s="19"/>
      <c r="B2820" s="7"/>
      <c r="C2820" s="175"/>
      <c r="D2820" s="175"/>
      <c r="E2820" s="175"/>
      <c r="F2820" s="229"/>
      <c r="G2820" s="229"/>
      <c r="H2820" s="229"/>
      <c r="I2820" s="72"/>
      <c r="J2820" s="185"/>
      <c r="K2820" s="205"/>
      <c r="L2820" s="7"/>
    </row>
    <row r="2821" spans="1:12">
      <c r="A2821" s="19"/>
      <c r="B2821" s="7"/>
      <c r="C2821" s="175"/>
      <c r="D2821" s="175"/>
      <c r="E2821" s="175"/>
      <c r="F2821" s="229"/>
      <c r="G2821" s="229"/>
      <c r="H2821" s="229"/>
      <c r="I2821" s="72"/>
      <c r="J2821" s="185"/>
      <c r="K2821" s="205"/>
      <c r="L2821" s="7"/>
    </row>
    <row r="2822" spans="1:12">
      <c r="A2822" s="19"/>
      <c r="B2822" s="7"/>
      <c r="C2822" s="175"/>
      <c r="D2822" s="175"/>
      <c r="E2822" s="175"/>
      <c r="F2822" s="229"/>
      <c r="G2822" s="229"/>
      <c r="H2822" s="229"/>
      <c r="I2822" s="72"/>
      <c r="J2822" s="185"/>
      <c r="K2822" s="205"/>
      <c r="L2822" s="7"/>
    </row>
    <row r="2823" spans="1:12">
      <c r="A2823" s="19"/>
      <c r="B2823" s="7"/>
      <c r="C2823" s="175"/>
      <c r="D2823" s="175"/>
      <c r="E2823" s="175"/>
      <c r="F2823" s="229"/>
      <c r="G2823" s="229"/>
      <c r="H2823" s="229"/>
      <c r="I2823" s="72"/>
      <c r="J2823" s="185"/>
      <c r="K2823" s="205"/>
      <c r="L2823" s="7"/>
    </row>
    <row r="2824" spans="1:12">
      <c r="A2824" s="19"/>
      <c r="B2824" s="7"/>
      <c r="C2824" s="175"/>
      <c r="D2824" s="175"/>
      <c r="E2824" s="175"/>
      <c r="F2824" s="229"/>
      <c r="G2824" s="229"/>
      <c r="H2824" s="229"/>
      <c r="I2824" s="72"/>
      <c r="J2824" s="185"/>
      <c r="K2824" s="205"/>
      <c r="L2824" s="7"/>
    </row>
    <row r="2825" spans="1:12">
      <c r="A2825" s="19"/>
      <c r="B2825" s="7"/>
      <c r="C2825" s="175"/>
      <c r="D2825" s="175"/>
      <c r="E2825" s="175"/>
      <c r="F2825" s="229"/>
      <c r="G2825" s="229"/>
      <c r="H2825" s="229"/>
      <c r="I2825" s="72"/>
      <c r="J2825" s="185"/>
      <c r="K2825" s="205"/>
      <c r="L2825" s="7"/>
    </row>
    <row r="2826" spans="1:12">
      <c r="A2826" s="20"/>
      <c r="B2826" s="21"/>
      <c r="C2826" s="175"/>
      <c r="D2826" s="175"/>
      <c r="E2826" s="175"/>
      <c r="F2826" s="232"/>
      <c r="G2826" s="232"/>
      <c r="H2826" s="232"/>
      <c r="I2826" s="63"/>
      <c r="J2826" s="190"/>
      <c r="K2826" s="206"/>
      <c r="L2826" s="7"/>
    </row>
    <row r="2827" spans="1:12">
      <c r="A2827" s="20"/>
      <c r="B2827" s="21"/>
      <c r="C2827" s="175"/>
      <c r="D2827" s="175"/>
      <c r="E2827" s="175"/>
      <c r="F2827" s="232"/>
      <c r="G2827" s="232"/>
      <c r="H2827" s="232"/>
      <c r="I2827" s="63"/>
      <c r="J2827" s="190"/>
      <c r="K2827" s="206"/>
      <c r="L2827" s="7"/>
    </row>
    <row r="2828" spans="1:12">
      <c r="A2828" s="19"/>
      <c r="B2828" s="7"/>
      <c r="C2828" s="175"/>
      <c r="D2828" s="175"/>
      <c r="E2828" s="175"/>
      <c r="F2828" s="229"/>
      <c r="G2828" s="229"/>
      <c r="H2828" s="229"/>
      <c r="I2828" s="72"/>
      <c r="J2828" s="185"/>
      <c r="K2828" s="205"/>
      <c r="L2828" s="7"/>
    </row>
    <row r="2829" spans="1:12">
      <c r="A2829" s="20"/>
      <c r="B2829" s="21"/>
      <c r="C2829" s="175"/>
      <c r="D2829" s="175"/>
      <c r="E2829" s="175"/>
      <c r="F2829" s="232"/>
      <c r="G2829" s="232"/>
      <c r="H2829" s="232"/>
      <c r="I2829" s="63"/>
      <c r="J2829" s="190"/>
      <c r="K2829" s="206"/>
      <c r="L2829" s="7"/>
    </row>
    <row r="2830" spans="1:12">
      <c r="A2830" s="20"/>
      <c r="B2830" s="21"/>
      <c r="C2830" s="175"/>
      <c r="D2830" s="175"/>
      <c r="E2830" s="175"/>
      <c r="F2830" s="232"/>
      <c r="G2830" s="232"/>
      <c r="H2830" s="232"/>
      <c r="I2830" s="63"/>
      <c r="J2830" s="190"/>
      <c r="K2830" s="206"/>
      <c r="L2830" s="7"/>
    </row>
    <row r="2831" spans="1:12">
      <c r="A2831" s="20"/>
      <c r="B2831" s="21"/>
      <c r="C2831" s="175"/>
      <c r="D2831" s="175"/>
      <c r="E2831" s="175"/>
      <c r="F2831" s="232"/>
      <c r="G2831" s="232"/>
      <c r="H2831" s="232"/>
      <c r="I2831" s="63"/>
      <c r="J2831" s="190"/>
      <c r="K2831" s="206"/>
      <c r="L2831" s="7"/>
    </row>
    <row r="2832" spans="1:12">
      <c r="A2832" s="20"/>
      <c r="B2832" s="21"/>
      <c r="C2832" s="175"/>
      <c r="D2832" s="175"/>
      <c r="E2832" s="175"/>
      <c r="F2832" s="232"/>
      <c r="G2832" s="232"/>
      <c r="H2832" s="232"/>
      <c r="I2832" s="63"/>
      <c r="J2832" s="190"/>
      <c r="K2832" s="206"/>
      <c r="L2832" s="7"/>
    </row>
    <row r="2833" spans="1:12">
      <c r="A2833" s="19"/>
      <c r="B2833" s="7"/>
      <c r="C2833" s="175"/>
      <c r="D2833" s="175"/>
      <c r="E2833" s="175"/>
      <c r="F2833" s="229"/>
      <c r="G2833" s="229"/>
      <c r="H2833" s="229"/>
      <c r="I2833" s="72"/>
      <c r="J2833" s="185"/>
      <c r="K2833" s="205"/>
      <c r="L2833" s="7"/>
    </row>
    <row r="2834" spans="1:12">
      <c r="A2834" s="19"/>
      <c r="B2834" s="7"/>
      <c r="C2834" s="175"/>
      <c r="D2834" s="175"/>
      <c r="E2834" s="175"/>
      <c r="F2834" s="229"/>
      <c r="G2834" s="229"/>
      <c r="H2834" s="229"/>
      <c r="I2834" s="72"/>
      <c r="J2834" s="185"/>
      <c r="K2834" s="205"/>
      <c r="L2834" s="7"/>
    </row>
    <row r="2835" spans="1:12">
      <c r="A2835" s="19"/>
      <c r="B2835" s="7"/>
      <c r="C2835" s="175"/>
      <c r="D2835" s="175"/>
      <c r="E2835" s="175"/>
      <c r="F2835" s="229"/>
      <c r="G2835" s="229"/>
      <c r="H2835" s="229"/>
      <c r="I2835" s="72"/>
      <c r="J2835" s="185"/>
      <c r="K2835" s="205"/>
      <c r="L2835" s="7"/>
    </row>
    <row r="2836" spans="1:12">
      <c r="A2836" s="19"/>
      <c r="B2836" s="7"/>
      <c r="C2836" s="175"/>
      <c r="D2836" s="175"/>
      <c r="E2836" s="175"/>
      <c r="F2836" s="229"/>
      <c r="G2836" s="229"/>
      <c r="H2836" s="229"/>
      <c r="I2836" s="72"/>
      <c r="J2836" s="185"/>
      <c r="K2836" s="205"/>
      <c r="L2836" s="7"/>
    </row>
    <row r="2837" spans="1:12">
      <c r="A2837" s="19"/>
      <c r="B2837" s="7"/>
      <c r="C2837" s="175"/>
      <c r="D2837" s="175"/>
      <c r="E2837" s="175"/>
      <c r="F2837" s="229"/>
      <c r="G2837" s="229"/>
      <c r="H2837" s="229"/>
      <c r="I2837" s="72"/>
      <c r="J2837" s="185"/>
      <c r="K2837" s="205"/>
      <c r="L2837" s="7"/>
    </row>
    <row r="2838" spans="1:12">
      <c r="A2838" s="19"/>
      <c r="B2838" s="7"/>
      <c r="C2838" s="175"/>
      <c r="D2838" s="175"/>
      <c r="E2838" s="175"/>
      <c r="F2838" s="229"/>
      <c r="G2838" s="229"/>
      <c r="H2838" s="229"/>
      <c r="I2838" s="72"/>
      <c r="J2838" s="185"/>
      <c r="K2838" s="205"/>
      <c r="L2838" s="7"/>
    </row>
    <row r="2839" spans="1:12">
      <c r="A2839" s="19"/>
      <c r="B2839" s="7"/>
      <c r="C2839" s="175"/>
      <c r="D2839" s="175"/>
      <c r="E2839" s="175"/>
      <c r="F2839" s="229"/>
      <c r="G2839" s="229"/>
      <c r="H2839" s="229"/>
      <c r="I2839" s="72"/>
      <c r="J2839" s="185"/>
      <c r="K2839" s="205"/>
      <c r="L2839" s="7"/>
    </row>
    <row r="2840" spans="1:12">
      <c r="A2840" s="19"/>
      <c r="B2840" s="7"/>
      <c r="C2840" s="175"/>
      <c r="D2840" s="175"/>
      <c r="E2840" s="175"/>
      <c r="F2840" s="229"/>
      <c r="G2840" s="229"/>
      <c r="H2840" s="229"/>
      <c r="I2840" s="72"/>
      <c r="J2840" s="185"/>
      <c r="K2840" s="205"/>
      <c r="L2840" s="7"/>
    </row>
    <row r="2841" spans="1:12">
      <c r="A2841" s="19"/>
      <c r="B2841" s="7"/>
      <c r="C2841" s="175"/>
      <c r="D2841" s="175"/>
      <c r="E2841" s="175"/>
      <c r="F2841" s="229"/>
      <c r="G2841" s="229"/>
      <c r="H2841" s="229"/>
      <c r="I2841" s="72"/>
      <c r="J2841" s="185"/>
      <c r="K2841" s="205"/>
      <c r="L2841" s="7"/>
    </row>
    <row r="2842" spans="1:12">
      <c r="A2842" s="19"/>
      <c r="B2842" s="7"/>
      <c r="C2842" s="175"/>
      <c r="D2842" s="175"/>
      <c r="E2842" s="175"/>
      <c r="F2842" s="229"/>
      <c r="G2842" s="229"/>
      <c r="H2842" s="229"/>
      <c r="I2842" s="72"/>
      <c r="J2842" s="185"/>
      <c r="K2842" s="205"/>
      <c r="L2842" s="7"/>
    </row>
    <row r="2843" spans="1:12">
      <c r="A2843" s="20"/>
      <c r="B2843" s="21"/>
      <c r="C2843" s="175"/>
      <c r="D2843" s="175"/>
      <c r="E2843" s="175"/>
      <c r="F2843" s="232"/>
      <c r="G2843" s="232"/>
      <c r="H2843" s="232"/>
      <c r="I2843" s="63"/>
      <c r="J2843" s="190"/>
      <c r="K2843" s="206"/>
      <c r="L2843" s="7"/>
    </row>
    <row r="2844" spans="1:12">
      <c r="A2844" s="20"/>
      <c r="B2844" s="21"/>
      <c r="C2844" s="175"/>
      <c r="D2844" s="175"/>
      <c r="E2844" s="175"/>
      <c r="F2844" s="232"/>
      <c r="G2844" s="232"/>
      <c r="H2844" s="232"/>
      <c r="I2844" s="63"/>
      <c r="J2844" s="190"/>
      <c r="K2844" s="206"/>
      <c r="L2844" s="7"/>
    </row>
    <row r="2845" spans="1:12">
      <c r="A2845" s="20"/>
      <c r="B2845" s="21"/>
      <c r="C2845" s="175"/>
      <c r="D2845" s="175"/>
      <c r="E2845" s="175"/>
      <c r="F2845" s="232"/>
      <c r="G2845" s="232"/>
      <c r="H2845" s="232"/>
      <c r="I2845" s="63"/>
      <c r="J2845" s="190"/>
      <c r="K2845" s="206"/>
      <c r="L2845" s="7"/>
    </row>
    <row r="2846" spans="1:12">
      <c r="A2846" s="20"/>
      <c r="B2846" s="21"/>
      <c r="C2846" s="175"/>
      <c r="D2846" s="175"/>
      <c r="E2846" s="175"/>
      <c r="F2846" s="232"/>
      <c r="G2846" s="232"/>
      <c r="H2846" s="232"/>
      <c r="I2846" s="63"/>
      <c r="J2846" s="190"/>
      <c r="K2846" s="206"/>
      <c r="L2846" s="7"/>
    </row>
    <row r="2847" spans="1:12">
      <c r="A2847" s="20"/>
      <c r="B2847" s="21"/>
      <c r="C2847" s="175"/>
      <c r="D2847" s="175"/>
      <c r="E2847" s="175"/>
      <c r="F2847" s="232"/>
      <c r="G2847" s="232"/>
      <c r="H2847" s="232"/>
      <c r="I2847" s="63"/>
      <c r="J2847" s="190"/>
      <c r="K2847" s="206"/>
      <c r="L2847" s="7"/>
    </row>
    <row r="2848" spans="1:12">
      <c r="A2848" s="20"/>
      <c r="B2848" s="21"/>
      <c r="C2848" s="175"/>
      <c r="D2848" s="175"/>
      <c r="E2848" s="175"/>
      <c r="F2848" s="232"/>
      <c r="G2848" s="232"/>
      <c r="H2848" s="232"/>
      <c r="I2848" s="63"/>
      <c r="J2848" s="190"/>
      <c r="K2848" s="206"/>
      <c r="L2848" s="7"/>
    </row>
    <row r="2849" spans="1:12">
      <c r="A2849" s="20"/>
      <c r="B2849" s="21"/>
      <c r="C2849" s="175"/>
      <c r="D2849" s="175"/>
      <c r="E2849" s="175"/>
      <c r="F2849" s="232"/>
      <c r="G2849" s="232"/>
      <c r="H2849" s="232"/>
      <c r="I2849" s="63"/>
      <c r="J2849" s="190"/>
      <c r="K2849" s="206"/>
      <c r="L2849" s="7"/>
    </row>
    <row r="2850" spans="1:12">
      <c r="A2850" s="20"/>
      <c r="B2850" s="21"/>
      <c r="C2850" s="175"/>
      <c r="D2850" s="175"/>
      <c r="E2850" s="175"/>
      <c r="F2850" s="232"/>
      <c r="G2850" s="232"/>
      <c r="H2850" s="232"/>
      <c r="I2850" s="63"/>
      <c r="J2850" s="190"/>
      <c r="K2850" s="206"/>
      <c r="L2850" s="7"/>
    </row>
    <row r="2851" spans="1:12">
      <c r="A2851" s="19"/>
      <c r="B2851" s="7"/>
      <c r="C2851" s="175"/>
      <c r="D2851" s="175"/>
      <c r="E2851" s="175"/>
      <c r="F2851" s="229"/>
      <c r="G2851" s="229"/>
      <c r="H2851" s="229"/>
      <c r="I2851" s="72"/>
      <c r="J2851" s="185"/>
      <c r="K2851" s="205"/>
      <c r="L2851" s="7"/>
    </row>
    <row r="2852" spans="1:12">
      <c r="A2852" s="19"/>
      <c r="B2852" s="7"/>
      <c r="C2852" s="175"/>
      <c r="D2852" s="175"/>
      <c r="E2852" s="175"/>
      <c r="F2852" s="229"/>
      <c r="G2852" s="229"/>
      <c r="H2852" s="229"/>
      <c r="I2852" s="72"/>
      <c r="J2852" s="185"/>
      <c r="K2852" s="205"/>
      <c r="L2852" s="7"/>
    </row>
    <row r="2853" spans="1:12">
      <c r="A2853" s="19"/>
      <c r="B2853" s="7"/>
      <c r="C2853" s="175"/>
      <c r="D2853" s="175"/>
      <c r="E2853" s="175"/>
      <c r="F2853" s="229"/>
      <c r="G2853" s="229"/>
      <c r="H2853" s="229"/>
      <c r="I2853" s="72"/>
      <c r="J2853" s="185"/>
      <c r="K2853" s="205"/>
      <c r="L2853" s="7"/>
    </row>
    <row r="2854" spans="1:12">
      <c r="A2854" s="19"/>
      <c r="B2854" s="7"/>
      <c r="C2854" s="175"/>
      <c r="D2854" s="175"/>
      <c r="E2854" s="175"/>
      <c r="F2854" s="229"/>
      <c r="G2854" s="229"/>
      <c r="H2854" s="229"/>
      <c r="I2854" s="72"/>
      <c r="J2854" s="185"/>
      <c r="K2854" s="205"/>
      <c r="L2854" s="7"/>
    </row>
    <row r="2855" spans="1:12">
      <c r="A2855" s="19"/>
      <c r="B2855" s="7"/>
      <c r="C2855" s="175"/>
      <c r="D2855" s="175"/>
      <c r="E2855" s="175"/>
      <c r="F2855" s="229"/>
      <c r="G2855" s="229"/>
      <c r="H2855" s="229"/>
      <c r="I2855" s="72"/>
      <c r="J2855" s="185"/>
      <c r="K2855" s="205"/>
      <c r="L2855" s="7"/>
    </row>
    <row r="2856" spans="1:12">
      <c r="A2856" s="19"/>
      <c r="B2856" s="7"/>
      <c r="C2856" s="175"/>
      <c r="D2856" s="175"/>
      <c r="E2856" s="175"/>
      <c r="F2856" s="229"/>
      <c r="G2856" s="229"/>
      <c r="H2856" s="229"/>
      <c r="I2856" s="72"/>
      <c r="J2856" s="185"/>
      <c r="K2856" s="205"/>
      <c r="L2856" s="7"/>
    </row>
    <row r="2857" spans="1:12">
      <c r="A2857" s="19"/>
      <c r="B2857" s="7"/>
      <c r="C2857" s="175"/>
      <c r="D2857" s="175"/>
      <c r="E2857" s="175"/>
      <c r="F2857" s="229"/>
      <c r="G2857" s="229"/>
      <c r="H2857" s="229"/>
      <c r="I2857" s="72"/>
      <c r="J2857" s="185"/>
      <c r="K2857" s="205"/>
      <c r="L2857" s="7"/>
    </row>
    <row r="2858" spans="1:12">
      <c r="A2858" s="19"/>
      <c r="B2858" s="7"/>
      <c r="C2858" s="175"/>
      <c r="D2858" s="175"/>
      <c r="E2858" s="175"/>
      <c r="F2858" s="229"/>
      <c r="G2858" s="229"/>
      <c r="H2858" s="229"/>
      <c r="I2858" s="72"/>
      <c r="J2858" s="185"/>
      <c r="K2858" s="205"/>
      <c r="L2858" s="7"/>
    </row>
    <row r="2859" spans="1:12">
      <c r="A2859" s="19"/>
      <c r="B2859" s="7"/>
      <c r="C2859" s="175"/>
      <c r="D2859" s="175"/>
      <c r="E2859" s="175"/>
      <c r="F2859" s="229"/>
      <c r="G2859" s="229"/>
      <c r="H2859" s="229"/>
      <c r="I2859" s="72"/>
      <c r="J2859" s="185"/>
      <c r="K2859" s="205"/>
      <c r="L2859" s="7"/>
    </row>
    <row r="2860" spans="1:12">
      <c r="A2860" s="19"/>
      <c r="B2860" s="7"/>
      <c r="C2860" s="175"/>
      <c r="D2860" s="175"/>
      <c r="E2860" s="175"/>
      <c r="F2860" s="229"/>
      <c r="G2860" s="229"/>
      <c r="H2860" s="229"/>
      <c r="I2860" s="72"/>
      <c r="J2860" s="185"/>
      <c r="K2860" s="205"/>
      <c r="L2860" s="7"/>
    </row>
    <row r="2861" spans="1:12">
      <c r="A2861" s="19"/>
      <c r="B2861" s="7"/>
      <c r="C2861" s="175"/>
      <c r="D2861" s="175"/>
      <c r="E2861" s="175"/>
      <c r="F2861" s="229"/>
      <c r="G2861" s="229"/>
      <c r="H2861" s="229"/>
      <c r="I2861" s="72"/>
      <c r="J2861" s="185"/>
      <c r="K2861" s="205"/>
      <c r="L2861" s="7"/>
    </row>
    <row r="2862" spans="1:12">
      <c r="A2862" s="19"/>
      <c r="B2862" s="7"/>
      <c r="C2862" s="175"/>
      <c r="D2862" s="175"/>
      <c r="E2862" s="175"/>
      <c r="F2862" s="229"/>
      <c r="G2862" s="229"/>
      <c r="H2862" s="229"/>
      <c r="I2862" s="72"/>
      <c r="J2862" s="185"/>
      <c r="K2862" s="205"/>
      <c r="L2862" s="7"/>
    </row>
    <row r="2863" spans="1:12">
      <c r="A2863" s="19"/>
      <c r="B2863" s="7"/>
      <c r="C2863" s="175"/>
      <c r="D2863" s="175"/>
      <c r="E2863" s="175"/>
      <c r="F2863" s="229"/>
      <c r="G2863" s="229"/>
      <c r="H2863" s="229"/>
      <c r="I2863" s="72"/>
      <c r="J2863" s="185"/>
      <c r="K2863" s="205"/>
      <c r="L2863" s="7"/>
    </row>
    <row r="2864" spans="1:12">
      <c r="A2864" s="19"/>
      <c r="B2864" s="7"/>
      <c r="C2864" s="175"/>
      <c r="D2864" s="175"/>
      <c r="E2864" s="175"/>
      <c r="F2864" s="229"/>
      <c r="G2864" s="229"/>
      <c r="H2864" s="229"/>
      <c r="I2864" s="72"/>
      <c r="J2864" s="185"/>
      <c r="K2864" s="205"/>
      <c r="L2864" s="7"/>
    </row>
    <row r="2865" spans="1:12">
      <c r="A2865" s="19"/>
      <c r="B2865" s="7"/>
      <c r="C2865" s="175"/>
      <c r="D2865" s="175"/>
      <c r="E2865" s="175"/>
      <c r="F2865" s="229"/>
      <c r="G2865" s="229"/>
      <c r="H2865" s="229"/>
      <c r="I2865" s="72"/>
      <c r="J2865" s="185"/>
      <c r="K2865" s="205"/>
      <c r="L2865" s="7"/>
    </row>
    <row r="2866" spans="1:12">
      <c r="A2866" s="19"/>
      <c r="B2866" s="7"/>
      <c r="C2866" s="175"/>
      <c r="D2866" s="175"/>
      <c r="E2866" s="175"/>
      <c r="F2866" s="229"/>
      <c r="G2866" s="229"/>
      <c r="H2866" s="229"/>
      <c r="I2866" s="72"/>
      <c r="J2866" s="185"/>
      <c r="K2866" s="205"/>
      <c r="L2866" s="7"/>
    </row>
    <row r="2867" spans="1:12">
      <c r="A2867" s="19"/>
      <c r="B2867" s="7"/>
      <c r="C2867" s="175"/>
      <c r="D2867" s="175"/>
      <c r="E2867" s="175"/>
      <c r="F2867" s="229"/>
      <c r="G2867" s="229"/>
      <c r="H2867" s="229"/>
      <c r="I2867" s="72"/>
      <c r="J2867" s="185"/>
      <c r="K2867" s="205"/>
      <c r="L2867" s="7"/>
    </row>
    <row r="2868" spans="1:12">
      <c r="A2868" s="19"/>
      <c r="B2868" s="7"/>
      <c r="C2868" s="175"/>
      <c r="D2868" s="175"/>
      <c r="E2868" s="175"/>
      <c r="F2868" s="229"/>
      <c r="G2868" s="229"/>
      <c r="H2868" s="229"/>
      <c r="I2868" s="72"/>
      <c r="J2868" s="185"/>
      <c r="K2868" s="205"/>
      <c r="L2868" s="7"/>
    </row>
    <row r="2869" spans="1:12">
      <c r="A2869" s="19"/>
      <c r="B2869" s="7"/>
      <c r="C2869" s="175"/>
      <c r="D2869" s="175"/>
      <c r="E2869" s="175"/>
      <c r="F2869" s="229"/>
      <c r="G2869" s="229"/>
      <c r="H2869" s="229"/>
      <c r="I2869" s="72"/>
      <c r="J2869" s="185"/>
      <c r="K2869" s="205"/>
      <c r="L2869" s="7"/>
    </row>
    <row r="2870" spans="1:12">
      <c r="A2870" s="19"/>
      <c r="B2870" s="7"/>
      <c r="C2870" s="175"/>
      <c r="D2870" s="175"/>
      <c r="E2870" s="175"/>
      <c r="F2870" s="229"/>
      <c r="G2870" s="229"/>
      <c r="H2870" s="229"/>
      <c r="I2870" s="72"/>
      <c r="J2870" s="185"/>
      <c r="K2870" s="205"/>
      <c r="L2870" s="7"/>
    </row>
    <row r="2871" spans="1:12">
      <c r="A2871" s="19"/>
      <c r="B2871" s="7"/>
      <c r="C2871" s="175"/>
      <c r="D2871" s="175"/>
      <c r="E2871" s="175"/>
      <c r="F2871" s="229"/>
      <c r="G2871" s="229"/>
      <c r="H2871" s="229"/>
      <c r="I2871" s="72"/>
      <c r="J2871" s="185"/>
      <c r="K2871" s="205"/>
      <c r="L2871" s="7"/>
    </row>
    <row r="2872" spans="1:12">
      <c r="A2872" s="19"/>
      <c r="B2872" s="7"/>
      <c r="C2872" s="175"/>
      <c r="D2872" s="175"/>
      <c r="E2872" s="175"/>
      <c r="F2872" s="229"/>
      <c r="G2872" s="229"/>
      <c r="H2872" s="229"/>
      <c r="I2872" s="72"/>
      <c r="J2872" s="185"/>
      <c r="K2872" s="205"/>
      <c r="L2872" s="7"/>
    </row>
    <row r="2873" spans="1:12">
      <c r="A2873" s="19"/>
      <c r="B2873" s="7"/>
      <c r="C2873" s="175"/>
      <c r="D2873" s="175"/>
      <c r="E2873" s="175"/>
      <c r="F2873" s="229"/>
      <c r="G2873" s="229"/>
      <c r="H2873" s="229"/>
      <c r="I2873" s="72"/>
      <c r="J2873" s="185"/>
      <c r="K2873" s="205"/>
      <c r="L2873" s="7"/>
    </row>
    <row r="2874" spans="1:12">
      <c r="A2874" s="19"/>
      <c r="B2874" s="7"/>
      <c r="C2874" s="175"/>
      <c r="D2874" s="175"/>
      <c r="E2874" s="175"/>
      <c r="F2874" s="229"/>
      <c r="G2874" s="229"/>
      <c r="H2874" s="229"/>
      <c r="I2874" s="72"/>
      <c r="J2874" s="185"/>
      <c r="K2874" s="205"/>
      <c r="L2874" s="7"/>
    </row>
    <row r="2875" spans="1:12">
      <c r="A2875" s="19"/>
      <c r="B2875" s="7"/>
      <c r="C2875" s="175"/>
      <c r="D2875" s="175"/>
      <c r="E2875" s="175"/>
      <c r="F2875" s="229"/>
      <c r="G2875" s="229"/>
      <c r="H2875" s="229"/>
      <c r="I2875" s="72"/>
      <c r="J2875" s="185"/>
      <c r="K2875" s="205"/>
      <c r="L2875" s="7"/>
    </row>
    <row r="2876" spans="1:12">
      <c r="A2876" s="19"/>
      <c r="B2876" s="7"/>
      <c r="C2876" s="175"/>
      <c r="D2876" s="175"/>
      <c r="E2876" s="175"/>
      <c r="F2876" s="229"/>
      <c r="G2876" s="229"/>
      <c r="H2876" s="229"/>
      <c r="I2876" s="72"/>
      <c r="J2876" s="185"/>
      <c r="K2876" s="205"/>
      <c r="L2876" s="7"/>
    </row>
    <row r="2877" spans="1:12">
      <c r="A2877" s="19"/>
      <c r="B2877" s="7"/>
      <c r="C2877" s="175"/>
      <c r="D2877" s="175"/>
      <c r="E2877" s="175"/>
      <c r="F2877" s="229"/>
      <c r="G2877" s="229"/>
      <c r="H2877" s="229"/>
      <c r="I2877" s="72"/>
      <c r="J2877" s="185"/>
      <c r="K2877" s="205"/>
      <c r="L2877" s="7"/>
    </row>
    <row r="2878" spans="1:12">
      <c r="A2878" s="20"/>
      <c r="B2878" s="21"/>
      <c r="C2878" s="175"/>
      <c r="D2878" s="175"/>
      <c r="E2878" s="175"/>
      <c r="F2878" s="232"/>
      <c r="G2878" s="232"/>
      <c r="H2878" s="232"/>
      <c r="I2878" s="63"/>
      <c r="J2878" s="190"/>
      <c r="K2878" s="206"/>
      <c r="L2878" s="7"/>
    </row>
    <row r="2879" spans="1:12">
      <c r="A2879" s="20"/>
      <c r="B2879" s="21"/>
      <c r="C2879" s="175"/>
      <c r="D2879" s="175"/>
      <c r="E2879" s="175"/>
      <c r="F2879" s="232"/>
      <c r="G2879" s="232"/>
      <c r="H2879" s="232"/>
      <c r="I2879" s="63"/>
      <c r="J2879" s="190"/>
      <c r="K2879" s="206"/>
      <c r="L2879" s="7"/>
    </row>
    <row r="2880" spans="1:12">
      <c r="A2880" s="20"/>
      <c r="B2880" s="21"/>
      <c r="C2880" s="175"/>
      <c r="D2880" s="175"/>
      <c r="E2880" s="175"/>
      <c r="F2880" s="232"/>
      <c r="G2880" s="232"/>
      <c r="H2880" s="232"/>
      <c r="I2880" s="63"/>
      <c r="J2880" s="190"/>
      <c r="K2880" s="206"/>
      <c r="L2880" s="7"/>
    </row>
    <row r="2881" spans="1:12">
      <c r="A2881" s="20"/>
      <c r="B2881" s="21"/>
      <c r="C2881" s="175"/>
      <c r="D2881" s="175"/>
      <c r="E2881" s="175"/>
      <c r="F2881" s="232"/>
      <c r="G2881" s="232"/>
      <c r="H2881" s="232"/>
      <c r="I2881" s="63"/>
      <c r="J2881" s="190"/>
      <c r="K2881" s="206"/>
      <c r="L2881" s="7"/>
    </row>
    <row r="2882" spans="1:12">
      <c r="A2882" s="20"/>
      <c r="B2882" s="21"/>
      <c r="C2882" s="175"/>
      <c r="D2882" s="175"/>
      <c r="E2882" s="175"/>
      <c r="F2882" s="232"/>
      <c r="G2882" s="232"/>
      <c r="H2882" s="232"/>
      <c r="I2882" s="63"/>
      <c r="J2882" s="190"/>
      <c r="K2882" s="206"/>
      <c r="L2882" s="7"/>
    </row>
    <row r="2883" spans="1:12">
      <c r="A2883" s="19"/>
      <c r="B2883" s="7"/>
      <c r="C2883" s="175"/>
      <c r="D2883" s="175"/>
      <c r="E2883" s="175"/>
      <c r="F2883" s="229"/>
      <c r="G2883" s="229"/>
      <c r="H2883" s="229"/>
      <c r="I2883" s="72"/>
      <c r="J2883" s="185"/>
      <c r="K2883" s="205"/>
      <c r="L2883" s="7"/>
    </row>
    <row r="2884" spans="1:12">
      <c r="A2884" s="19"/>
      <c r="B2884" s="7"/>
      <c r="C2884" s="175"/>
      <c r="D2884" s="175"/>
      <c r="E2884" s="175"/>
      <c r="F2884" s="229"/>
      <c r="G2884" s="229"/>
      <c r="H2884" s="229"/>
      <c r="I2884" s="72"/>
      <c r="J2884" s="185"/>
      <c r="K2884" s="205"/>
      <c r="L2884" s="7"/>
    </row>
    <row r="2885" spans="1:12">
      <c r="A2885" s="19"/>
      <c r="B2885" s="7"/>
      <c r="C2885" s="175"/>
      <c r="D2885" s="175"/>
      <c r="E2885" s="175"/>
      <c r="F2885" s="229"/>
      <c r="G2885" s="229"/>
      <c r="H2885" s="229"/>
      <c r="I2885" s="72"/>
      <c r="J2885" s="185"/>
      <c r="K2885" s="205"/>
      <c r="L2885" s="7"/>
    </row>
    <row r="2886" spans="1:12">
      <c r="A2886" s="19"/>
      <c r="B2886" s="7"/>
      <c r="C2886" s="175"/>
      <c r="D2886" s="175"/>
      <c r="E2886" s="175"/>
      <c r="F2886" s="229"/>
      <c r="G2886" s="229"/>
      <c r="H2886" s="229"/>
      <c r="I2886" s="72"/>
      <c r="J2886" s="185"/>
      <c r="K2886" s="205"/>
      <c r="L2886" s="7"/>
    </row>
    <row r="2887" spans="1:12">
      <c r="A2887" s="19"/>
      <c r="B2887" s="7"/>
      <c r="C2887" s="175"/>
      <c r="D2887" s="175"/>
      <c r="E2887" s="175"/>
      <c r="F2887" s="229"/>
      <c r="G2887" s="229"/>
      <c r="H2887" s="229"/>
      <c r="I2887" s="72"/>
      <c r="J2887" s="185"/>
      <c r="K2887" s="205"/>
      <c r="L2887" s="7"/>
    </row>
    <row r="2888" spans="1:12">
      <c r="A2888" s="19"/>
      <c r="B2888" s="7"/>
      <c r="C2888" s="175"/>
      <c r="D2888" s="175"/>
      <c r="E2888" s="175"/>
      <c r="F2888" s="229"/>
      <c r="G2888" s="229"/>
      <c r="H2888" s="229"/>
      <c r="I2888" s="72"/>
      <c r="J2888" s="185"/>
      <c r="K2888" s="205"/>
      <c r="L2888" s="7"/>
    </row>
    <row r="2889" spans="1:12">
      <c r="A2889" s="19"/>
      <c r="B2889" s="7"/>
      <c r="C2889" s="175"/>
      <c r="D2889" s="175"/>
      <c r="E2889" s="175"/>
      <c r="F2889" s="229"/>
      <c r="G2889" s="229"/>
      <c r="H2889" s="229"/>
      <c r="I2889" s="72"/>
      <c r="J2889" s="185"/>
      <c r="K2889" s="205"/>
      <c r="L2889" s="7"/>
    </row>
    <row r="2890" spans="1:12">
      <c r="A2890" s="19"/>
      <c r="B2890" s="7"/>
      <c r="C2890" s="175"/>
      <c r="D2890" s="175"/>
      <c r="E2890" s="175"/>
      <c r="F2890" s="229"/>
      <c r="G2890" s="229"/>
      <c r="H2890" s="229"/>
      <c r="I2890" s="72"/>
      <c r="J2890" s="185"/>
      <c r="K2890" s="205"/>
      <c r="L2890" s="7"/>
    </row>
    <row r="2891" spans="1:12">
      <c r="A2891" s="19"/>
      <c r="B2891" s="7"/>
      <c r="C2891" s="175"/>
      <c r="D2891" s="175"/>
      <c r="E2891" s="175"/>
      <c r="F2891" s="229"/>
      <c r="G2891" s="229"/>
      <c r="H2891" s="229"/>
      <c r="I2891" s="72"/>
      <c r="J2891" s="185"/>
      <c r="K2891" s="205"/>
      <c r="L2891" s="7"/>
    </row>
    <row r="2892" spans="1:12">
      <c r="A2892" s="20"/>
      <c r="B2892" s="21"/>
      <c r="C2892" s="175"/>
      <c r="D2892" s="175"/>
      <c r="E2892" s="175"/>
      <c r="F2892" s="232"/>
      <c r="G2892" s="232"/>
      <c r="H2892" s="232"/>
      <c r="I2892" s="63"/>
      <c r="J2892" s="190"/>
      <c r="K2892" s="206"/>
      <c r="L2892" s="7"/>
    </row>
    <row r="2893" spans="1:12">
      <c r="A2893" s="20"/>
      <c r="B2893" s="21"/>
      <c r="C2893" s="175"/>
      <c r="D2893" s="175"/>
      <c r="E2893" s="175"/>
      <c r="F2893" s="232"/>
      <c r="G2893" s="232"/>
      <c r="H2893" s="232"/>
      <c r="I2893" s="63"/>
      <c r="J2893" s="190"/>
      <c r="K2893" s="206"/>
      <c r="L2893" s="7"/>
    </row>
    <row r="2894" spans="1:12">
      <c r="A2894" s="20"/>
      <c r="B2894" s="21"/>
      <c r="C2894" s="175"/>
      <c r="D2894" s="175"/>
      <c r="E2894" s="175"/>
      <c r="F2894" s="232"/>
      <c r="G2894" s="232"/>
      <c r="H2894" s="232"/>
      <c r="I2894" s="63"/>
      <c r="J2894" s="190"/>
      <c r="K2894" s="206"/>
      <c r="L2894" s="7"/>
    </row>
    <row r="2895" spans="1:12">
      <c r="A2895" s="20"/>
      <c r="B2895" s="21"/>
      <c r="C2895" s="175"/>
      <c r="D2895" s="175"/>
      <c r="E2895" s="175"/>
      <c r="F2895" s="232"/>
      <c r="G2895" s="232"/>
      <c r="H2895" s="232"/>
      <c r="I2895" s="63"/>
      <c r="J2895" s="190"/>
      <c r="K2895" s="206"/>
      <c r="L2895" s="7"/>
    </row>
    <row r="2896" spans="1:12">
      <c r="A2896" s="20"/>
      <c r="B2896" s="21"/>
      <c r="C2896" s="175"/>
      <c r="D2896" s="175"/>
      <c r="E2896" s="175"/>
      <c r="F2896" s="232"/>
      <c r="G2896" s="232"/>
      <c r="H2896" s="232"/>
      <c r="I2896" s="63"/>
      <c r="J2896" s="190"/>
      <c r="K2896" s="206"/>
      <c r="L2896" s="7"/>
    </row>
    <row r="2897" spans="1:12">
      <c r="A2897" s="19"/>
      <c r="B2897" s="7"/>
      <c r="C2897" s="175"/>
      <c r="D2897" s="175"/>
      <c r="E2897" s="175"/>
      <c r="F2897" s="229"/>
      <c r="G2897" s="229"/>
      <c r="H2897" s="229"/>
      <c r="I2897" s="72"/>
      <c r="J2897" s="185"/>
      <c r="K2897" s="205"/>
      <c r="L2897" s="7"/>
    </row>
    <row r="2898" spans="1:12">
      <c r="A2898" s="19"/>
      <c r="B2898" s="7"/>
      <c r="C2898" s="175"/>
      <c r="D2898" s="175"/>
      <c r="E2898" s="175"/>
      <c r="F2898" s="229"/>
      <c r="G2898" s="229"/>
      <c r="H2898" s="229"/>
      <c r="I2898" s="72"/>
      <c r="J2898" s="185"/>
      <c r="K2898" s="205"/>
      <c r="L2898" s="7"/>
    </row>
    <row r="2899" spans="1:12">
      <c r="A2899" s="19"/>
      <c r="B2899" s="7"/>
      <c r="C2899" s="175"/>
      <c r="D2899" s="175"/>
      <c r="E2899" s="175"/>
      <c r="F2899" s="229"/>
      <c r="G2899" s="229"/>
      <c r="H2899" s="229"/>
      <c r="I2899" s="72"/>
      <c r="J2899" s="185"/>
      <c r="K2899" s="205"/>
      <c r="L2899" s="7"/>
    </row>
    <row r="2900" spans="1:12">
      <c r="A2900" s="19"/>
      <c r="B2900" s="7"/>
      <c r="C2900" s="175"/>
      <c r="D2900" s="175"/>
      <c r="E2900" s="175"/>
      <c r="F2900" s="229"/>
      <c r="G2900" s="229"/>
      <c r="H2900" s="229"/>
      <c r="I2900" s="72"/>
      <c r="J2900" s="185"/>
      <c r="K2900" s="205"/>
      <c r="L2900" s="7"/>
    </row>
    <row r="2901" spans="1:12">
      <c r="A2901" s="19"/>
      <c r="B2901" s="7"/>
      <c r="C2901" s="175"/>
      <c r="D2901" s="175"/>
      <c r="E2901" s="175"/>
      <c r="F2901" s="229"/>
      <c r="G2901" s="229"/>
      <c r="H2901" s="229"/>
      <c r="I2901" s="72"/>
      <c r="J2901" s="185"/>
      <c r="K2901" s="205"/>
      <c r="L2901" s="7"/>
    </row>
    <row r="2902" spans="1:12">
      <c r="A2902" s="19"/>
      <c r="B2902" s="7"/>
      <c r="C2902" s="175"/>
      <c r="D2902" s="175"/>
      <c r="E2902" s="175"/>
      <c r="F2902" s="229"/>
      <c r="G2902" s="229"/>
      <c r="H2902" s="229"/>
      <c r="I2902" s="72"/>
      <c r="J2902" s="185"/>
      <c r="K2902" s="205"/>
      <c r="L2902" s="7"/>
    </row>
    <row r="2903" spans="1:12">
      <c r="A2903" s="19"/>
      <c r="B2903" s="7"/>
      <c r="C2903" s="175"/>
      <c r="D2903" s="175"/>
      <c r="E2903" s="175"/>
      <c r="F2903" s="229"/>
      <c r="G2903" s="229"/>
      <c r="H2903" s="229"/>
      <c r="I2903" s="72"/>
      <c r="J2903" s="185"/>
      <c r="K2903" s="205"/>
      <c r="L2903" s="7"/>
    </row>
    <row r="2904" spans="1:12">
      <c r="A2904" s="19"/>
      <c r="B2904" s="7"/>
      <c r="C2904" s="175"/>
      <c r="D2904" s="175"/>
      <c r="E2904" s="175"/>
      <c r="F2904" s="229"/>
      <c r="G2904" s="229"/>
      <c r="H2904" s="229"/>
      <c r="I2904" s="72"/>
      <c r="J2904" s="185"/>
      <c r="K2904" s="205"/>
      <c r="L2904" s="7"/>
    </row>
    <row r="2905" spans="1:12">
      <c r="A2905" s="19"/>
      <c r="B2905" s="7"/>
      <c r="C2905" s="175"/>
      <c r="D2905" s="175"/>
      <c r="E2905" s="175"/>
      <c r="F2905" s="229"/>
      <c r="G2905" s="229"/>
      <c r="H2905" s="229"/>
      <c r="I2905" s="72"/>
      <c r="J2905" s="185"/>
      <c r="K2905" s="205"/>
      <c r="L2905" s="7"/>
    </row>
    <row r="2906" spans="1:12">
      <c r="A2906" s="19"/>
      <c r="B2906" s="7"/>
      <c r="C2906" s="175"/>
      <c r="D2906" s="175"/>
      <c r="E2906" s="175"/>
      <c r="F2906" s="229"/>
      <c r="G2906" s="229"/>
      <c r="H2906" s="229"/>
      <c r="I2906" s="72"/>
      <c r="J2906" s="185"/>
      <c r="K2906" s="205"/>
      <c r="L2906" s="7"/>
    </row>
    <row r="2907" spans="1:12">
      <c r="A2907" s="19"/>
      <c r="B2907" s="7"/>
      <c r="C2907" s="175"/>
      <c r="D2907" s="175"/>
      <c r="E2907" s="175"/>
      <c r="F2907" s="229"/>
      <c r="G2907" s="229"/>
      <c r="H2907" s="229"/>
      <c r="I2907" s="72"/>
      <c r="J2907" s="185"/>
      <c r="K2907" s="205"/>
      <c r="L2907" s="7"/>
    </row>
    <row r="2908" spans="1:12">
      <c r="A2908" s="19"/>
      <c r="B2908" s="7"/>
      <c r="C2908" s="175"/>
      <c r="D2908" s="175"/>
      <c r="E2908" s="175"/>
      <c r="F2908" s="229"/>
      <c r="G2908" s="229"/>
      <c r="H2908" s="229"/>
      <c r="I2908" s="72"/>
      <c r="J2908" s="185"/>
      <c r="K2908" s="205"/>
      <c r="L2908" s="7"/>
    </row>
    <row r="2909" spans="1:12">
      <c r="A2909" s="19"/>
      <c r="B2909" s="7"/>
      <c r="C2909" s="175"/>
      <c r="D2909" s="175"/>
      <c r="E2909" s="175"/>
      <c r="F2909" s="229"/>
      <c r="G2909" s="229"/>
      <c r="H2909" s="229"/>
      <c r="I2909" s="72"/>
      <c r="J2909" s="185"/>
      <c r="K2909" s="205"/>
      <c r="L2909" s="7"/>
    </row>
    <row r="2910" spans="1:12">
      <c r="A2910" s="19"/>
      <c r="B2910" s="7"/>
      <c r="C2910" s="175"/>
      <c r="D2910" s="175"/>
      <c r="E2910" s="175"/>
      <c r="F2910" s="229"/>
      <c r="G2910" s="229"/>
      <c r="H2910" s="229"/>
      <c r="I2910" s="72"/>
      <c r="J2910" s="185"/>
      <c r="K2910" s="205"/>
      <c r="L2910" s="7"/>
    </row>
    <row r="2911" spans="1:12">
      <c r="A2911" s="19"/>
      <c r="B2911" s="7"/>
      <c r="C2911" s="175"/>
      <c r="D2911" s="175"/>
      <c r="E2911" s="175"/>
      <c r="F2911" s="229"/>
      <c r="G2911" s="229"/>
      <c r="H2911" s="229"/>
      <c r="I2911" s="72"/>
      <c r="J2911" s="185"/>
      <c r="K2911" s="205"/>
      <c r="L2911" s="7"/>
    </row>
    <row r="2912" spans="1:12">
      <c r="A2912" s="19"/>
      <c r="B2912" s="7"/>
      <c r="C2912" s="175"/>
      <c r="D2912" s="175"/>
      <c r="E2912" s="175"/>
      <c r="F2912" s="229"/>
      <c r="G2912" s="229"/>
      <c r="H2912" s="229"/>
      <c r="I2912" s="72"/>
      <c r="J2912" s="185"/>
      <c r="K2912" s="205"/>
      <c r="L2912" s="7"/>
    </row>
    <row r="2913" spans="1:12">
      <c r="A2913" s="19"/>
      <c r="B2913" s="7"/>
      <c r="C2913" s="175"/>
      <c r="D2913" s="175"/>
      <c r="E2913" s="175"/>
      <c r="F2913" s="229"/>
      <c r="G2913" s="229"/>
      <c r="H2913" s="229"/>
      <c r="I2913" s="72"/>
      <c r="J2913" s="185"/>
      <c r="K2913" s="205"/>
      <c r="L2913" s="7"/>
    </row>
    <row r="2914" spans="1:12">
      <c r="A2914" s="19"/>
      <c r="B2914" s="7"/>
      <c r="C2914" s="175"/>
      <c r="D2914" s="175"/>
      <c r="E2914" s="175"/>
      <c r="F2914" s="229"/>
      <c r="G2914" s="229"/>
      <c r="H2914" s="229"/>
      <c r="I2914" s="72"/>
      <c r="J2914" s="185"/>
      <c r="K2914" s="205"/>
      <c r="L2914" s="7"/>
    </row>
    <row r="2915" spans="1:12">
      <c r="A2915" s="19"/>
      <c r="B2915" s="7"/>
      <c r="C2915" s="175"/>
      <c r="D2915" s="175"/>
      <c r="E2915" s="175"/>
      <c r="F2915" s="229"/>
      <c r="G2915" s="229"/>
      <c r="H2915" s="229"/>
      <c r="I2915" s="72"/>
      <c r="J2915" s="185"/>
      <c r="K2915" s="205"/>
      <c r="L2915" s="7"/>
    </row>
    <row r="2916" spans="1:12">
      <c r="A2916" s="19"/>
      <c r="B2916" s="7"/>
      <c r="C2916" s="175"/>
      <c r="D2916" s="175"/>
      <c r="E2916" s="175"/>
      <c r="F2916" s="229"/>
      <c r="G2916" s="229"/>
      <c r="H2916" s="229"/>
      <c r="I2916" s="72"/>
      <c r="J2916" s="185"/>
      <c r="K2916" s="205"/>
      <c r="L2916" s="7"/>
    </row>
    <row r="2917" spans="1:12">
      <c r="A2917" s="19"/>
      <c r="B2917" s="7"/>
      <c r="C2917" s="175"/>
      <c r="D2917" s="175"/>
      <c r="E2917" s="175"/>
      <c r="F2917" s="229"/>
      <c r="G2917" s="229"/>
      <c r="H2917" s="229"/>
      <c r="I2917" s="72"/>
      <c r="J2917" s="185"/>
      <c r="K2917" s="205"/>
      <c r="L2917" s="7"/>
    </row>
    <row r="2918" spans="1:12">
      <c r="A2918" s="19"/>
      <c r="B2918" s="7"/>
      <c r="C2918" s="175"/>
      <c r="D2918" s="175"/>
      <c r="E2918" s="175"/>
      <c r="F2918" s="229"/>
      <c r="G2918" s="229"/>
      <c r="H2918" s="229"/>
      <c r="I2918" s="72"/>
      <c r="J2918" s="185"/>
      <c r="K2918" s="205"/>
      <c r="L2918" s="7"/>
    </row>
    <row r="2919" spans="1:12">
      <c r="A2919" s="19"/>
      <c r="B2919" s="7"/>
      <c r="C2919" s="175"/>
      <c r="D2919" s="175"/>
      <c r="E2919" s="175"/>
      <c r="F2919" s="229"/>
      <c r="G2919" s="229"/>
      <c r="H2919" s="229"/>
      <c r="I2919" s="72"/>
      <c r="J2919" s="185"/>
      <c r="K2919" s="205"/>
      <c r="L2919" s="7"/>
    </row>
    <row r="2920" spans="1:12">
      <c r="A2920" s="19"/>
      <c r="B2920" s="7"/>
      <c r="C2920" s="175"/>
      <c r="D2920" s="175"/>
      <c r="E2920" s="175"/>
      <c r="F2920" s="229"/>
      <c r="G2920" s="229"/>
      <c r="H2920" s="229"/>
      <c r="I2920" s="72"/>
      <c r="J2920" s="185"/>
      <c r="K2920" s="205"/>
      <c r="L2920" s="7"/>
    </row>
    <row r="2921" spans="1:12">
      <c r="A2921" s="19"/>
      <c r="B2921" s="7"/>
      <c r="C2921" s="175"/>
      <c r="D2921" s="175"/>
      <c r="E2921" s="175"/>
      <c r="F2921" s="229"/>
      <c r="G2921" s="229"/>
      <c r="H2921" s="229"/>
      <c r="I2921" s="72"/>
      <c r="J2921" s="185"/>
      <c r="K2921" s="205"/>
      <c r="L2921" s="7"/>
    </row>
    <row r="2922" spans="1:12">
      <c r="A2922" s="19"/>
      <c r="B2922" s="7"/>
      <c r="C2922" s="175"/>
      <c r="D2922" s="175"/>
      <c r="E2922" s="175"/>
      <c r="F2922" s="229"/>
      <c r="G2922" s="229"/>
      <c r="H2922" s="229"/>
      <c r="I2922" s="72"/>
      <c r="J2922" s="185"/>
      <c r="K2922" s="205"/>
      <c r="L2922" s="7"/>
    </row>
    <row r="2923" spans="1:12">
      <c r="A2923" s="19"/>
      <c r="B2923" s="7"/>
      <c r="C2923" s="175"/>
      <c r="D2923" s="175"/>
      <c r="E2923" s="175"/>
      <c r="F2923" s="229"/>
      <c r="G2923" s="229"/>
      <c r="H2923" s="229"/>
      <c r="I2923" s="72"/>
      <c r="J2923" s="185"/>
      <c r="K2923" s="205"/>
      <c r="L2923" s="7"/>
    </row>
    <row r="2924" spans="1:12">
      <c r="A2924" s="19"/>
      <c r="B2924" s="7"/>
      <c r="C2924" s="175"/>
      <c r="D2924" s="175"/>
      <c r="E2924" s="175"/>
      <c r="F2924" s="229"/>
      <c r="G2924" s="229"/>
      <c r="H2924" s="229"/>
      <c r="I2924" s="72"/>
      <c r="J2924" s="185"/>
      <c r="K2924" s="205"/>
      <c r="L2924" s="7"/>
    </row>
    <row r="2925" spans="1:12">
      <c r="A2925" s="20"/>
      <c r="B2925" s="21"/>
      <c r="C2925" s="175"/>
      <c r="D2925" s="175"/>
      <c r="E2925" s="175"/>
      <c r="F2925" s="232"/>
      <c r="G2925" s="232"/>
      <c r="H2925" s="232"/>
      <c r="I2925" s="63"/>
      <c r="J2925" s="190"/>
      <c r="K2925" s="206"/>
      <c r="L2925" s="7"/>
    </row>
    <row r="2926" spans="1:12">
      <c r="A2926" s="20"/>
      <c r="B2926" s="21"/>
      <c r="C2926" s="175"/>
      <c r="D2926" s="175"/>
      <c r="E2926" s="175"/>
      <c r="F2926" s="232"/>
      <c r="G2926" s="232"/>
      <c r="H2926" s="232"/>
      <c r="I2926" s="63"/>
      <c r="J2926" s="190"/>
      <c r="K2926" s="206"/>
      <c r="L2926" s="7"/>
    </row>
    <row r="2927" spans="1:12">
      <c r="A2927" s="19"/>
      <c r="B2927" s="7"/>
      <c r="C2927" s="175"/>
      <c r="D2927" s="175"/>
      <c r="E2927" s="175"/>
      <c r="F2927" s="229"/>
      <c r="G2927" s="229"/>
      <c r="H2927" s="229"/>
      <c r="I2927" s="72"/>
      <c r="J2927" s="185"/>
      <c r="K2927" s="205"/>
      <c r="L2927" s="7"/>
    </row>
    <row r="2928" spans="1:12">
      <c r="A2928" s="19"/>
      <c r="B2928" s="7"/>
      <c r="C2928" s="175"/>
      <c r="D2928" s="175"/>
      <c r="E2928" s="175"/>
      <c r="F2928" s="229"/>
      <c r="G2928" s="229"/>
      <c r="H2928" s="229"/>
      <c r="I2928" s="72"/>
      <c r="J2928" s="185"/>
      <c r="K2928" s="205"/>
      <c r="L2928" s="7"/>
    </row>
    <row r="2929" spans="1:12">
      <c r="A2929" s="19"/>
      <c r="B2929" s="7"/>
      <c r="C2929" s="175"/>
      <c r="D2929" s="175"/>
      <c r="E2929" s="175"/>
      <c r="F2929" s="229"/>
      <c r="G2929" s="229"/>
      <c r="H2929" s="229"/>
      <c r="I2929" s="72"/>
      <c r="J2929" s="185"/>
      <c r="K2929" s="205"/>
      <c r="L2929" s="7"/>
    </row>
    <row r="2930" spans="1:12">
      <c r="A2930" s="20"/>
      <c r="B2930" s="21"/>
      <c r="C2930" s="175"/>
      <c r="D2930" s="175"/>
      <c r="E2930" s="175"/>
      <c r="F2930" s="232"/>
      <c r="G2930" s="232"/>
      <c r="H2930" s="232"/>
      <c r="I2930" s="63"/>
      <c r="J2930" s="190"/>
      <c r="K2930" s="206"/>
      <c r="L2930" s="7"/>
    </row>
    <row r="2931" spans="1:12">
      <c r="A2931" s="20"/>
      <c r="B2931" s="21"/>
      <c r="C2931" s="175"/>
      <c r="D2931" s="175"/>
      <c r="E2931" s="175"/>
      <c r="F2931" s="232"/>
      <c r="G2931" s="232"/>
      <c r="H2931" s="232"/>
      <c r="I2931" s="63"/>
      <c r="J2931" s="190"/>
      <c r="K2931" s="206"/>
      <c r="L2931" s="7"/>
    </row>
    <row r="2932" spans="1:12">
      <c r="A2932" s="19"/>
      <c r="B2932" s="7"/>
      <c r="C2932" s="175"/>
      <c r="D2932" s="175"/>
      <c r="E2932" s="175"/>
      <c r="F2932" s="229"/>
      <c r="G2932" s="229"/>
      <c r="H2932" s="229"/>
      <c r="I2932" s="72"/>
      <c r="J2932" s="185"/>
      <c r="K2932" s="205"/>
      <c r="L2932" s="7"/>
    </row>
    <row r="2933" spans="1:12">
      <c r="A2933" s="19"/>
      <c r="B2933" s="7"/>
      <c r="C2933" s="175"/>
      <c r="D2933" s="175"/>
      <c r="E2933" s="175"/>
      <c r="F2933" s="229"/>
      <c r="G2933" s="229"/>
      <c r="H2933" s="229"/>
      <c r="I2933" s="72"/>
      <c r="J2933" s="185"/>
      <c r="K2933" s="205"/>
      <c r="L2933" s="7"/>
    </row>
    <row r="2934" spans="1:12">
      <c r="A2934" s="19"/>
      <c r="B2934" s="7"/>
      <c r="C2934" s="175"/>
      <c r="D2934" s="175"/>
      <c r="E2934" s="175"/>
      <c r="F2934" s="229"/>
      <c r="G2934" s="229"/>
      <c r="H2934" s="229"/>
      <c r="I2934" s="72"/>
      <c r="J2934" s="185"/>
      <c r="K2934" s="205"/>
      <c r="L2934" s="7"/>
    </row>
    <row r="2935" spans="1:12">
      <c r="A2935" s="19"/>
      <c r="B2935" s="7"/>
      <c r="C2935" s="175"/>
      <c r="D2935" s="175"/>
      <c r="E2935" s="175"/>
      <c r="F2935" s="229"/>
      <c r="G2935" s="229"/>
      <c r="H2935" s="229"/>
      <c r="I2935" s="72"/>
      <c r="J2935" s="185"/>
      <c r="K2935" s="205"/>
      <c r="L2935" s="7"/>
    </row>
    <row r="2936" spans="1:12">
      <c r="A2936" s="19"/>
      <c r="B2936" s="7"/>
      <c r="C2936" s="175"/>
      <c r="D2936" s="175"/>
      <c r="E2936" s="175"/>
      <c r="F2936" s="229"/>
      <c r="G2936" s="229"/>
      <c r="H2936" s="229"/>
      <c r="I2936" s="72"/>
      <c r="J2936" s="185"/>
      <c r="K2936" s="205"/>
      <c r="L2936" s="7"/>
    </row>
    <row r="2937" spans="1:12">
      <c r="A2937" s="19"/>
      <c r="B2937" s="7"/>
      <c r="C2937" s="175"/>
      <c r="D2937" s="175"/>
      <c r="E2937" s="175"/>
      <c r="F2937" s="229"/>
      <c r="G2937" s="229"/>
      <c r="H2937" s="229"/>
      <c r="I2937" s="72"/>
      <c r="J2937" s="185"/>
      <c r="K2937" s="205"/>
      <c r="L2937" s="7"/>
    </row>
    <row r="2938" spans="1:12">
      <c r="A2938" s="19"/>
      <c r="B2938" s="7"/>
      <c r="C2938" s="175"/>
      <c r="D2938" s="175"/>
      <c r="E2938" s="175"/>
      <c r="F2938" s="229"/>
      <c r="G2938" s="229"/>
      <c r="H2938" s="229"/>
      <c r="I2938" s="72"/>
      <c r="J2938" s="185"/>
      <c r="K2938" s="205"/>
      <c r="L2938" s="7"/>
    </row>
    <row r="2939" spans="1:12">
      <c r="A2939" s="19"/>
      <c r="B2939" s="7"/>
      <c r="C2939" s="175"/>
      <c r="D2939" s="175"/>
      <c r="E2939" s="175"/>
      <c r="F2939" s="229"/>
      <c r="G2939" s="229"/>
      <c r="H2939" s="229"/>
      <c r="I2939" s="72"/>
      <c r="J2939" s="185"/>
      <c r="K2939" s="205"/>
      <c r="L2939" s="7"/>
    </row>
    <row r="2940" spans="1:12">
      <c r="A2940" s="19"/>
      <c r="B2940" s="7"/>
      <c r="C2940" s="175"/>
      <c r="D2940" s="175"/>
      <c r="E2940" s="175"/>
      <c r="F2940" s="229"/>
      <c r="G2940" s="229"/>
      <c r="H2940" s="229"/>
      <c r="I2940" s="72"/>
      <c r="J2940" s="185"/>
      <c r="K2940" s="205"/>
      <c r="L2940" s="7"/>
    </row>
    <row r="2941" spans="1:12">
      <c r="A2941" s="19"/>
      <c r="B2941" s="7"/>
      <c r="C2941" s="175"/>
      <c r="D2941" s="175"/>
      <c r="E2941" s="175"/>
      <c r="F2941" s="229"/>
      <c r="G2941" s="229"/>
      <c r="H2941" s="229"/>
      <c r="I2941" s="72"/>
      <c r="J2941" s="185"/>
      <c r="K2941" s="205"/>
      <c r="L2941" s="7"/>
    </row>
    <row r="2942" spans="1:12">
      <c r="A2942" s="20"/>
      <c r="B2942" s="21"/>
      <c r="C2942" s="175"/>
      <c r="D2942" s="175"/>
      <c r="E2942" s="175"/>
      <c r="F2942" s="232"/>
      <c r="G2942" s="232"/>
      <c r="H2942" s="232"/>
      <c r="I2942" s="63"/>
      <c r="J2942" s="190"/>
      <c r="K2942" s="206"/>
      <c r="L2942" s="7"/>
    </row>
    <row r="2943" spans="1:12">
      <c r="A2943" s="20"/>
      <c r="B2943" s="21"/>
      <c r="C2943" s="175"/>
      <c r="D2943" s="175"/>
      <c r="E2943" s="175"/>
      <c r="F2943" s="232"/>
      <c r="G2943" s="232"/>
      <c r="H2943" s="232"/>
      <c r="I2943" s="63"/>
      <c r="J2943" s="190"/>
      <c r="K2943" s="206"/>
      <c r="L2943" s="7"/>
    </row>
    <row r="2944" spans="1:12">
      <c r="A2944" s="20"/>
      <c r="B2944" s="21"/>
      <c r="C2944" s="175"/>
      <c r="D2944" s="175"/>
      <c r="E2944" s="175"/>
      <c r="F2944" s="232"/>
      <c r="G2944" s="232"/>
      <c r="H2944" s="232"/>
      <c r="I2944" s="63"/>
      <c r="J2944" s="189"/>
      <c r="K2944" s="206"/>
      <c r="L2944" s="7"/>
    </row>
    <row r="2945" spans="1:12">
      <c r="A2945" s="19"/>
      <c r="B2945" s="7"/>
      <c r="C2945" s="175"/>
      <c r="D2945" s="175"/>
      <c r="E2945" s="175"/>
      <c r="F2945" s="229"/>
      <c r="G2945" s="229"/>
      <c r="H2945" s="229"/>
      <c r="I2945" s="72"/>
      <c r="J2945" s="185"/>
      <c r="K2945" s="205"/>
      <c r="L2945" s="7"/>
    </row>
    <row r="2946" spans="1:12">
      <c r="A2946" s="19"/>
      <c r="B2946" s="7"/>
      <c r="C2946" s="175"/>
      <c r="D2946" s="175"/>
      <c r="E2946" s="175"/>
      <c r="F2946" s="229"/>
      <c r="G2946" s="229"/>
      <c r="H2946" s="229"/>
      <c r="I2946" s="72"/>
      <c r="J2946" s="185"/>
      <c r="K2946" s="205"/>
      <c r="L2946" s="7"/>
    </row>
    <row r="2947" spans="1:12">
      <c r="A2947" s="19"/>
      <c r="B2947" s="7"/>
      <c r="C2947" s="175"/>
      <c r="D2947" s="175"/>
      <c r="E2947" s="175"/>
      <c r="F2947" s="229"/>
      <c r="G2947" s="229"/>
      <c r="H2947" s="229"/>
      <c r="I2947" s="72"/>
      <c r="J2947" s="185"/>
      <c r="K2947" s="205"/>
      <c r="L2947" s="7"/>
    </row>
    <row r="2948" spans="1:12">
      <c r="A2948" s="19"/>
      <c r="B2948" s="7"/>
      <c r="C2948" s="175"/>
      <c r="D2948" s="175"/>
      <c r="E2948" s="175"/>
      <c r="F2948" s="229"/>
      <c r="G2948" s="229"/>
      <c r="H2948" s="229"/>
      <c r="I2948" s="72"/>
      <c r="J2948" s="185"/>
      <c r="K2948" s="205"/>
      <c r="L2948" s="7"/>
    </row>
    <row r="2949" spans="1:12">
      <c r="A2949" s="19"/>
      <c r="B2949" s="7"/>
      <c r="C2949" s="175"/>
      <c r="D2949" s="175"/>
      <c r="E2949" s="175"/>
      <c r="F2949" s="229"/>
      <c r="G2949" s="229"/>
      <c r="H2949" s="229"/>
      <c r="I2949" s="72"/>
      <c r="J2949" s="185"/>
      <c r="K2949" s="205"/>
      <c r="L2949" s="7"/>
    </row>
    <row r="2950" spans="1:12">
      <c r="A2950" s="19"/>
      <c r="B2950" s="7"/>
      <c r="C2950" s="175"/>
      <c r="D2950" s="175"/>
      <c r="E2950" s="175"/>
      <c r="F2950" s="229"/>
      <c r="G2950" s="229"/>
      <c r="H2950" s="229"/>
      <c r="I2950" s="72"/>
      <c r="J2950" s="185"/>
      <c r="K2950" s="205"/>
      <c r="L2950" s="7"/>
    </row>
    <row r="2951" spans="1:12">
      <c r="A2951" s="19"/>
      <c r="B2951" s="7"/>
      <c r="C2951" s="175"/>
      <c r="D2951" s="175"/>
      <c r="E2951" s="175"/>
      <c r="F2951" s="229"/>
      <c r="G2951" s="229"/>
      <c r="H2951" s="229"/>
      <c r="I2951" s="72"/>
      <c r="J2951" s="185"/>
      <c r="K2951" s="205"/>
      <c r="L2951" s="7"/>
    </row>
    <row r="2952" spans="1:12">
      <c r="A2952" s="19"/>
      <c r="B2952" s="7"/>
      <c r="C2952" s="175"/>
      <c r="D2952" s="175"/>
      <c r="E2952" s="175"/>
      <c r="F2952" s="229"/>
      <c r="G2952" s="229"/>
      <c r="H2952" s="229"/>
      <c r="I2952" s="72"/>
      <c r="J2952" s="185"/>
      <c r="K2952" s="205"/>
      <c r="L2952" s="7"/>
    </row>
    <row r="2953" spans="1:12">
      <c r="A2953" s="19"/>
      <c r="B2953" s="7"/>
      <c r="C2953" s="175"/>
      <c r="D2953" s="175"/>
      <c r="E2953" s="175"/>
      <c r="F2953" s="229"/>
      <c r="G2953" s="229"/>
      <c r="H2953" s="229"/>
      <c r="I2953" s="72"/>
      <c r="J2953" s="185"/>
      <c r="K2953" s="205"/>
      <c r="L2953" s="7"/>
    </row>
    <row r="2954" spans="1:12">
      <c r="A2954" s="19"/>
      <c r="B2954" s="7"/>
      <c r="C2954" s="175"/>
      <c r="D2954" s="175"/>
      <c r="E2954" s="175"/>
      <c r="F2954" s="229"/>
      <c r="G2954" s="229"/>
      <c r="H2954" s="229"/>
      <c r="I2954" s="72"/>
      <c r="J2954" s="185"/>
      <c r="K2954" s="205"/>
      <c r="L2954" s="7"/>
    </row>
    <row r="2955" spans="1:12">
      <c r="A2955" s="19"/>
      <c r="B2955" s="7"/>
      <c r="C2955" s="175"/>
      <c r="D2955" s="175"/>
      <c r="E2955" s="175"/>
      <c r="F2955" s="229"/>
      <c r="G2955" s="229"/>
      <c r="H2955" s="229"/>
      <c r="I2955" s="72"/>
      <c r="J2955" s="185"/>
      <c r="K2955" s="205"/>
      <c r="L2955" s="7"/>
    </row>
    <row r="2956" spans="1:12">
      <c r="A2956" s="19"/>
      <c r="B2956" s="7"/>
      <c r="C2956" s="175"/>
      <c r="D2956" s="175"/>
      <c r="E2956" s="175"/>
      <c r="F2956" s="229"/>
      <c r="G2956" s="229"/>
      <c r="H2956" s="229"/>
      <c r="I2956" s="72"/>
      <c r="J2956" s="185"/>
      <c r="K2956" s="205"/>
      <c r="L2956" s="7"/>
    </row>
    <row r="2957" spans="1:12">
      <c r="A2957" s="19"/>
      <c r="B2957" s="7"/>
      <c r="C2957" s="175"/>
      <c r="D2957" s="175"/>
      <c r="E2957" s="175"/>
      <c r="F2957" s="229"/>
      <c r="G2957" s="229"/>
      <c r="H2957" s="229"/>
      <c r="I2957" s="72"/>
      <c r="J2957" s="185"/>
      <c r="K2957" s="205"/>
      <c r="L2957" s="7"/>
    </row>
    <row r="2958" spans="1:12">
      <c r="A2958" s="19"/>
      <c r="B2958" s="7"/>
      <c r="C2958" s="175"/>
      <c r="D2958" s="175"/>
      <c r="E2958" s="175"/>
      <c r="F2958" s="229"/>
      <c r="G2958" s="229"/>
      <c r="H2958" s="229"/>
      <c r="I2958" s="72"/>
      <c r="J2958" s="185"/>
      <c r="K2958" s="205"/>
      <c r="L2958" s="7"/>
    </row>
    <row r="2959" spans="1:12">
      <c r="A2959" s="19"/>
      <c r="B2959" s="7"/>
      <c r="C2959" s="175"/>
      <c r="D2959" s="175"/>
      <c r="E2959" s="175"/>
      <c r="F2959" s="229"/>
      <c r="G2959" s="229"/>
      <c r="H2959" s="229"/>
      <c r="I2959" s="72"/>
      <c r="J2959" s="185"/>
      <c r="K2959" s="205"/>
      <c r="L2959" s="7"/>
    </row>
    <row r="2960" spans="1:12">
      <c r="A2960" s="19"/>
      <c r="B2960" s="7"/>
      <c r="C2960" s="175"/>
      <c r="D2960" s="175"/>
      <c r="E2960" s="175"/>
      <c r="F2960" s="229"/>
      <c r="G2960" s="229"/>
      <c r="H2960" s="229"/>
      <c r="I2960" s="72"/>
      <c r="J2960" s="185"/>
      <c r="K2960" s="205"/>
      <c r="L2960" s="7"/>
    </row>
    <row r="2961" spans="1:12">
      <c r="A2961" s="19"/>
      <c r="B2961" s="7"/>
      <c r="C2961" s="175"/>
      <c r="D2961" s="175"/>
      <c r="E2961" s="175"/>
      <c r="F2961" s="229"/>
      <c r="G2961" s="229"/>
      <c r="H2961" s="229"/>
      <c r="I2961" s="72"/>
      <c r="J2961" s="185"/>
      <c r="K2961" s="205"/>
      <c r="L2961" s="7"/>
    </row>
    <row r="2962" spans="1:12">
      <c r="A2962" s="19"/>
      <c r="B2962" s="7"/>
      <c r="C2962" s="175"/>
      <c r="D2962" s="175"/>
      <c r="E2962" s="175"/>
      <c r="F2962" s="229"/>
      <c r="G2962" s="229"/>
      <c r="H2962" s="229"/>
      <c r="I2962" s="72"/>
      <c r="J2962" s="185"/>
      <c r="K2962" s="205"/>
      <c r="L2962" s="7"/>
    </row>
    <row r="2963" spans="1:12">
      <c r="A2963" s="19"/>
      <c r="B2963" s="7"/>
      <c r="C2963" s="175"/>
      <c r="D2963" s="175"/>
      <c r="E2963" s="175"/>
      <c r="F2963" s="229"/>
      <c r="G2963" s="229"/>
      <c r="H2963" s="229"/>
      <c r="I2963" s="72"/>
      <c r="J2963" s="185"/>
      <c r="K2963" s="205"/>
      <c r="L2963" s="7"/>
    </row>
    <row r="2964" spans="1:12">
      <c r="A2964" s="19"/>
      <c r="B2964" s="7"/>
      <c r="C2964" s="175"/>
      <c r="D2964" s="175"/>
      <c r="E2964" s="175"/>
      <c r="F2964" s="229"/>
      <c r="G2964" s="229"/>
      <c r="H2964" s="229"/>
      <c r="I2964" s="72"/>
      <c r="J2964" s="185"/>
      <c r="K2964" s="205"/>
      <c r="L2964" s="7"/>
    </row>
    <row r="2965" spans="1:12">
      <c r="A2965" s="19"/>
      <c r="B2965" s="7"/>
      <c r="C2965" s="175"/>
      <c r="D2965" s="175"/>
      <c r="E2965" s="175"/>
      <c r="F2965" s="229"/>
      <c r="G2965" s="229"/>
      <c r="H2965" s="229"/>
      <c r="I2965" s="72"/>
      <c r="J2965" s="191"/>
      <c r="K2965" s="205"/>
      <c r="L2965" s="7"/>
    </row>
    <row r="2966" spans="1:12">
      <c r="A2966" s="19"/>
      <c r="B2966" s="7"/>
      <c r="C2966" s="175"/>
      <c r="D2966" s="175"/>
      <c r="E2966" s="175"/>
      <c r="F2966" s="229"/>
      <c r="G2966" s="229"/>
      <c r="H2966" s="229"/>
      <c r="I2966" s="72"/>
      <c r="J2966" s="191"/>
      <c r="K2966" s="205"/>
      <c r="L2966" s="7"/>
    </row>
    <row r="2967" spans="1:12">
      <c r="A2967" s="19"/>
      <c r="B2967" s="7"/>
      <c r="C2967" s="175"/>
      <c r="D2967" s="175"/>
      <c r="E2967" s="175"/>
      <c r="F2967" s="229"/>
      <c r="G2967" s="229"/>
      <c r="H2967" s="229"/>
      <c r="I2967" s="72"/>
      <c r="J2967" s="185"/>
      <c r="K2967" s="205"/>
      <c r="L2967" s="7"/>
    </row>
    <row r="2968" spans="1:12">
      <c r="A2968" s="19"/>
      <c r="B2968" s="7"/>
      <c r="C2968" s="175"/>
      <c r="D2968" s="175"/>
      <c r="E2968" s="175"/>
      <c r="F2968" s="229"/>
      <c r="G2968" s="229"/>
      <c r="H2968" s="229"/>
      <c r="I2968" s="72"/>
      <c r="J2968" s="185"/>
      <c r="K2968" s="205"/>
      <c r="L2968" s="7"/>
    </row>
    <row r="2969" spans="1:12">
      <c r="A2969" s="19"/>
      <c r="B2969" s="7"/>
      <c r="C2969" s="175"/>
      <c r="D2969" s="175"/>
      <c r="E2969" s="175"/>
      <c r="F2969" s="229"/>
      <c r="G2969" s="229"/>
      <c r="H2969" s="229"/>
      <c r="I2969" s="72"/>
      <c r="J2969" s="185"/>
      <c r="K2969" s="205"/>
      <c r="L2969" s="7"/>
    </row>
    <row r="2970" spans="1:12">
      <c r="A2970" s="19"/>
      <c r="B2970" s="7"/>
      <c r="C2970" s="175"/>
      <c r="D2970" s="175"/>
      <c r="E2970" s="175"/>
      <c r="F2970" s="229"/>
      <c r="G2970" s="229"/>
      <c r="H2970" s="229"/>
      <c r="I2970" s="72"/>
      <c r="J2970" s="185"/>
      <c r="K2970" s="205"/>
      <c r="L2970" s="7"/>
    </row>
    <row r="2971" spans="1:12">
      <c r="A2971" s="19"/>
      <c r="B2971" s="7"/>
      <c r="C2971" s="175"/>
      <c r="D2971" s="175"/>
      <c r="E2971" s="175"/>
      <c r="F2971" s="229"/>
      <c r="G2971" s="229"/>
      <c r="H2971" s="229"/>
      <c r="I2971" s="72"/>
      <c r="J2971" s="185"/>
      <c r="K2971" s="205"/>
      <c r="L2971" s="7"/>
    </row>
    <row r="2972" spans="1:12">
      <c r="A2972" s="19"/>
      <c r="B2972" s="7"/>
      <c r="C2972" s="175"/>
      <c r="D2972" s="175"/>
      <c r="E2972" s="175"/>
      <c r="F2972" s="229"/>
      <c r="G2972" s="229"/>
      <c r="H2972" s="229"/>
      <c r="I2972" s="72"/>
      <c r="J2972" s="185"/>
      <c r="K2972" s="205"/>
      <c r="L2972" s="7"/>
    </row>
    <row r="2973" spans="1:12">
      <c r="A2973" s="19"/>
      <c r="B2973" s="7"/>
      <c r="C2973" s="175"/>
      <c r="D2973" s="175"/>
      <c r="E2973" s="175"/>
      <c r="F2973" s="229"/>
      <c r="G2973" s="229"/>
      <c r="H2973" s="229"/>
      <c r="I2973" s="72"/>
      <c r="J2973" s="185"/>
      <c r="K2973" s="205"/>
      <c r="L2973" s="7"/>
    </row>
    <row r="2974" spans="1:12">
      <c r="A2974" s="19"/>
      <c r="B2974" s="7"/>
      <c r="C2974" s="175"/>
      <c r="D2974" s="175"/>
      <c r="E2974" s="175"/>
      <c r="F2974" s="229"/>
      <c r="G2974" s="229"/>
      <c r="H2974" s="229"/>
      <c r="I2974" s="72"/>
      <c r="J2974" s="185"/>
      <c r="K2974" s="205"/>
      <c r="L2974" s="7"/>
    </row>
    <row r="2975" spans="1:12">
      <c r="A2975" s="19"/>
      <c r="B2975" s="7"/>
      <c r="C2975" s="175"/>
      <c r="D2975" s="175"/>
      <c r="E2975" s="175"/>
      <c r="F2975" s="229"/>
      <c r="G2975" s="229"/>
      <c r="H2975" s="229"/>
      <c r="I2975" s="72"/>
      <c r="J2975" s="185"/>
      <c r="K2975" s="205"/>
      <c r="L2975" s="7"/>
    </row>
    <row r="2976" spans="1:12">
      <c r="A2976" s="19"/>
      <c r="B2976" s="7"/>
      <c r="C2976" s="175"/>
      <c r="D2976" s="175"/>
      <c r="E2976" s="175"/>
      <c r="F2976" s="229"/>
      <c r="G2976" s="229"/>
      <c r="H2976" s="229"/>
      <c r="I2976" s="72"/>
      <c r="J2976" s="191"/>
      <c r="K2976" s="205"/>
      <c r="L2976" s="7"/>
    </row>
    <row r="2977" spans="1:12">
      <c r="A2977" s="19"/>
      <c r="B2977" s="7"/>
      <c r="C2977" s="175"/>
      <c r="D2977" s="175"/>
      <c r="E2977" s="175"/>
      <c r="F2977" s="229"/>
      <c r="G2977" s="229"/>
      <c r="H2977" s="229"/>
      <c r="I2977" s="72"/>
      <c r="J2977" s="185"/>
      <c r="K2977" s="205"/>
      <c r="L2977" s="7"/>
    </row>
    <row r="2978" spans="1:12">
      <c r="A2978" s="19"/>
      <c r="B2978" s="7"/>
      <c r="C2978" s="175"/>
      <c r="D2978" s="175"/>
      <c r="E2978" s="175"/>
      <c r="F2978" s="229"/>
      <c r="G2978" s="229"/>
      <c r="H2978" s="229"/>
      <c r="I2978" s="72"/>
      <c r="J2978" s="191"/>
      <c r="K2978" s="205"/>
      <c r="L2978" s="7"/>
    </row>
    <row r="2979" spans="1:12">
      <c r="A2979" s="19"/>
      <c r="B2979" s="7"/>
      <c r="C2979" s="175"/>
      <c r="D2979" s="175"/>
      <c r="E2979" s="175"/>
      <c r="F2979" s="229"/>
      <c r="G2979" s="229"/>
      <c r="H2979" s="229"/>
      <c r="I2979" s="72"/>
      <c r="J2979" s="185"/>
      <c r="K2979" s="205"/>
      <c r="L2979" s="7"/>
    </row>
    <row r="2980" spans="1:12">
      <c r="A2980" s="19"/>
      <c r="B2980" s="7"/>
      <c r="C2980" s="175"/>
      <c r="D2980" s="175"/>
      <c r="E2980" s="175"/>
      <c r="F2980" s="229"/>
      <c r="G2980" s="229"/>
      <c r="H2980" s="229"/>
      <c r="I2980" s="72"/>
      <c r="J2980" s="185"/>
      <c r="K2980" s="205"/>
      <c r="L2980" s="7"/>
    </row>
    <row r="2981" spans="1:12">
      <c r="A2981" s="19"/>
      <c r="B2981" s="7"/>
      <c r="C2981" s="175"/>
      <c r="D2981" s="175"/>
      <c r="E2981" s="175"/>
      <c r="F2981" s="229"/>
      <c r="G2981" s="229"/>
      <c r="H2981" s="229"/>
      <c r="I2981" s="72"/>
      <c r="J2981" s="185"/>
      <c r="K2981" s="205"/>
      <c r="L2981" s="7"/>
    </row>
    <row r="2982" spans="1:12">
      <c r="A2982" s="19"/>
      <c r="B2982" s="7"/>
      <c r="C2982" s="175"/>
      <c r="D2982" s="175"/>
      <c r="E2982" s="175"/>
      <c r="F2982" s="229"/>
      <c r="G2982" s="229"/>
      <c r="H2982" s="229"/>
      <c r="I2982" s="72"/>
      <c r="J2982" s="185"/>
      <c r="K2982" s="205"/>
      <c r="L2982" s="7"/>
    </row>
    <row r="2983" spans="1:12">
      <c r="A2983" s="19"/>
      <c r="B2983" s="7"/>
      <c r="C2983" s="175"/>
      <c r="D2983" s="175"/>
      <c r="E2983" s="175"/>
      <c r="F2983" s="229"/>
      <c r="G2983" s="229"/>
      <c r="H2983" s="229"/>
      <c r="I2983" s="72"/>
      <c r="J2983" s="185"/>
      <c r="K2983" s="205"/>
      <c r="L2983" s="7"/>
    </row>
    <row r="2984" spans="1:12">
      <c r="A2984" s="19"/>
      <c r="B2984" s="7"/>
      <c r="C2984" s="175"/>
      <c r="D2984" s="175"/>
      <c r="E2984" s="175"/>
      <c r="F2984" s="229"/>
      <c r="G2984" s="229"/>
      <c r="H2984" s="229"/>
      <c r="I2984" s="72"/>
      <c r="J2984" s="185"/>
      <c r="K2984" s="205"/>
      <c r="L2984" s="7"/>
    </row>
    <row r="2985" spans="1:12">
      <c r="A2985" s="19"/>
      <c r="B2985" s="7"/>
      <c r="C2985" s="175"/>
      <c r="D2985" s="175"/>
      <c r="E2985" s="175"/>
      <c r="F2985" s="229"/>
      <c r="G2985" s="229"/>
      <c r="H2985" s="229"/>
      <c r="I2985" s="72"/>
      <c r="J2985" s="185"/>
      <c r="K2985" s="205"/>
      <c r="L2985" s="7"/>
    </row>
    <row r="2986" spans="1:12">
      <c r="A2986" s="19"/>
      <c r="B2986" s="7"/>
      <c r="C2986" s="175"/>
      <c r="D2986" s="175"/>
      <c r="E2986" s="175"/>
      <c r="F2986" s="229"/>
      <c r="G2986" s="229"/>
      <c r="H2986" s="229"/>
      <c r="I2986" s="72"/>
      <c r="J2986" s="185"/>
      <c r="K2986" s="205"/>
      <c r="L2986" s="7"/>
    </row>
    <row r="2987" spans="1:12">
      <c r="A2987" s="19"/>
      <c r="B2987" s="7"/>
      <c r="C2987" s="175"/>
      <c r="D2987" s="175"/>
      <c r="E2987" s="175"/>
      <c r="F2987" s="229"/>
      <c r="G2987" s="229"/>
      <c r="H2987" s="229"/>
      <c r="I2987" s="72"/>
      <c r="J2987" s="185"/>
      <c r="K2987" s="205"/>
      <c r="L2987" s="7"/>
    </row>
    <row r="2988" spans="1:12">
      <c r="A2988" s="20"/>
      <c r="B2988" s="21"/>
      <c r="C2988" s="175"/>
      <c r="D2988" s="175"/>
      <c r="E2988" s="175"/>
      <c r="F2988" s="232"/>
      <c r="G2988" s="232"/>
      <c r="H2988" s="232"/>
      <c r="I2988" s="63"/>
      <c r="J2988" s="189"/>
      <c r="K2988" s="206"/>
      <c r="L2988" s="7"/>
    </row>
    <row r="2989" spans="1:12">
      <c r="A2989" s="19"/>
      <c r="B2989" s="7"/>
      <c r="C2989" s="175"/>
      <c r="D2989" s="175"/>
      <c r="E2989" s="175"/>
      <c r="F2989" s="229"/>
      <c r="G2989" s="229"/>
      <c r="H2989" s="229"/>
      <c r="I2989" s="72"/>
      <c r="J2989" s="185"/>
      <c r="K2989" s="205"/>
      <c r="L2989" s="7"/>
    </row>
    <row r="2990" spans="1:12">
      <c r="A2990" s="19"/>
      <c r="B2990" s="7"/>
      <c r="C2990" s="175"/>
      <c r="D2990" s="175"/>
      <c r="E2990" s="175"/>
      <c r="F2990" s="229"/>
      <c r="G2990" s="229"/>
      <c r="H2990" s="229"/>
      <c r="I2990" s="72"/>
      <c r="J2990" s="185"/>
      <c r="K2990" s="205"/>
      <c r="L2990" s="7"/>
    </row>
    <row r="2991" spans="1:12">
      <c r="A2991" s="20"/>
      <c r="B2991" s="21"/>
      <c r="C2991" s="175"/>
      <c r="D2991" s="175"/>
      <c r="E2991" s="175"/>
      <c r="F2991" s="232"/>
      <c r="G2991" s="232"/>
      <c r="H2991" s="232"/>
      <c r="I2991" s="63"/>
      <c r="J2991" s="190"/>
      <c r="K2991" s="206"/>
      <c r="L2991" s="7"/>
    </row>
    <row r="2992" spans="1:12">
      <c r="A2992" s="20"/>
      <c r="B2992" s="21"/>
      <c r="C2992" s="175"/>
      <c r="D2992" s="175"/>
      <c r="E2992" s="175"/>
      <c r="F2992" s="232"/>
      <c r="G2992" s="232"/>
      <c r="H2992" s="232"/>
      <c r="I2992" s="63"/>
      <c r="J2992" s="190"/>
      <c r="K2992" s="206"/>
      <c r="L2992" s="7"/>
    </row>
    <row r="2993" spans="1:12">
      <c r="A2993" s="19"/>
      <c r="B2993" s="7"/>
      <c r="C2993" s="175"/>
      <c r="D2993" s="175"/>
      <c r="E2993" s="175"/>
      <c r="F2993" s="229"/>
      <c r="G2993" s="229"/>
      <c r="H2993" s="229"/>
      <c r="I2993" s="72"/>
      <c r="J2993" s="185"/>
      <c r="K2993" s="205"/>
      <c r="L2993" s="7"/>
    </row>
    <row r="2994" spans="1:12">
      <c r="A2994" s="19"/>
      <c r="B2994" s="7"/>
      <c r="C2994" s="175"/>
      <c r="D2994" s="175"/>
      <c r="E2994" s="175"/>
      <c r="F2994" s="229"/>
      <c r="G2994" s="229"/>
      <c r="H2994" s="229"/>
      <c r="I2994" s="72"/>
      <c r="J2994" s="185"/>
      <c r="K2994" s="205"/>
      <c r="L2994" s="7"/>
    </row>
    <row r="2995" spans="1:12">
      <c r="A2995" s="19"/>
      <c r="B2995" s="7"/>
      <c r="C2995" s="175"/>
      <c r="D2995" s="175"/>
      <c r="E2995" s="175"/>
      <c r="F2995" s="229"/>
      <c r="G2995" s="229"/>
      <c r="H2995" s="229"/>
      <c r="I2995" s="72"/>
      <c r="J2995" s="185"/>
      <c r="K2995" s="205"/>
      <c r="L2995" s="7"/>
    </row>
    <row r="2996" spans="1:12">
      <c r="A2996" s="19"/>
      <c r="B2996" s="7"/>
      <c r="C2996" s="175"/>
      <c r="D2996" s="175"/>
      <c r="E2996" s="175"/>
      <c r="F2996" s="229"/>
      <c r="G2996" s="229"/>
      <c r="H2996" s="229"/>
      <c r="I2996" s="72"/>
      <c r="J2996" s="185"/>
      <c r="K2996" s="205"/>
      <c r="L2996" s="7"/>
    </row>
    <row r="2997" spans="1:12">
      <c r="A2997" s="19"/>
      <c r="B2997" s="7"/>
      <c r="C2997" s="175"/>
      <c r="D2997" s="175"/>
      <c r="E2997" s="175"/>
      <c r="F2997" s="229"/>
      <c r="G2997" s="229"/>
      <c r="H2997" s="229"/>
      <c r="I2997" s="72"/>
      <c r="J2997" s="185"/>
      <c r="K2997" s="205"/>
      <c r="L2997" s="7"/>
    </row>
    <row r="2998" spans="1:12">
      <c r="A2998" s="19"/>
      <c r="B2998" s="7"/>
      <c r="C2998" s="175"/>
      <c r="D2998" s="175"/>
      <c r="E2998" s="175"/>
      <c r="F2998" s="229"/>
      <c r="G2998" s="229"/>
      <c r="H2998" s="229"/>
      <c r="I2998" s="72"/>
      <c r="J2998" s="185"/>
      <c r="K2998" s="205"/>
      <c r="L2998" s="7"/>
    </row>
    <row r="2999" spans="1:12">
      <c r="A2999" s="19"/>
      <c r="B2999" s="7"/>
      <c r="C2999" s="175"/>
      <c r="D2999" s="175"/>
      <c r="E2999" s="175"/>
      <c r="F2999" s="229"/>
      <c r="G2999" s="229"/>
      <c r="H2999" s="229"/>
      <c r="I2999" s="72"/>
      <c r="J2999" s="185"/>
      <c r="K2999" s="205"/>
      <c r="L2999" s="7"/>
    </row>
    <row r="3000" spans="1:12">
      <c r="A3000" s="19"/>
      <c r="B3000" s="7"/>
      <c r="C3000" s="175"/>
      <c r="D3000" s="175"/>
      <c r="E3000" s="175"/>
      <c r="F3000" s="229"/>
      <c r="G3000" s="229"/>
      <c r="H3000" s="229"/>
      <c r="I3000" s="72"/>
      <c r="J3000" s="185"/>
      <c r="K3000" s="205"/>
      <c r="L3000" s="7"/>
    </row>
    <row r="3001" spans="1:12">
      <c r="A3001" s="19"/>
      <c r="B3001" s="7"/>
      <c r="C3001" s="175"/>
      <c r="D3001" s="175"/>
      <c r="E3001" s="175"/>
      <c r="F3001" s="229"/>
      <c r="G3001" s="229"/>
      <c r="H3001" s="229"/>
      <c r="I3001" s="72"/>
      <c r="J3001" s="185"/>
      <c r="K3001" s="205"/>
      <c r="L3001" s="7"/>
    </row>
    <row r="3002" spans="1:12">
      <c r="A3002" s="19"/>
      <c r="B3002" s="7"/>
      <c r="C3002" s="175"/>
      <c r="D3002" s="175"/>
      <c r="E3002" s="175"/>
      <c r="F3002" s="229"/>
      <c r="G3002" s="229"/>
      <c r="H3002" s="229"/>
      <c r="I3002" s="72"/>
      <c r="J3002" s="185"/>
      <c r="K3002" s="205"/>
      <c r="L3002" s="7"/>
    </row>
    <row r="3003" spans="1:12">
      <c r="A3003" s="19"/>
      <c r="B3003" s="7"/>
      <c r="C3003" s="175"/>
      <c r="D3003" s="175"/>
      <c r="E3003" s="175"/>
      <c r="F3003" s="229"/>
      <c r="G3003" s="229"/>
      <c r="H3003" s="229"/>
      <c r="I3003" s="72"/>
      <c r="J3003" s="185"/>
      <c r="K3003" s="205"/>
      <c r="L3003" s="7"/>
    </row>
    <row r="3004" spans="1:12">
      <c r="A3004" s="19"/>
      <c r="B3004" s="7"/>
      <c r="C3004" s="175"/>
      <c r="D3004" s="175"/>
      <c r="E3004" s="175"/>
      <c r="F3004" s="229"/>
      <c r="G3004" s="229"/>
      <c r="H3004" s="229"/>
      <c r="I3004" s="72"/>
      <c r="J3004" s="185"/>
      <c r="K3004" s="205"/>
      <c r="L3004" s="7"/>
    </row>
    <row r="3005" spans="1:12">
      <c r="A3005" s="20"/>
      <c r="B3005" s="21"/>
      <c r="C3005" s="175"/>
      <c r="D3005" s="175"/>
      <c r="E3005" s="175"/>
      <c r="F3005" s="232"/>
      <c r="G3005" s="232"/>
      <c r="H3005" s="232"/>
      <c r="I3005" s="63"/>
      <c r="J3005" s="190"/>
      <c r="K3005" s="206"/>
      <c r="L3005" s="7"/>
    </row>
    <row r="3006" spans="1:12">
      <c r="A3006" s="19"/>
      <c r="B3006" s="7"/>
      <c r="C3006" s="175"/>
      <c r="D3006" s="175"/>
      <c r="E3006" s="175"/>
      <c r="F3006" s="229"/>
      <c r="G3006" s="229"/>
      <c r="H3006" s="229"/>
      <c r="I3006" s="72"/>
      <c r="J3006" s="185"/>
      <c r="K3006" s="205"/>
      <c r="L3006" s="7"/>
    </row>
    <row r="3007" spans="1:12">
      <c r="A3007" s="20"/>
      <c r="B3007" s="21"/>
      <c r="C3007" s="175"/>
      <c r="D3007" s="175"/>
      <c r="E3007" s="175"/>
      <c r="F3007" s="232"/>
      <c r="G3007" s="232"/>
      <c r="H3007" s="232"/>
      <c r="I3007" s="63"/>
      <c r="J3007" s="190"/>
      <c r="K3007" s="206"/>
      <c r="L3007" s="7"/>
    </row>
    <row r="3008" spans="1:12">
      <c r="A3008" s="20"/>
      <c r="B3008" s="21"/>
      <c r="C3008" s="175"/>
      <c r="D3008" s="175"/>
      <c r="E3008" s="175"/>
      <c r="F3008" s="232"/>
      <c r="G3008" s="232"/>
      <c r="H3008" s="232"/>
      <c r="I3008" s="63"/>
      <c r="J3008" s="190"/>
      <c r="K3008" s="206"/>
      <c r="L3008" s="7"/>
    </row>
    <row r="3009" spans="1:12">
      <c r="A3009" s="20"/>
      <c r="B3009" s="21"/>
      <c r="C3009" s="175"/>
      <c r="D3009" s="175"/>
      <c r="E3009" s="175"/>
      <c r="F3009" s="232"/>
      <c r="G3009" s="232"/>
      <c r="H3009" s="232"/>
      <c r="I3009" s="63"/>
      <c r="J3009" s="190"/>
      <c r="K3009" s="206"/>
      <c r="L3009" s="7"/>
    </row>
    <row r="3010" spans="1:12">
      <c r="A3010" s="20"/>
      <c r="B3010" s="21"/>
      <c r="C3010" s="175"/>
      <c r="D3010" s="175"/>
      <c r="E3010" s="175"/>
      <c r="F3010" s="232"/>
      <c r="G3010" s="232"/>
      <c r="H3010" s="232"/>
      <c r="I3010" s="63"/>
      <c r="J3010" s="190"/>
      <c r="K3010" s="206"/>
      <c r="L3010" s="7"/>
    </row>
    <row r="3011" spans="1:12">
      <c r="A3011" s="20"/>
      <c r="B3011" s="21"/>
      <c r="C3011" s="175"/>
      <c r="D3011" s="175"/>
      <c r="E3011" s="175"/>
      <c r="F3011" s="232"/>
      <c r="G3011" s="232"/>
      <c r="H3011" s="232"/>
      <c r="I3011" s="63"/>
      <c r="J3011" s="190"/>
      <c r="K3011" s="206"/>
      <c r="L3011" s="7"/>
    </row>
    <row r="3012" spans="1:12">
      <c r="A3012" s="19"/>
      <c r="B3012" s="7"/>
      <c r="C3012" s="175"/>
      <c r="D3012" s="175"/>
      <c r="E3012" s="175"/>
      <c r="F3012" s="229"/>
      <c r="G3012" s="229"/>
      <c r="H3012" s="229"/>
      <c r="I3012" s="72"/>
      <c r="J3012" s="185"/>
      <c r="K3012" s="205"/>
      <c r="L3012" s="7"/>
    </row>
    <row r="3013" spans="1:12">
      <c r="A3013" s="19"/>
      <c r="B3013" s="7"/>
      <c r="C3013" s="175"/>
      <c r="D3013" s="175"/>
      <c r="E3013" s="175"/>
      <c r="F3013" s="229"/>
      <c r="G3013" s="229"/>
      <c r="H3013" s="229"/>
      <c r="I3013" s="72"/>
      <c r="J3013" s="185"/>
      <c r="K3013" s="205"/>
      <c r="L3013" s="7"/>
    </row>
    <row r="3014" spans="1:12">
      <c r="A3014" s="19"/>
      <c r="B3014" s="7"/>
      <c r="C3014" s="175"/>
      <c r="D3014" s="175"/>
      <c r="E3014" s="175"/>
      <c r="F3014" s="229"/>
      <c r="G3014" s="229"/>
      <c r="H3014" s="229"/>
      <c r="I3014" s="72"/>
      <c r="J3014" s="185"/>
      <c r="K3014" s="205"/>
      <c r="L3014" s="7"/>
    </row>
    <row r="3015" spans="1:12">
      <c r="A3015" s="19"/>
      <c r="B3015" s="7"/>
      <c r="C3015" s="175"/>
      <c r="D3015" s="175"/>
      <c r="E3015" s="175"/>
      <c r="F3015" s="229"/>
      <c r="G3015" s="229"/>
      <c r="H3015" s="229"/>
      <c r="I3015" s="72"/>
      <c r="J3015" s="185"/>
      <c r="K3015" s="205"/>
      <c r="L3015" s="7"/>
    </row>
    <row r="3016" spans="1:12">
      <c r="A3016" s="19"/>
      <c r="B3016" s="7"/>
      <c r="C3016" s="175"/>
      <c r="D3016" s="175"/>
      <c r="E3016" s="175"/>
      <c r="F3016" s="229"/>
      <c r="G3016" s="229"/>
      <c r="H3016" s="229"/>
      <c r="I3016" s="72"/>
      <c r="J3016" s="185"/>
      <c r="K3016" s="205"/>
      <c r="L3016" s="7"/>
    </row>
    <row r="3017" spans="1:12">
      <c r="A3017" s="19"/>
      <c r="B3017" s="7"/>
      <c r="C3017" s="175"/>
      <c r="D3017" s="175"/>
      <c r="E3017" s="175"/>
      <c r="F3017" s="229"/>
      <c r="G3017" s="229"/>
      <c r="H3017" s="229"/>
      <c r="I3017" s="72"/>
      <c r="J3017" s="185"/>
      <c r="K3017" s="205"/>
      <c r="L3017" s="7"/>
    </row>
    <row r="3018" spans="1:12">
      <c r="A3018" s="19"/>
      <c r="B3018" s="7"/>
      <c r="C3018" s="175"/>
      <c r="D3018" s="175"/>
      <c r="E3018" s="175"/>
      <c r="F3018" s="229"/>
      <c r="G3018" s="229"/>
      <c r="H3018" s="229"/>
      <c r="I3018" s="72"/>
      <c r="J3018" s="185"/>
      <c r="K3018" s="205"/>
      <c r="L3018" s="7"/>
    </row>
    <row r="3019" spans="1:12">
      <c r="A3019" s="19"/>
      <c r="B3019" s="7"/>
      <c r="C3019" s="175"/>
      <c r="D3019" s="175"/>
      <c r="E3019" s="175"/>
      <c r="F3019" s="229"/>
      <c r="G3019" s="229"/>
      <c r="H3019" s="229"/>
      <c r="I3019" s="72"/>
      <c r="J3019" s="185"/>
      <c r="K3019" s="205"/>
      <c r="L3019" s="7"/>
    </row>
    <row r="3020" spans="1:12">
      <c r="A3020" s="19"/>
      <c r="B3020" s="7"/>
      <c r="C3020" s="175"/>
      <c r="D3020" s="175"/>
      <c r="E3020" s="175"/>
      <c r="F3020" s="229"/>
      <c r="G3020" s="229"/>
      <c r="H3020" s="229"/>
      <c r="I3020" s="72"/>
      <c r="J3020" s="185"/>
      <c r="K3020" s="205"/>
      <c r="L3020" s="7"/>
    </row>
    <row r="3021" spans="1:12">
      <c r="A3021" s="19"/>
      <c r="B3021" s="7"/>
      <c r="C3021" s="175"/>
      <c r="D3021" s="175"/>
      <c r="E3021" s="175"/>
      <c r="F3021" s="229"/>
      <c r="G3021" s="229"/>
      <c r="H3021" s="229"/>
      <c r="I3021" s="72"/>
      <c r="J3021" s="185"/>
      <c r="K3021" s="205"/>
      <c r="L3021" s="7"/>
    </row>
    <row r="3022" spans="1:12">
      <c r="A3022" s="19"/>
      <c r="B3022" s="7"/>
      <c r="C3022" s="175"/>
      <c r="D3022" s="175"/>
      <c r="E3022" s="175"/>
      <c r="F3022" s="229"/>
      <c r="G3022" s="229"/>
      <c r="H3022" s="229"/>
      <c r="I3022" s="72"/>
      <c r="J3022" s="185"/>
      <c r="K3022" s="205"/>
      <c r="L3022" s="7"/>
    </row>
    <row r="3023" spans="1:12">
      <c r="A3023" s="19"/>
      <c r="B3023" s="7"/>
      <c r="C3023" s="175"/>
      <c r="D3023" s="175"/>
      <c r="E3023" s="175"/>
      <c r="F3023" s="229"/>
      <c r="G3023" s="229"/>
      <c r="H3023" s="229"/>
      <c r="I3023" s="72"/>
      <c r="J3023" s="185"/>
      <c r="K3023" s="205"/>
      <c r="L3023" s="7"/>
    </row>
    <row r="3024" spans="1:12">
      <c r="A3024" s="19"/>
      <c r="B3024" s="7"/>
      <c r="C3024" s="175"/>
      <c r="D3024" s="175"/>
      <c r="E3024" s="175"/>
      <c r="F3024" s="229"/>
      <c r="G3024" s="229"/>
      <c r="H3024" s="229"/>
      <c r="I3024" s="72"/>
      <c r="J3024" s="185"/>
      <c r="K3024" s="205"/>
      <c r="L3024" s="7"/>
    </row>
    <row r="3025" spans="1:12">
      <c r="A3025" s="19"/>
      <c r="B3025" s="7"/>
      <c r="C3025" s="175"/>
      <c r="D3025" s="175"/>
      <c r="E3025" s="175"/>
      <c r="F3025" s="229"/>
      <c r="G3025" s="229"/>
      <c r="H3025" s="229"/>
      <c r="I3025" s="72"/>
      <c r="J3025" s="185"/>
      <c r="K3025" s="205"/>
      <c r="L3025" s="7"/>
    </row>
    <row r="3026" spans="1:12">
      <c r="A3026" s="19"/>
      <c r="B3026" s="7"/>
      <c r="C3026" s="175"/>
      <c r="D3026" s="175"/>
      <c r="E3026" s="175"/>
      <c r="F3026" s="229"/>
      <c r="G3026" s="229"/>
      <c r="H3026" s="229"/>
      <c r="I3026" s="72"/>
      <c r="J3026" s="185"/>
      <c r="K3026" s="205"/>
      <c r="L3026" s="7"/>
    </row>
    <row r="3027" spans="1:12">
      <c r="A3027" s="19"/>
      <c r="B3027" s="7"/>
      <c r="C3027" s="175"/>
      <c r="D3027" s="175"/>
      <c r="E3027" s="175"/>
      <c r="F3027" s="229"/>
      <c r="G3027" s="229"/>
      <c r="H3027" s="229"/>
      <c r="I3027" s="72"/>
      <c r="J3027" s="185"/>
      <c r="K3027" s="205"/>
      <c r="L3027" s="7"/>
    </row>
    <row r="3028" spans="1:12">
      <c r="A3028" s="19"/>
      <c r="B3028" s="7"/>
      <c r="C3028" s="175"/>
      <c r="D3028" s="175"/>
      <c r="E3028" s="175"/>
      <c r="F3028" s="229"/>
      <c r="G3028" s="229"/>
      <c r="H3028" s="229"/>
      <c r="I3028" s="72"/>
      <c r="J3028" s="185"/>
      <c r="K3028" s="205"/>
      <c r="L3028" s="7"/>
    </row>
    <row r="3029" spans="1:12">
      <c r="A3029" s="19"/>
      <c r="B3029" s="7"/>
      <c r="C3029" s="175"/>
      <c r="D3029" s="175"/>
      <c r="E3029" s="175"/>
      <c r="F3029" s="229"/>
      <c r="G3029" s="229"/>
      <c r="H3029" s="229"/>
      <c r="I3029" s="72"/>
      <c r="J3029" s="191"/>
      <c r="K3029" s="205"/>
      <c r="L3029" s="7"/>
    </row>
    <row r="3030" spans="1:12">
      <c r="A3030" s="23"/>
      <c r="B3030" s="14"/>
      <c r="C3030" s="178"/>
      <c r="D3030" s="178"/>
      <c r="E3030" s="178"/>
      <c r="F3030" s="233"/>
      <c r="G3030" s="233"/>
      <c r="H3030" s="233"/>
      <c r="I3030" s="73"/>
      <c r="J3030" s="191"/>
      <c r="K3030" s="207"/>
      <c r="L3030" s="7"/>
    </row>
    <row r="3031" spans="1:12">
      <c r="A3031" s="19"/>
      <c r="B3031" s="7"/>
      <c r="C3031" s="175"/>
      <c r="D3031" s="175"/>
      <c r="E3031" s="175"/>
      <c r="F3031" s="229"/>
      <c r="G3031" s="229"/>
      <c r="H3031" s="229"/>
      <c r="I3031" s="72"/>
      <c r="J3031" s="185"/>
      <c r="K3031" s="205"/>
      <c r="L3031" s="7"/>
    </row>
    <row r="3032" spans="1:12">
      <c r="A3032" s="19"/>
      <c r="B3032" s="7"/>
      <c r="C3032" s="175"/>
      <c r="D3032" s="175"/>
      <c r="E3032" s="175"/>
      <c r="F3032" s="229"/>
      <c r="G3032" s="229"/>
      <c r="H3032" s="229"/>
      <c r="I3032" s="72"/>
      <c r="J3032" s="185"/>
      <c r="K3032" s="205"/>
      <c r="L3032" s="7"/>
    </row>
    <row r="3033" spans="1:12">
      <c r="A3033" s="19"/>
      <c r="B3033" s="7"/>
      <c r="C3033" s="175"/>
      <c r="D3033" s="175"/>
      <c r="E3033" s="175"/>
      <c r="F3033" s="229"/>
      <c r="G3033" s="229"/>
      <c r="H3033" s="229"/>
      <c r="I3033" s="72"/>
      <c r="J3033" s="185"/>
      <c r="K3033" s="205"/>
      <c r="L3033" s="7"/>
    </row>
    <row r="3034" spans="1:12">
      <c r="A3034" s="19"/>
      <c r="B3034" s="7"/>
      <c r="C3034" s="175"/>
      <c r="D3034" s="175"/>
      <c r="E3034" s="175"/>
      <c r="F3034" s="229"/>
      <c r="G3034" s="229"/>
      <c r="H3034" s="229"/>
      <c r="I3034" s="72"/>
      <c r="J3034" s="185"/>
      <c r="K3034" s="205"/>
      <c r="L3034" s="7"/>
    </row>
    <row r="3035" spans="1:12">
      <c r="A3035" s="19"/>
      <c r="B3035" s="7"/>
      <c r="C3035" s="175"/>
      <c r="D3035" s="175"/>
      <c r="E3035" s="175"/>
      <c r="F3035" s="229"/>
      <c r="G3035" s="229"/>
      <c r="H3035" s="229"/>
      <c r="I3035" s="72"/>
      <c r="J3035" s="185"/>
      <c r="K3035" s="205"/>
      <c r="L3035" s="7"/>
    </row>
    <row r="3036" spans="1:12">
      <c r="A3036" s="19"/>
      <c r="B3036" s="7"/>
      <c r="C3036" s="175"/>
      <c r="D3036" s="175"/>
      <c r="E3036" s="175"/>
      <c r="F3036" s="229"/>
      <c r="G3036" s="229"/>
      <c r="H3036" s="229"/>
      <c r="I3036" s="72"/>
      <c r="J3036" s="185"/>
      <c r="K3036" s="205"/>
      <c r="L3036" s="7"/>
    </row>
    <row r="3037" spans="1:12">
      <c r="A3037" s="19"/>
      <c r="B3037" s="7"/>
      <c r="C3037" s="175"/>
      <c r="D3037" s="175"/>
      <c r="E3037" s="175"/>
      <c r="F3037" s="229"/>
      <c r="G3037" s="229"/>
      <c r="H3037" s="229"/>
      <c r="I3037" s="72"/>
      <c r="J3037" s="185"/>
      <c r="K3037" s="205"/>
      <c r="L3037" s="7"/>
    </row>
    <row r="3038" spans="1:12">
      <c r="A3038" s="19"/>
      <c r="B3038" s="7"/>
      <c r="C3038" s="175"/>
      <c r="D3038" s="175"/>
      <c r="E3038" s="175"/>
      <c r="F3038" s="229"/>
      <c r="G3038" s="229"/>
      <c r="H3038" s="229"/>
      <c r="I3038" s="72"/>
      <c r="J3038" s="185"/>
      <c r="K3038" s="205"/>
      <c r="L3038" s="7"/>
    </row>
    <row r="3039" spans="1:12">
      <c r="A3039" s="19"/>
      <c r="B3039" s="7"/>
      <c r="C3039" s="175"/>
      <c r="D3039" s="175"/>
      <c r="E3039" s="175"/>
      <c r="F3039" s="229"/>
      <c r="G3039" s="229"/>
      <c r="H3039" s="229"/>
      <c r="I3039" s="72"/>
      <c r="J3039" s="185"/>
      <c r="K3039" s="205"/>
      <c r="L3039" s="7"/>
    </row>
    <row r="3040" spans="1:12">
      <c r="A3040" s="19"/>
      <c r="B3040" s="7"/>
      <c r="C3040" s="175"/>
      <c r="D3040" s="175"/>
      <c r="E3040" s="175"/>
      <c r="F3040" s="229"/>
      <c r="G3040" s="229"/>
      <c r="H3040" s="229"/>
      <c r="I3040" s="72"/>
      <c r="J3040" s="185"/>
      <c r="K3040" s="205"/>
      <c r="L3040" s="7"/>
    </row>
    <row r="3041" spans="1:12">
      <c r="A3041" s="19"/>
      <c r="B3041" s="7"/>
      <c r="C3041" s="175"/>
      <c r="D3041" s="175"/>
      <c r="E3041" s="175"/>
      <c r="F3041" s="229"/>
      <c r="G3041" s="229"/>
      <c r="H3041" s="229"/>
      <c r="I3041" s="72"/>
      <c r="J3041" s="185"/>
      <c r="K3041" s="205"/>
      <c r="L3041" s="7"/>
    </row>
    <row r="3042" spans="1:12">
      <c r="A3042" s="19"/>
      <c r="B3042" s="7"/>
      <c r="C3042" s="175"/>
      <c r="D3042" s="175"/>
      <c r="E3042" s="175"/>
      <c r="F3042" s="229"/>
      <c r="G3042" s="229"/>
      <c r="H3042" s="229"/>
      <c r="I3042" s="72"/>
      <c r="J3042" s="185"/>
      <c r="K3042" s="205"/>
      <c r="L3042" s="7"/>
    </row>
    <row r="3043" spans="1:12">
      <c r="A3043" s="19"/>
      <c r="B3043" s="7"/>
      <c r="C3043" s="175"/>
      <c r="D3043" s="175"/>
      <c r="E3043" s="175"/>
      <c r="F3043" s="229"/>
      <c r="G3043" s="229"/>
      <c r="H3043" s="229"/>
      <c r="I3043" s="72"/>
      <c r="J3043" s="185"/>
      <c r="K3043" s="205"/>
      <c r="L3043" s="7"/>
    </row>
    <row r="3044" spans="1:12">
      <c r="A3044" s="19"/>
      <c r="B3044" s="7"/>
      <c r="C3044" s="175"/>
      <c r="D3044" s="175"/>
      <c r="E3044" s="175"/>
      <c r="F3044" s="229"/>
      <c r="G3044" s="229"/>
      <c r="H3044" s="229"/>
      <c r="I3044" s="72"/>
      <c r="J3044" s="185"/>
      <c r="K3044" s="205"/>
      <c r="L3044" s="7"/>
    </row>
    <row r="3045" spans="1:12">
      <c r="A3045" s="19"/>
      <c r="B3045" s="7"/>
      <c r="C3045" s="175"/>
      <c r="D3045" s="175"/>
      <c r="E3045" s="175"/>
      <c r="F3045" s="229"/>
      <c r="G3045" s="229"/>
      <c r="H3045" s="229"/>
      <c r="I3045" s="72"/>
      <c r="J3045" s="185"/>
      <c r="K3045" s="205"/>
      <c r="L3045" s="7"/>
    </row>
    <row r="3046" spans="1:12">
      <c r="A3046" s="19"/>
      <c r="B3046" s="7"/>
      <c r="C3046" s="175"/>
      <c r="D3046" s="175"/>
      <c r="E3046" s="175"/>
      <c r="F3046" s="229"/>
      <c r="G3046" s="229"/>
      <c r="H3046" s="229"/>
      <c r="I3046" s="72"/>
      <c r="J3046" s="185"/>
      <c r="K3046" s="205"/>
      <c r="L3046" s="7"/>
    </row>
    <row r="3047" spans="1:12">
      <c r="A3047" s="19"/>
      <c r="B3047" s="7"/>
      <c r="C3047" s="175"/>
      <c r="D3047" s="175"/>
      <c r="E3047" s="175"/>
      <c r="F3047" s="229"/>
      <c r="G3047" s="229"/>
      <c r="H3047" s="229"/>
      <c r="I3047" s="72"/>
      <c r="J3047" s="185"/>
      <c r="K3047" s="205"/>
      <c r="L3047" s="7"/>
    </row>
    <row r="3048" spans="1:12">
      <c r="A3048" s="19"/>
      <c r="B3048" s="7"/>
      <c r="C3048" s="175"/>
      <c r="D3048" s="175"/>
      <c r="E3048" s="175"/>
      <c r="F3048" s="229"/>
      <c r="G3048" s="229"/>
      <c r="H3048" s="229"/>
      <c r="I3048" s="72"/>
      <c r="J3048" s="185"/>
      <c r="K3048" s="205"/>
      <c r="L3048" s="7"/>
    </row>
    <row r="3049" spans="1:12">
      <c r="A3049" s="20"/>
      <c r="B3049" s="21"/>
      <c r="C3049" s="175"/>
      <c r="D3049" s="175"/>
      <c r="E3049" s="175"/>
      <c r="F3049" s="232"/>
      <c r="G3049" s="232"/>
      <c r="H3049" s="232"/>
      <c r="I3049" s="63"/>
      <c r="J3049" s="190"/>
      <c r="K3049" s="206"/>
      <c r="L3049" s="7"/>
    </row>
    <row r="3050" spans="1:12">
      <c r="A3050" s="20"/>
      <c r="B3050" s="21"/>
      <c r="C3050" s="175"/>
      <c r="D3050" s="175"/>
      <c r="E3050" s="175"/>
      <c r="F3050" s="232"/>
      <c r="G3050" s="232"/>
      <c r="H3050" s="232"/>
      <c r="I3050" s="63"/>
      <c r="J3050" s="190"/>
      <c r="K3050" s="206"/>
      <c r="L3050" s="7"/>
    </row>
    <row r="3051" spans="1:12">
      <c r="A3051" s="20"/>
      <c r="B3051" s="21"/>
      <c r="C3051" s="175"/>
      <c r="D3051" s="175"/>
      <c r="E3051" s="175"/>
      <c r="F3051" s="232"/>
      <c r="G3051" s="232"/>
      <c r="H3051" s="232"/>
      <c r="I3051" s="63"/>
      <c r="J3051" s="190"/>
      <c r="K3051" s="206"/>
      <c r="L3051" s="7"/>
    </row>
    <row r="3052" spans="1:12">
      <c r="A3052" s="19"/>
      <c r="B3052" s="7"/>
      <c r="C3052" s="175"/>
      <c r="D3052" s="175"/>
      <c r="E3052" s="175"/>
      <c r="F3052" s="229"/>
      <c r="G3052" s="229"/>
      <c r="H3052" s="229"/>
      <c r="I3052" s="72"/>
      <c r="J3052" s="185"/>
      <c r="K3052" s="205"/>
      <c r="L3052" s="7"/>
    </row>
    <row r="3053" spans="1:12">
      <c r="A3053" s="19"/>
      <c r="B3053" s="7"/>
      <c r="C3053" s="175"/>
      <c r="D3053" s="175"/>
      <c r="E3053" s="175"/>
      <c r="F3053" s="229"/>
      <c r="G3053" s="229"/>
      <c r="H3053" s="229"/>
      <c r="I3053" s="72"/>
      <c r="J3053" s="185"/>
      <c r="K3053" s="205"/>
      <c r="L3053" s="7"/>
    </row>
    <row r="3054" spans="1:12">
      <c r="A3054" s="19"/>
      <c r="B3054" s="7"/>
      <c r="C3054" s="175"/>
      <c r="D3054" s="175"/>
      <c r="E3054" s="175"/>
      <c r="F3054" s="229"/>
      <c r="G3054" s="229"/>
      <c r="H3054" s="229"/>
      <c r="I3054" s="72"/>
      <c r="J3054" s="185"/>
      <c r="K3054" s="205"/>
      <c r="L3054" s="7"/>
    </row>
    <row r="3055" spans="1:12">
      <c r="A3055" s="19"/>
      <c r="B3055" s="7"/>
      <c r="C3055" s="175"/>
      <c r="D3055" s="175"/>
      <c r="E3055" s="175"/>
      <c r="F3055" s="229"/>
      <c r="G3055" s="229"/>
      <c r="H3055" s="229"/>
      <c r="I3055" s="72"/>
      <c r="J3055" s="185"/>
      <c r="K3055" s="205"/>
      <c r="L3055" s="7"/>
    </row>
    <row r="3056" spans="1:12">
      <c r="A3056" s="19"/>
      <c r="B3056" s="7"/>
      <c r="C3056" s="175"/>
      <c r="D3056" s="175"/>
      <c r="E3056" s="175"/>
      <c r="F3056" s="229"/>
      <c r="G3056" s="229"/>
      <c r="H3056" s="229"/>
      <c r="I3056" s="72"/>
      <c r="J3056" s="185"/>
      <c r="K3056" s="205"/>
      <c r="L3056" s="7"/>
    </row>
    <row r="3057" spans="1:12">
      <c r="A3057" s="19"/>
      <c r="B3057" s="7"/>
      <c r="C3057" s="175"/>
      <c r="D3057" s="175"/>
      <c r="E3057" s="175"/>
      <c r="F3057" s="229"/>
      <c r="G3057" s="229"/>
      <c r="H3057" s="229"/>
      <c r="I3057" s="72"/>
      <c r="J3057" s="185"/>
      <c r="K3057" s="205"/>
      <c r="L3057" s="7"/>
    </row>
    <row r="3058" spans="1:12">
      <c r="A3058" s="19"/>
      <c r="B3058" s="7"/>
      <c r="C3058" s="175"/>
      <c r="D3058" s="175"/>
      <c r="E3058" s="175"/>
      <c r="F3058" s="229"/>
      <c r="G3058" s="229"/>
      <c r="H3058" s="229"/>
      <c r="I3058" s="72"/>
      <c r="J3058" s="185"/>
      <c r="K3058" s="205"/>
      <c r="L3058" s="7"/>
    </row>
    <row r="3059" spans="1:12">
      <c r="A3059" s="19"/>
      <c r="B3059" s="7"/>
      <c r="C3059" s="175"/>
      <c r="D3059" s="175"/>
      <c r="E3059" s="175"/>
      <c r="F3059" s="229"/>
      <c r="G3059" s="229"/>
      <c r="H3059" s="229"/>
      <c r="I3059" s="72"/>
      <c r="J3059" s="185"/>
      <c r="K3059" s="205"/>
      <c r="L3059" s="7"/>
    </row>
    <row r="3060" spans="1:12">
      <c r="A3060" s="19"/>
      <c r="B3060" s="7"/>
      <c r="C3060" s="175"/>
      <c r="D3060" s="175"/>
      <c r="E3060" s="175"/>
      <c r="F3060" s="229"/>
      <c r="G3060" s="229"/>
      <c r="H3060" s="229"/>
      <c r="I3060" s="72"/>
      <c r="J3060" s="185"/>
      <c r="K3060" s="205"/>
      <c r="L3060" s="7"/>
    </row>
    <row r="3061" spans="1:12">
      <c r="A3061" s="19"/>
      <c r="B3061" s="7"/>
      <c r="C3061" s="175"/>
      <c r="D3061" s="175"/>
      <c r="E3061" s="175"/>
      <c r="F3061" s="229"/>
      <c r="G3061" s="229"/>
      <c r="H3061" s="229"/>
      <c r="I3061" s="72"/>
      <c r="J3061" s="185"/>
      <c r="K3061" s="205"/>
      <c r="L3061" s="7"/>
    </row>
    <row r="3062" spans="1:12">
      <c r="A3062" s="19"/>
      <c r="B3062" s="7"/>
      <c r="C3062" s="175"/>
      <c r="D3062" s="175"/>
      <c r="E3062" s="175"/>
      <c r="F3062" s="229"/>
      <c r="G3062" s="229"/>
      <c r="H3062" s="229"/>
      <c r="I3062" s="72"/>
      <c r="J3062" s="185"/>
      <c r="K3062" s="205"/>
      <c r="L3062" s="7"/>
    </row>
    <row r="3063" spans="1:12">
      <c r="A3063" s="19"/>
      <c r="B3063" s="7"/>
      <c r="C3063" s="175"/>
      <c r="D3063" s="175"/>
      <c r="E3063" s="175"/>
      <c r="F3063" s="229"/>
      <c r="G3063" s="229"/>
      <c r="H3063" s="229"/>
      <c r="I3063" s="72"/>
      <c r="J3063" s="185"/>
      <c r="K3063" s="205"/>
      <c r="L3063" s="7"/>
    </row>
    <row r="3064" spans="1:12">
      <c r="A3064" s="20"/>
      <c r="B3064" s="21"/>
      <c r="C3064" s="175"/>
      <c r="D3064" s="175"/>
      <c r="E3064" s="175"/>
      <c r="F3064" s="232"/>
      <c r="G3064" s="232"/>
      <c r="H3064" s="232"/>
      <c r="I3064" s="63"/>
      <c r="J3064" s="190"/>
      <c r="K3064" s="206"/>
      <c r="L3064" s="7"/>
    </row>
    <row r="3065" spans="1:12">
      <c r="A3065" s="20"/>
      <c r="B3065" s="21"/>
      <c r="C3065" s="175"/>
      <c r="D3065" s="175"/>
      <c r="E3065" s="175"/>
      <c r="F3065" s="232"/>
      <c r="G3065" s="232"/>
      <c r="H3065" s="232"/>
      <c r="I3065" s="63"/>
      <c r="J3065" s="190"/>
      <c r="K3065" s="206"/>
      <c r="L3065" s="7"/>
    </row>
    <row r="3066" spans="1:12">
      <c r="A3066" s="20"/>
      <c r="B3066" s="21"/>
      <c r="C3066" s="175"/>
      <c r="D3066" s="175"/>
      <c r="E3066" s="175"/>
      <c r="F3066" s="232"/>
      <c r="G3066" s="232"/>
      <c r="H3066" s="232"/>
      <c r="I3066" s="63"/>
      <c r="J3066" s="190"/>
      <c r="K3066" s="206"/>
      <c r="L3066" s="7"/>
    </row>
    <row r="3067" spans="1:12">
      <c r="A3067" s="20"/>
      <c r="B3067" s="21"/>
      <c r="C3067" s="175"/>
      <c r="D3067" s="175"/>
      <c r="E3067" s="175"/>
      <c r="F3067" s="232"/>
      <c r="G3067" s="232"/>
      <c r="H3067" s="232"/>
      <c r="I3067" s="63"/>
      <c r="J3067" s="190"/>
      <c r="K3067" s="206"/>
      <c r="L3067" s="7"/>
    </row>
    <row r="3068" spans="1:12">
      <c r="A3068" s="20"/>
      <c r="B3068" s="21"/>
      <c r="C3068" s="175"/>
      <c r="D3068" s="175"/>
      <c r="E3068" s="175"/>
      <c r="F3068" s="232"/>
      <c r="G3068" s="232"/>
      <c r="H3068" s="232"/>
      <c r="I3068" s="63"/>
      <c r="J3068" s="190"/>
      <c r="K3068" s="206"/>
      <c r="L3068" s="7"/>
    </row>
    <row r="3069" spans="1:12">
      <c r="A3069" s="19"/>
      <c r="B3069" s="7"/>
      <c r="C3069" s="175"/>
      <c r="D3069" s="175"/>
      <c r="E3069" s="175"/>
      <c r="F3069" s="229"/>
      <c r="G3069" s="229"/>
      <c r="H3069" s="229"/>
      <c r="I3069" s="72"/>
      <c r="J3069" s="185"/>
      <c r="K3069" s="205"/>
      <c r="L3069" s="7"/>
    </row>
    <row r="3070" spans="1:12">
      <c r="A3070" s="19"/>
      <c r="B3070" s="7"/>
      <c r="C3070" s="175"/>
      <c r="D3070" s="175"/>
      <c r="E3070" s="175"/>
      <c r="F3070" s="229"/>
      <c r="G3070" s="229"/>
      <c r="H3070" s="229"/>
      <c r="I3070" s="72"/>
      <c r="J3070" s="185"/>
      <c r="K3070" s="205"/>
      <c r="L3070" s="7"/>
    </row>
    <row r="3071" spans="1:12">
      <c r="A3071" s="19"/>
      <c r="B3071" s="7"/>
      <c r="C3071" s="175"/>
      <c r="D3071" s="175"/>
      <c r="E3071" s="175"/>
      <c r="F3071" s="229"/>
      <c r="G3071" s="229"/>
      <c r="H3071" s="229"/>
      <c r="I3071" s="72"/>
      <c r="J3071" s="185"/>
      <c r="K3071" s="205"/>
      <c r="L3071" s="7"/>
    </row>
    <row r="3072" spans="1:12">
      <c r="A3072" s="19"/>
      <c r="B3072" s="7"/>
      <c r="C3072" s="175"/>
      <c r="D3072" s="175"/>
      <c r="E3072" s="175"/>
      <c r="F3072" s="229"/>
      <c r="G3072" s="229"/>
      <c r="H3072" s="229"/>
      <c r="I3072" s="72"/>
      <c r="J3072" s="185"/>
      <c r="K3072" s="205"/>
      <c r="L3072" s="7"/>
    </row>
    <row r="3073" spans="1:12">
      <c r="A3073" s="19"/>
      <c r="B3073" s="7"/>
      <c r="C3073" s="175"/>
      <c r="D3073" s="175"/>
      <c r="E3073" s="175"/>
      <c r="F3073" s="229"/>
      <c r="G3073" s="229"/>
      <c r="H3073" s="229"/>
      <c r="I3073" s="72"/>
      <c r="J3073" s="185"/>
      <c r="K3073" s="205"/>
      <c r="L3073" s="7"/>
    </row>
    <row r="3074" spans="1:12">
      <c r="A3074" s="19"/>
      <c r="B3074" s="7"/>
      <c r="C3074" s="175"/>
      <c r="D3074" s="175"/>
      <c r="E3074" s="175"/>
      <c r="F3074" s="229"/>
      <c r="G3074" s="229"/>
      <c r="H3074" s="229"/>
      <c r="I3074" s="72"/>
      <c r="J3074" s="185"/>
      <c r="K3074" s="205"/>
      <c r="L3074" s="7"/>
    </row>
    <row r="3075" spans="1:12">
      <c r="A3075" s="19"/>
      <c r="B3075" s="7"/>
      <c r="C3075" s="175"/>
      <c r="D3075" s="175"/>
      <c r="E3075" s="175"/>
      <c r="F3075" s="229"/>
      <c r="G3075" s="229"/>
      <c r="H3075" s="229"/>
      <c r="I3075" s="72"/>
      <c r="J3075" s="185"/>
      <c r="K3075" s="205"/>
      <c r="L3075" s="7"/>
    </row>
    <row r="3076" spans="1:12">
      <c r="A3076" s="19"/>
      <c r="B3076" s="7"/>
      <c r="C3076" s="175"/>
      <c r="D3076" s="175"/>
      <c r="E3076" s="175"/>
      <c r="F3076" s="229"/>
      <c r="G3076" s="229"/>
      <c r="H3076" s="229"/>
      <c r="I3076" s="72"/>
      <c r="J3076" s="185"/>
      <c r="K3076" s="205"/>
      <c r="L3076" s="7"/>
    </row>
    <row r="3077" spans="1:12">
      <c r="A3077" s="19"/>
      <c r="B3077" s="7"/>
      <c r="C3077" s="175"/>
      <c r="D3077" s="175"/>
      <c r="E3077" s="175"/>
      <c r="F3077" s="229"/>
      <c r="G3077" s="229"/>
      <c r="H3077" s="229"/>
      <c r="I3077" s="72"/>
      <c r="J3077" s="185"/>
      <c r="K3077" s="205"/>
      <c r="L3077" s="7"/>
    </row>
    <row r="3078" spans="1:12">
      <c r="A3078" s="19"/>
      <c r="B3078" s="7"/>
      <c r="C3078" s="175"/>
      <c r="D3078" s="175"/>
      <c r="E3078" s="175"/>
      <c r="F3078" s="229"/>
      <c r="G3078" s="229"/>
      <c r="H3078" s="229"/>
      <c r="I3078" s="72"/>
      <c r="J3078" s="185"/>
      <c r="K3078" s="205"/>
      <c r="L3078" s="7"/>
    </row>
    <row r="3079" spans="1:12">
      <c r="A3079" s="19"/>
      <c r="B3079" s="7"/>
      <c r="C3079" s="175"/>
      <c r="D3079" s="175"/>
      <c r="E3079" s="175"/>
      <c r="F3079" s="229"/>
      <c r="G3079" s="229"/>
      <c r="H3079" s="229"/>
      <c r="I3079" s="72"/>
      <c r="J3079" s="185"/>
      <c r="K3079" s="205"/>
      <c r="L3079" s="7"/>
    </row>
    <row r="3080" spans="1:12">
      <c r="A3080" s="19"/>
      <c r="B3080" s="7"/>
      <c r="C3080" s="175"/>
      <c r="D3080" s="175"/>
      <c r="E3080" s="175"/>
      <c r="F3080" s="229"/>
      <c r="G3080" s="229"/>
      <c r="H3080" s="229"/>
      <c r="I3080" s="72"/>
      <c r="J3080" s="185"/>
      <c r="K3080" s="205"/>
      <c r="L3080" s="7"/>
    </row>
    <row r="3081" spans="1:12">
      <c r="A3081" s="19"/>
      <c r="B3081" s="7"/>
      <c r="C3081" s="175"/>
      <c r="D3081" s="175"/>
      <c r="E3081" s="175"/>
      <c r="F3081" s="229"/>
      <c r="G3081" s="229"/>
      <c r="H3081" s="229"/>
      <c r="I3081" s="72"/>
      <c r="J3081" s="185"/>
      <c r="K3081" s="205"/>
      <c r="L3081" s="7"/>
    </row>
    <row r="3082" spans="1:12">
      <c r="A3082" s="19"/>
      <c r="B3082" s="7"/>
      <c r="C3082" s="175"/>
      <c r="D3082" s="175"/>
      <c r="E3082" s="175"/>
      <c r="F3082" s="229"/>
      <c r="G3082" s="229"/>
      <c r="H3082" s="229"/>
      <c r="I3082" s="72"/>
      <c r="J3082" s="185"/>
      <c r="K3082" s="205"/>
      <c r="L3082" s="7"/>
    </row>
    <row r="3083" spans="1:12">
      <c r="A3083" s="19"/>
      <c r="B3083" s="7"/>
      <c r="C3083" s="175"/>
      <c r="D3083" s="175"/>
      <c r="E3083" s="175"/>
      <c r="F3083" s="229"/>
      <c r="G3083" s="229"/>
      <c r="H3083" s="229"/>
      <c r="I3083" s="72"/>
      <c r="J3083" s="185"/>
      <c r="K3083" s="205"/>
      <c r="L3083" s="7"/>
    </row>
    <row r="3084" spans="1:12">
      <c r="A3084" s="19"/>
      <c r="B3084" s="7"/>
      <c r="C3084" s="175"/>
      <c r="D3084" s="175"/>
      <c r="E3084" s="175"/>
      <c r="F3084" s="229"/>
      <c r="G3084" s="229"/>
      <c r="H3084" s="229"/>
      <c r="I3084" s="72"/>
      <c r="J3084" s="185"/>
      <c r="K3084" s="205"/>
      <c r="L3084" s="7"/>
    </row>
    <row r="3085" spans="1:12">
      <c r="A3085" s="19"/>
      <c r="B3085" s="7"/>
      <c r="C3085" s="175"/>
      <c r="D3085" s="175"/>
      <c r="E3085" s="175"/>
      <c r="F3085" s="229"/>
      <c r="G3085" s="229"/>
      <c r="H3085" s="229"/>
      <c r="I3085" s="72"/>
      <c r="J3085" s="185"/>
      <c r="K3085" s="205"/>
      <c r="L3085" s="7"/>
    </row>
    <row r="3086" spans="1:12">
      <c r="A3086" s="19"/>
      <c r="B3086" s="7"/>
      <c r="C3086" s="175"/>
      <c r="D3086" s="175"/>
      <c r="E3086" s="175"/>
      <c r="F3086" s="229"/>
      <c r="G3086" s="229"/>
      <c r="H3086" s="229"/>
      <c r="I3086" s="72"/>
      <c r="J3086" s="185"/>
      <c r="K3086" s="205"/>
      <c r="L3086" s="7"/>
    </row>
    <row r="3087" spans="1:12">
      <c r="A3087" s="19"/>
      <c r="B3087" s="7"/>
      <c r="C3087" s="175"/>
      <c r="D3087" s="175"/>
      <c r="E3087" s="175"/>
      <c r="F3087" s="229"/>
      <c r="G3087" s="229"/>
      <c r="H3087" s="229"/>
      <c r="I3087" s="72"/>
      <c r="J3087" s="185"/>
      <c r="K3087" s="205"/>
      <c r="L3087" s="7"/>
    </row>
    <row r="3088" spans="1:12">
      <c r="A3088" s="19"/>
      <c r="B3088" s="7"/>
      <c r="C3088" s="175"/>
      <c r="D3088" s="175"/>
      <c r="E3088" s="175"/>
      <c r="F3088" s="229"/>
      <c r="G3088" s="229"/>
      <c r="H3088" s="229"/>
      <c r="I3088" s="72"/>
      <c r="J3088" s="185"/>
      <c r="K3088" s="205"/>
      <c r="L3088" s="7"/>
    </row>
    <row r="3089" spans="1:12">
      <c r="A3089" s="19"/>
      <c r="B3089" s="7"/>
      <c r="C3089" s="175"/>
      <c r="D3089" s="175"/>
      <c r="E3089" s="175"/>
      <c r="F3089" s="229"/>
      <c r="G3089" s="229"/>
      <c r="H3089" s="229"/>
      <c r="I3089" s="72"/>
      <c r="J3089" s="185"/>
      <c r="K3089" s="205"/>
      <c r="L3089" s="7"/>
    </row>
    <row r="3090" spans="1:12">
      <c r="A3090" s="19"/>
      <c r="B3090" s="7"/>
      <c r="C3090" s="175"/>
      <c r="D3090" s="175"/>
      <c r="E3090" s="175"/>
      <c r="F3090" s="229"/>
      <c r="G3090" s="229"/>
      <c r="H3090" s="229"/>
      <c r="I3090" s="72"/>
      <c r="J3090" s="185"/>
      <c r="K3090" s="205"/>
      <c r="L3090" s="7"/>
    </row>
    <row r="3091" spans="1:12">
      <c r="A3091" s="19"/>
      <c r="B3091" s="7"/>
      <c r="C3091" s="175"/>
      <c r="D3091" s="175"/>
      <c r="E3091" s="175"/>
      <c r="F3091" s="229"/>
      <c r="G3091" s="229"/>
      <c r="H3091" s="229"/>
      <c r="I3091" s="72"/>
      <c r="J3091" s="185"/>
      <c r="K3091" s="205"/>
      <c r="L3091" s="7"/>
    </row>
    <row r="3092" spans="1:12">
      <c r="A3092" s="19"/>
      <c r="B3092" s="7"/>
      <c r="C3092" s="175"/>
      <c r="D3092" s="175"/>
      <c r="E3092" s="175"/>
      <c r="F3092" s="229"/>
      <c r="G3092" s="229"/>
      <c r="H3092" s="229"/>
      <c r="I3092" s="72"/>
      <c r="J3092" s="185"/>
      <c r="K3092" s="205"/>
      <c r="L3092" s="7"/>
    </row>
    <row r="3093" spans="1:12">
      <c r="A3093" s="19"/>
      <c r="B3093" s="7"/>
      <c r="C3093" s="175"/>
      <c r="D3093" s="175"/>
      <c r="E3093" s="175"/>
      <c r="F3093" s="229"/>
      <c r="G3093" s="229"/>
      <c r="H3093" s="229"/>
      <c r="I3093" s="72"/>
      <c r="J3093" s="185"/>
      <c r="K3093" s="205"/>
      <c r="L3093" s="7"/>
    </row>
    <row r="3094" spans="1:12">
      <c r="A3094" s="19"/>
      <c r="B3094" s="7"/>
      <c r="C3094" s="175"/>
      <c r="D3094" s="175"/>
      <c r="E3094" s="175"/>
      <c r="F3094" s="229"/>
      <c r="G3094" s="229"/>
      <c r="H3094" s="229"/>
      <c r="I3094" s="72"/>
      <c r="J3094" s="185"/>
      <c r="K3094" s="205"/>
      <c r="L3094" s="7"/>
    </row>
    <row r="3095" spans="1:12">
      <c r="A3095" s="19"/>
      <c r="B3095" s="7"/>
      <c r="C3095" s="175"/>
      <c r="D3095" s="175"/>
      <c r="E3095" s="175"/>
      <c r="F3095" s="229"/>
      <c r="G3095" s="229"/>
      <c r="H3095" s="229"/>
      <c r="I3095" s="72"/>
      <c r="J3095" s="185"/>
      <c r="K3095" s="205"/>
      <c r="L3095" s="7"/>
    </row>
    <row r="3096" spans="1:12">
      <c r="A3096" s="19"/>
      <c r="B3096" s="7"/>
      <c r="C3096" s="175"/>
      <c r="D3096" s="175"/>
      <c r="E3096" s="175"/>
      <c r="F3096" s="229"/>
      <c r="G3096" s="229"/>
      <c r="H3096" s="229"/>
      <c r="I3096" s="72"/>
      <c r="J3096" s="185"/>
      <c r="K3096" s="205"/>
      <c r="L3096" s="7"/>
    </row>
    <row r="3097" spans="1:12">
      <c r="A3097" s="19"/>
      <c r="B3097" s="7"/>
      <c r="C3097" s="175"/>
      <c r="D3097" s="175"/>
      <c r="E3097" s="175"/>
      <c r="F3097" s="229"/>
      <c r="G3097" s="229"/>
      <c r="H3097" s="229"/>
      <c r="I3097" s="72"/>
      <c r="J3097" s="185"/>
      <c r="K3097" s="205"/>
      <c r="L3097" s="7"/>
    </row>
    <row r="3098" spans="1:12">
      <c r="A3098" s="19"/>
      <c r="B3098" s="7"/>
      <c r="C3098" s="175"/>
      <c r="D3098" s="175"/>
      <c r="E3098" s="175"/>
      <c r="F3098" s="229"/>
      <c r="G3098" s="229"/>
      <c r="H3098" s="229"/>
      <c r="I3098" s="72"/>
      <c r="J3098" s="185"/>
      <c r="K3098" s="205"/>
      <c r="L3098" s="7"/>
    </row>
    <row r="3099" spans="1:12">
      <c r="A3099" s="20"/>
      <c r="B3099" s="21"/>
      <c r="C3099" s="175"/>
      <c r="D3099" s="175"/>
      <c r="E3099" s="175"/>
      <c r="F3099" s="232"/>
      <c r="G3099" s="232"/>
      <c r="H3099" s="232"/>
      <c r="I3099" s="63"/>
      <c r="J3099" s="190"/>
      <c r="K3099" s="206"/>
      <c r="L3099" s="7"/>
    </row>
    <row r="3100" spans="1:12">
      <c r="A3100" s="20"/>
      <c r="B3100" s="21"/>
      <c r="C3100" s="175"/>
      <c r="D3100" s="175"/>
      <c r="E3100" s="175"/>
      <c r="F3100" s="232"/>
      <c r="G3100" s="232"/>
      <c r="H3100" s="232"/>
      <c r="I3100" s="63"/>
      <c r="J3100" s="190"/>
      <c r="K3100" s="206"/>
      <c r="L3100" s="7"/>
    </row>
    <row r="3101" spans="1:12">
      <c r="A3101" s="20"/>
      <c r="B3101" s="21"/>
      <c r="C3101" s="175"/>
      <c r="D3101" s="175"/>
      <c r="E3101" s="175"/>
      <c r="F3101" s="232"/>
      <c r="G3101" s="232"/>
      <c r="H3101" s="232"/>
      <c r="I3101" s="63"/>
      <c r="J3101" s="190"/>
      <c r="K3101" s="206"/>
      <c r="L3101" s="7"/>
    </row>
    <row r="3102" spans="1:12">
      <c r="A3102" s="20"/>
      <c r="B3102" s="21"/>
      <c r="C3102" s="175"/>
      <c r="D3102" s="175"/>
      <c r="E3102" s="175"/>
      <c r="F3102" s="232"/>
      <c r="G3102" s="232"/>
      <c r="H3102" s="232"/>
      <c r="I3102" s="63"/>
      <c r="J3102" s="190"/>
      <c r="K3102" s="206"/>
      <c r="L3102" s="7"/>
    </row>
    <row r="3103" spans="1:12">
      <c r="A3103" s="20"/>
      <c r="B3103" s="21"/>
      <c r="C3103" s="175"/>
      <c r="D3103" s="175"/>
      <c r="E3103" s="175"/>
      <c r="F3103" s="232"/>
      <c r="G3103" s="232"/>
      <c r="H3103" s="232"/>
      <c r="I3103" s="63"/>
      <c r="J3103" s="190"/>
      <c r="K3103" s="206"/>
      <c r="L3103" s="7"/>
    </row>
    <row r="3104" spans="1:12">
      <c r="A3104" s="19"/>
      <c r="B3104" s="7"/>
      <c r="C3104" s="175"/>
      <c r="D3104" s="175"/>
      <c r="E3104" s="175"/>
      <c r="F3104" s="229"/>
      <c r="G3104" s="229"/>
      <c r="H3104" s="229"/>
      <c r="I3104" s="72"/>
      <c r="J3104" s="185"/>
      <c r="K3104" s="205"/>
      <c r="L3104" s="7"/>
    </row>
    <row r="3105" spans="1:12">
      <c r="A3105" s="19"/>
      <c r="B3105" s="7"/>
      <c r="C3105" s="175"/>
      <c r="D3105" s="175"/>
      <c r="E3105" s="175"/>
      <c r="F3105" s="229"/>
      <c r="G3105" s="229"/>
      <c r="H3105" s="229"/>
      <c r="I3105" s="72"/>
      <c r="J3105" s="185"/>
      <c r="K3105" s="205"/>
      <c r="L3105" s="7"/>
    </row>
    <row r="3106" spans="1:12">
      <c r="A3106" s="19"/>
      <c r="B3106" s="7"/>
      <c r="C3106" s="175"/>
      <c r="D3106" s="175"/>
      <c r="E3106" s="175"/>
      <c r="F3106" s="229"/>
      <c r="G3106" s="229"/>
      <c r="H3106" s="229"/>
      <c r="I3106" s="72"/>
      <c r="J3106" s="185"/>
      <c r="K3106" s="205"/>
      <c r="L3106" s="7"/>
    </row>
    <row r="3107" spans="1:12">
      <c r="A3107" s="19"/>
      <c r="B3107" s="7"/>
      <c r="C3107" s="175"/>
      <c r="D3107" s="175"/>
      <c r="E3107" s="175"/>
      <c r="F3107" s="229"/>
      <c r="G3107" s="229"/>
      <c r="H3107" s="229"/>
      <c r="I3107" s="72"/>
      <c r="J3107" s="185"/>
      <c r="K3107" s="205"/>
      <c r="L3107" s="7"/>
    </row>
    <row r="3108" spans="1:12">
      <c r="A3108" s="19"/>
      <c r="B3108" s="7"/>
      <c r="C3108" s="175"/>
      <c r="D3108" s="175"/>
      <c r="E3108" s="175"/>
      <c r="F3108" s="229"/>
      <c r="G3108" s="229"/>
      <c r="H3108" s="229"/>
      <c r="I3108" s="72"/>
      <c r="J3108" s="185"/>
      <c r="K3108" s="205"/>
      <c r="L3108" s="7"/>
    </row>
    <row r="3109" spans="1:12">
      <c r="A3109" s="19"/>
      <c r="B3109" s="7"/>
      <c r="C3109" s="175"/>
      <c r="D3109" s="175"/>
      <c r="E3109" s="175"/>
      <c r="F3109" s="229"/>
      <c r="G3109" s="229"/>
      <c r="H3109" s="229"/>
      <c r="I3109" s="72"/>
      <c r="J3109" s="185"/>
      <c r="K3109" s="205"/>
      <c r="L3109" s="7"/>
    </row>
    <row r="3110" spans="1:12">
      <c r="A3110" s="19"/>
      <c r="B3110" s="7"/>
      <c r="C3110" s="175"/>
      <c r="D3110" s="175"/>
      <c r="E3110" s="175"/>
      <c r="F3110" s="229"/>
      <c r="G3110" s="229"/>
      <c r="H3110" s="229"/>
      <c r="I3110" s="72"/>
      <c r="J3110" s="185"/>
      <c r="K3110" s="205"/>
      <c r="L3110" s="7"/>
    </row>
    <row r="3111" spans="1:12">
      <c r="A3111" s="19"/>
      <c r="B3111" s="7"/>
      <c r="C3111" s="175"/>
      <c r="D3111" s="175"/>
      <c r="E3111" s="175"/>
      <c r="F3111" s="229"/>
      <c r="G3111" s="229"/>
      <c r="H3111" s="229"/>
      <c r="I3111" s="72"/>
      <c r="J3111" s="185"/>
      <c r="K3111" s="205"/>
      <c r="L3111" s="7"/>
    </row>
    <row r="3112" spans="1:12">
      <c r="A3112" s="19"/>
      <c r="B3112" s="7"/>
      <c r="C3112" s="175"/>
      <c r="D3112" s="175"/>
      <c r="E3112" s="175"/>
      <c r="F3112" s="229"/>
      <c r="G3112" s="229"/>
      <c r="H3112" s="229"/>
      <c r="I3112" s="72"/>
      <c r="J3112" s="185"/>
      <c r="K3112" s="205"/>
      <c r="L3112" s="7"/>
    </row>
    <row r="3113" spans="1:12">
      <c r="A3113" s="19"/>
      <c r="B3113" s="7"/>
      <c r="C3113" s="175"/>
      <c r="D3113" s="175"/>
      <c r="E3113" s="175"/>
      <c r="F3113" s="229"/>
      <c r="G3113" s="229"/>
      <c r="H3113" s="229"/>
      <c r="I3113" s="72"/>
      <c r="J3113" s="185"/>
      <c r="K3113" s="205"/>
      <c r="L3113" s="7"/>
    </row>
    <row r="3114" spans="1:12">
      <c r="A3114" s="19"/>
      <c r="B3114" s="7"/>
      <c r="C3114" s="175"/>
      <c r="D3114" s="175"/>
      <c r="E3114" s="175"/>
      <c r="F3114" s="229"/>
      <c r="G3114" s="229"/>
      <c r="H3114" s="229"/>
      <c r="I3114" s="72"/>
      <c r="J3114" s="185"/>
      <c r="K3114" s="205"/>
      <c r="L3114" s="7"/>
    </row>
    <row r="3115" spans="1:12">
      <c r="A3115" s="19"/>
      <c r="B3115" s="7"/>
      <c r="C3115" s="175"/>
      <c r="D3115" s="175"/>
      <c r="E3115" s="175"/>
      <c r="F3115" s="229"/>
      <c r="G3115" s="229"/>
      <c r="H3115" s="229"/>
      <c r="I3115" s="72"/>
      <c r="J3115" s="185"/>
      <c r="K3115" s="205"/>
      <c r="L3115" s="7"/>
    </row>
    <row r="3116" spans="1:12">
      <c r="A3116" s="20"/>
      <c r="B3116" s="21"/>
      <c r="C3116" s="175"/>
      <c r="D3116" s="175"/>
      <c r="E3116" s="175"/>
      <c r="F3116" s="232"/>
      <c r="G3116" s="232"/>
      <c r="H3116" s="232"/>
      <c r="I3116" s="63"/>
      <c r="J3116" s="190"/>
      <c r="K3116" s="206"/>
      <c r="L3116" s="7"/>
    </row>
    <row r="3117" spans="1:12">
      <c r="A3117" s="19"/>
      <c r="B3117" s="7"/>
      <c r="C3117" s="175"/>
      <c r="D3117" s="175"/>
      <c r="E3117" s="175"/>
      <c r="F3117" s="229"/>
      <c r="G3117" s="229"/>
      <c r="H3117" s="229"/>
      <c r="I3117" s="72"/>
      <c r="J3117" s="185"/>
      <c r="K3117" s="205"/>
      <c r="L3117" s="7"/>
    </row>
    <row r="3118" spans="1:12">
      <c r="A3118" s="19"/>
      <c r="B3118" s="7"/>
      <c r="C3118" s="175"/>
      <c r="D3118" s="175"/>
      <c r="E3118" s="175"/>
      <c r="F3118" s="229"/>
      <c r="G3118" s="229"/>
      <c r="H3118" s="229"/>
      <c r="I3118" s="72"/>
      <c r="J3118" s="185"/>
      <c r="K3118" s="205"/>
      <c r="L3118" s="7"/>
    </row>
    <row r="3119" spans="1:12">
      <c r="A3119" s="20"/>
      <c r="B3119" s="21"/>
      <c r="C3119" s="175"/>
      <c r="D3119" s="175"/>
      <c r="E3119" s="175"/>
      <c r="F3119" s="232"/>
      <c r="G3119" s="232"/>
      <c r="H3119" s="232"/>
      <c r="I3119" s="63"/>
      <c r="J3119" s="190"/>
      <c r="K3119" s="206"/>
      <c r="L3119" s="7"/>
    </row>
    <row r="3120" spans="1:12">
      <c r="A3120" s="20"/>
      <c r="B3120" s="21"/>
      <c r="C3120" s="175"/>
      <c r="D3120" s="175"/>
      <c r="E3120" s="175"/>
      <c r="F3120" s="232"/>
      <c r="G3120" s="232"/>
      <c r="H3120" s="232"/>
      <c r="I3120" s="63"/>
      <c r="J3120" s="190"/>
      <c r="K3120" s="206"/>
      <c r="L3120" s="7"/>
    </row>
    <row r="3121" spans="1:12">
      <c r="A3121" s="20"/>
      <c r="B3121" s="21"/>
      <c r="C3121" s="175"/>
      <c r="D3121" s="175"/>
      <c r="E3121" s="175"/>
      <c r="F3121" s="232"/>
      <c r="G3121" s="232"/>
      <c r="H3121" s="232"/>
      <c r="I3121" s="63"/>
      <c r="J3121" s="190"/>
      <c r="K3121" s="206"/>
      <c r="L3121" s="7"/>
    </row>
    <row r="3122" spans="1:12">
      <c r="A3122" s="20"/>
      <c r="B3122" s="21"/>
      <c r="C3122" s="175"/>
      <c r="D3122" s="175"/>
      <c r="E3122" s="175"/>
      <c r="F3122" s="232"/>
      <c r="G3122" s="232"/>
      <c r="H3122" s="232"/>
      <c r="I3122" s="63"/>
      <c r="J3122" s="190"/>
      <c r="K3122" s="206"/>
      <c r="L3122" s="7"/>
    </row>
    <row r="3123" spans="1:12">
      <c r="A3123" s="19"/>
      <c r="B3123" s="7"/>
      <c r="C3123" s="175"/>
      <c r="D3123" s="175"/>
      <c r="E3123" s="175"/>
      <c r="F3123" s="229"/>
      <c r="G3123" s="229"/>
      <c r="H3123" s="229"/>
      <c r="I3123" s="72"/>
      <c r="J3123" s="185"/>
      <c r="K3123" s="205"/>
      <c r="L3123" s="7"/>
    </row>
    <row r="3124" spans="1:12">
      <c r="A3124" s="19"/>
      <c r="B3124" s="7"/>
      <c r="C3124" s="175"/>
      <c r="D3124" s="175"/>
      <c r="E3124" s="175"/>
      <c r="F3124" s="229"/>
      <c r="G3124" s="229"/>
      <c r="H3124" s="229"/>
      <c r="I3124" s="72"/>
      <c r="J3124" s="185"/>
      <c r="K3124" s="205"/>
      <c r="L3124" s="7"/>
    </row>
    <row r="3125" spans="1:12">
      <c r="A3125" s="19"/>
      <c r="B3125" s="7"/>
      <c r="C3125" s="175"/>
      <c r="D3125" s="175"/>
      <c r="E3125" s="175"/>
      <c r="F3125" s="229"/>
      <c r="G3125" s="229"/>
      <c r="H3125" s="229"/>
      <c r="I3125" s="72"/>
      <c r="J3125" s="185"/>
      <c r="K3125" s="205"/>
      <c r="L3125" s="7"/>
    </row>
    <row r="3126" spans="1:12">
      <c r="A3126" s="19"/>
      <c r="B3126" s="7"/>
      <c r="C3126" s="175"/>
      <c r="D3126" s="175"/>
      <c r="E3126" s="175"/>
      <c r="F3126" s="229"/>
      <c r="G3126" s="229"/>
      <c r="H3126" s="229"/>
      <c r="I3126" s="72"/>
      <c r="J3126" s="185"/>
      <c r="K3126" s="205"/>
      <c r="L3126" s="7"/>
    </row>
    <row r="3127" spans="1:12">
      <c r="A3127" s="19"/>
      <c r="B3127" s="7"/>
      <c r="C3127" s="175"/>
      <c r="D3127" s="175"/>
      <c r="E3127" s="175"/>
      <c r="F3127" s="229"/>
      <c r="G3127" s="229"/>
      <c r="H3127" s="229"/>
      <c r="I3127" s="72"/>
      <c r="J3127" s="185"/>
      <c r="K3127" s="205"/>
      <c r="L3127" s="7"/>
    </row>
    <row r="3128" spans="1:12">
      <c r="A3128" s="19"/>
      <c r="B3128" s="7"/>
      <c r="C3128" s="175"/>
      <c r="D3128" s="175"/>
      <c r="E3128" s="175"/>
      <c r="F3128" s="229"/>
      <c r="G3128" s="229"/>
      <c r="H3128" s="229"/>
      <c r="I3128" s="72"/>
      <c r="J3128" s="185"/>
      <c r="K3128" s="205"/>
      <c r="L3128" s="7"/>
    </row>
    <row r="3129" spans="1:12">
      <c r="A3129" s="19"/>
      <c r="B3129" s="7"/>
      <c r="C3129" s="175"/>
      <c r="D3129" s="175"/>
      <c r="E3129" s="175"/>
      <c r="F3129" s="229"/>
      <c r="G3129" s="229"/>
      <c r="H3129" s="229"/>
      <c r="I3129" s="72"/>
      <c r="J3129" s="185"/>
      <c r="K3129" s="205"/>
      <c r="L3129" s="7"/>
    </row>
    <row r="3130" spans="1:12">
      <c r="A3130" s="19"/>
      <c r="B3130" s="7"/>
      <c r="C3130" s="175"/>
      <c r="D3130" s="175"/>
      <c r="E3130" s="175"/>
      <c r="F3130" s="229"/>
      <c r="G3130" s="229"/>
      <c r="H3130" s="229"/>
      <c r="I3130" s="72"/>
      <c r="J3130" s="185"/>
      <c r="K3130" s="205"/>
      <c r="L3130" s="7"/>
    </row>
    <row r="3131" spans="1:12">
      <c r="A3131" s="19"/>
      <c r="B3131" s="7"/>
      <c r="C3131" s="175"/>
      <c r="D3131" s="175"/>
      <c r="E3131" s="175"/>
      <c r="F3131" s="229"/>
      <c r="G3131" s="229"/>
      <c r="H3131" s="229"/>
      <c r="I3131" s="72"/>
      <c r="J3131" s="185"/>
      <c r="K3131" s="205"/>
      <c r="L3131" s="7"/>
    </row>
    <row r="3132" spans="1:12">
      <c r="A3132" s="19"/>
      <c r="B3132" s="7"/>
      <c r="C3132" s="175"/>
      <c r="D3132" s="175"/>
      <c r="E3132" s="175"/>
      <c r="F3132" s="229"/>
      <c r="G3132" s="229"/>
      <c r="H3132" s="229"/>
      <c r="I3132" s="72"/>
      <c r="J3132" s="185"/>
      <c r="K3132" s="205"/>
      <c r="L3132" s="7"/>
    </row>
    <row r="3133" spans="1:12">
      <c r="A3133" s="19"/>
      <c r="B3133" s="7"/>
      <c r="C3133" s="175"/>
      <c r="D3133" s="175"/>
      <c r="E3133" s="175"/>
      <c r="F3133" s="229"/>
      <c r="G3133" s="229"/>
      <c r="H3133" s="229"/>
      <c r="I3133" s="72"/>
      <c r="J3133" s="185"/>
      <c r="K3133" s="205"/>
      <c r="L3133" s="7"/>
    </row>
    <row r="3134" spans="1:12">
      <c r="A3134" s="19"/>
      <c r="B3134" s="7"/>
      <c r="C3134" s="175"/>
      <c r="D3134" s="175"/>
      <c r="E3134" s="175"/>
      <c r="F3134" s="229"/>
      <c r="G3134" s="229"/>
      <c r="H3134" s="229"/>
      <c r="I3134" s="72"/>
      <c r="J3134" s="185"/>
      <c r="K3134" s="205"/>
      <c r="L3134" s="7"/>
    </row>
    <row r="3135" spans="1:12">
      <c r="A3135" s="19"/>
      <c r="B3135" s="7"/>
      <c r="C3135" s="175"/>
      <c r="D3135" s="175"/>
      <c r="E3135" s="175"/>
      <c r="F3135" s="229"/>
      <c r="G3135" s="229"/>
      <c r="H3135" s="229"/>
      <c r="I3135" s="72"/>
      <c r="J3135" s="185"/>
      <c r="K3135" s="205"/>
      <c r="L3135" s="7"/>
    </row>
    <row r="3136" spans="1:12">
      <c r="A3136" s="19"/>
      <c r="B3136" s="7"/>
      <c r="C3136" s="175"/>
      <c r="D3136" s="175"/>
      <c r="E3136" s="175"/>
      <c r="F3136" s="229"/>
      <c r="G3136" s="229"/>
      <c r="H3136" s="229"/>
      <c r="I3136" s="72"/>
      <c r="J3136" s="185"/>
      <c r="K3136" s="205"/>
      <c r="L3136" s="7"/>
    </row>
    <row r="3137" spans="1:12">
      <c r="A3137" s="19"/>
      <c r="B3137" s="7"/>
      <c r="C3137" s="175"/>
      <c r="D3137" s="175"/>
      <c r="E3137" s="175"/>
      <c r="F3137" s="229"/>
      <c r="G3137" s="229"/>
      <c r="H3137" s="229"/>
      <c r="I3137" s="72"/>
      <c r="J3137" s="185"/>
      <c r="K3137" s="205"/>
      <c r="L3137" s="7"/>
    </row>
    <row r="3138" spans="1:12">
      <c r="A3138" s="19"/>
      <c r="B3138" s="7"/>
      <c r="C3138" s="175"/>
      <c r="D3138" s="175"/>
      <c r="E3138" s="175"/>
      <c r="F3138" s="229"/>
      <c r="G3138" s="229"/>
      <c r="H3138" s="229"/>
      <c r="I3138" s="72"/>
      <c r="J3138" s="185"/>
      <c r="K3138" s="205"/>
      <c r="L3138" s="7"/>
    </row>
    <row r="3139" spans="1:12">
      <c r="A3139" s="19"/>
      <c r="B3139" s="7"/>
      <c r="C3139" s="175"/>
      <c r="D3139" s="175"/>
      <c r="E3139" s="175"/>
      <c r="F3139" s="229"/>
      <c r="G3139" s="229"/>
      <c r="H3139" s="229"/>
      <c r="I3139" s="72"/>
      <c r="J3139" s="185"/>
      <c r="K3139" s="205"/>
      <c r="L3139" s="7"/>
    </row>
    <row r="3140" spans="1:12">
      <c r="A3140" s="19"/>
      <c r="B3140" s="7"/>
      <c r="C3140" s="175"/>
      <c r="D3140" s="175"/>
      <c r="E3140" s="175"/>
      <c r="F3140" s="229"/>
      <c r="G3140" s="229"/>
      <c r="H3140" s="229"/>
      <c r="I3140" s="72"/>
      <c r="J3140" s="185"/>
      <c r="K3140" s="205"/>
      <c r="L3140" s="7"/>
    </row>
    <row r="3141" spans="1:12">
      <c r="A3141" s="19"/>
      <c r="B3141" s="7"/>
      <c r="C3141" s="175"/>
      <c r="D3141" s="175"/>
      <c r="E3141" s="175"/>
      <c r="F3141" s="229"/>
      <c r="G3141" s="229"/>
      <c r="H3141" s="229"/>
      <c r="I3141" s="72"/>
      <c r="J3141" s="185"/>
      <c r="K3141" s="205"/>
      <c r="L3141" s="7"/>
    </row>
    <row r="3142" spans="1:12">
      <c r="A3142" s="19"/>
      <c r="B3142" s="7"/>
      <c r="C3142" s="175"/>
      <c r="D3142" s="175"/>
      <c r="E3142" s="175"/>
      <c r="F3142" s="229"/>
      <c r="G3142" s="229"/>
      <c r="H3142" s="229"/>
      <c r="I3142" s="72"/>
      <c r="J3142" s="185"/>
      <c r="K3142" s="205"/>
      <c r="L3142" s="7"/>
    </row>
    <row r="3143" spans="1:12">
      <c r="A3143" s="19"/>
      <c r="B3143" s="7"/>
      <c r="C3143" s="175"/>
      <c r="D3143" s="175"/>
      <c r="E3143" s="175"/>
      <c r="F3143" s="229"/>
      <c r="G3143" s="229"/>
      <c r="H3143" s="229"/>
      <c r="I3143" s="72"/>
      <c r="J3143" s="185"/>
      <c r="K3143" s="205"/>
      <c r="L3143" s="7"/>
    </row>
    <row r="3144" spans="1:12">
      <c r="A3144" s="19"/>
      <c r="B3144" s="7"/>
      <c r="C3144" s="175"/>
      <c r="D3144" s="175"/>
      <c r="E3144" s="175"/>
      <c r="F3144" s="229"/>
      <c r="G3144" s="229"/>
      <c r="H3144" s="229"/>
      <c r="I3144" s="72"/>
      <c r="J3144" s="185"/>
      <c r="K3144" s="205"/>
      <c r="L3144" s="7"/>
    </row>
    <row r="3145" spans="1:12">
      <c r="A3145" s="19"/>
      <c r="B3145" s="7"/>
      <c r="C3145" s="175"/>
      <c r="D3145" s="175"/>
      <c r="E3145" s="175"/>
      <c r="F3145" s="229"/>
      <c r="G3145" s="229"/>
      <c r="H3145" s="229"/>
      <c r="I3145" s="72"/>
      <c r="J3145" s="185"/>
      <c r="K3145" s="205"/>
      <c r="L3145" s="7"/>
    </row>
    <row r="3146" spans="1:12">
      <c r="A3146" s="19"/>
      <c r="B3146" s="7"/>
      <c r="C3146" s="175"/>
      <c r="D3146" s="175"/>
      <c r="E3146" s="175"/>
      <c r="F3146" s="229"/>
      <c r="G3146" s="229"/>
      <c r="H3146" s="229"/>
      <c r="I3146" s="72"/>
      <c r="J3146" s="185"/>
      <c r="K3146" s="205"/>
      <c r="L3146" s="7"/>
    </row>
    <row r="3147" spans="1:12">
      <c r="A3147" s="19"/>
      <c r="B3147" s="7"/>
      <c r="C3147" s="175"/>
      <c r="D3147" s="175"/>
      <c r="E3147" s="175"/>
      <c r="F3147" s="229"/>
      <c r="G3147" s="229"/>
      <c r="H3147" s="229"/>
      <c r="I3147" s="72"/>
      <c r="J3147" s="185"/>
      <c r="K3147" s="205"/>
      <c r="L3147" s="7"/>
    </row>
    <row r="3148" spans="1:12">
      <c r="A3148" s="19"/>
      <c r="B3148" s="7"/>
      <c r="C3148" s="175"/>
      <c r="D3148" s="175"/>
      <c r="E3148" s="175"/>
      <c r="F3148" s="229"/>
      <c r="G3148" s="229"/>
      <c r="H3148" s="229"/>
      <c r="I3148" s="72"/>
      <c r="J3148" s="185"/>
      <c r="K3148" s="205"/>
      <c r="L3148" s="7"/>
    </row>
    <row r="3149" spans="1:12">
      <c r="A3149" s="19"/>
      <c r="B3149" s="7"/>
      <c r="C3149" s="175"/>
      <c r="D3149" s="175"/>
      <c r="E3149" s="175"/>
      <c r="F3149" s="229"/>
      <c r="G3149" s="229"/>
      <c r="H3149" s="229"/>
      <c r="I3149" s="72"/>
      <c r="J3149" s="185"/>
      <c r="K3149" s="205"/>
      <c r="L3149" s="7"/>
    </row>
    <row r="3150" spans="1:12">
      <c r="A3150" s="19"/>
      <c r="B3150" s="7"/>
      <c r="C3150" s="175"/>
      <c r="D3150" s="175"/>
      <c r="E3150" s="175"/>
      <c r="F3150" s="229"/>
      <c r="G3150" s="229"/>
      <c r="H3150" s="229"/>
      <c r="I3150" s="72"/>
      <c r="J3150" s="185"/>
      <c r="K3150" s="205"/>
      <c r="L3150" s="7"/>
    </row>
    <row r="3151" spans="1:12">
      <c r="A3151" s="19"/>
      <c r="B3151" s="7"/>
      <c r="C3151" s="175"/>
      <c r="D3151" s="175"/>
      <c r="E3151" s="175"/>
      <c r="F3151" s="229"/>
      <c r="G3151" s="229"/>
      <c r="H3151" s="229"/>
      <c r="I3151" s="72"/>
      <c r="J3151" s="185"/>
      <c r="K3151" s="205"/>
      <c r="L3151" s="7"/>
    </row>
    <row r="3152" spans="1:12">
      <c r="A3152" s="19"/>
      <c r="B3152" s="7"/>
      <c r="C3152" s="175"/>
      <c r="D3152" s="175"/>
      <c r="E3152" s="175"/>
      <c r="F3152" s="229"/>
      <c r="G3152" s="229"/>
      <c r="H3152" s="229"/>
      <c r="I3152" s="72"/>
      <c r="J3152" s="185"/>
      <c r="K3152" s="205"/>
      <c r="L3152" s="7"/>
    </row>
    <row r="3153" spans="1:12">
      <c r="A3153" s="19"/>
      <c r="B3153" s="7"/>
      <c r="C3153" s="175"/>
      <c r="D3153" s="175"/>
      <c r="E3153" s="175"/>
      <c r="F3153" s="229"/>
      <c r="G3153" s="229"/>
      <c r="H3153" s="229"/>
      <c r="I3153" s="72"/>
      <c r="J3153" s="185"/>
      <c r="K3153" s="205"/>
      <c r="L3153" s="7"/>
    </row>
    <row r="3154" spans="1:12">
      <c r="A3154" s="20"/>
      <c r="B3154" s="21"/>
      <c r="C3154" s="175"/>
      <c r="D3154" s="175"/>
      <c r="E3154" s="175"/>
      <c r="F3154" s="232"/>
      <c r="G3154" s="232"/>
      <c r="H3154" s="232"/>
      <c r="I3154" s="63"/>
      <c r="J3154" s="190"/>
      <c r="K3154" s="206"/>
      <c r="L3154" s="7"/>
    </row>
    <row r="3155" spans="1:12">
      <c r="A3155" s="20"/>
      <c r="B3155" s="21"/>
      <c r="C3155" s="175"/>
      <c r="D3155" s="175"/>
      <c r="E3155" s="175"/>
      <c r="F3155" s="232"/>
      <c r="G3155" s="232"/>
      <c r="H3155" s="232"/>
      <c r="I3155" s="63"/>
      <c r="J3155" s="190"/>
      <c r="K3155" s="206"/>
      <c r="L3155" s="7"/>
    </row>
    <row r="3156" spans="1:12">
      <c r="A3156" s="19"/>
      <c r="B3156" s="7"/>
      <c r="C3156" s="175"/>
      <c r="D3156" s="175"/>
      <c r="E3156" s="175"/>
      <c r="F3156" s="229"/>
      <c r="G3156" s="229"/>
      <c r="H3156" s="229"/>
      <c r="I3156" s="72"/>
      <c r="J3156" s="185"/>
      <c r="K3156" s="205"/>
      <c r="L3156" s="7"/>
    </row>
    <row r="3157" spans="1:12">
      <c r="A3157" s="19"/>
      <c r="B3157" s="7"/>
      <c r="C3157" s="175"/>
      <c r="D3157" s="175"/>
      <c r="E3157" s="175"/>
      <c r="F3157" s="229"/>
      <c r="G3157" s="229"/>
      <c r="H3157" s="229"/>
      <c r="I3157" s="72"/>
      <c r="J3157" s="185"/>
      <c r="K3157" s="205"/>
      <c r="L3157" s="7"/>
    </row>
    <row r="3158" spans="1:12">
      <c r="A3158" s="19"/>
      <c r="B3158" s="7"/>
      <c r="C3158" s="175"/>
      <c r="D3158" s="175"/>
      <c r="E3158" s="175"/>
      <c r="F3158" s="229"/>
      <c r="G3158" s="229"/>
      <c r="H3158" s="229"/>
      <c r="I3158" s="72"/>
      <c r="J3158" s="185"/>
      <c r="K3158" s="205"/>
      <c r="L3158" s="7"/>
    </row>
    <row r="3159" spans="1:12">
      <c r="A3159" s="19"/>
      <c r="B3159" s="7"/>
      <c r="C3159" s="175"/>
      <c r="D3159" s="175"/>
      <c r="E3159" s="175"/>
      <c r="F3159" s="229"/>
      <c r="G3159" s="229"/>
      <c r="H3159" s="229"/>
      <c r="I3159" s="72"/>
      <c r="J3159" s="185"/>
      <c r="K3159" s="205"/>
      <c r="L3159" s="7"/>
    </row>
    <row r="3160" spans="1:12">
      <c r="A3160" s="19"/>
      <c r="B3160" s="7"/>
      <c r="C3160" s="175"/>
      <c r="D3160" s="175"/>
      <c r="E3160" s="175"/>
      <c r="F3160" s="229"/>
      <c r="G3160" s="229"/>
      <c r="H3160" s="229"/>
      <c r="I3160" s="72"/>
      <c r="J3160" s="185"/>
      <c r="K3160" s="205"/>
      <c r="L3160" s="7"/>
    </row>
    <row r="3161" spans="1:12">
      <c r="A3161" s="19"/>
      <c r="B3161" s="7"/>
      <c r="C3161" s="175"/>
      <c r="D3161" s="175"/>
      <c r="E3161" s="175"/>
      <c r="F3161" s="229"/>
      <c r="G3161" s="229"/>
      <c r="H3161" s="229"/>
      <c r="I3161" s="72"/>
      <c r="J3161" s="185"/>
      <c r="K3161" s="205"/>
      <c r="L3161" s="7"/>
    </row>
    <row r="3162" spans="1:12">
      <c r="A3162" s="19"/>
      <c r="B3162" s="7"/>
      <c r="C3162" s="175"/>
      <c r="D3162" s="175"/>
      <c r="E3162" s="175"/>
      <c r="F3162" s="229"/>
      <c r="G3162" s="229"/>
      <c r="H3162" s="229"/>
      <c r="I3162" s="72"/>
      <c r="J3162" s="185"/>
      <c r="K3162" s="205"/>
      <c r="L3162" s="7"/>
    </row>
    <row r="3163" spans="1:12">
      <c r="A3163" s="19"/>
      <c r="B3163" s="7"/>
      <c r="C3163" s="175"/>
      <c r="D3163" s="175"/>
      <c r="E3163" s="175"/>
      <c r="F3163" s="229"/>
      <c r="G3163" s="229"/>
      <c r="H3163" s="229"/>
      <c r="I3163" s="72"/>
      <c r="J3163" s="185"/>
      <c r="K3163" s="205"/>
      <c r="L3163" s="7"/>
    </row>
    <row r="3164" spans="1:12">
      <c r="A3164" s="19"/>
      <c r="B3164" s="7"/>
      <c r="C3164" s="175"/>
      <c r="D3164" s="175"/>
      <c r="E3164" s="175"/>
      <c r="F3164" s="229"/>
      <c r="G3164" s="229"/>
      <c r="H3164" s="229"/>
      <c r="I3164" s="72"/>
      <c r="J3164" s="185"/>
      <c r="K3164" s="205"/>
      <c r="L3164" s="7"/>
    </row>
    <row r="3165" spans="1:12">
      <c r="A3165" s="19"/>
      <c r="B3165" s="7"/>
      <c r="C3165" s="175"/>
      <c r="D3165" s="175"/>
      <c r="E3165" s="175"/>
      <c r="F3165" s="229"/>
      <c r="G3165" s="229"/>
      <c r="H3165" s="229"/>
      <c r="I3165" s="72"/>
      <c r="J3165" s="185"/>
      <c r="K3165" s="205"/>
      <c r="L3165" s="7"/>
    </row>
    <row r="3166" spans="1:12">
      <c r="A3166" s="19"/>
      <c r="B3166" s="7"/>
      <c r="C3166" s="175"/>
      <c r="D3166" s="175"/>
      <c r="E3166" s="175"/>
      <c r="F3166" s="229"/>
      <c r="G3166" s="229"/>
      <c r="H3166" s="229"/>
      <c r="I3166" s="72"/>
      <c r="J3166" s="185"/>
      <c r="K3166" s="205"/>
      <c r="L3166" s="7"/>
    </row>
    <row r="3167" spans="1:12">
      <c r="A3167" s="20"/>
      <c r="B3167" s="21"/>
      <c r="C3167" s="175"/>
      <c r="D3167" s="175"/>
      <c r="E3167" s="175"/>
      <c r="F3167" s="232"/>
      <c r="G3167" s="232"/>
      <c r="H3167" s="232"/>
      <c r="I3167" s="63"/>
      <c r="J3167" s="190"/>
      <c r="K3167" s="206"/>
      <c r="L3167" s="7"/>
    </row>
    <row r="3168" spans="1:12">
      <c r="A3168" s="20"/>
      <c r="B3168" s="21"/>
      <c r="C3168" s="175"/>
      <c r="D3168" s="175"/>
      <c r="E3168" s="175"/>
      <c r="F3168" s="232"/>
      <c r="G3168" s="232"/>
      <c r="H3168" s="232"/>
      <c r="I3168" s="62"/>
      <c r="J3168" s="190"/>
      <c r="K3168" s="206"/>
      <c r="L3168" s="7"/>
    </row>
    <row r="3169" spans="1:12">
      <c r="A3169" s="19"/>
      <c r="B3169" s="7"/>
      <c r="C3169" s="175"/>
      <c r="D3169" s="175"/>
      <c r="E3169" s="175"/>
      <c r="F3169" s="229"/>
      <c r="G3169" s="229"/>
      <c r="H3169" s="229"/>
      <c r="I3169" s="72"/>
      <c r="J3169" s="185"/>
      <c r="K3169" s="205"/>
      <c r="L3169" s="7"/>
    </row>
    <row r="3170" spans="1:12">
      <c r="A3170" s="20"/>
      <c r="B3170" s="21"/>
      <c r="C3170" s="175"/>
      <c r="D3170" s="175"/>
      <c r="E3170" s="175"/>
      <c r="F3170" s="232"/>
      <c r="G3170" s="232"/>
      <c r="H3170" s="232"/>
      <c r="I3170" s="63"/>
      <c r="J3170" s="190"/>
      <c r="K3170" s="206"/>
      <c r="L3170" s="7"/>
    </row>
    <row r="3171" spans="1:12">
      <c r="A3171" s="19"/>
      <c r="B3171" s="7"/>
      <c r="C3171" s="175"/>
      <c r="D3171" s="175"/>
      <c r="E3171" s="175"/>
      <c r="F3171" s="229"/>
      <c r="G3171" s="229"/>
      <c r="H3171" s="229"/>
      <c r="I3171" s="72"/>
      <c r="J3171" s="185"/>
      <c r="K3171" s="205"/>
      <c r="L3171" s="7"/>
    </row>
    <row r="3172" spans="1:12">
      <c r="A3172" s="19"/>
      <c r="B3172" s="7"/>
      <c r="C3172" s="175"/>
      <c r="D3172" s="175"/>
      <c r="E3172" s="175"/>
      <c r="F3172" s="229"/>
      <c r="G3172" s="229"/>
      <c r="H3172" s="229"/>
      <c r="I3172" s="72"/>
      <c r="J3172" s="185"/>
      <c r="K3172" s="205"/>
      <c r="L3172" s="7"/>
    </row>
    <row r="3173" spans="1:12">
      <c r="A3173" s="19"/>
      <c r="B3173" s="7"/>
      <c r="C3173" s="175"/>
      <c r="D3173" s="175"/>
      <c r="E3173" s="175"/>
      <c r="F3173" s="229"/>
      <c r="G3173" s="229"/>
      <c r="H3173" s="229"/>
      <c r="I3173" s="72"/>
      <c r="J3173" s="185"/>
      <c r="K3173" s="205"/>
      <c r="L3173" s="7"/>
    </row>
    <row r="3174" spans="1:12">
      <c r="A3174" s="19"/>
      <c r="B3174" s="7"/>
      <c r="C3174" s="175"/>
      <c r="D3174" s="175"/>
      <c r="E3174" s="175"/>
      <c r="F3174" s="229"/>
      <c r="G3174" s="229"/>
      <c r="H3174" s="229"/>
      <c r="I3174" s="72"/>
      <c r="J3174" s="185"/>
      <c r="K3174" s="205"/>
      <c r="L3174" s="7"/>
    </row>
    <row r="3175" spans="1:12">
      <c r="A3175" s="19"/>
      <c r="B3175" s="7"/>
      <c r="C3175" s="175"/>
      <c r="D3175" s="175"/>
      <c r="E3175" s="175"/>
      <c r="F3175" s="229"/>
      <c r="G3175" s="229"/>
      <c r="H3175" s="229"/>
      <c r="I3175" s="72"/>
      <c r="J3175" s="185"/>
      <c r="K3175" s="205"/>
      <c r="L3175" s="7"/>
    </row>
    <row r="3176" spans="1:12">
      <c r="A3176" s="19"/>
      <c r="B3176" s="7"/>
      <c r="C3176" s="175"/>
      <c r="D3176" s="175"/>
      <c r="E3176" s="175"/>
      <c r="F3176" s="229"/>
      <c r="G3176" s="229"/>
      <c r="H3176" s="229"/>
      <c r="I3176" s="72"/>
      <c r="J3176" s="185"/>
      <c r="K3176" s="205"/>
      <c r="L3176" s="7"/>
    </row>
    <row r="3177" spans="1:12">
      <c r="A3177" s="19"/>
      <c r="B3177" s="7"/>
      <c r="C3177" s="175"/>
      <c r="D3177" s="175"/>
      <c r="E3177" s="175"/>
      <c r="F3177" s="229"/>
      <c r="G3177" s="229"/>
      <c r="H3177" s="229"/>
      <c r="I3177" s="72"/>
      <c r="J3177" s="185"/>
      <c r="K3177" s="205"/>
      <c r="L3177" s="7"/>
    </row>
    <row r="3178" spans="1:12">
      <c r="A3178" s="19"/>
      <c r="B3178" s="7"/>
      <c r="C3178" s="175"/>
      <c r="D3178" s="175"/>
      <c r="E3178" s="175"/>
      <c r="F3178" s="229"/>
      <c r="G3178" s="229"/>
      <c r="H3178" s="229"/>
      <c r="I3178" s="72"/>
      <c r="J3178" s="185"/>
      <c r="K3178" s="205"/>
      <c r="L3178" s="7"/>
    </row>
    <row r="3179" spans="1:12">
      <c r="A3179" s="19"/>
      <c r="B3179" s="7"/>
      <c r="C3179" s="175"/>
      <c r="D3179" s="175"/>
      <c r="E3179" s="175"/>
      <c r="F3179" s="229"/>
      <c r="G3179" s="229"/>
      <c r="H3179" s="229"/>
      <c r="I3179" s="72"/>
      <c r="J3179" s="185"/>
      <c r="K3179" s="205"/>
      <c r="L3179" s="7"/>
    </row>
    <row r="3180" spans="1:12">
      <c r="A3180" s="19"/>
      <c r="B3180" s="7"/>
      <c r="C3180" s="175"/>
      <c r="D3180" s="175"/>
      <c r="E3180" s="175"/>
      <c r="F3180" s="229"/>
      <c r="G3180" s="229"/>
      <c r="H3180" s="229"/>
      <c r="I3180" s="72"/>
      <c r="J3180" s="185"/>
      <c r="K3180" s="205"/>
      <c r="L3180" s="7"/>
    </row>
    <row r="3181" spans="1:12">
      <c r="A3181" s="19"/>
      <c r="B3181" s="7"/>
      <c r="C3181" s="175"/>
      <c r="D3181" s="175"/>
      <c r="E3181" s="175"/>
      <c r="F3181" s="229"/>
      <c r="G3181" s="229"/>
      <c r="H3181" s="229"/>
      <c r="I3181" s="72"/>
      <c r="J3181" s="185"/>
      <c r="K3181" s="205"/>
      <c r="L3181" s="7"/>
    </row>
    <row r="3182" spans="1:12">
      <c r="A3182" s="19"/>
      <c r="B3182" s="7"/>
      <c r="C3182" s="175"/>
      <c r="D3182" s="175"/>
      <c r="E3182" s="175"/>
      <c r="F3182" s="229"/>
      <c r="G3182" s="229"/>
      <c r="H3182" s="229"/>
      <c r="I3182" s="72"/>
      <c r="J3182" s="185"/>
      <c r="K3182" s="205"/>
      <c r="L3182" s="7"/>
    </row>
    <row r="3183" spans="1:12">
      <c r="A3183" s="19"/>
      <c r="B3183" s="7"/>
      <c r="C3183" s="175"/>
      <c r="D3183" s="175"/>
      <c r="E3183" s="175"/>
      <c r="F3183" s="229"/>
      <c r="G3183" s="229"/>
      <c r="H3183" s="229"/>
      <c r="I3183" s="72"/>
      <c r="J3183" s="185"/>
      <c r="K3183" s="205"/>
      <c r="L3183" s="7"/>
    </row>
    <row r="3184" spans="1:12">
      <c r="A3184" s="19"/>
      <c r="B3184" s="7"/>
      <c r="C3184" s="175"/>
      <c r="D3184" s="175"/>
      <c r="E3184" s="175"/>
      <c r="F3184" s="229"/>
      <c r="G3184" s="229"/>
      <c r="H3184" s="229"/>
      <c r="I3184" s="72"/>
      <c r="J3184" s="185"/>
      <c r="K3184" s="205"/>
      <c r="L3184" s="7"/>
    </row>
    <row r="3185" spans="1:12">
      <c r="A3185" s="19"/>
      <c r="B3185" s="7"/>
      <c r="C3185" s="175"/>
      <c r="D3185" s="175"/>
      <c r="E3185" s="175"/>
      <c r="F3185" s="229"/>
      <c r="G3185" s="229"/>
      <c r="H3185" s="229"/>
      <c r="I3185" s="72"/>
      <c r="J3185" s="185"/>
      <c r="K3185" s="205"/>
      <c r="L3185" s="7"/>
    </row>
    <row r="3186" spans="1:12">
      <c r="A3186" s="19"/>
      <c r="B3186" s="7"/>
      <c r="C3186" s="175"/>
      <c r="D3186" s="175"/>
      <c r="E3186" s="175"/>
      <c r="F3186" s="229"/>
      <c r="G3186" s="229"/>
      <c r="H3186" s="229"/>
      <c r="I3186" s="72"/>
      <c r="J3186" s="185"/>
      <c r="K3186" s="205"/>
      <c r="L3186" s="7"/>
    </row>
    <row r="3187" spans="1:12">
      <c r="A3187" s="19"/>
      <c r="B3187" s="7"/>
      <c r="C3187" s="175"/>
      <c r="D3187" s="175"/>
      <c r="E3187" s="175"/>
      <c r="F3187" s="229"/>
      <c r="G3187" s="229"/>
      <c r="H3187" s="229"/>
      <c r="I3187" s="72"/>
      <c r="J3187" s="185"/>
      <c r="K3187" s="205"/>
      <c r="L3187" s="7"/>
    </row>
    <row r="3188" spans="1:12">
      <c r="A3188" s="19"/>
      <c r="B3188" s="7"/>
      <c r="C3188" s="175"/>
      <c r="D3188" s="175"/>
      <c r="E3188" s="175"/>
      <c r="F3188" s="229"/>
      <c r="G3188" s="229"/>
      <c r="H3188" s="229"/>
      <c r="I3188" s="72"/>
      <c r="J3188" s="185"/>
      <c r="K3188" s="205"/>
      <c r="L3188" s="7"/>
    </row>
    <row r="3189" spans="1:12">
      <c r="A3189" s="19"/>
      <c r="B3189" s="7"/>
      <c r="C3189" s="175"/>
      <c r="D3189" s="175"/>
      <c r="E3189" s="175"/>
      <c r="F3189" s="229"/>
      <c r="G3189" s="229"/>
      <c r="H3189" s="229"/>
      <c r="I3189" s="72"/>
      <c r="J3189" s="185"/>
      <c r="K3189" s="205"/>
      <c r="L3189" s="7"/>
    </row>
    <row r="3190" spans="1:12">
      <c r="A3190" s="19"/>
      <c r="B3190" s="7"/>
      <c r="C3190" s="175"/>
      <c r="D3190" s="175"/>
      <c r="E3190" s="175"/>
      <c r="F3190" s="229"/>
      <c r="G3190" s="229"/>
      <c r="H3190" s="229"/>
      <c r="I3190" s="72"/>
      <c r="J3190" s="185"/>
      <c r="K3190" s="205"/>
      <c r="L3190" s="7"/>
    </row>
    <row r="3191" spans="1:12">
      <c r="A3191" s="19"/>
      <c r="B3191" s="7"/>
      <c r="C3191" s="175"/>
      <c r="D3191" s="175"/>
      <c r="E3191" s="175"/>
      <c r="F3191" s="229"/>
      <c r="G3191" s="229"/>
      <c r="H3191" s="229"/>
      <c r="I3191" s="72"/>
      <c r="J3191" s="185"/>
      <c r="K3191" s="205"/>
      <c r="L3191" s="7"/>
    </row>
    <row r="3192" spans="1:12">
      <c r="A3192" s="19"/>
      <c r="B3192" s="7"/>
      <c r="C3192" s="175"/>
      <c r="D3192" s="175"/>
      <c r="E3192" s="175"/>
      <c r="F3192" s="229"/>
      <c r="G3192" s="229"/>
      <c r="H3192" s="229"/>
      <c r="I3192" s="72"/>
      <c r="J3192" s="185"/>
      <c r="K3192" s="205"/>
      <c r="L3192" s="7"/>
    </row>
    <row r="3193" spans="1:12">
      <c r="A3193" s="19"/>
      <c r="B3193" s="7"/>
      <c r="C3193" s="175"/>
      <c r="D3193" s="175"/>
      <c r="E3193" s="175"/>
      <c r="F3193" s="229"/>
      <c r="G3193" s="229"/>
      <c r="H3193" s="229"/>
      <c r="I3193" s="72"/>
      <c r="J3193" s="185"/>
      <c r="K3193" s="205"/>
      <c r="L3193" s="7"/>
    </row>
    <row r="3194" spans="1:12">
      <c r="A3194" s="19"/>
      <c r="B3194" s="7"/>
      <c r="C3194" s="175"/>
      <c r="D3194" s="175"/>
      <c r="E3194" s="175"/>
      <c r="F3194" s="229"/>
      <c r="G3194" s="229"/>
      <c r="H3194" s="229"/>
      <c r="I3194" s="72"/>
      <c r="J3194" s="185"/>
      <c r="K3194" s="205"/>
      <c r="L3194" s="7"/>
    </row>
    <row r="3195" spans="1:12">
      <c r="A3195" s="19"/>
      <c r="B3195" s="7"/>
      <c r="C3195" s="175"/>
      <c r="D3195" s="175"/>
      <c r="E3195" s="175"/>
      <c r="F3195" s="229"/>
      <c r="G3195" s="229"/>
      <c r="H3195" s="229"/>
      <c r="I3195" s="72"/>
      <c r="J3195" s="185"/>
      <c r="K3195" s="205"/>
      <c r="L3195" s="7"/>
    </row>
    <row r="3196" spans="1:12">
      <c r="A3196" s="20"/>
      <c r="B3196" s="21"/>
      <c r="C3196" s="175"/>
      <c r="D3196" s="175"/>
      <c r="E3196" s="175"/>
      <c r="F3196" s="232"/>
      <c r="G3196" s="232"/>
      <c r="H3196" s="232"/>
      <c r="I3196" s="63"/>
      <c r="J3196" s="190"/>
      <c r="K3196" s="206"/>
      <c r="L3196" s="7"/>
    </row>
    <row r="3197" spans="1:12">
      <c r="A3197" s="20"/>
      <c r="B3197" s="21"/>
      <c r="C3197" s="175"/>
      <c r="D3197" s="175"/>
      <c r="E3197" s="175"/>
      <c r="F3197" s="232"/>
      <c r="G3197" s="232"/>
      <c r="H3197" s="232"/>
      <c r="I3197" s="63"/>
      <c r="J3197" s="190"/>
      <c r="K3197" s="206"/>
      <c r="L3197" s="7"/>
    </row>
    <row r="3198" spans="1:12">
      <c r="A3198" s="20"/>
      <c r="B3198" s="21"/>
      <c r="C3198" s="175"/>
      <c r="D3198" s="175"/>
      <c r="E3198" s="175"/>
      <c r="F3198" s="232"/>
      <c r="G3198" s="232"/>
      <c r="H3198" s="232"/>
      <c r="I3198" s="63"/>
      <c r="J3198" s="190"/>
      <c r="K3198" s="206"/>
      <c r="L3198" s="7"/>
    </row>
    <row r="3199" spans="1:12">
      <c r="A3199" s="19"/>
      <c r="B3199" s="7"/>
      <c r="C3199" s="175"/>
      <c r="D3199" s="175"/>
      <c r="E3199" s="175"/>
      <c r="F3199" s="229"/>
      <c r="G3199" s="229"/>
      <c r="H3199" s="229"/>
      <c r="I3199" s="72"/>
      <c r="J3199" s="185"/>
      <c r="K3199" s="205"/>
      <c r="L3199" s="7"/>
    </row>
    <row r="3200" spans="1:12">
      <c r="A3200" s="20"/>
      <c r="B3200" s="21"/>
      <c r="C3200" s="175"/>
      <c r="D3200" s="175"/>
      <c r="E3200" s="175"/>
      <c r="F3200" s="232"/>
      <c r="G3200" s="232"/>
      <c r="H3200" s="232"/>
      <c r="I3200" s="63"/>
      <c r="J3200" s="190"/>
      <c r="K3200" s="206"/>
      <c r="L3200" s="7"/>
    </row>
    <row r="3201" spans="1:12">
      <c r="A3201" s="20"/>
      <c r="B3201" s="21"/>
      <c r="C3201" s="175"/>
      <c r="D3201" s="175"/>
      <c r="E3201" s="175"/>
      <c r="F3201" s="232"/>
      <c r="G3201" s="232"/>
      <c r="H3201" s="232"/>
      <c r="I3201" s="63"/>
      <c r="J3201" s="190"/>
      <c r="K3201" s="206"/>
      <c r="L3201" s="7"/>
    </row>
    <row r="3202" spans="1:12">
      <c r="A3202" s="19"/>
      <c r="B3202" s="7"/>
      <c r="C3202" s="175"/>
      <c r="D3202" s="175"/>
      <c r="E3202" s="175"/>
      <c r="F3202" s="229"/>
      <c r="G3202" s="229"/>
      <c r="H3202" s="229"/>
      <c r="I3202" s="72"/>
      <c r="J3202" s="185"/>
      <c r="K3202" s="205"/>
      <c r="L3202" s="7"/>
    </row>
    <row r="3203" spans="1:12">
      <c r="A3203" s="19"/>
      <c r="B3203" s="7"/>
      <c r="C3203" s="175"/>
      <c r="D3203" s="175"/>
      <c r="E3203" s="175"/>
      <c r="F3203" s="229"/>
      <c r="G3203" s="229"/>
      <c r="H3203" s="229"/>
      <c r="I3203" s="72"/>
      <c r="J3203" s="185"/>
      <c r="K3203" s="205"/>
      <c r="L3203" s="7"/>
    </row>
    <row r="3204" spans="1:12">
      <c r="A3204" s="19"/>
      <c r="B3204" s="7"/>
      <c r="C3204" s="175"/>
      <c r="D3204" s="175"/>
      <c r="E3204" s="175"/>
      <c r="F3204" s="229"/>
      <c r="G3204" s="229"/>
      <c r="H3204" s="229"/>
      <c r="I3204" s="72"/>
      <c r="J3204" s="185"/>
      <c r="K3204" s="205"/>
      <c r="L3204" s="7"/>
    </row>
    <row r="3205" spans="1:12">
      <c r="A3205" s="19"/>
      <c r="B3205" s="7"/>
      <c r="C3205" s="175"/>
      <c r="D3205" s="175"/>
      <c r="E3205" s="175"/>
      <c r="F3205" s="229"/>
      <c r="G3205" s="229"/>
      <c r="H3205" s="229"/>
      <c r="I3205" s="72"/>
      <c r="J3205" s="185"/>
      <c r="K3205" s="205"/>
      <c r="L3205" s="7"/>
    </row>
    <row r="3206" spans="1:12">
      <c r="A3206" s="19"/>
      <c r="B3206" s="7"/>
      <c r="C3206" s="175"/>
      <c r="D3206" s="175"/>
      <c r="E3206" s="175"/>
      <c r="F3206" s="229"/>
      <c r="G3206" s="229"/>
      <c r="H3206" s="229"/>
      <c r="I3206" s="72"/>
      <c r="J3206" s="185"/>
      <c r="K3206" s="205"/>
      <c r="L3206" s="7"/>
    </row>
    <row r="3207" spans="1:12">
      <c r="A3207" s="19"/>
      <c r="B3207" s="7"/>
      <c r="C3207" s="175"/>
      <c r="D3207" s="175"/>
      <c r="E3207" s="175"/>
      <c r="F3207" s="229"/>
      <c r="G3207" s="229"/>
      <c r="H3207" s="229"/>
      <c r="I3207" s="72"/>
      <c r="J3207" s="185"/>
      <c r="K3207" s="205"/>
      <c r="L3207" s="7"/>
    </row>
    <row r="3208" spans="1:12">
      <c r="A3208" s="19"/>
      <c r="B3208" s="7"/>
      <c r="C3208" s="175"/>
      <c r="D3208" s="175"/>
      <c r="E3208" s="175"/>
      <c r="F3208" s="229"/>
      <c r="G3208" s="229"/>
      <c r="H3208" s="229"/>
      <c r="I3208" s="72"/>
      <c r="J3208" s="185"/>
      <c r="K3208" s="205"/>
      <c r="L3208" s="7"/>
    </row>
    <row r="3209" spans="1:12">
      <c r="A3209" s="19"/>
      <c r="B3209" s="7"/>
      <c r="C3209" s="175"/>
      <c r="D3209" s="175"/>
      <c r="E3209" s="175"/>
      <c r="F3209" s="229"/>
      <c r="G3209" s="229"/>
      <c r="H3209" s="229"/>
      <c r="I3209" s="72"/>
      <c r="J3209" s="185"/>
      <c r="K3209" s="205"/>
      <c r="L3209" s="7"/>
    </row>
    <row r="3210" spans="1:12">
      <c r="A3210" s="19"/>
      <c r="B3210" s="7"/>
      <c r="C3210" s="175"/>
      <c r="D3210" s="175"/>
      <c r="E3210" s="175"/>
      <c r="F3210" s="229"/>
      <c r="G3210" s="229"/>
      <c r="H3210" s="229"/>
      <c r="I3210" s="72"/>
      <c r="J3210" s="185"/>
      <c r="K3210" s="205"/>
      <c r="L3210" s="7"/>
    </row>
    <row r="3211" spans="1:12">
      <c r="A3211" s="19"/>
      <c r="B3211" s="7"/>
      <c r="C3211" s="175"/>
      <c r="D3211" s="175"/>
      <c r="E3211" s="175"/>
      <c r="F3211" s="229"/>
      <c r="G3211" s="229"/>
      <c r="H3211" s="229"/>
      <c r="I3211" s="72"/>
      <c r="J3211" s="185"/>
      <c r="K3211" s="205"/>
      <c r="L3211" s="7"/>
    </row>
    <row r="3212" spans="1:12">
      <c r="A3212" s="20"/>
      <c r="B3212" s="21"/>
      <c r="C3212" s="175"/>
      <c r="D3212" s="175"/>
      <c r="E3212" s="175"/>
      <c r="F3212" s="232"/>
      <c r="G3212" s="232"/>
      <c r="H3212" s="232"/>
      <c r="I3212" s="63"/>
      <c r="J3212" s="190"/>
      <c r="K3212" s="206"/>
      <c r="L3212" s="7"/>
    </row>
    <row r="3213" spans="1:12">
      <c r="A3213" s="20"/>
      <c r="B3213" s="21"/>
      <c r="C3213" s="175"/>
      <c r="D3213" s="175"/>
      <c r="E3213" s="175"/>
      <c r="F3213" s="232"/>
      <c r="G3213" s="232"/>
      <c r="H3213" s="232"/>
      <c r="I3213" s="63"/>
      <c r="J3213" s="190"/>
      <c r="K3213" s="206"/>
      <c r="L3213" s="7"/>
    </row>
    <row r="3214" spans="1:12">
      <c r="A3214" s="20"/>
      <c r="B3214" s="21"/>
      <c r="C3214" s="175"/>
      <c r="D3214" s="175"/>
      <c r="E3214" s="175"/>
      <c r="F3214" s="232"/>
      <c r="G3214" s="232"/>
      <c r="H3214" s="232"/>
      <c r="I3214" s="62"/>
      <c r="J3214" s="190"/>
      <c r="K3214" s="206"/>
      <c r="L3214" s="7"/>
    </row>
    <row r="3215" spans="1:12">
      <c r="A3215" s="20"/>
      <c r="B3215" s="21"/>
      <c r="C3215" s="175"/>
      <c r="D3215" s="175"/>
      <c r="E3215" s="175"/>
      <c r="F3215" s="232"/>
      <c r="G3215" s="232"/>
      <c r="H3215" s="232"/>
      <c r="I3215" s="63"/>
      <c r="J3215" s="190"/>
      <c r="K3215" s="206"/>
      <c r="L3215" s="7"/>
    </row>
    <row r="3216" spans="1:12">
      <c r="A3216" s="19"/>
      <c r="B3216" s="7"/>
      <c r="C3216" s="175"/>
      <c r="D3216" s="175"/>
      <c r="E3216" s="175"/>
      <c r="F3216" s="229"/>
      <c r="G3216" s="229"/>
      <c r="H3216" s="229"/>
      <c r="I3216" s="72"/>
      <c r="J3216" s="185"/>
      <c r="K3216" s="205"/>
      <c r="L3216" s="7"/>
    </row>
    <row r="3217" spans="1:12">
      <c r="A3217" s="19"/>
      <c r="B3217" s="7"/>
      <c r="C3217" s="175"/>
      <c r="D3217" s="175"/>
      <c r="E3217" s="175"/>
      <c r="F3217" s="229"/>
      <c r="G3217" s="229"/>
      <c r="H3217" s="229"/>
      <c r="I3217" s="72"/>
      <c r="J3217" s="185"/>
      <c r="K3217" s="205"/>
      <c r="L3217" s="7"/>
    </row>
    <row r="3218" spans="1:12">
      <c r="A3218" s="19"/>
      <c r="B3218" s="7"/>
      <c r="C3218" s="175"/>
      <c r="D3218" s="175"/>
      <c r="E3218" s="175"/>
      <c r="F3218" s="229"/>
      <c r="G3218" s="229"/>
      <c r="H3218" s="229"/>
      <c r="I3218" s="72"/>
      <c r="J3218" s="185"/>
      <c r="K3218" s="205"/>
      <c r="L3218" s="7"/>
    </row>
    <row r="3219" spans="1:12">
      <c r="A3219" s="19"/>
      <c r="B3219" s="7"/>
      <c r="C3219" s="175"/>
      <c r="D3219" s="175"/>
      <c r="E3219" s="175"/>
      <c r="F3219" s="229"/>
      <c r="G3219" s="229"/>
      <c r="H3219" s="229"/>
      <c r="I3219" s="72"/>
      <c r="J3219" s="185"/>
      <c r="K3219" s="205"/>
      <c r="L3219" s="7"/>
    </row>
    <row r="3220" spans="1:12">
      <c r="A3220" s="19"/>
      <c r="B3220" s="7"/>
      <c r="C3220" s="175"/>
      <c r="D3220" s="175"/>
      <c r="E3220" s="175"/>
      <c r="F3220" s="229"/>
      <c r="G3220" s="229"/>
      <c r="H3220" s="229"/>
      <c r="I3220" s="72"/>
      <c r="J3220" s="185"/>
      <c r="K3220" s="205"/>
      <c r="L3220" s="7"/>
    </row>
    <row r="3221" spans="1:12">
      <c r="A3221" s="19"/>
      <c r="B3221" s="7"/>
      <c r="C3221" s="175"/>
      <c r="D3221" s="175"/>
      <c r="E3221" s="175"/>
      <c r="F3221" s="229"/>
      <c r="G3221" s="229"/>
      <c r="H3221" s="229"/>
      <c r="I3221" s="72"/>
      <c r="J3221" s="185"/>
      <c r="K3221" s="205"/>
      <c r="L3221" s="7"/>
    </row>
    <row r="3222" spans="1:12">
      <c r="A3222" s="19"/>
      <c r="B3222" s="7"/>
      <c r="C3222" s="175"/>
      <c r="D3222" s="175"/>
      <c r="E3222" s="175"/>
      <c r="F3222" s="229"/>
      <c r="G3222" s="229"/>
      <c r="H3222" s="229"/>
      <c r="I3222" s="72"/>
      <c r="J3222" s="185"/>
      <c r="K3222" s="205"/>
      <c r="L3222" s="7"/>
    </row>
    <row r="3223" spans="1:12">
      <c r="A3223" s="19"/>
      <c r="B3223" s="7"/>
      <c r="C3223" s="175"/>
      <c r="D3223" s="175"/>
      <c r="E3223" s="175"/>
      <c r="F3223" s="229"/>
      <c r="G3223" s="229"/>
      <c r="H3223" s="229"/>
      <c r="I3223" s="72"/>
      <c r="J3223" s="185"/>
      <c r="K3223" s="205"/>
      <c r="L3223" s="7"/>
    </row>
    <row r="3224" spans="1:12">
      <c r="A3224" s="19"/>
      <c r="B3224" s="7"/>
      <c r="C3224" s="175"/>
      <c r="D3224" s="175"/>
      <c r="E3224" s="175"/>
      <c r="F3224" s="229"/>
      <c r="G3224" s="229"/>
      <c r="H3224" s="229"/>
      <c r="I3224" s="72"/>
      <c r="J3224" s="185"/>
      <c r="K3224" s="205"/>
      <c r="L3224" s="7"/>
    </row>
    <row r="3225" spans="1:12">
      <c r="A3225" s="19"/>
      <c r="B3225" s="7"/>
      <c r="C3225" s="175"/>
      <c r="D3225" s="175"/>
      <c r="E3225" s="175"/>
      <c r="F3225" s="229"/>
      <c r="G3225" s="229"/>
      <c r="H3225" s="229"/>
      <c r="I3225" s="72"/>
      <c r="J3225" s="185"/>
      <c r="K3225" s="205"/>
      <c r="L3225" s="7"/>
    </row>
    <row r="3226" spans="1:12">
      <c r="A3226" s="19"/>
      <c r="B3226" s="7"/>
      <c r="C3226" s="175"/>
      <c r="D3226" s="175"/>
      <c r="E3226" s="175"/>
      <c r="F3226" s="229"/>
      <c r="G3226" s="229"/>
      <c r="H3226" s="229"/>
      <c r="I3226" s="72"/>
      <c r="J3226" s="185"/>
      <c r="K3226" s="205"/>
      <c r="L3226" s="7"/>
    </row>
    <row r="3227" spans="1:12">
      <c r="A3227" s="19"/>
      <c r="B3227" s="7"/>
      <c r="C3227" s="175"/>
      <c r="D3227" s="175"/>
      <c r="E3227" s="175"/>
      <c r="F3227" s="229"/>
      <c r="G3227" s="229"/>
      <c r="H3227" s="229"/>
      <c r="I3227" s="72"/>
      <c r="J3227" s="185"/>
      <c r="K3227" s="205"/>
      <c r="L3227" s="7"/>
    </row>
    <row r="3228" spans="1:12">
      <c r="A3228" s="19"/>
      <c r="B3228" s="7"/>
      <c r="C3228" s="175"/>
      <c r="D3228" s="175"/>
      <c r="E3228" s="175"/>
      <c r="F3228" s="229"/>
      <c r="G3228" s="229"/>
      <c r="H3228" s="229"/>
      <c r="I3228" s="72"/>
      <c r="J3228" s="185"/>
      <c r="K3228" s="205"/>
      <c r="L3228" s="7"/>
    </row>
    <row r="3229" spans="1:12">
      <c r="A3229" s="19"/>
      <c r="B3229" s="7"/>
      <c r="C3229" s="175"/>
      <c r="D3229" s="175"/>
      <c r="E3229" s="175"/>
      <c r="F3229" s="229"/>
      <c r="G3229" s="229"/>
      <c r="H3229" s="229"/>
      <c r="I3229" s="72"/>
      <c r="J3229" s="185"/>
      <c r="K3229" s="205"/>
      <c r="L3229" s="7"/>
    </row>
    <row r="3230" spans="1:12">
      <c r="A3230" s="19"/>
      <c r="B3230" s="7"/>
      <c r="C3230" s="175"/>
      <c r="D3230" s="175"/>
      <c r="E3230" s="175"/>
      <c r="F3230" s="229"/>
      <c r="G3230" s="229"/>
      <c r="H3230" s="229"/>
      <c r="I3230" s="72"/>
      <c r="J3230" s="185"/>
      <c r="K3230" s="205"/>
      <c r="L3230" s="7"/>
    </row>
    <row r="3231" spans="1:12">
      <c r="A3231" s="19"/>
      <c r="B3231" s="7"/>
      <c r="C3231" s="175"/>
      <c r="D3231" s="175"/>
      <c r="E3231" s="175"/>
      <c r="F3231" s="229"/>
      <c r="G3231" s="229"/>
      <c r="H3231" s="229"/>
      <c r="I3231" s="72"/>
      <c r="J3231" s="185"/>
      <c r="K3231" s="205"/>
      <c r="L3231" s="7"/>
    </row>
    <row r="3232" spans="1:12">
      <c r="A3232" s="19"/>
      <c r="B3232" s="7"/>
      <c r="C3232" s="175"/>
      <c r="D3232" s="175"/>
      <c r="E3232" s="175"/>
      <c r="F3232" s="229"/>
      <c r="G3232" s="229"/>
      <c r="H3232" s="229"/>
      <c r="I3232" s="72"/>
      <c r="J3232" s="185"/>
      <c r="K3232" s="205"/>
      <c r="L3232" s="7"/>
    </row>
    <row r="3233" spans="1:12">
      <c r="A3233" s="19"/>
      <c r="B3233" s="7"/>
      <c r="C3233" s="175"/>
      <c r="D3233" s="175"/>
      <c r="E3233" s="175"/>
      <c r="F3233" s="229"/>
      <c r="G3233" s="229"/>
      <c r="H3233" s="229"/>
      <c r="I3233" s="72"/>
      <c r="J3233" s="185"/>
      <c r="K3233" s="205"/>
      <c r="L3233" s="7"/>
    </row>
    <row r="3234" spans="1:12">
      <c r="A3234" s="19"/>
      <c r="B3234" s="7"/>
      <c r="C3234" s="175"/>
      <c r="D3234" s="175"/>
      <c r="E3234" s="175"/>
      <c r="F3234" s="229"/>
      <c r="G3234" s="229"/>
      <c r="H3234" s="229"/>
      <c r="I3234" s="72"/>
      <c r="J3234" s="185"/>
      <c r="K3234" s="205"/>
      <c r="L3234" s="7"/>
    </row>
    <row r="3235" spans="1:12">
      <c r="A3235" s="19"/>
      <c r="B3235" s="7"/>
      <c r="C3235" s="175"/>
      <c r="D3235" s="175"/>
      <c r="E3235" s="175"/>
      <c r="F3235" s="229"/>
      <c r="G3235" s="229"/>
      <c r="H3235" s="229"/>
      <c r="I3235" s="72"/>
      <c r="J3235" s="185"/>
      <c r="K3235" s="205"/>
      <c r="L3235" s="7"/>
    </row>
    <row r="3236" spans="1:12">
      <c r="A3236" s="19"/>
      <c r="B3236" s="7"/>
      <c r="C3236" s="175"/>
      <c r="D3236" s="175"/>
      <c r="E3236" s="175"/>
      <c r="F3236" s="229"/>
      <c r="G3236" s="229"/>
      <c r="H3236" s="229"/>
      <c r="I3236" s="72"/>
      <c r="J3236" s="185"/>
      <c r="K3236" s="205"/>
      <c r="L3236" s="7"/>
    </row>
    <row r="3237" spans="1:12">
      <c r="A3237" s="19"/>
      <c r="B3237" s="7"/>
      <c r="C3237" s="175"/>
      <c r="D3237" s="175"/>
      <c r="E3237" s="175"/>
      <c r="F3237" s="229"/>
      <c r="G3237" s="229"/>
      <c r="H3237" s="229"/>
      <c r="I3237" s="72"/>
      <c r="J3237" s="185"/>
      <c r="K3237" s="205"/>
      <c r="L3237" s="7"/>
    </row>
    <row r="3238" spans="1:12">
      <c r="A3238" s="19"/>
      <c r="B3238" s="7"/>
      <c r="C3238" s="175"/>
      <c r="D3238" s="175"/>
      <c r="E3238" s="175"/>
      <c r="F3238" s="229"/>
      <c r="G3238" s="229"/>
      <c r="H3238" s="229"/>
      <c r="I3238" s="72"/>
      <c r="J3238" s="185"/>
      <c r="K3238" s="205"/>
      <c r="L3238" s="7"/>
    </row>
    <row r="3239" spans="1:12">
      <c r="A3239" s="19"/>
      <c r="B3239" s="7"/>
      <c r="C3239" s="175"/>
      <c r="D3239" s="175"/>
      <c r="E3239" s="175"/>
      <c r="F3239" s="229"/>
      <c r="G3239" s="229"/>
      <c r="H3239" s="229"/>
      <c r="I3239" s="72"/>
      <c r="J3239" s="185"/>
      <c r="K3239" s="205"/>
      <c r="L3239" s="7"/>
    </row>
    <row r="3240" spans="1:12">
      <c r="A3240" s="19"/>
      <c r="B3240" s="7"/>
      <c r="C3240" s="175"/>
      <c r="D3240" s="175"/>
      <c r="E3240" s="175"/>
      <c r="F3240" s="229"/>
      <c r="G3240" s="229"/>
      <c r="H3240" s="229"/>
      <c r="I3240" s="72"/>
      <c r="J3240" s="185"/>
      <c r="K3240" s="205"/>
      <c r="L3240" s="7"/>
    </row>
    <row r="3241" spans="1:12">
      <c r="A3241" s="21"/>
      <c r="B3241" s="21"/>
      <c r="C3241" s="175"/>
      <c r="D3241" s="175"/>
      <c r="E3241" s="175"/>
      <c r="F3241" s="232"/>
      <c r="G3241" s="232"/>
      <c r="H3241" s="232"/>
      <c r="I3241" s="63"/>
      <c r="J3241" s="190"/>
      <c r="K3241" s="208"/>
      <c r="L3241" s="7"/>
    </row>
    <row r="3242" spans="1:12">
      <c r="A3242" s="21"/>
      <c r="B3242" s="21"/>
      <c r="C3242" s="175"/>
      <c r="D3242" s="175"/>
      <c r="E3242" s="175"/>
      <c r="F3242" s="232"/>
      <c r="G3242" s="232"/>
      <c r="H3242" s="232"/>
      <c r="I3242" s="63"/>
      <c r="J3242" s="189"/>
      <c r="K3242" s="208"/>
      <c r="L3242" s="7"/>
    </row>
    <row r="3243" spans="1:12">
      <c r="A3243" s="21"/>
      <c r="B3243" s="21"/>
      <c r="C3243" s="175"/>
      <c r="D3243" s="175"/>
      <c r="E3243" s="175"/>
      <c r="F3243" s="232"/>
      <c r="G3243" s="232"/>
      <c r="H3243" s="232"/>
      <c r="I3243" s="63"/>
      <c r="J3243" s="190"/>
      <c r="K3243" s="208"/>
      <c r="L3243" s="7"/>
    </row>
    <row r="3244" spans="1:12">
      <c r="A3244" s="19"/>
      <c r="B3244" s="24"/>
      <c r="C3244" s="175"/>
      <c r="D3244" s="175"/>
      <c r="E3244" s="175"/>
      <c r="F3244" s="234"/>
      <c r="G3244" s="234"/>
      <c r="H3244" s="234"/>
      <c r="I3244" s="62"/>
      <c r="J3244" s="190"/>
      <c r="K3244" s="215"/>
      <c r="L3244" s="7"/>
    </row>
    <row r="3245" spans="1:12">
      <c r="A3245" s="21"/>
      <c r="B3245" s="21"/>
      <c r="C3245" s="175"/>
      <c r="D3245" s="175"/>
      <c r="E3245" s="175"/>
      <c r="F3245" s="232"/>
      <c r="G3245" s="232"/>
      <c r="H3245" s="232"/>
      <c r="I3245" s="63"/>
      <c r="J3245" s="190"/>
      <c r="K3245" s="208"/>
      <c r="L3245" s="7"/>
    </row>
    <row r="3246" spans="1:12">
      <c r="A3246" s="21"/>
      <c r="B3246" s="21"/>
      <c r="C3246" s="175"/>
      <c r="D3246" s="175"/>
      <c r="E3246" s="175"/>
      <c r="F3246" s="232"/>
      <c r="G3246" s="232"/>
      <c r="H3246" s="232"/>
      <c r="I3246" s="63"/>
      <c r="J3246" s="189"/>
      <c r="K3246" s="208"/>
      <c r="L3246" s="7"/>
    </row>
    <row r="3247" spans="1:12">
      <c r="A3247" s="19"/>
      <c r="B3247" s="7"/>
      <c r="C3247" s="175"/>
      <c r="D3247" s="175"/>
      <c r="E3247" s="175"/>
      <c r="F3247" s="229"/>
      <c r="G3247" s="229"/>
      <c r="H3247" s="229"/>
      <c r="I3247" s="72"/>
      <c r="J3247" s="185"/>
      <c r="K3247" s="205"/>
      <c r="L3247" s="7"/>
    </row>
    <row r="3248" spans="1:12">
      <c r="A3248" s="19"/>
      <c r="B3248" s="7"/>
      <c r="C3248" s="175"/>
      <c r="D3248" s="175"/>
      <c r="E3248" s="175"/>
      <c r="F3248" s="229"/>
      <c r="G3248" s="229"/>
      <c r="H3248" s="229"/>
      <c r="I3248" s="72"/>
      <c r="J3248" s="185"/>
      <c r="K3248" s="205"/>
      <c r="L3248" s="7"/>
    </row>
    <row r="3249" spans="1:12">
      <c r="A3249" s="19"/>
      <c r="B3249" s="7"/>
      <c r="C3249" s="175"/>
      <c r="D3249" s="175"/>
      <c r="E3249" s="175"/>
      <c r="F3249" s="229"/>
      <c r="G3249" s="229"/>
      <c r="H3249" s="229"/>
      <c r="I3249" s="72"/>
      <c r="J3249" s="185"/>
      <c r="K3249" s="205"/>
      <c r="L3249" s="7"/>
    </row>
    <row r="3250" spans="1:12">
      <c r="A3250" s="19"/>
      <c r="B3250" s="7"/>
      <c r="C3250" s="175"/>
      <c r="D3250" s="175"/>
      <c r="E3250" s="175"/>
      <c r="F3250" s="229"/>
      <c r="G3250" s="229"/>
      <c r="H3250" s="229"/>
      <c r="I3250" s="72"/>
      <c r="J3250" s="185"/>
      <c r="K3250" s="205"/>
      <c r="L3250" s="7"/>
    </row>
    <row r="3251" spans="1:12">
      <c r="A3251" s="19"/>
      <c r="B3251" s="7"/>
      <c r="C3251" s="175"/>
      <c r="D3251" s="175"/>
      <c r="E3251" s="175"/>
      <c r="F3251" s="229"/>
      <c r="G3251" s="229"/>
      <c r="H3251" s="229"/>
      <c r="I3251" s="72"/>
      <c r="J3251" s="185"/>
      <c r="K3251" s="205"/>
      <c r="L3251" s="7"/>
    </row>
    <row r="3252" spans="1:12">
      <c r="A3252" s="19"/>
      <c r="B3252" s="7"/>
      <c r="C3252" s="175"/>
      <c r="D3252" s="175"/>
      <c r="E3252" s="175"/>
      <c r="F3252" s="229"/>
      <c r="G3252" s="229"/>
      <c r="H3252" s="229"/>
      <c r="I3252" s="72"/>
      <c r="J3252" s="185"/>
      <c r="K3252" s="205"/>
      <c r="L3252" s="7"/>
    </row>
    <row r="3253" spans="1:12">
      <c r="A3253" s="19"/>
      <c r="B3253" s="7"/>
      <c r="C3253" s="175"/>
      <c r="D3253" s="175"/>
      <c r="E3253" s="175"/>
      <c r="F3253" s="229"/>
      <c r="G3253" s="229"/>
      <c r="H3253" s="229"/>
      <c r="I3253" s="72"/>
      <c r="J3253" s="185"/>
      <c r="K3253" s="205"/>
      <c r="L3253" s="7"/>
    </row>
    <row r="3254" spans="1:12">
      <c r="A3254" s="19"/>
      <c r="B3254" s="7"/>
      <c r="C3254" s="175"/>
      <c r="D3254" s="175"/>
      <c r="E3254" s="175"/>
      <c r="F3254" s="229"/>
      <c r="G3254" s="229"/>
      <c r="H3254" s="229"/>
      <c r="I3254" s="72"/>
      <c r="J3254" s="185"/>
      <c r="K3254" s="205"/>
      <c r="L3254" s="7"/>
    </row>
    <row r="3255" spans="1:12">
      <c r="A3255" s="19"/>
      <c r="B3255" s="7"/>
      <c r="C3255" s="175"/>
      <c r="D3255" s="175"/>
      <c r="E3255" s="175"/>
      <c r="F3255" s="229"/>
      <c r="G3255" s="229"/>
      <c r="H3255" s="229"/>
      <c r="I3255" s="72"/>
      <c r="J3255" s="185"/>
      <c r="K3255" s="205"/>
      <c r="L3255" s="7"/>
    </row>
    <row r="3256" spans="1:12">
      <c r="A3256" s="21"/>
      <c r="B3256" s="21"/>
      <c r="C3256" s="175"/>
      <c r="D3256" s="175"/>
      <c r="E3256" s="175"/>
      <c r="F3256" s="232"/>
      <c r="G3256" s="232"/>
      <c r="H3256" s="232"/>
      <c r="I3256" s="63"/>
      <c r="J3256" s="190"/>
      <c r="K3256" s="208"/>
      <c r="L3256" s="7"/>
    </row>
    <row r="3257" spans="1:12">
      <c r="A3257" s="21"/>
      <c r="B3257" s="21"/>
      <c r="C3257" s="175"/>
      <c r="D3257" s="175"/>
      <c r="E3257" s="175"/>
      <c r="F3257" s="232"/>
      <c r="G3257" s="232"/>
      <c r="H3257" s="232"/>
      <c r="I3257" s="63"/>
      <c r="J3257" s="190"/>
      <c r="K3257" s="208"/>
      <c r="L3257" s="7"/>
    </row>
    <row r="3258" spans="1:12">
      <c r="A3258" s="21"/>
      <c r="B3258" s="21"/>
      <c r="C3258" s="175"/>
      <c r="D3258" s="175"/>
      <c r="E3258" s="175"/>
      <c r="F3258" s="232"/>
      <c r="G3258" s="232"/>
      <c r="H3258" s="232"/>
      <c r="I3258" s="62"/>
      <c r="J3258" s="190"/>
      <c r="K3258" s="208"/>
      <c r="L3258" s="7"/>
    </row>
    <row r="3259" spans="1:12">
      <c r="A3259" s="21"/>
      <c r="B3259" s="21"/>
      <c r="C3259" s="175"/>
      <c r="D3259" s="175"/>
      <c r="E3259" s="175"/>
      <c r="F3259" s="232"/>
      <c r="G3259" s="232"/>
      <c r="H3259" s="232"/>
      <c r="I3259" s="63"/>
      <c r="J3259" s="190"/>
      <c r="K3259" s="208"/>
      <c r="L3259" s="7"/>
    </row>
    <row r="3260" spans="1:12">
      <c r="A3260" s="21"/>
      <c r="B3260" s="21"/>
      <c r="C3260" s="175"/>
      <c r="D3260" s="175"/>
      <c r="E3260" s="175"/>
      <c r="F3260" s="232"/>
      <c r="G3260" s="232"/>
      <c r="H3260" s="232"/>
      <c r="I3260" s="63"/>
      <c r="J3260" s="190"/>
      <c r="K3260" s="208"/>
      <c r="L3260" s="7"/>
    </row>
    <row r="3261" spans="1:12">
      <c r="A3261" s="21"/>
      <c r="B3261" s="21"/>
      <c r="C3261" s="175"/>
      <c r="D3261" s="175"/>
      <c r="E3261" s="175"/>
      <c r="F3261" s="232"/>
      <c r="G3261" s="232"/>
      <c r="H3261" s="232"/>
      <c r="I3261" s="63"/>
      <c r="J3261" s="190"/>
      <c r="K3261" s="208"/>
      <c r="L3261" s="7"/>
    </row>
    <row r="3262" spans="1:12">
      <c r="A3262" s="21"/>
      <c r="B3262" s="21"/>
      <c r="C3262" s="175"/>
      <c r="D3262" s="175"/>
      <c r="E3262" s="175"/>
      <c r="F3262" s="232"/>
      <c r="G3262" s="232"/>
      <c r="H3262" s="232"/>
      <c r="I3262" s="63"/>
      <c r="J3262" s="190"/>
      <c r="K3262" s="208"/>
      <c r="L3262" s="7"/>
    </row>
    <row r="3263" spans="1:12">
      <c r="A3263" s="19"/>
      <c r="B3263" s="7"/>
      <c r="C3263" s="175"/>
      <c r="D3263" s="175"/>
      <c r="E3263" s="175"/>
      <c r="F3263" s="229"/>
      <c r="G3263" s="229"/>
      <c r="H3263" s="229"/>
      <c r="I3263" s="72"/>
      <c r="J3263" s="185"/>
      <c r="K3263" s="205"/>
      <c r="L3263" s="7"/>
    </row>
    <row r="3264" spans="1:12">
      <c r="A3264" s="19"/>
      <c r="B3264" s="7"/>
      <c r="C3264" s="175"/>
      <c r="D3264" s="175"/>
      <c r="E3264" s="175"/>
      <c r="F3264" s="229"/>
      <c r="G3264" s="229"/>
      <c r="H3264" s="229"/>
      <c r="I3264" s="72"/>
      <c r="J3264" s="185"/>
      <c r="K3264" s="205"/>
      <c r="L3264" s="7"/>
    </row>
    <row r="3265" spans="1:12">
      <c r="A3265" s="19"/>
      <c r="B3265" s="7"/>
      <c r="C3265" s="175"/>
      <c r="D3265" s="175"/>
      <c r="E3265" s="175"/>
      <c r="F3265" s="229"/>
      <c r="G3265" s="229"/>
      <c r="H3265" s="229"/>
      <c r="I3265" s="72"/>
      <c r="J3265" s="185"/>
      <c r="K3265" s="205"/>
      <c r="L3265" s="7"/>
    </row>
    <row r="3266" spans="1:12">
      <c r="A3266" s="19"/>
      <c r="B3266" s="7"/>
      <c r="C3266" s="175"/>
      <c r="D3266" s="175"/>
      <c r="E3266" s="175"/>
      <c r="F3266" s="229"/>
      <c r="G3266" s="229"/>
      <c r="H3266" s="229"/>
      <c r="I3266" s="72"/>
      <c r="J3266" s="185"/>
      <c r="K3266" s="205"/>
      <c r="L3266" s="7"/>
    </row>
    <row r="3267" spans="1:12">
      <c r="A3267" s="19"/>
      <c r="B3267" s="7"/>
      <c r="C3267" s="175"/>
      <c r="D3267" s="175"/>
      <c r="E3267" s="175"/>
      <c r="F3267" s="229"/>
      <c r="G3267" s="229"/>
      <c r="H3267" s="229"/>
      <c r="I3267" s="72"/>
      <c r="J3267" s="185"/>
      <c r="K3267" s="205"/>
      <c r="L3267" s="7"/>
    </row>
    <row r="3268" spans="1:12">
      <c r="A3268" s="19"/>
      <c r="B3268" s="7"/>
      <c r="C3268" s="175"/>
      <c r="D3268" s="175"/>
      <c r="E3268" s="175"/>
      <c r="F3268" s="229"/>
      <c r="G3268" s="229"/>
      <c r="H3268" s="229"/>
      <c r="I3268" s="72"/>
      <c r="J3268" s="185"/>
      <c r="K3268" s="205"/>
      <c r="L3268" s="7"/>
    </row>
    <row r="3269" spans="1:12">
      <c r="A3269" s="19"/>
      <c r="B3269" s="7"/>
      <c r="C3269" s="175"/>
      <c r="D3269" s="175"/>
      <c r="E3269" s="175"/>
      <c r="F3269" s="229"/>
      <c r="G3269" s="229"/>
      <c r="H3269" s="229"/>
      <c r="I3269" s="72"/>
      <c r="J3269" s="185"/>
      <c r="K3269" s="205"/>
      <c r="L3269" s="7"/>
    </row>
    <row r="3270" spans="1:12">
      <c r="A3270" s="19"/>
      <c r="B3270" s="7"/>
      <c r="C3270" s="175"/>
      <c r="D3270" s="175"/>
      <c r="E3270" s="175"/>
      <c r="F3270" s="229"/>
      <c r="G3270" s="229"/>
      <c r="H3270" s="229"/>
      <c r="I3270" s="72"/>
      <c r="J3270" s="185"/>
      <c r="K3270" s="205"/>
      <c r="L3270" s="7"/>
    </row>
    <row r="3271" spans="1:12">
      <c r="A3271" s="19"/>
      <c r="B3271" s="7"/>
      <c r="C3271" s="175"/>
      <c r="D3271" s="175"/>
      <c r="E3271" s="175"/>
      <c r="F3271" s="229"/>
      <c r="G3271" s="229"/>
      <c r="H3271" s="229"/>
      <c r="I3271" s="72"/>
      <c r="J3271" s="185"/>
      <c r="K3271" s="205"/>
      <c r="L3271" s="7"/>
    </row>
    <row r="3272" spans="1:12">
      <c r="A3272" s="19"/>
      <c r="B3272" s="7"/>
      <c r="C3272" s="175"/>
      <c r="D3272" s="175"/>
      <c r="E3272" s="175"/>
      <c r="F3272" s="229"/>
      <c r="G3272" s="229"/>
      <c r="H3272" s="229"/>
      <c r="I3272" s="72"/>
      <c r="J3272" s="185"/>
      <c r="K3272" s="205"/>
      <c r="L3272" s="7"/>
    </row>
    <row r="3273" spans="1:12">
      <c r="A3273" s="19"/>
      <c r="B3273" s="7"/>
      <c r="C3273" s="175"/>
      <c r="D3273" s="175"/>
      <c r="E3273" s="175"/>
      <c r="F3273" s="229"/>
      <c r="G3273" s="229"/>
      <c r="H3273" s="229"/>
      <c r="I3273" s="72"/>
      <c r="J3273" s="185"/>
      <c r="K3273" s="205"/>
      <c r="L3273" s="7"/>
    </row>
    <row r="3274" spans="1:12">
      <c r="A3274" s="19"/>
      <c r="B3274" s="7"/>
      <c r="C3274" s="175"/>
      <c r="D3274" s="175"/>
      <c r="E3274" s="175"/>
      <c r="F3274" s="229"/>
      <c r="G3274" s="229"/>
      <c r="H3274" s="229"/>
      <c r="I3274" s="72"/>
      <c r="J3274" s="185"/>
      <c r="K3274" s="205"/>
      <c r="L3274" s="7"/>
    </row>
    <row r="3275" spans="1:12">
      <c r="A3275" s="19"/>
      <c r="B3275" s="7"/>
      <c r="C3275" s="175"/>
      <c r="D3275" s="175"/>
      <c r="E3275" s="175"/>
      <c r="F3275" s="229"/>
      <c r="G3275" s="229"/>
      <c r="H3275" s="229"/>
      <c r="I3275" s="72"/>
      <c r="J3275" s="185"/>
      <c r="K3275" s="205"/>
      <c r="L3275" s="7"/>
    </row>
    <row r="3276" spans="1:12">
      <c r="A3276" s="19"/>
      <c r="B3276" s="7"/>
      <c r="C3276" s="175"/>
      <c r="D3276" s="175"/>
      <c r="E3276" s="175"/>
      <c r="F3276" s="229"/>
      <c r="G3276" s="229"/>
      <c r="H3276" s="229"/>
      <c r="I3276" s="72"/>
      <c r="J3276" s="185"/>
      <c r="K3276" s="205"/>
      <c r="L3276" s="7"/>
    </row>
    <row r="3277" spans="1:12">
      <c r="A3277" s="19"/>
      <c r="B3277" s="7"/>
      <c r="C3277" s="175"/>
      <c r="D3277" s="175"/>
      <c r="E3277" s="175"/>
      <c r="F3277" s="229"/>
      <c r="G3277" s="229"/>
      <c r="H3277" s="229"/>
      <c r="I3277" s="72"/>
      <c r="J3277" s="185"/>
      <c r="K3277" s="205"/>
      <c r="L3277" s="7"/>
    </row>
    <row r="3278" spans="1:12">
      <c r="A3278" s="19"/>
      <c r="B3278" s="7"/>
      <c r="C3278" s="175"/>
      <c r="D3278" s="175"/>
      <c r="E3278" s="175"/>
      <c r="F3278" s="229"/>
      <c r="G3278" s="229"/>
      <c r="H3278" s="229"/>
      <c r="I3278" s="72"/>
      <c r="J3278" s="185"/>
      <c r="K3278" s="205"/>
      <c r="L3278" s="7"/>
    </row>
    <row r="3279" spans="1:12">
      <c r="A3279" s="19"/>
      <c r="B3279" s="7"/>
      <c r="C3279" s="175"/>
      <c r="D3279" s="175"/>
      <c r="E3279" s="175"/>
      <c r="F3279" s="229"/>
      <c r="G3279" s="229"/>
      <c r="H3279" s="229"/>
      <c r="I3279" s="72"/>
      <c r="J3279" s="185"/>
      <c r="K3279" s="205"/>
      <c r="L3279" s="7"/>
    </row>
    <row r="3280" spans="1:12">
      <c r="A3280" s="19"/>
      <c r="B3280" s="7"/>
      <c r="C3280" s="175"/>
      <c r="D3280" s="175"/>
      <c r="E3280" s="175"/>
      <c r="F3280" s="229"/>
      <c r="G3280" s="229"/>
      <c r="H3280" s="229"/>
      <c r="I3280" s="72"/>
      <c r="J3280" s="185"/>
      <c r="K3280" s="205"/>
      <c r="L3280" s="7"/>
    </row>
    <row r="3281" spans="1:12">
      <c r="A3281" s="19"/>
      <c r="B3281" s="7"/>
      <c r="C3281" s="175"/>
      <c r="D3281" s="175"/>
      <c r="E3281" s="175"/>
      <c r="F3281" s="229"/>
      <c r="G3281" s="229"/>
      <c r="H3281" s="229"/>
      <c r="I3281" s="72"/>
      <c r="J3281" s="185"/>
      <c r="K3281" s="205"/>
      <c r="L3281" s="7"/>
    </row>
    <row r="3282" spans="1:12">
      <c r="A3282" s="19"/>
      <c r="B3282" s="7"/>
      <c r="C3282" s="175"/>
      <c r="D3282" s="175"/>
      <c r="E3282" s="175"/>
      <c r="F3282" s="229"/>
      <c r="G3282" s="229"/>
      <c r="H3282" s="229"/>
      <c r="I3282" s="72"/>
      <c r="J3282" s="185"/>
      <c r="K3282" s="205"/>
      <c r="L3282" s="7"/>
    </row>
    <row r="3283" spans="1:12">
      <c r="A3283" s="21"/>
      <c r="B3283" s="21"/>
      <c r="C3283" s="175"/>
      <c r="D3283" s="175"/>
      <c r="E3283" s="175"/>
      <c r="F3283" s="232"/>
      <c r="G3283" s="232"/>
      <c r="H3283" s="232"/>
      <c r="I3283" s="63"/>
      <c r="J3283" s="190"/>
      <c r="K3283" s="208"/>
      <c r="L3283" s="7"/>
    </row>
    <row r="3284" spans="1:12">
      <c r="A3284" s="19"/>
      <c r="B3284" s="7"/>
      <c r="C3284" s="175"/>
      <c r="D3284" s="175"/>
      <c r="E3284" s="175"/>
      <c r="F3284" s="229"/>
      <c r="G3284" s="229"/>
      <c r="H3284" s="229"/>
      <c r="I3284" s="72"/>
      <c r="J3284" s="185"/>
      <c r="K3284" s="205"/>
      <c r="L3284" s="7"/>
    </row>
    <row r="3285" spans="1:12">
      <c r="A3285" s="19"/>
      <c r="B3285" s="7"/>
      <c r="C3285" s="175"/>
      <c r="D3285" s="175"/>
      <c r="E3285" s="175"/>
      <c r="F3285" s="229"/>
      <c r="G3285" s="229"/>
      <c r="H3285" s="229"/>
      <c r="I3285" s="72"/>
      <c r="J3285" s="185"/>
      <c r="K3285" s="205"/>
      <c r="L3285" s="7"/>
    </row>
    <row r="3286" spans="1:12">
      <c r="A3286" s="19"/>
      <c r="B3286" s="7"/>
      <c r="C3286" s="175"/>
      <c r="D3286" s="175"/>
      <c r="E3286" s="175"/>
      <c r="F3286" s="229"/>
      <c r="G3286" s="229"/>
      <c r="H3286" s="229"/>
      <c r="I3286" s="72"/>
      <c r="J3286" s="185"/>
      <c r="K3286" s="205"/>
      <c r="L3286" s="7"/>
    </row>
    <row r="3287" spans="1:12">
      <c r="A3287" s="19"/>
      <c r="B3287" s="7"/>
      <c r="C3287" s="175"/>
      <c r="D3287" s="175"/>
      <c r="E3287" s="175"/>
      <c r="F3287" s="229"/>
      <c r="G3287" s="229"/>
      <c r="H3287" s="229"/>
      <c r="I3287" s="72"/>
      <c r="J3287" s="185"/>
      <c r="K3287" s="205"/>
      <c r="L3287" s="7"/>
    </row>
    <row r="3288" spans="1:12">
      <c r="A3288" s="19"/>
      <c r="B3288" s="7"/>
      <c r="C3288" s="175"/>
      <c r="D3288" s="175"/>
      <c r="E3288" s="175"/>
      <c r="F3288" s="229"/>
      <c r="G3288" s="229"/>
      <c r="H3288" s="229"/>
      <c r="I3288" s="72"/>
      <c r="J3288" s="185"/>
      <c r="K3288" s="205"/>
      <c r="L3288" s="7"/>
    </row>
    <row r="3289" spans="1:12">
      <c r="A3289" s="19"/>
      <c r="B3289" s="7"/>
      <c r="C3289" s="175"/>
      <c r="D3289" s="175"/>
      <c r="E3289" s="175"/>
      <c r="F3289" s="229"/>
      <c r="G3289" s="229"/>
      <c r="H3289" s="229"/>
      <c r="I3289" s="72"/>
      <c r="J3289" s="185"/>
      <c r="K3289" s="205"/>
      <c r="L3289" s="7"/>
    </row>
    <row r="3290" spans="1:12">
      <c r="A3290" s="19"/>
      <c r="B3290" s="7"/>
      <c r="C3290" s="175"/>
      <c r="D3290" s="175"/>
      <c r="E3290" s="175"/>
      <c r="F3290" s="229"/>
      <c r="G3290" s="229"/>
      <c r="H3290" s="229"/>
      <c r="I3290" s="72"/>
      <c r="J3290" s="185"/>
      <c r="K3290" s="205"/>
      <c r="L3290" s="7"/>
    </row>
    <row r="3291" spans="1:12">
      <c r="A3291" s="19"/>
      <c r="B3291" s="7"/>
      <c r="C3291" s="175"/>
      <c r="D3291" s="175"/>
      <c r="E3291" s="175"/>
      <c r="F3291" s="229"/>
      <c r="G3291" s="229"/>
      <c r="H3291" s="229"/>
      <c r="I3291" s="72"/>
      <c r="J3291" s="185"/>
      <c r="K3291" s="205"/>
      <c r="L3291" s="7"/>
    </row>
    <row r="3292" spans="1:12">
      <c r="A3292" s="19"/>
      <c r="B3292" s="7"/>
      <c r="C3292" s="175"/>
      <c r="D3292" s="175"/>
      <c r="E3292" s="175"/>
      <c r="F3292" s="229"/>
      <c r="G3292" s="229"/>
      <c r="H3292" s="229"/>
      <c r="I3292" s="72"/>
      <c r="J3292" s="185"/>
      <c r="K3292" s="205"/>
      <c r="L3292" s="7"/>
    </row>
    <row r="3293" spans="1:12">
      <c r="A3293" s="21"/>
      <c r="B3293" s="21"/>
      <c r="C3293" s="175"/>
      <c r="D3293" s="175"/>
      <c r="E3293" s="175"/>
      <c r="F3293" s="232"/>
      <c r="G3293" s="232"/>
      <c r="H3293" s="232"/>
      <c r="I3293" s="63"/>
      <c r="J3293" s="190"/>
      <c r="K3293" s="208"/>
      <c r="L3293" s="7"/>
    </row>
    <row r="3294" spans="1:12">
      <c r="A3294" s="21"/>
      <c r="B3294" s="21"/>
      <c r="C3294" s="175"/>
      <c r="D3294" s="175"/>
      <c r="E3294" s="175"/>
      <c r="F3294" s="232"/>
      <c r="G3294" s="232"/>
      <c r="H3294" s="232"/>
      <c r="I3294" s="63"/>
      <c r="J3294" s="190"/>
      <c r="K3294" s="208"/>
      <c r="L3294" s="7"/>
    </row>
    <row r="3295" spans="1:12">
      <c r="A3295" s="21"/>
      <c r="B3295" s="21"/>
      <c r="C3295" s="175"/>
      <c r="D3295" s="175"/>
      <c r="E3295" s="175"/>
      <c r="F3295" s="232"/>
      <c r="G3295" s="232"/>
      <c r="H3295" s="232"/>
      <c r="I3295" s="62"/>
      <c r="J3295" s="190"/>
      <c r="K3295" s="208"/>
      <c r="L3295" s="7"/>
    </row>
    <row r="3296" spans="1:12">
      <c r="A3296" s="21"/>
      <c r="B3296" s="21"/>
      <c r="C3296" s="175"/>
      <c r="D3296" s="175"/>
      <c r="E3296" s="175"/>
      <c r="F3296" s="232"/>
      <c r="G3296" s="232"/>
      <c r="H3296" s="232"/>
      <c r="I3296" s="63"/>
      <c r="J3296" s="190"/>
      <c r="K3296" s="208"/>
      <c r="L3296" s="7"/>
    </row>
    <row r="3297" spans="1:12">
      <c r="A3297" s="21"/>
      <c r="B3297" s="21"/>
      <c r="C3297" s="175"/>
      <c r="D3297" s="175"/>
      <c r="E3297" s="175"/>
      <c r="F3297" s="232"/>
      <c r="G3297" s="232"/>
      <c r="H3297" s="232"/>
      <c r="I3297" s="63"/>
      <c r="J3297" s="190"/>
      <c r="K3297" s="208"/>
      <c r="L3297" s="7"/>
    </row>
    <row r="3298" spans="1:12">
      <c r="A3298" s="21"/>
      <c r="B3298" s="21"/>
      <c r="C3298" s="175"/>
      <c r="D3298" s="175"/>
      <c r="E3298" s="175"/>
      <c r="F3298" s="232"/>
      <c r="G3298" s="232"/>
      <c r="H3298" s="232"/>
      <c r="I3298" s="63"/>
      <c r="J3298" s="190"/>
      <c r="K3298" s="208"/>
      <c r="L3298" s="7"/>
    </row>
    <row r="3299" spans="1:12">
      <c r="A3299" s="21"/>
      <c r="B3299" s="21"/>
      <c r="C3299" s="175"/>
      <c r="D3299" s="175"/>
      <c r="E3299" s="175"/>
      <c r="F3299" s="232"/>
      <c r="G3299" s="232"/>
      <c r="H3299" s="232"/>
      <c r="I3299" s="63"/>
      <c r="J3299" s="190"/>
      <c r="K3299" s="208"/>
      <c r="L3299" s="7"/>
    </row>
    <row r="3300" spans="1:12">
      <c r="A3300" s="21"/>
      <c r="B3300" s="21"/>
      <c r="C3300" s="175"/>
      <c r="D3300" s="175"/>
      <c r="E3300" s="175"/>
      <c r="F3300" s="232"/>
      <c r="G3300" s="232"/>
      <c r="H3300" s="232"/>
      <c r="I3300" s="63"/>
      <c r="J3300" s="190"/>
      <c r="K3300" s="208"/>
      <c r="L3300" s="7"/>
    </row>
    <row r="3301" spans="1:12">
      <c r="A3301" s="19"/>
      <c r="B3301" s="7"/>
      <c r="C3301" s="175"/>
      <c r="D3301" s="175"/>
      <c r="E3301" s="175"/>
      <c r="F3301" s="229"/>
      <c r="G3301" s="229"/>
      <c r="H3301" s="229"/>
      <c r="I3301" s="72"/>
      <c r="J3301" s="185"/>
      <c r="K3301" s="205"/>
      <c r="L3301" s="7"/>
    </row>
    <row r="3302" spans="1:12">
      <c r="A3302" s="19"/>
      <c r="B3302" s="7"/>
      <c r="C3302" s="175"/>
      <c r="D3302" s="175"/>
      <c r="E3302" s="175"/>
      <c r="F3302" s="229"/>
      <c r="G3302" s="229"/>
      <c r="H3302" s="229"/>
      <c r="I3302" s="72"/>
      <c r="J3302" s="185"/>
      <c r="K3302" s="205"/>
      <c r="L3302" s="7"/>
    </row>
    <row r="3303" spans="1:12">
      <c r="A3303" s="19"/>
      <c r="B3303" s="7"/>
      <c r="C3303" s="175"/>
      <c r="D3303" s="175"/>
      <c r="E3303" s="175"/>
      <c r="F3303" s="229"/>
      <c r="G3303" s="229"/>
      <c r="H3303" s="229"/>
      <c r="I3303" s="72"/>
      <c r="J3303" s="185"/>
      <c r="K3303" s="205"/>
      <c r="L3303" s="7"/>
    </row>
    <row r="3304" spans="1:12">
      <c r="A3304" s="19"/>
      <c r="B3304" s="7"/>
      <c r="C3304" s="175"/>
      <c r="D3304" s="175"/>
      <c r="E3304" s="175"/>
      <c r="F3304" s="229"/>
      <c r="G3304" s="229"/>
      <c r="H3304" s="229"/>
      <c r="I3304" s="72"/>
      <c r="J3304" s="185"/>
      <c r="K3304" s="205"/>
      <c r="L3304" s="7"/>
    </row>
    <row r="3305" spans="1:12">
      <c r="A3305" s="19"/>
      <c r="B3305" s="7"/>
      <c r="C3305" s="175"/>
      <c r="D3305" s="175"/>
      <c r="E3305" s="175"/>
      <c r="F3305" s="229"/>
      <c r="G3305" s="229"/>
      <c r="H3305" s="229"/>
      <c r="I3305" s="72"/>
      <c r="J3305" s="185"/>
      <c r="K3305" s="205"/>
      <c r="L3305" s="7"/>
    </row>
    <row r="3306" spans="1:12">
      <c r="A3306" s="19"/>
      <c r="B3306" s="7"/>
      <c r="C3306" s="175"/>
      <c r="D3306" s="175"/>
      <c r="E3306" s="175"/>
      <c r="F3306" s="229"/>
      <c r="G3306" s="229"/>
      <c r="H3306" s="229"/>
      <c r="I3306" s="72"/>
      <c r="J3306" s="185"/>
      <c r="K3306" s="205"/>
      <c r="L3306" s="7"/>
    </row>
    <row r="3307" spans="1:12">
      <c r="A3307" s="19"/>
      <c r="B3307" s="7"/>
      <c r="C3307" s="175"/>
      <c r="D3307" s="175"/>
      <c r="E3307" s="175"/>
      <c r="F3307" s="229"/>
      <c r="G3307" s="229"/>
      <c r="H3307" s="229"/>
      <c r="I3307" s="72"/>
      <c r="J3307" s="185"/>
      <c r="K3307" s="205"/>
      <c r="L3307" s="7"/>
    </row>
    <row r="3308" spans="1:12">
      <c r="A3308" s="19"/>
      <c r="B3308" s="7"/>
      <c r="C3308" s="175"/>
      <c r="D3308" s="175"/>
      <c r="E3308" s="175"/>
      <c r="F3308" s="229"/>
      <c r="G3308" s="229"/>
      <c r="H3308" s="229"/>
      <c r="I3308" s="72"/>
      <c r="J3308" s="185"/>
      <c r="K3308" s="205"/>
      <c r="L3308" s="7"/>
    </row>
    <row r="3309" spans="1:12">
      <c r="A3309" s="19"/>
      <c r="B3309" s="7"/>
      <c r="C3309" s="175"/>
      <c r="D3309" s="175"/>
      <c r="E3309" s="175"/>
      <c r="F3309" s="229"/>
      <c r="G3309" s="229"/>
      <c r="H3309" s="229"/>
      <c r="I3309" s="72"/>
      <c r="J3309" s="185"/>
      <c r="K3309" s="205"/>
      <c r="L3309" s="7"/>
    </row>
    <row r="3310" spans="1:12">
      <c r="A3310" s="19"/>
      <c r="B3310" s="7"/>
      <c r="C3310" s="175"/>
      <c r="D3310" s="175"/>
      <c r="E3310" s="175"/>
      <c r="F3310" s="229"/>
      <c r="G3310" s="229"/>
      <c r="H3310" s="229"/>
      <c r="I3310" s="72"/>
      <c r="J3310" s="185"/>
      <c r="K3310" s="205"/>
      <c r="L3310" s="7"/>
    </row>
    <row r="3311" spans="1:12">
      <c r="A3311" s="19"/>
      <c r="B3311" s="7"/>
      <c r="C3311" s="175"/>
      <c r="D3311" s="175"/>
      <c r="E3311" s="175"/>
      <c r="F3311" s="229"/>
      <c r="G3311" s="229"/>
      <c r="H3311" s="229"/>
      <c r="I3311" s="72"/>
      <c r="J3311" s="185"/>
      <c r="K3311" s="205"/>
      <c r="L3311" s="7"/>
    </row>
    <row r="3312" spans="1:12">
      <c r="A3312" s="19"/>
      <c r="B3312" s="7"/>
      <c r="C3312" s="175"/>
      <c r="D3312" s="175"/>
      <c r="E3312" s="175"/>
      <c r="F3312" s="229"/>
      <c r="G3312" s="229"/>
      <c r="H3312" s="229"/>
      <c r="I3312" s="72"/>
      <c r="J3312" s="185"/>
      <c r="K3312" s="205"/>
      <c r="L3312" s="7"/>
    </row>
    <row r="3313" spans="1:12">
      <c r="A3313" s="19"/>
      <c r="B3313" s="7"/>
      <c r="C3313" s="175"/>
      <c r="D3313" s="175"/>
      <c r="E3313" s="175"/>
      <c r="F3313" s="229"/>
      <c r="G3313" s="229"/>
      <c r="H3313" s="229"/>
      <c r="I3313" s="72"/>
      <c r="J3313" s="185"/>
      <c r="K3313" s="205"/>
      <c r="L3313" s="7"/>
    </row>
    <row r="3314" spans="1:12">
      <c r="A3314" s="19"/>
      <c r="B3314" s="7"/>
      <c r="C3314" s="175"/>
      <c r="D3314" s="175"/>
      <c r="E3314" s="175"/>
      <c r="F3314" s="229"/>
      <c r="G3314" s="229"/>
      <c r="H3314" s="229"/>
      <c r="I3314" s="72"/>
      <c r="J3314" s="185"/>
      <c r="K3314" s="205"/>
      <c r="L3314" s="7"/>
    </row>
    <row r="3315" spans="1:12">
      <c r="A3315" s="19"/>
      <c r="B3315" s="7"/>
      <c r="C3315" s="175"/>
      <c r="D3315" s="175"/>
      <c r="E3315" s="175"/>
      <c r="F3315" s="229"/>
      <c r="G3315" s="229"/>
      <c r="H3315" s="229"/>
      <c r="I3315" s="72"/>
      <c r="J3315" s="185"/>
      <c r="K3315" s="205"/>
      <c r="L3315" s="7"/>
    </row>
    <row r="3316" spans="1:12">
      <c r="A3316" s="19"/>
      <c r="B3316" s="7"/>
      <c r="C3316" s="175"/>
      <c r="D3316" s="175"/>
      <c r="E3316" s="175"/>
      <c r="F3316" s="229"/>
      <c r="G3316" s="229"/>
      <c r="H3316" s="229"/>
      <c r="I3316" s="72"/>
      <c r="J3316" s="185"/>
      <c r="K3316" s="205"/>
      <c r="L3316" s="7"/>
    </row>
    <row r="3317" spans="1:12">
      <c r="A3317" s="19"/>
      <c r="B3317" s="7"/>
      <c r="C3317" s="175"/>
      <c r="D3317" s="175"/>
      <c r="E3317" s="175"/>
      <c r="F3317" s="229"/>
      <c r="G3317" s="229"/>
      <c r="H3317" s="229"/>
      <c r="I3317" s="72"/>
      <c r="J3317" s="185"/>
      <c r="K3317" s="205"/>
      <c r="L3317" s="7"/>
    </row>
    <row r="3318" spans="1:12">
      <c r="A3318" s="21"/>
      <c r="B3318" s="21"/>
      <c r="C3318" s="175"/>
      <c r="D3318" s="175"/>
      <c r="E3318" s="175"/>
      <c r="F3318" s="232"/>
      <c r="G3318" s="232"/>
      <c r="H3318" s="232"/>
      <c r="I3318" s="63"/>
      <c r="J3318" s="190"/>
      <c r="K3318" s="208"/>
      <c r="L3318" s="7"/>
    </row>
    <row r="3319" spans="1:12">
      <c r="A3319" s="19"/>
      <c r="B3319" s="7"/>
      <c r="C3319" s="175"/>
      <c r="D3319" s="175"/>
      <c r="E3319" s="175"/>
      <c r="F3319" s="229"/>
      <c r="G3319" s="229"/>
      <c r="H3319" s="229"/>
      <c r="I3319" s="72"/>
      <c r="J3319" s="185"/>
      <c r="K3319" s="205"/>
      <c r="L3319" s="7"/>
    </row>
    <row r="3320" spans="1:12">
      <c r="A3320" s="19"/>
      <c r="B3320" s="7"/>
      <c r="C3320" s="175"/>
      <c r="D3320" s="175"/>
      <c r="E3320" s="175"/>
      <c r="F3320" s="229"/>
      <c r="G3320" s="229"/>
      <c r="H3320" s="229"/>
      <c r="I3320" s="72"/>
      <c r="J3320" s="185"/>
      <c r="K3320" s="205"/>
      <c r="L3320" s="7"/>
    </row>
    <row r="3321" spans="1:12">
      <c r="A3321" s="19"/>
      <c r="B3321" s="7"/>
      <c r="C3321" s="175"/>
      <c r="D3321" s="175"/>
      <c r="E3321" s="175"/>
      <c r="F3321" s="229"/>
      <c r="G3321" s="229"/>
      <c r="H3321" s="229"/>
      <c r="I3321" s="72"/>
      <c r="J3321" s="185"/>
      <c r="K3321" s="205"/>
      <c r="L3321" s="7"/>
    </row>
    <row r="3322" spans="1:12">
      <c r="A3322" s="19"/>
      <c r="B3322" s="7"/>
      <c r="C3322" s="175"/>
      <c r="D3322" s="175"/>
      <c r="E3322" s="175"/>
      <c r="F3322" s="229"/>
      <c r="G3322" s="229"/>
      <c r="H3322" s="229"/>
      <c r="I3322" s="72"/>
      <c r="J3322" s="185"/>
      <c r="K3322" s="205"/>
      <c r="L3322" s="7"/>
    </row>
    <row r="3323" spans="1:12">
      <c r="A3323" s="19"/>
      <c r="B3323" s="7"/>
      <c r="C3323" s="175"/>
      <c r="D3323" s="175"/>
      <c r="E3323" s="175"/>
      <c r="F3323" s="229"/>
      <c r="G3323" s="229"/>
      <c r="H3323" s="229"/>
      <c r="I3323" s="72"/>
      <c r="J3323" s="185"/>
      <c r="K3323" s="205"/>
      <c r="L3323" s="7"/>
    </row>
    <row r="3324" spans="1:12">
      <c r="A3324" s="19"/>
      <c r="B3324" s="7"/>
      <c r="C3324" s="175"/>
      <c r="D3324" s="175"/>
      <c r="E3324" s="175"/>
      <c r="F3324" s="229"/>
      <c r="G3324" s="229"/>
      <c r="H3324" s="229"/>
      <c r="I3324" s="72"/>
      <c r="J3324" s="185"/>
      <c r="K3324" s="205"/>
      <c r="L3324" s="7"/>
    </row>
    <row r="3325" spans="1:12">
      <c r="A3325" s="19"/>
      <c r="B3325" s="7"/>
      <c r="C3325" s="175"/>
      <c r="D3325" s="175"/>
      <c r="E3325" s="175"/>
      <c r="F3325" s="229"/>
      <c r="G3325" s="229"/>
      <c r="H3325" s="229"/>
      <c r="I3325" s="72"/>
      <c r="J3325" s="185"/>
      <c r="K3325" s="205"/>
      <c r="L3325" s="7"/>
    </row>
    <row r="3326" spans="1:12">
      <c r="A3326" s="19"/>
      <c r="B3326" s="7"/>
      <c r="C3326" s="175"/>
      <c r="D3326" s="175"/>
      <c r="E3326" s="175"/>
      <c r="F3326" s="229"/>
      <c r="G3326" s="229"/>
      <c r="H3326" s="229"/>
      <c r="I3326" s="72"/>
      <c r="J3326" s="185"/>
      <c r="K3326" s="205"/>
      <c r="L3326" s="7"/>
    </row>
    <row r="3327" spans="1:12">
      <c r="A3327" s="19"/>
      <c r="B3327" s="7"/>
      <c r="C3327" s="175"/>
      <c r="D3327" s="175"/>
      <c r="E3327" s="175"/>
      <c r="F3327" s="229"/>
      <c r="G3327" s="229"/>
      <c r="H3327" s="229"/>
      <c r="I3327" s="72"/>
      <c r="J3327" s="185"/>
      <c r="K3327" s="205"/>
      <c r="L3327" s="7"/>
    </row>
    <row r="3328" spans="1:12">
      <c r="A3328" s="21"/>
      <c r="B3328" s="21"/>
      <c r="C3328" s="175"/>
      <c r="D3328" s="175"/>
      <c r="E3328" s="175"/>
      <c r="F3328" s="232"/>
      <c r="G3328" s="232"/>
      <c r="H3328" s="232"/>
      <c r="I3328" s="63"/>
      <c r="J3328" s="190"/>
      <c r="K3328" s="208"/>
      <c r="L3328" s="7"/>
    </row>
    <row r="3329" spans="1:12">
      <c r="A3329" s="21"/>
      <c r="B3329" s="21"/>
      <c r="C3329" s="175"/>
      <c r="D3329" s="175"/>
      <c r="E3329" s="175"/>
      <c r="F3329" s="232"/>
      <c r="G3329" s="232"/>
      <c r="H3329" s="232"/>
      <c r="I3329" s="63"/>
      <c r="J3329" s="190"/>
      <c r="K3329" s="208"/>
      <c r="L3329" s="7"/>
    </row>
    <row r="3330" spans="1:12">
      <c r="A3330" s="19"/>
      <c r="B3330" s="7"/>
      <c r="C3330" s="175"/>
      <c r="D3330" s="175"/>
      <c r="E3330" s="175"/>
      <c r="F3330" s="229"/>
      <c r="G3330" s="229"/>
      <c r="H3330" s="229"/>
      <c r="I3330" s="72"/>
      <c r="J3330" s="185"/>
      <c r="K3330" s="205"/>
      <c r="L3330" s="7"/>
    </row>
    <row r="3331" spans="1:12">
      <c r="A3331" s="21"/>
      <c r="B3331" s="21"/>
      <c r="C3331" s="175"/>
      <c r="D3331" s="175"/>
      <c r="E3331" s="175"/>
      <c r="F3331" s="232"/>
      <c r="G3331" s="232"/>
      <c r="H3331" s="232"/>
      <c r="I3331" s="63"/>
      <c r="J3331" s="190"/>
      <c r="K3331" s="208"/>
      <c r="L3331" s="7"/>
    </row>
    <row r="3332" spans="1:12">
      <c r="A3332" s="21"/>
      <c r="B3332" s="21"/>
      <c r="C3332" s="175"/>
      <c r="D3332" s="175"/>
      <c r="E3332" s="175"/>
      <c r="F3332" s="232"/>
      <c r="G3332" s="232"/>
      <c r="H3332" s="232"/>
      <c r="I3332" s="63"/>
      <c r="J3332" s="190"/>
      <c r="K3332" s="208"/>
      <c r="L3332" s="7"/>
    </row>
    <row r="3333" spans="1:12">
      <c r="A3333" s="21"/>
      <c r="B3333" s="21"/>
      <c r="C3333" s="175"/>
      <c r="D3333" s="175"/>
      <c r="E3333" s="175"/>
      <c r="F3333" s="232"/>
      <c r="G3333" s="232"/>
      <c r="H3333" s="232"/>
      <c r="I3333" s="63"/>
      <c r="J3333" s="190"/>
      <c r="K3333" s="208"/>
      <c r="L3333" s="7"/>
    </row>
    <row r="3334" spans="1:12">
      <c r="A3334" s="19"/>
      <c r="B3334" s="7"/>
      <c r="C3334" s="175"/>
      <c r="D3334" s="175"/>
      <c r="E3334" s="175"/>
      <c r="F3334" s="229"/>
      <c r="G3334" s="229"/>
      <c r="H3334" s="229"/>
      <c r="I3334" s="72"/>
      <c r="J3334" s="185"/>
      <c r="K3334" s="205"/>
      <c r="L3334" s="7"/>
    </row>
    <row r="3335" spans="1:12">
      <c r="A3335" s="19"/>
      <c r="B3335" s="7"/>
      <c r="C3335" s="175"/>
      <c r="D3335" s="175"/>
      <c r="E3335" s="175"/>
      <c r="F3335" s="229"/>
      <c r="G3335" s="229"/>
      <c r="H3335" s="229"/>
      <c r="I3335" s="72"/>
      <c r="J3335" s="185"/>
      <c r="K3335" s="205"/>
      <c r="L3335" s="7"/>
    </row>
    <row r="3336" spans="1:12">
      <c r="A3336" s="19"/>
      <c r="B3336" s="7"/>
      <c r="C3336" s="175"/>
      <c r="D3336" s="175"/>
      <c r="E3336" s="175"/>
      <c r="F3336" s="229"/>
      <c r="G3336" s="229"/>
      <c r="H3336" s="229"/>
      <c r="I3336" s="72"/>
      <c r="J3336" s="185"/>
      <c r="K3336" s="205"/>
      <c r="L3336" s="59"/>
    </row>
    <row r="3337" spans="1:12">
      <c r="A3337" s="19"/>
      <c r="B3337" s="7"/>
      <c r="C3337" s="175"/>
      <c r="D3337" s="175"/>
      <c r="E3337" s="175"/>
      <c r="F3337" s="229"/>
      <c r="G3337" s="229"/>
      <c r="H3337" s="229"/>
      <c r="I3337" s="72"/>
      <c r="J3337" s="185"/>
      <c r="K3337" s="205"/>
      <c r="L3337" s="7"/>
    </row>
    <row r="3338" spans="1:12">
      <c r="A3338" s="19"/>
      <c r="B3338" s="7"/>
      <c r="C3338" s="175"/>
      <c r="D3338" s="175"/>
      <c r="E3338" s="175"/>
      <c r="F3338" s="229"/>
      <c r="G3338" s="229"/>
      <c r="H3338" s="229"/>
      <c r="I3338" s="72"/>
      <c r="J3338" s="185"/>
      <c r="K3338" s="205"/>
      <c r="L3338" s="7"/>
    </row>
    <row r="3339" spans="1:12">
      <c r="A3339" s="19"/>
      <c r="B3339" s="7"/>
      <c r="C3339" s="175"/>
      <c r="D3339" s="175"/>
      <c r="E3339" s="175"/>
      <c r="F3339" s="229"/>
      <c r="G3339" s="229"/>
      <c r="H3339" s="229"/>
      <c r="I3339" s="72"/>
      <c r="J3339" s="185"/>
      <c r="K3339" s="205"/>
      <c r="L3339" s="7"/>
    </row>
    <row r="3340" spans="1:12">
      <c r="A3340" s="19"/>
      <c r="B3340" s="7"/>
      <c r="C3340" s="175"/>
      <c r="D3340" s="175"/>
      <c r="E3340" s="175"/>
      <c r="F3340" s="229"/>
      <c r="G3340" s="229"/>
      <c r="H3340" s="229"/>
      <c r="I3340" s="72"/>
      <c r="J3340" s="185"/>
      <c r="K3340" s="205"/>
      <c r="L3340" s="7"/>
    </row>
    <row r="3341" spans="1:12">
      <c r="A3341" s="19"/>
      <c r="B3341" s="7"/>
      <c r="C3341" s="175"/>
      <c r="D3341" s="175"/>
      <c r="E3341" s="175"/>
      <c r="F3341" s="229"/>
      <c r="G3341" s="229"/>
      <c r="H3341" s="229"/>
      <c r="I3341" s="72"/>
      <c r="J3341" s="185"/>
      <c r="K3341" s="205"/>
      <c r="L3341" s="7"/>
    </row>
    <row r="3342" spans="1:12">
      <c r="A3342" s="19"/>
      <c r="B3342" s="7"/>
      <c r="C3342" s="175"/>
      <c r="D3342" s="175"/>
      <c r="E3342" s="175"/>
      <c r="F3342" s="229"/>
      <c r="G3342" s="229"/>
      <c r="H3342" s="229"/>
      <c r="I3342" s="72"/>
      <c r="J3342" s="185"/>
      <c r="K3342" s="205"/>
      <c r="L3342" s="7"/>
    </row>
    <row r="3343" spans="1:12">
      <c r="A3343" s="19"/>
      <c r="B3343" s="7"/>
      <c r="C3343" s="175"/>
      <c r="D3343" s="175"/>
      <c r="E3343" s="175"/>
      <c r="F3343" s="229"/>
      <c r="G3343" s="229"/>
      <c r="H3343" s="229"/>
      <c r="I3343" s="72"/>
      <c r="J3343" s="185"/>
      <c r="K3343" s="205"/>
      <c r="L3343" s="7"/>
    </row>
    <row r="3344" spans="1:12">
      <c r="A3344" s="19"/>
      <c r="B3344" s="7"/>
      <c r="C3344" s="175"/>
      <c r="D3344" s="175"/>
      <c r="E3344" s="175"/>
      <c r="F3344" s="229"/>
      <c r="G3344" s="229"/>
      <c r="H3344" s="229"/>
      <c r="I3344" s="72"/>
      <c r="J3344" s="185"/>
      <c r="K3344" s="205"/>
      <c r="L3344" s="7"/>
    </row>
    <row r="3345" spans="1:12">
      <c r="A3345" s="19"/>
      <c r="B3345" s="7"/>
      <c r="C3345" s="175"/>
      <c r="D3345" s="175"/>
      <c r="E3345" s="175"/>
      <c r="F3345" s="229"/>
      <c r="G3345" s="229"/>
      <c r="H3345" s="229"/>
      <c r="I3345" s="72"/>
      <c r="J3345" s="185"/>
      <c r="K3345" s="205"/>
      <c r="L3345" s="7"/>
    </row>
    <row r="3346" spans="1:12">
      <c r="A3346" s="19"/>
      <c r="B3346" s="7"/>
      <c r="C3346" s="175"/>
      <c r="D3346" s="175"/>
      <c r="E3346" s="175"/>
      <c r="F3346" s="229"/>
      <c r="G3346" s="229"/>
      <c r="H3346" s="229"/>
      <c r="I3346" s="72"/>
      <c r="J3346" s="185"/>
      <c r="K3346" s="205"/>
      <c r="L3346" s="7"/>
    </row>
    <row r="3347" spans="1:12">
      <c r="A3347" s="19"/>
      <c r="B3347" s="7"/>
      <c r="C3347" s="175"/>
      <c r="D3347" s="175"/>
      <c r="E3347" s="175"/>
      <c r="F3347" s="229"/>
      <c r="G3347" s="229"/>
      <c r="H3347" s="229"/>
      <c r="I3347" s="72"/>
      <c r="J3347" s="185"/>
      <c r="K3347" s="205"/>
      <c r="L3347" s="7"/>
    </row>
    <row r="3348" spans="1:12">
      <c r="A3348" s="19"/>
      <c r="B3348" s="7"/>
      <c r="C3348" s="175"/>
      <c r="D3348" s="175"/>
      <c r="E3348" s="175"/>
      <c r="F3348" s="229"/>
      <c r="G3348" s="229"/>
      <c r="H3348" s="229"/>
      <c r="I3348" s="72"/>
      <c r="J3348" s="185"/>
      <c r="K3348" s="205"/>
      <c r="L3348" s="7"/>
    </row>
    <row r="3349" spans="1:12">
      <c r="A3349" s="19"/>
      <c r="B3349" s="7"/>
      <c r="C3349" s="175"/>
      <c r="D3349" s="175"/>
      <c r="E3349" s="175"/>
      <c r="F3349" s="229"/>
      <c r="G3349" s="229"/>
      <c r="H3349" s="229"/>
      <c r="I3349" s="72"/>
      <c r="J3349" s="185"/>
      <c r="K3349" s="205"/>
      <c r="L3349" s="7"/>
    </row>
    <row r="3350" spans="1:12">
      <c r="A3350" s="19"/>
      <c r="B3350" s="7"/>
      <c r="C3350" s="175"/>
      <c r="D3350" s="175"/>
      <c r="E3350" s="175"/>
      <c r="F3350" s="229"/>
      <c r="G3350" s="229"/>
      <c r="H3350" s="229"/>
      <c r="I3350" s="72"/>
      <c r="J3350" s="185"/>
      <c r="K3350" s="205"/>
      <c r="L3350" s="7"/>
    </row>
    <row r="3351" spans="1:12">
      <c r="A3351" s="19"/>
      <c r="B3351" s="7"/>
      <c r="C3351" s="175"/>
      <c r="D3351" s="175"/>
      <c r="E3351" s="175"/>
      <c r="F3351" s="229"/>
      <c r="G3351" s="229"/>
      <c r="H3351" s="229"/>
      <c r="I3351" s="72"/>
      <c r="J3351" s="185"/>
      <c r="K3351" s="205"/>
      <c r="L3351" s="7"/>
    </row>
    <row r="3352" spans="1:12">
      <c r="A3352" s="19"/>
      <c r="B3352" s="7"/>
      <c r="C3352" s="175"/>
      <c r="D3352" s="175"/>
      <c r="E3352" s="175"/>
      <c r="F3352" s="229"/>
      <c r="G3352" s="229"/>
      <c r="H3352" s="229"/>
      <c r="I3352" s="72"/>
      <c r="J3352" s="185"/>
      <c r="K3352" s="205"/>
      <c r="L3352" s="7"/>
    </row>
    <row r="3353" spans="1:12">
      <c r="A3353" s="21"/>
      <c r="B3353" s="21"/>
      <c r="C3353" s="175"/>
      <c r="D3353" s="175"/>
      <c r="E3353" s="175"/>
      <c r="F3353" s="232"/>
      <c r="G3353" s="232"/>
      <c r="H3353" s="232"/>
      <c r="I3353" s="63"/>
      <c r="J3353" s="190"/>
      <c r="K3353" s="208"/>
      <c r="L3353" s="7"/>
    </row>
    <row r="3354" spans="1:12">
      <c r="A3354" s="21"/>
      <c r="B3354" s="21"/>
      <c r="C3354" s="175"/>
      <c r="D3354" s="175"/>
      <c r="E3354" s="175"/>
      <c r="F3354" s="232"/>
      <c r="G3354" s="232"/>
      <c r="H3354" s="232"/>
      <c r="I3354" s="63"/>
      <c r="J3354" s="190"/>
      <c r="K3354" s="208"/>
      <c r="L3354" s="7"/>
    </row>
    <row r="3355" spans="1:12">
      <c r="A3355" s="19"/>
      <c r="B3355" s="7"/>
      <c r="C3355" s="175"/>
      <c r="D3355" s="175"/>
      <c r="E3355" s="175"/>
      <c r="F3355" s="229"/>
      <c r="G3355" s="229"/>
      <c r="H3355" s="229"/>
      <c r="I3355" s="72"/>
      <c r="J3355" s="185"/>
      <c r="K3355" s="205"/>
      <c r="L3355" s="7"/>
    </row>
    <row r="3356" spans="1:12">
      <c r="A3356" s="19"/>
      <c r="B3356" s="7"/>
      <c r="C3356" s="175"/>
      <c r="D3356" s="175"/>
      <c r="E3356" s="175"/>
      <c r="F3356" s="229"/>
      <c r="G3356" s="229"/>
      <c r="H3356" s="229"/>
      <c r="I3356" s="72"/>
      <c r="J3356" s="185"/>
      <c r="K3356" s="205"/>
      <c r="L3356" s="7"/>
    </row>
    <row r="3357" spans="1:12">
      <c r="A3357" s="19"/>
      <c r="B3357" s="7"/>
      <c r="C3357" s="175"/>
      <c r="D3357" s="175"/>
      <c r="E3357" s="175"/>
      <c r="F3357" s="229"/>
      <c r="G3357" s="229"/>
      <c r="H3357" s="229"/>
      <c r="I3357" s="72"/>
      <c r="J3357" s="185"/>
      <c r="K3357" s="205"/>
      <c r="L3357" s="7"/>
    </row>
    <row r="3358" spans="1:12">
      <c r="A3358" s="19"/>
      <c r="B3358" s="7"/>
      <c r="C3358" s="175"/>
      <c r="D3358" s="175"/>
      <c r="E3358" s="175"/>
      <c r="F3358" s="229"/>
      <c r="G3358" s="229"/>
      <c r="H3358" s="229"/>
      <c r="I3358" s="72"/>
      <c r="J3358" s="185"/>
      <c r="K3358" s="205"/>
      <c r="L3358" s="7"/>
    </row>
    <row r="3359" spans="1:12">
      <c r="A3359" s="19"/>
      <c r="B3359" s="7"/>
      <c r="C3359" s="175"/>
      <c r="D3359" s="175"/>
      <c r="E3359" s="175"/>
      <c r="F3359" s="229"/>
      <c r="G3359" s="229"/>
      <c r="H3359" s="229"/>
      <c r="I3359" s="72"/>
      <c r="J3359" s="185"/>
      <c r="K3359" s="205"/>
      <c r="L3359" s="7"/>
    </row>
    <row r="3360" spans="1:12">
      <c r="A3360" s="19"/>
      <c r="B3360" s="7"/>
      <c r="C3360" s="175"/>
      <c r="D3360" s="175"/>
      <c r="E3360" s="175"/>
      <c r="F3360" s="229"/>
      <c r="G3360" s="229"/>
      <c r="H3360" s="229"/>
      <c r="I3360" s="72"/>
      <c r="J3360" s="185"/>
      <c r="K3360" s="205"/>
      <c r="L3360" s="7"/>
    </row>
    <row r="3361" spans="1:12">
      <c r="A3361" s="19"/>
      <c r="B3361" s="7"/>
      <c r="C3361" s="175"/>
      <c r="D3361" s="175"/>
      <c r="E3361" s="175"/>
      <c r="F3361" s="229"/>
      <c r="G3361" s="229"/>
      <c r="H3361" s="229"/>
      <c r="I3361" s="72"/>
      <c r="J3361" s="185"/>
      <c r="K3361" s="205"/>
      <c r="L3361" s="7"/>
    </row>
    <row r="3362" spans="1:12">
      <c r="A3362" s="19"/>
      <c r="B3362" s="7"/>
      <c r="C3362" s="175"/>
      <c r="D3362" s="175"/>
      <c r="E3362" s="175"/>
      <c r="F3362" s="229"/>
      <c r="G3362" s="229"/>
      <c r="H3362" s="229"/>
      <c r="I3362" s="72"/>
      <c r="J3362" s="185"/>
      <c r="K3362" s="205"/>
      <c r="L3362" s="7"/>
    </row>
    <row r="3363" spans="1:12">
      <c r="A3363" s="19"/>
      <c r="B3363" s="7"/>
      <c r="C3363" s="175"/>
      <c r="D3363" s="175"/>
      <c r="E3363" s="175"/>
      <c r="F3363" s="229"/>
      <c r="G3363" s="229"/>
      <c r="H3363" s="229"/>
      <c r="I3363" s="72"/>
      <c r="J3363" s="185"/>
      <c r="K3363" s="205"/>
      <c r="L3363" s="7"/>
    </row>
    <row r="3364" spans="1:12">
      <c r="A3364" s="21"/>
      <c r="B3364" s="21"/>
      <c r="C3364" s="175"/>
      <c r="D3364" s="175"/>
      <c r="E3364" s="175"/>
      <c r="F3364" s="232"/>
      <c r="G3364" s="232"/>
      <c r="H3364" s="232"/>
      <c r="I3364" s="63"/>
      <c r="J3364" s="190"/>
      <c r="K3364" s="208"/>
      <c r="L3364" s="7"/>
    </row>
    <row r="3365" spans="1:12">
      <c r="A3365" s="21"/>
      <c r="B3365" s="21"/>
      <c r="C3365" s="175"/>
      <c r="D3365" s="175"/>
      <c r="E3365" s="175"/>
      <c r="F3365" s="232"/>
      <c r="G3365" s="232"/>
      <c r="H3365" s="232"/>
      <c r="I3365" s="63"/>
      <c r="J3365" s="190"/>
      <c r="K3365" s="208"/>
      <c r="L3365" s="7"/>
    </row>
    <row r="3366" spans="1:12">
      <c r="A3366" s="21"/>
      <c r="B3366" s="21"/>
      <c r="C3366" s="175"/>
      <c r="D3366" s="175"/>
      <c r="E3366" s="175"/>
      <c r="F3366" s="232"/>
      <c r="G3366" s="232"/>
      <c r="H3366" s="232"/>
      <c r="I3366" s="63"/>
      <c r="J3366" s="190"/>
      <c r="K3366" s="208"/>
      <c r="L3366" s="7"/>
    </row>
    <row r="3367" spans="1:12">
      <c r="A3367" s="21"/>
      <c r="B3367" s="21"/>
      <c r="C3367" s="175"/>
      <c r="D3367" s="175"/>
      <c r="E3367" s="175"/>
      <c r="F3367" s="232"/>
      <c r="G3367" s="232"/>
      <c r="H3367" s="232"/>
      <c r="I3367" s="63"/>
      <c r="J3367" s="190"/>
      <c r="K3367" s="208"/>
      <c r="L3367" s="7"/>
    </row>
    <row r="3368" spans="1:12">
      <c r="A3368" s="19"/>
      <c r="B3368" s="7"/>
      <c r="C3368" s="175"/>
      <c r="D3368" s="175"/>
      <c r="E3368" s="175"/>
      <c r="F3368" s="229"/>
      <c r="G3368" s="229"/>
      <c r="H3368" s="229"/>
      <c r="I3368" s="72"/>
      <c r="J3368" s="185"/>
      <c r="K3368" s="205"/>
      <c r="L3368" s="7"/>
    </row>
    <row r="3369" spans="1:12">
      <c r="A3369" s="23"/>
      <c r="B3369" s="14"/>
      <c r="C3369" s="178"/>
      <c r="D3369" s="178"/>
      <c r="E3369" s="178"/>
      <c r="F3369" s="233"/>
      <c r="G3369" s="233"/>
      <c r="H3369" s="233"/>
      <c r="I3369" s="73"/>
      <c r="J3369" s="191"/>
      <c r="K3369" s="207"/>
      <c r="L3369" s="7"/>
    </row>
    <row r="3370" spans="1:12">
      <c r="A3370" s="19"/>
      <c r="B3370" s="7"/>
      <c r="C3370" s="175"/>
      <c r="D3370" s="175"/>
      <c r="E3370" s="175"/>
      <c r="F3370" s="229"/>
      <c r="G3370" s="229"/>
      <c r="H3370" s="229"/>
      <c r="I3370" s="72"/>
      <c r="J3370" s="185"/>
      <c r="K3370" s="205"/>
      <c r="L3370" s="7"/>
    </row>
    <row r="3371" spans="1:12">
      <c r="A3371" s="19"/>
      <c r="B3371" s="7"/>
      <c r="C3371" s="175"/>
      <c r="D3371" s="175"/>
      <c r="E3371" s="175"/>
      <c r="F3371" s="229"/>
      <c r="G3371" s="229"/>
      <c r="H3371" s="229"/>
      <c r="I3371" s="72"/>
      <c r="J3371" s="185"/>
      <c r="K3371" s="205"/>
      <c r="L3371" s="7"/>
    </row>
    <row r="3372" spans="1:12">
      <c r="A3372" s="19"/>
      <c r="B3372" s="7"/>
      <c r="C3372" s="175"/>
      <c r="D3372" s="175"/>
      <c r="E3372" s="175"/>
      <c r="F3372" s="229"/>
      <c r="G3372" s="229"/>
      <c r="H3372" s="229"/>
      <c r="I3372" s="72"/>
      <c r="J3372" s="185"/>
      <c r="K3372" s="205"/>
      <c r="L3372" s="7"/>
    </row>
    <row r="3373" spans="1:12">
      <c r="A3373" s="19"/>
      <c r="B3373" s="7"/>
      <c r="C3373" s="175"/>
      <c r="D3373" s="175"/>
      <c r="E3373" s="175"/>
      <c r="F3373" s="229"/>
      <c r="G3373" s="229"/>
      <c r="H3373" s="229"/>
      <c r="I3373" s="72"/>
      <c r="J3373" s="185"/>
      <c r="K3373" s="205"/>
      <c r="L3373" s="7"/>
    </row>
    <row r="3374" spans="1:12">
      <c r="A3374" s="19"/>
      <c r="B3374" s="7"/>
      <c r="C3374" s="175"/>
      <c r="D3374" s="175"/>
      <c r="E3374" s="175"/>
      <c r="F3374" s="229"/>
      <c r="G3374" s="229"/>
      <c r="H3374" s="229"/>
      <c r="I3374" s="72"/>
      <c r="J3374" s="185"/>
      <c r="K3374" s="205"/>
      <c r="L3374" s="7"/>
    </row>
    <row r="3375" spans="1:12">
      <c r="A3375" s="19"/>
      <c r="B3375" s="7"/>
      <c r="C3375" s="175"/>
      <c r="D3375" s="175"/>
      <c r="E3375" s="175"/>
      <c r="F3375" s="229"/>
      <c r="G3375" s="229"/>
      <c r="H3375" s="229"/>
      <c r="I3375" s="72"/>
      <c r="J3375" s="185"/>
      <c r="K3375" s="205"/>
      <c r="L3375" s="7"/>
    </row>
    <row r="3376" spans="1:12">
      <c r="A3376" s="19"/>
      <c r="B3376" s="7"/>
      <c r="C3376" s="175"/>
      <c r="D3376" s="175"/>
      <c r="E3376" s="175"/>
      <c r="F3376" s="229"/>
      <c r="G3376" s="229"/>
      <c r="H3376" s="229"/>
      <c r="I3376" s="72"/>
      <c r="J3376" s="185"/>
      <c r="K3376" s="205"/>
      <c r="L3376" s="7"/>
    </row>
    <row r="3377" spans="1:12">
      <c r="A3377" s="19"/>
      <c r="B3377" s="7"/>
      <c r="C3377" s="175"/>
      <c r="D3377" s="175"/>
      <c r="E3377" s="175"/>
      <c r="F3377" s="229"/>
      <c r="G3377" s="229"/>
      <c r="H3377" s="229"/>
      <c r="I3377" s="72"/>
      <c r="J3377" s="185"/>
      <c r="K3377" s="205"/>
      <c r="L3377" s="7"/>
    </row>
    <row r="3378" spans="1:12">
      <c r="A3378" s="23"/>
      <c r="B3378" s="14"/>
      <c r="C3378" s="178"/>
      <c r="D3378" s="178"/>
      <c r="E3378" s="178"/>
      <c r="F3378" s="233"/>
      <c r="G3378" s="233"/>
      <c r="H3378" s="233"/>
      <c r="I3378" s="73"/>
      <c r="J3378" s="191"/>
      <c r="K3378" s="207"/>
      <c r="L3378" s="7"/>
    </row>
    <row r="3379" spans="1:12">
      <c r="A3379" s="19"/>
      <c r="B3379" s="7"/>
      <c r="C3379" s="175"/>
      <c r="D3379" s="175"/>
      <c r="E3379" s="175"/>
      <c r="F3379" s="229"/>
      <c r="G3379" s="229"/>
      <c r="H3379" s="229"/>
      <c r="I3379" s="72"/>
      <c r="J3379" s="185"/>
      <c r="K3379" s="205"/>
      <c r="L3379" s="7"/>
    </row>
    <row r="3380" spans="1:12">
      <c r="A3380" s="19"/>
      <c r="B3380" s="7"/>
      <c r="C3380" s="175"/>
      <c r="D3380" s="175"/>
      <c r="E3380" s="175"/>
      <c r="F3380" s="229"/>
      <c r="G3380" s="229"/>
      <c r="H3380" s="229"/>
      <c r="I3380" s="72"/>
      <c r="J3380" s="185"/>
      <c r="K3380" s="205"/>
      <c r="L3380" s="7"/>
    </row>
    <row r="3381" spans="1:12">
      <c r="A3381" s="19"/>
      <c r="B3381" s="7"/>
      <c r="C3381" s="175"/>
      <c r="D3381" s="175"/>
      <c r="E3381" s="175"/>
      <c r="F3381" s="229"/>
      <c r="G3381" s="229"/>
      <c r="H3381" s="229"/>
      <c r="I3381" s="72"/>
      <c r="J3381" s="185"/>
      <c r="K3381" s="205"/>
      <c r="L3381" s="7"/>
    </row>
    <row r="3382" spans="1:12">
      <c r="A3382" s="19"/>
      <c r="B3382" s="7"/>
      <c r="C3382" s="175"/>
      <c r="D3382" s="175"/>
      <c r="E3382" s="175"/>
      <c r="F3382" s="229"/>
      <c r="G3382" s="229"/>
      <c r="H3382" s="229"/>
      <c r="I3382" s="72"/>
      <c r="J3382" s="185"/>
      <c r="K3382" s="205"/>
      <c r="L3382" s="7"/>
    </row>
    <row r="3383" spans="1:12">
      <c r="A3383" s="19"/>
      <c r="B3383" s="7"/>
      <c r="C3383" s="175"/>
      <c r="D3383" s="175"/>
      <c r="E3383" s="175"/>
      <c r="F3383" s="229"/>
      <c r="G3383" s="229"/>
      <c r="H3383" s="229"/>
      <c r="I3383" s="72"/>
      <c r="J3383" s="185"/>
      <c r="K3383" s="205"/>
      <c r="L3383" s="7"/>
    </row>
    <row r="3384" spans="1:12">
      <c r="A3384" s="19"/>
      <c r="B3384" s="7"/>
      <c r="C3384" s="175"/>
      <c r="D3384" s="175"/>
      <c r="E3384" s="175"/>
      <c r="F3384" s="229"/>
      <c r="G3384" s="229"/>
      <c r="H3384" s="229"/>
      <c r="I3384" s="72"/>
      <c r="J3384" s="185"/>
      <c r="K3384" s="205"/>
      <c r="L3384" s="7"/>
    </row>
    <row r="3385" spans="1:12">
      <c r="A3385" s="23"/>
      <c r="B3385" s="14"/>
      <c r="C3385" s="178"/>
      <c r="D3385" s="178"/>
      <c r="E3385" s="178"/>
      <c r="F3385" s="233"/>
      <c r="G3385" s="233"/>
      <c r="H3385" s="233"/>
      <c r="I3385" s="73"/>
      <c r="J3385" s="191"/>
      <c r="K3385" s="207"/>
      <c r="L3385" s="7"/>
    </row>
    <row r="3386" spans="1:12">
      <c r="A3386" s="23"/>
      <c r="B3386" s="14"/>
      <c r="C3386" s="178"/>
      <c r="D3386" s="178"/>
      <c r="E3386" s="178"/>
      <c r="F3386" s="233"/>
      <c r="G3386" s="233"/>
      <c r="H3386" s="233"/>
      <c r="I3386" s="73"/>
      <c r="J3386" s="191"/>
      <c r="K3386" s="207"/>
      <c r="L3386" s="7"/>
    </row>
    <row r="3387" spans="1:12">
      <c r="A3387" s="19"/>
      <c r="B3387" s="7"/>
      <c r="C3387" s="175"/>
      <c r="D3387" s="175"/>
      <c r="E3387" s="175"/>
      <c r="F3387" s="229"/>
      <c r="G3387" s="229"/>
      <c r="H3387" s="229"/>
      <c r="I3387" s="72"/>
      <c r="J3387" s="185"/>
      <c r="K3387" s="205"/>
      <c r="L3387" s="7"/>
    </row>
    <row r="3388" spans="1:12">
      <c r="A3388" s="21"/>
      <c r="B3388" s="21"/>
      <c r="C3388" s="175"/>
      <c r="D3388" s="175"/>
      <c r="E3388" s="175"/>
      <c r="F3388" s="232"/>
      <c r="G3388" s="232"/>
      <c r="H3388" s="232"/>
      <c r="I3388" s="63"/>
      <c r="J3388" s="190"/>
      <c r="K3388" s="208"/>
      <c r="L3388" s="7"/>
    </row>
    <row r="3389" spans="1:12">
      <c r="A3389" s="19"/>
      <c r="B3389" s="7"/>
      <c r="C3389" s="175"/>
      <c r="D3389" s="175"/>
      <c r="E3389" s="175"/>
      <c r="F3389" s="229"/>
      <c r="G3389" s="229"/>
      <c r="H3389" s="229"/>
      <c r="I3389" s="72"/>
      <c r="J3389" s="185"/>
      <c r="K3389" s="205"/>
      <c r="L3389" s="7"/>
    </row>
    <row r="3390" spans="1:12">
      <c r="A3390" s="19"/>
      <c r="B3390" s="7"/>
      <c r="C3390" s="175"/>
      <c r="D3390" s="175"/>
      <c r="E3390" s="175"/>
      <c r="F3390" s="229"/>
      <c r="G3390" s="229"/>
      <c r="H3390" s="229"/>
      <c r="I3390" s="72"/>
      <c r="J3390" s="185"/>
      <c r="K3390" s="205"/>
      <c r="L3390" s="7"/>
    </row>
    <row r="3391" spans="1:12">
      <c r="A3391" s="19"/>
      <c r="B3391" s="7"/>
      <c r="C3391" s="175"/>
      <c r="D3391" s="175"/>
      <c r="E3391" s="175"/>
      <c r="F3391" s="229"/>
      <c r="G3391" s="229"/>
      <c r="H3391" s="229"/>
      <c r="I3391" s="72"/>
      <c r="J3391" s="185"/>
      <c r="K3391" s="205"/>
      <c r="L3391" s="7"/>
    </row>
    <row r="3392" spans="1:12">
      <c r="A3392" s="19"/>
      <c r="B3392" s="7"/>
      <c r="C3392" s="175"/>
      <c r="D3392" s="175"/>
      <c r="E3392" s="175"/>
      <c r="F3392" s="229"/>
      <c r="G3392" s="229"/>
      <c r="H3392" s="229"/>
      <c r="I3392" s="72"/>
      <c r="J3392" s="185"/>
      <c r="K3392" s="205"/>
      <c r="L3392" s="7"/>
    </row>
    <row r="3393" spans="1:12">
      <c r="A3393" s="19"/>
      <c r="B3393" s="7"/>
      <c r="C3393" s="175"/>
      <c r="D3393" s="175"/>
      <c r="E3393" s="175"/>
      <c r="F3393" s="229"/>
      <c r="G3393" s="229"/>
      <c r="H3393" s="229"/>
      <c r="I3393" s="72"/>
      <c r="J3393" s="185"/>
      <c r="K3393" s="205"/>
      <c r="L3393" s="7"/>
    </row>
    <row r="3394" spans="1:12">
      <c r="A3394" s="19"/>
      <c r="B3394" s="7"/>
      <c r="C3394" s="175"/>
      <c r="D3394" s="175"/>
      <c r="E3394" s="175"/>
      <c r="F3394" s="229"/>
      <c r="G3394" s="229"/>
      <c r="H3394" s="229"/>
      <c r="I3394" s="72"/>
      <c r="J3394" s="185"/>
      <c r="K3394" s="205"/>
      <c r="L3394" s="7"/>
    </row>
    <row r="3395" spans="1:12">
      <c r="A3395" s="19"/>
      <c r="B3395" s="7"/>
      <c r="C3395" s="175"/>
      <c r="D3395" s="175"/>
      <c r="E3395" s="175"/>
      <c r="F3395" s="229"/>
      <c r="G3395" s="229"/>
      <c r="H3395" s="229"/>
      <c r="I3395" s="72"/>
      <c r="J3395" s="185"/>
      <c r="K3395" s="205"/>
      <c r="L3395" s="7"/>
    </row>
    <row r="3396" spans="1:12">
      <c r="A3396" s="19"/>
      <c r="B3396" s="7"/>
      <c r="C3396" s="175"/>
      <c r="D3396" s="175"/>
      <c r="E3396" s="175"/>
      <c r="F3396" s="229"/>
      <c r="G3396" s="229"/>
      <c r="H3396" s="229"/>
      <c r="I3396" s="72"/>
      <c r="J3396" s="185"/>
      <c r="K3396" s="205"/>
      <c r="L3396" s="7"/>
    </row>
    <row r="3397" spans="1:12">
      <c r="A3397" s="19"/>
      <c r="B3397" s="7"/>
      <c r="C3397" s="175"/>
      <c r="D3397" s="175"/>
      <c r="E3397" s="175"/>
      <c r="F3397" s="229"/>
      <c r="G3397" s="229"/>
      <c r="H3397" s="229"/>
      <c r="I3397" s="72"/>
      <c r="J3397" s="185"/>
      <c r="K3397" s="205"/>
      <c r="L3397" s="7"/>
    </row>
    <row r="3398" spans="1:12">
      <c r="A3398" s="21"/>
      <c r="B3398" s="21"/>
      <c r="C3398" s="175"/>
      <c r="D3398" s="175"/>
      <c r="E3398" s="175"/>
      <c r="F3398" s="232"/>
      <c r="G3398" s="232"/>
      <c r="H3398" s="232"/>
      <c r="I3398" s="63"/>
      <c r="J3398" s="190"/>
      <c r="K3398" s="208"/>
      <c r="L3398" s="7"/>
    </row>
    <row r="3399" spans="1:12">
      <c r="A3399" s="21"/>
      <c r="B3399" s="21"/>
      <c r="C3399" s="175"/>
      <c r="D3399" s="175"/>
      <c r="E3399" s="175"/>
      <c r="F3399" s="232"/>
      <c r="G3399" s="232"/>
      <c r="H3399" s="232"/>
      <c r="I3399" s="63"/>
      <c r="J3399" s="190"/>
      <c r="K3399" s="208"/>
      <c r="L3399" s="7"/>
    </row>
    <row r="3400" spans="1:12">
      <c r="A3400" s="21"/>
      <c r="B3400" s="21"/>
      <c r="C3400" s="175"/>
      <c r="D3400" s="175"/>
      <c r="E3400" s="175"/>
      <c r="F3400" s="232"/>
      <c r="G3400" s="232"/>
      <c r="H3400" s="232"/>
      <c r="I3400" s="63"/>
      <c r="J3400" s="190"/>
      <c r="K3400" s="208"/>
      <c r="L3400" s="7"/>
    </row>
    <row r="3401" spans="1:12">
      <c r="A3401" s="21"/>
      <c r="B3401" s="21"/>
      <c r="C3401" s="175"/>
      <c r="D3401" s="175"/>
      <c r="E3401" s="175"/>
      <c r="F3401" s="232"/>
      <c r="G3401" s="232"/>
      <c r="H3401" s="232"/>
      <c r="I3401" s="63"/>
      <c r="J3401" s="190"/>
      <c r="K3401" s="208"/>
      <c r="L3401" s="7"/>
    </row>
    <row r="3402" spans="1:12">
      <c r="A3402" s="21"/>
      <c r="B3402" s="21"/>
      <c r="C3402" s="175"/>
      <c r="D3402" s="175"/>
      <c r="E3402" s="175"/>
      <c r="F3402" s="232"/>
      <c r="G3402" s="232"/>
      <c r="H3402" s="232"/>
      <c r="I3402" s="63"/>
      <c r="J3402" s="190"/>
      <c r="K3402" s="208"/>
      <c r="L3402" s="7"/>
    </row>
    <row r="3403" spans="1:12">
      <c r="A3403" s="19"/>
      <c r="B3403" s="7"/>
      <c r="C3403" s="175"/>
      <c r="D3403" s="175"/>
      <c r="E3403" s="175"/>
      <c r="F3403" s="229"/>
      <c r="G3403" s="229"/>
      <c r="H3403" s="229"/>
      <c r="I3403" s="72"/>
      <c r="J3403" s="185"/>
      <c r="K3403" s="205"/>
      <c r="L3403" s="7"/>
    </row>
    <row r="3404" spans="1:12">
      <c r="A3404" s="19"/>
      <c r="B3404" s="7"/>
      <c r="C3404" s="175"/>
      <c r="D3404" s="175"/>
      <c r="E3404" s="175"/>
      <c r="F3404" s="229"/>
      <c r="G3404" s="229"/>
      <c r="H3404" s="229"/>
      <c r="I3404" s="72"/>
      <c r="J3404" s="185"/>
      <c r="K3404" s="205"/>
      <c r="L3404" s="7"/>
    </row>
    <row r="3405" spans="1:12">
      <c r="A3405" s="19"/>
      <c r="B3405" s="7"/>
      <c r="C3405" s="175"/>
      <c r="D3405" s="175"/>
      <c r="E3405" s="175"/>
      <c r="F3405" s="229"/>
      <c r="G3405" s="229"/>
      <c r="H3405" s="229"/>
      <c r="I3405" s="72"/>
      <c r="J3405" s="185"/>
      <c r="K3405" s="205"/>
      <c r="L3405" s="7"/>
    </row>
    <row r="3406" spans="1:12">
      <c r="A3406" s="19"/>
      <c r="B3406" s="7"/>
      <c r="C3406" s="175"/>
      <c r="D3406" s="175"/>
      <c r="E3406" s="175"/>
      <c r="F3406" s="229"/>
      <c r="G3406" s="229"/>
      <c r="H3406" s="229"/>
      <c r="I3406" s="72"/>
      <c r="J3406" s="185"/>
      <c r="K3406" s="205"/>
      <c r="L3406" s="7"/>
    </row>
    <row r="3407" spans="1:12">
      <c r="A3407" s="19"/>
      <c r="B3407" s="7"/>
      <c r="C3407" s="175"/>
      <c r="D3407" s="175"/>
      <c r="E3407" s="175"/>
      <c r="F3407" s="229"/>
      <c r="G3407" s="229"/>
      <c r="H3407" s="229"/>
      <c r="I3407" s="72"/>
      <c r="J3407" s="185"/>
      <c r="K3407" s="205"/>
      <c r="L3407" s="7"/>
    </row>
    <row r="3408" spans="1:12">
      <c r="A3408" s="19"/>
      <c r="B3408" s="7"/>
      <c r="C3408" s="175"/>
      <c r="D3408" s="175"/>
      <c r="E3408" s="175"/>
      <c r="F3408" s="229"/>
      <c r="G3408" s="229"/>
      <c r="H3408" s="229"/>
      <c r="I3408" s="72"/>
      <c r="J3408" s="185"/>
      <c r="K3408" s="205"/>
      <c r="L3408" s="7"/>
    </row>
    <row r="3409" spans="1:12">
      <c r="A3409" s="19"/>
      <c r="B3409" s="7"/>
      <c r="C3409" s="175"/>
      <c r="D3409" s="175"/>
      <c r="E3409" s="175"/>
      <c r="F3409" s="229"/>
      <c r="G3409" s="229"/>
      <c r="H3409" s="229"/>
      <c r="I3409" s="72"/>
      <c r="J3409" s="185"/>
      <c r="K3409" s="205"/>
      <c r="L3409" s="7"/>
    </row>
    <row r="3410" spans="1:12">
      <c r="A3410" s="19"/>
      <c r="B3410" s="7"/>
      <c r="C3410" s="175"/>
      <c r="D3410" s="175"/>
      <c r="E3410" s="175"/>
      <c r="F3410" s="229"/>
      <c r="G3410" s="229"/>
      <c r="H3410" s="229"/>
      <c r="I3410" s="72"/>
      <c r="J3410" s="185"/>
      <c r="K3410" s="205"/>
      <c r="L3410" s="7"/>
    </row>
    <row r="3411" spans="1:12">
      <c r="A3411" s="19"/>
      <c r="B3411" s="7"/>
      <c r="C3411" s="175"/>
      <c r="D3411" s="175"/>
      <c r="E3411" s="175"/>
      <c r="F3411" s="229"/>
      <c r="G3411" s="229"/>
      <c r="H3411" s="229"/>
      <c r="I3411" s="72"/>
      <c r="J3411" s="185"/>
      <c r="K3411" s="205"/>
      <c r="L3411" s="7"/>
    </row>
    <row r="3412" spans="1:12">
      <c r="A3412" s="19"/>
      <c r="B3412" s="7"/>
      <c r="C3412" s="175"/>
      <c r="D3412" s="175"/>
      <c r="E3412" s="175"/>
      <c r="F3412" s="229"/>
      <c r="G3412" s="229"/>
      <c r="H3412" s="229"/>
      <c r="I3412" s="72"/>
      <c r="J3412" s="185"/>
      <c r="K3412" s="205"/>
      <c r="L3412" s="7"/>
    </row>
    <row r="3413" spans="1:12">
      <c r="A3413" s="19"/>
      <c r="B3413" s="7"/>
      <c r="C3413" s="175"/>
      <c r="D3413" s="175"/>
      <c r="E3413" s="175"/>
      <c r="F3413" s="229"/>
      <c r="G3413" s="229"/>
      <c r="H3413" s="229"/>
      <c r="I3413" s="72"/>
      <c r="J3413" s="185"/>
      <c r="K3413" s="205"/>
      <c r="L3413" s="7"/>
    </row>
    <row r="3414" spans="1:12">
      <c r="A3414" s="19"/>
      <c r="B3414" s="7"/>
      <c r="C3414" s="175"/>
      <c r="D3414" s="175"/>
      <c r="E3414" s="175"/>
      <c r="F3414" s="229"/>
      <c r="G3414" s="229"/>
      <c r="H3414" s="229"/>
      <c r="I3414" s="72"/>
      <c r="J3414" s="185"/>
      <c r="K3414" s="205"/>
      <c r="L3414" s="7"/>
    </row>
    <row r="3415" spans="1:12">
      <c r="A3415" s="19"/>
      <c r="B3415" s="7"/>
      <c r="C3415" s="175"/>
      <c r="D3415" s="175"/>
      <c r="E3415" s="175"/>
      <c r="F3415" s="229"/>
      <c r="G3415" s="229"/>
      <c r="H3415" s="229"/>
      <c r="I3415" s="72"/>
      <c r="J3415" s="185"/>
      <c r="K3415" s="205"/>
      <c r="L3415" s="7"/>
    </row>
    <row r="3416" spans="1:12">
      <c r="A3416" s="19"/>
      <c r="B3416" s="7"/>
      <c r="C3416" s="175"/>
      <c r="D3416" s="175"/>
      <c r="E3416" s="175"/>
      <c r="F3416" s="229"/>
      <c r="G3416" s="229"/>
      <c r="H3416" s="229"/>
      <c r="I3416" s="72"/>
      <c r="J3416" s="185"/>
      <c r="K3416" s="205"/>
      <c r="L3416" s="7"/>
    </row>
    <row r="3417" spans="1:12">
      <c r="A3417" s="19"/>
      <c r="B3417" s="7"/>
      <c r="C3417" s="175"/>
      <c r="D3417" s="175"/>
      <c r="E3417" s="175"/>
      <c r="F3417" s="229"/>
      <c r="G3417" s="229"/>
      <c r="H3417" s="229"/>
      <c r="I3417" s="72"/>
      <c r="J3417" s="185"/>
      <c r="K3417" s="205"/>
      <c r="L3417" s="7"/>
    </row>
    <row r="3418" spans="1:12">
      <c r="A3418" s="19"/>
      <c r="B3418" s="7"/>
      <c r="C3418" s="175"/>
      <c r="D3418" s="175"/>
      <c r="E3418" s="175"/>
      <c r="F3418" s="229"/>
      <c r="G3418" s="229"/>
      <c r="H3418" s="229"/>
      <c r="I3418" s="72"/>
      <c r="J3418" s="185"/>
      <c r="K3418" s="205"/>
      <c r="L3418" s="7"/>
    </row>
    <row r="3419" spans="1:12">
      <c r="A3419" s="19"/>
      <c r="B3419" s="7"/>
      <c r="C3419" s="175"/>
      <c r="D3419" s="175"/>
      <c r="E3419" s="175"/>
      <c r="F3419" s="229"/>
      <c r="G3419" s="229"/>
      <c r="H3419" s="229"/>
      <c r="I3419" s="72"/>
      <c r="J3419" s="185"/>
      <c r="K3419" s="205"/>
      <c r="L3419" s="7"/>
    </row>
    <row r="3420" spans="1:12">
      <c r="A3420" s="21"/>
      <c r="B3420" s="21"/>
      <c r="C3420" s="175"/>
      <c r="D3420" s="175"/>
      <c r="E3420" s="175"/>
      <c r="F3420" s="232"/>
      <c r="G3420" s="232"/>
      <c r="H3420" s="232"/>
      <c r="I3420" s="63"/>
      <c r="J3420" s="190"/>
      <c r="K3420" s="208"/>
      <c r="L3420" s="7"/>
    </row>
    <row r="3421" spans="1:12">
      <c r="A3421" s="19"/>
      <c r="B3421" s="7"/>
      <c r="C3421" s="175"/>
      <c r="D3421" s="175"/>
      <c r="E3421" s="175"/>
      <c r="F3421" s="229"/>
      <c r="G3421" s="229"/>
      <c r="H3421" s="229"/>
      <c r="I3421" s="72"/>
      <c r="J3421" s="185"/>
      <c r="K3421" s="205"/>
      <c r="L3421" s="7"/>
    </row>
    <row r="3422" spans="1:12">
      <c r="A3422" s="19"/>
      <c r="B3422" s="7"/>
      <c r="C3422" s="175"/>
      <c r="D3422" s="175"/>
      <c r="E3422" s="175"/>
      <c r="F3422" s="229"/>
      <c r="G3422" s="229"/>
      <c r="H3422" s="229"/>
      <c r="I3422" s="72"/>
      <c r="J3422" s="185"/>
      <c r="K3422" s="205"/>
      <c r="L3422" s="7"/>
    </row>
    <row r="3423" spans="1:12">
      <c r="A3423" s="19"/>
      <c r="B3423" s="7"/>
      <c r="C3423" s="175"/>
      <c r="D3423" s="175"/>
      <c r="E3423" s="175"/>
      <c r="F3423" s="229"/>
      <c r="G3423" s="229"/>
      <c r="H3423" s="229"/>
      <c r="I3423" s="72"/>
      <c r="J3423" s="185"/>
      <c r="K3423" s="205"/>
      <c r="L3423" s="7"/>
    </row>
    <row r="3424" spans="1:12">
      <c r="A3424" s="19"/>
      <c r="B3424" s="7"/>
      <c r="C3424" s="175"/>
      <c r="D3424" s="175"/>
      <c r="E3424" s="175"/>
      <c r="F3424" s="229"/>
      <c r="G3424" s="229"/>
      <c r="H3424" s="229"/>
      <c r="I3424" s="72"/>
      <c r="J3424" s="185"/>
      <c r="K3424" s="205"/>
      <c r="L3424" s="7"/>
    </row>
    <row r="3425" spans="1:12">
      <c r="A3425" s="19"/>
      <c r="B3425" s="7"/>
      <c r="C3425" s="175"/>
      <c r="D3425" s="175"/>
      <c r="E3425" s="175"/>
      <c r="F3425" s="229"/>
      <c r="G3425" s="229"/>
      <c r="H3425" s="229"/>
      <c r="I3425" s="72"/>
      <c r="J3425" s="185"/>
      <c r="K3425" s="205"/>
      <c r="L3425" s="7"/>
    </row>
    <row r="3426" spans="1:12">
      <c r="A3426" s="19"/>
      <c r="B3426" s="7"/>
      <c r="C3426" s="175"/>
      <c r="D3426" s="175"/>
      <c r="E3426" s="175"/>
      <c r="F3426" s="229"/>
      <c r="G3426" s="229"/>
      <c r="H3426" s="229"/>
      <c r="I3426" s="72"/>
      <c r="J3426" s="185"/>
      <c r="K3426" s="205"/>
      <c r="L3426" s="7"/>
    </row>
    <row r="3427" spans="1:12">
      <c r="A3427" s="19"/>
      <c r="B3427" s="7"/>
      <c r="C3427" s="175"/>
      <c r="D3427" s="175"/>
      <c r="E3427" s="175"/>
      <c r="F3427" s="229"/>
      <c r="G3427" s="229"/>
      <c r="H3427" s="229"/>
      <c r="I3427" s="72"/>
      <c r="J3427" s="185"/>
      <c r="K3427" s="205"/>
      <c r="L3427" s="7"/>
    </row>
    <row r="3428" spans="1:12">
      <c r="A3428" s="19"/>
      <c r="B3428" s="7"/>
      <c r="C3428" s="175"/>
      <c r="D3428" s="175"/>
      <c r="E3428" s="175"/>
      <c r="F3428" s="229"/>
      <c r="G3428" s="229"/>
      <c r="H3428" s="229"/>
      <c r="I3428" s="72"/>
      <c r="J3428" s="185"/>
      <c r="K3428" s="205"/>
      <c r="L3428" s="7"/>
    </row>
    <row r="3429" spans="1:12">
      <c r="A3429" s="21"/>
      <c r="B3429" s="21"/>
      <c r="C3429" s="175"/>
      <c r="D3429" s="175"/>
      <c r="E3429" s="175"/>
      <c r="F3429" s="232"/>
      <c r="G3429" s="232"/>
      <c r="H3429" s="232"/>
      <c r="I3429" s="63"/>
      <c r="J3429" s="190"/>
      <c r="K3429" s="208"/>
      <c r="L3429" s="7"/>
    </row>
    <row r="3430" spans="1:12">
      <c r="A3430" s="21"/>
      <c r="B3430" s="21"/>
      <c r="C3430" s="175"/>
      <c r="D3430" s="175"/>
      <c r="E3430" s="175"/>
      <c r="F3430" s="232"/>
      <c r="G3430" s="232"/>
      <c r="H3430" s="232"/>
      <c r="I3430" s="63"/>
      <c r="J3430" s="190"/>
      <c r="K3430" s="208"/>
      <c r="L3430" s="7"/>
    </row>
    <row r="3431" spans="1:12">
      <c r="A3431" s="21"/>
      <c r="B3431" s="21"/>
      <c r="C3431" s="175"/>
      <c r="D3431" s="175"/>
      <c r="E3431" s="175"/>
      <c r="F3431" s="232"/>
      <c r="G3431" s="232"/>
      <c r="H3431" s="232"/>
      <c r="I3431" s="63"/>
      <c r="J3431" s="190"/>
      <c r="K3431" s="208"/>
      <c r="L3431" s="7"/>
    </row>
    <row r="3432" spans="1:12">
      <c r="A3432" s="21"/>
      <c r="B3432" s="21"/>
      <c r="C3432" s="175"/>
      <c r="D3432" s="175"/>
      <c r="E3432" s="175"/>
      <c r="F3432" s="232"/>
      <c r="G3432" s="232"/>
      <c r="H3432" s="232"/>
      <c r="I3432" s="63"/>
      <c r="J3432" s="190"/>
      <c r="K3432" s="208"/>
      <c r="L3432" s="7"/>
    </row>
    <row r="3433" spans="1:12">
      <c r="A3433" s="19"/>
      <c r="B3433" s="7"/>
      <c r="C3433" s="175"/>
      <c r="D3433" s="175"/>
      <c r="E3433" s="175"/>
      <c r="F3433" s="229"/>
      <c r="G3433" s="229"/>
      <c r="H3433" s="229"/>
      <c r="I3433" s="72"/>
      <c r="J3433" s="185"/>
      <c r="K3433" s="205"/>
      <c r="L3433" s="7"/>
    </row>
    <row r="3434" spans="1:12">
      <c r="A3434" s="19"/>
      <c r="B3434" s="7"/>
      <c r="C3434" s="175"/>
      <c r="D3434" s="175"/>
      <c r="E3434" s="175"/>
      <c r="F3434" s="229"/>
      <c r="G3434" s="229"/>
      <c r="H3434" s="229"/>
      <c r="I3434" s="72"/>
      <c r="J3434" s="185"/>
      <c r="K3434" s="205"/>
      <c r="L3434" s="7"/>
    </row>
    <row r="3435" spans="1:12">
      <c r="A3435" s="19"/>
      <c r="B3435" s="7"/>
      <c r="C3435" s="175"/>
      <c r="D3435" s="175"/>
      <c r="E3435" s="175"/>
      <c r="F3435" s="229"/>
      <c r="G3435" s="229"/>
      <c r="H3435" s="229"/>
      <c r="I3435" s="72"/>
      <c r="J3435" s="185"/>
      <c r="K3435" s="205"/>
      <c r="L3435" s="7"/>
    </row>
    <row r="3436" spans="1:12">
      <c r="A3436" s="19"/>
      <c r="B3436" s="7"/>
      <c r="C3436" s="175"/>
      <c r="D3436" s="175"/>
      <c r="E3436" s="175"/>
      <c r="F3436" s="229"/>
      <c r="G3436" s="229"/>
      <c r="H3436" s="229"/>
      <c r="I3436" s="72"/>
      <c r="J3436" s="185"/>
      <c r="K3436" s="205"/>
      <c r="L3436" s="7"/>
    </row>
    <row r="3437" spans="1:12">
      <c r="A3437" s="19"/>
      <c r="B3437" s="7"/>
      <c r="C3437" s="175"/>
      <c r="D3437" s="175"/>
      <c r="E3437" s="175"/>
      <c r="F3437" s="229"/>
      <c r="G3437" s="229"/>
      <c r="H3437" s="229"/>
      <c r="I3437" s="72"/>
      <c r="J3437" s="185"/>
      <c r="K3437" s="205"/>
      <c r="L3437" s="7"/>
    </row>
    <row r="3438" spans="1:12">
      <c r="A3438" s="19"/>
      <c r="B3438" s="7"/>
      <c r="C3438" s="175"/>
      <c r="D3438" s="175"/>
      <c r="E3438" s="175"/>
      <c r="F3438" s="229"/>
      <c r="G3438" s="229"/>
      <c r="H3438" s="229"/>
      <c r="I3438" s="72"/>
      <c r="J3438" s="185"/>
      <c r="K3438" s="205"/>
      <c r="L3438" s="7"/>
    </row>
    <row r="3439" spans="1:12">
      <c r="A3439" s="19"/>
      <c r="B3439" s="7"/>
      <c r="C3439" s="175"/>
      <c r="D3439" s="175"/>
      <c r="E3439" s="175"/>
      <c r="F3439" s="229"/>
      <c r="G3439" s="229"/>
      <c r="H3439" s="229"/>
      <c r="I3439" s="72"/>
      <c r="J3439" s="185"/>
      <c r="K3439" s="205"/>
      <c r="L3439" s="7"/>
    </row>
    <row r="3440" spans="1:12">
      <c r="A3440" s="19"/>
      <c r="B3440" s="7"/>
      <c r="C3440" s="175"/>
      <c r="D3440" s="175"/>
      <c r="E3440" s="175"/>
      <c r="F3440" s="229"/>
      <c r="G3440" s="229"/>
      <c r="H3440" s="229"/>
      <c r="I3440" s="72"/>
      <c r="J3440" s="185"/>
      <c r="K3440" s="205"/>
      <c r="L3440" s="7"/>
    </row>
    <row r="3441" spans="1:12">
      <c r="A3441" s="19"/>
      <c r="B3441" s="7"/>
      <c r="C3441" s="175"/>
      <c r="D3441" s="175"/>
      <c r="E3441" s="175"/>
      <c r="F3441" s="229"/>
      <c r="G3441" s="229"/>
      <c r="H3441" s="229"/>
      <c r="I3441" s="72"/>
      <c r="J3441" s="185"/>
      <c r="K3441" s="205"/>
      <c r="L3441" s="7"/>
    </row>
    <row r="3442" spans="1:12">
      <c r="A3442" s="19"/>
      <c r="B3442" s="7"/>
      <c r="C3442" s="175"/>
      <c r="D3442" s="175"/>
      <c r="E3442" s="175"/>
      <c r="F3442" s="229"/>
      <c r="G3442" s="229"/>
      <c r="H3442" s="229"/>
      <c r="I3442" s="72"/>
      <c r="J3442" s="185"/>
      <c r="K3442" s="205"/>
      <c r="L3442" s="7"/>
    </row>
    <row r="3443" spans="1:12">
      <c r="A3443" s="19"/>
      <c r="B3443" s="7"/>
      <c r="C3443" s="175"/>
      <c r="D3443" s="175"/>
      <c r="E3443" s="175"/>
      <c r="F3443" s="229"/>
      <c r="G3443" s="229"/>
      <c r="H3443" s="229"/>
      <c r="I3443" s="72"/>
      <c r="J3443" s="185"/>
      <c r="K3443" s="205"/>
      <c r="L3443" s="7"/>
    </row>
    <row r="3444" spans="1:12">
      <c r="A3444" s="19"/>
      <c r="B3444" s="7"/>
      <c r="C3444" s="175"/>
      <c r="D3444" s="175"/>
      <c r="E3444" s="175"/>
      <c r="F3444" s="229"/>
      <c r="G3444" s="229"/>
      <c r="H3444" s="229"/>
      <c r="I3444" s="72"/>
      <c r="J3444" s="185"/>
      <c r="K3444" s="205"/>
      <c r="L3444" s="7"/>
    </row>
    <row r="3445" spans="1:12">
      <c r="A3445" s="19"/>
      <c r="B3445" s="7"/>
      <c r="C3445" s="175"/>
      <c r="D3445" s="175"/>
      <c r="E3445" s="175"/>
      <c r="F3445" s="229"/>
      <c r="G3445" s="229"/>
      <c r="H3445" s="229"/>
      <c r="I3445" s="72"/>
      <c r="J3445" s="185"/>
      <c r="K3445" s="205"/>
      <c r="L3445" s="7"/>
    </row>
    <row r="3446" spans="1:12">
      <c r="A3446" s="21"/>
      <c r="B3446" s="21"/>
      <c r="C3446" s="175"/>
      <c r="D3446" s="175"/>
      <c r="E3446" s="175"/>
      <c r="F3446" s="232"/>
      <c r="G3446" s="232"/>
      <c r="H3446" s="232"/>
      <c r="I3446" s="63"/>
      <c r="J3446" s="190"/>
      <c r="K3446" s="208"/>
      <c r="L3446" s="7"/>
    </row>
    <row r="3447" spans="1:12">
      <c r="A3447" s="19"/>
      <c r="B3447" s="7"/>
      <c r="C3447" s="175"/>
      <c r="D3447" s="175"/>
      <c r="E3447" s="175"/>
      <c r="F3447" s="229"/>
      <c r="G3447" s="229"/>
      <c r="H3447" s="229"/>
      <c r="I3447" s="72"/>
      <c r="J3447" s="185"/>
      <c r="K3447" s="205"/>
      <c r="L3447" s="7"/>
    </row>
    <row r="3448" spans="1:12">
      <c r="A3448" s="19"/>
      <c r="B3448" s="7"/>
      <c r="C3448" s="175"/>
      <c r="D3448" s="175"/>
      <c r="E3448" s="175"/>
      <c r="F3448" s="229"/>
      <c r="G3448" s="229"/>
      <c r="H3448" s="229"/>
      <c r="I3448" s="72"/>
      <c r="J3448" s="185"/>
      <c r="K3448" s="205"/>
      <c r="L3448" s="7"/>
    </row>
    <row r="3449" spans="1:12">
      <c r="A3449" s="19"/>
      <c r="B3449" s="7"/>
      <c r="C3449" s="175"/>
      <c r="D3449" s="175"/>
      <c r="E3449" s="175"/>
      <c r="F3449" s="229"/>
      <c r="G3449" s="229"/>
      <c r="H3449" s="229"/>
      <c r="I3449" s="72"/>
      <c r="J3449" s="185"/>
      <c r="K3449" s="205"/>
      <c r="L3449" s="7"/>
    </row>
    <row r="3450" spans="1:12">
      <c r="A3450" s="19"/>
      <c r="B3450" s="7"/>
      <c r="C3450" s="175"/>
      <c r="D3450" s="175"/>
      <c r="E3450" s="175"/>
      <c r="F3450" s="229"/>
      <c r="G3450" s="229"/>
      <c r="H3450" s="229"/>
      <c r="I3450" s="72"/>
      <c r="J3450" s="185"/>
      <c r="K3450" s="205"/>
      <c r="L3450" s="7"/>
    </row>
    <row r="3451" spans="1:12">
      <c r="A3451" s="19"/>
      <c r="B3451" s="7"/>
      <c r="C3451" s="175"/>
      <c r="D3451" s="175"/>
      <c r="E3451" s="175"/>
      <c r="F3451" s="229"/>
      <c r="G3451" s="229"/>
      <c r="H3451" s="229"/>
      <c r="I3451" s="72"/>
      <c r="J3451" s="185"/>
      <c r="K3451" s="205"/>
      <c r="L3451" s="7"/>
    </row>
    <row r="3452" spans="1:12">
      <c r="A3452" s="19"/>
      <c r="B3452" s="7"/>
      <c r="C3452" s="175"/>
      <c r="D3452" s="175"/>
      <c r="E3452" s="175"/>
      <c r="F3452" s="229"/>
      <c r="G3452" s="229"/>
      <c r="H3452" s="229"/>
      <c r="I3452" s="72"/>
      <c r="J3452" s="185"/>
      <c r="K3452" s="205"/>
      <c r="L3452" s="7"/>
    </row>
    <row r="3453" spans="1:12">
      <c r="A3453" s="19"/>
      <c r="B3453" s="7"/>
      <c r="C3453" s="175"/>
      <c r="D3453" s="175"/>
      <c r="E3453" s="175"/>
      <c r="F3453" s="229"/>
      <c r="G3453" s="229"/>
      <c r="H3453" s="229"/>
      <c r="I3453" s="72"/>
      <c r="J3453" s="185"/>
      <c r="K3453" s="205"/>
      <c r="L3453" s="7"/>
    </row>
    <row r="3454" spans="1:12">
      <c r="A3454" s="19"/>
      <c r="B3454" s="7"/>
      <c r="C3454" s="175"/>
      <c r="D3454" s="175"/>
      <c r="E3454" s="175"/>
      <c r="F3454" s="229"/>
      <c r="G3454" s="229"/>
      <c r="H3454" s="229"/>
      <c r="I3454" s="72"/>
      <c r="J3454" s="185"/>
      <c r="K3454" s="205"/>
      <c r="L3454" s="7"/>
    </row>
    <row r="3455" spans="1:12">
      <c r="A3455" s="21"/>
      <c r="B3455" s="21"/>
      <c r="C3455" s="175"/>
      <c r="D3455" s="175"/>
      <c r="E3455" s="175"/>
      <c r="F3455" s="232"/>
      <c r="G3455" s="232"/>
      <c r="H3455" s="232"/>
      <c r="I3455" s="63"/>
      <c r="J3455" s="190"/>
      <c r="K3455" s="208"/>
      <c r="L3455" s="7"/>
    </row>
    <row r="3456" spans="1:12">
      <c r="A3456" s="21"/>
      <c r="B3456" s="21"/>
      <c r="C3456" s="175"/>
      <c r="D3456" s="175"/>
      <c r="E3456" s="175"/>
      <c r="F3456" s="232"/>
      <c r="G3456" s="232"/>
      <c r="H3456" s="232"/>
      <c r="I3456" s="63"/>
      <c r="J3456" s="190"/>
      <c r="K3456" s="208"/>
      <c r="L3456" s="7"/>
    </row>
    <row r="3457" spans="1:12">
      <c r="A3457" s="21"/>
      <c r="B3457" s="21"/>
      <c r="C3457" s="175"/>
      <c r="D3457" s="175"/>
      <c r="E3457" s="175"/>
      <c r="F3457" s="232"/>
      <c r="G3457" s="232"/>
      <c r="H3457" s="232"/>
      <c r="I3457" s="63"/>
      <c r="J3457" s="189"/>
      <c r="K3457" s="208"/>
      <c r="L3457" s="7"/>
    </row>
    <row r="3458" spans="1:12">
      <c r="A3458" s="19"/>
      <c r="B3458" s="35"/>
      <c r="C3458" s="175"/>
      <c r="D3458" s="175"/>
      <c r="E3458" s="175"/>
      <c r="F3458" s="229"/>
      <c r="G3458" s="229"/>
      <c r="H3458" s="229"/>
      <c r="I3458" s="72"/>
      <c r="J3458" s="185"/>
      <c r="K3458" s="205"/>
      <c r="L3458" s="7"/>
    </row>
    <row r="3459" spans="1:12">
      <c r="A3459" s="19"/>
      <c r="B3459" s="7"/>
      <c r="C3459" s="175"/>
      <c r="D3459" s="175"/>
      <c r="E3459" s="175"/>
      <c r="F3459" s="229"/>
      <c r="G3459" s="229"/>
      <c r="H3459" s="229"/>
      <c r="I3459" s="72"/>
      <c r="J3459" s="185"/>
      <c r="K3459" s="205"/>
      <c r="L3459" s="7"/>
    </row>
    <row r="3460" spans="1:12">
      <c r="A3460" s="19"/>
      <c r="B3460" s="7"/>
      <c r="C3460" s="175"/>
      <c r="D3460" s="175"/>
      <c r="E3460" s="175"/>
      <c r="F3460" s="229"/>
      <c r="G3460" s="229"/>
      <c r="H3460" s="229"/>
      <c r="I3460" s="72"/>
      <c r="J3460" s="185"/>
      <c r="K3460" s="205"/>
      <c r="L3460" s="7"/>
    </row>
    <row r="3461" spans="1:12">
      <c r="A3461" s="19"/>
      <c r="B3461" s="7"/>
      <c r="C3461" s="175"/>
      <c r="D3461" s="175"/>
      <c r="E3461" s="175"/>
      <c r="F3461" s="229"/>
      <c r="G3461" s="229"/>
      <c r="H3461" s="229"/>
      <c r="I3461" s="72"/>
      <c r="J3461" s="185"/>
      <c r="K3461" s="205"/>
      <c r="L3461" s="7"/>
    </row>
    <row r="3462" spans="1:12">
      <c r="A3462" s="19"/>
      <c r="B3462" s="7"/>
      <c r="C3462" s="175"/>
      <c r="D3462" s="175"/>
      <c r="E3462" s="175"/>
      <c r="F3462" s="229"/>
      <c r="G3462" s="229"/>
      <c r="H3462" s="229"/>
      <c r="I3462" s="72"/>
      <c r="J3462" s="185"/>
      <c r="K3462" s="205"/>
      <c r="L3462" s="7"/>
    </row>
    <row r="3463" spans="1:12">
      <c r="A3463" s="19"/>
      <c r="B3463" s="7"/>
      <c r="C3463" s="175"/>
      <c r="D3463" s="175"/>
      <c r="E3463" s="175"/>
      <c r="F3463" s="229"/>
      <c r="G3463" s="229"/>
      <c r="H3463" s="229"/>
      <c r="I3463" s="72"/>
      <c r="J3463" s="185"/>
      <c r="K3463" s="205"/>
      <c r="L3463" s="7"/>
    </row>
    <row r="3464" spans="1:12">
      <c r="A3464" s="19"/>
      <c r="B3464" s="7"/>
      <c r="C3464" s="175"/>
      <c r="D3464" s="175"/>
      <c r="E3464" s="175"/>
      <c r="F3464" s="229"/>
      <c r="G3464" s="229"/>
      <c r="H3464" s="229"/>
      <c r="I3464" s="72"/>
      <c r="J3464" s="185"/>
      <c r="K3464" s="205"/>
      <c r="L3464" s="7"/>
    </row>
    <row r="3465" spans="1:12">
      <c r="A3465" s="19"/>
      <c r="B3465" s="7"/>
      <c r="C3465" s="175"/>
      <c r="D3465" s="175"/>
      <c r="E3465" s="175"/>
      <c r="F3465" s="229"/>
      <c r="G3465" s="229"/>
      <c r="H3465" s="229"/>
      <c r="I3465" s="72"/>
      <c r="J3465" s="185"/>
      <c r="K3465" s="205"/>
      <c r="L3465" s="7"/>
    </row>
    <row r="3466" spans="1:12">
      <c r="A3466" s="19"/>
      <c r="B3466" s="7"/>
      <c r="C3466" s="175"/>
      <c r="D3466" s="175"/>
      <c r="E3466" s="175"/>
      <c r="F3466" s="229"/>
      <c r="G3466" s="229"/>
      <c r="H3466" s="229"/>
      <c r="I3466" s="72"/>
      <c r="J3466" s="185"/>
      <c r="K3466" s="205"/>
      <c r="L3466" s="7"/>
    </row>
    <row r="3467" spans="1:12">
      <c r="A3467" s="19"/>
      <c r="B3467" s="7"/>
      <c r="C3467" s="175"/>
      <c r="D3467" s="175"/>
      <c r="E3467" s="175"/>
      <c r="F3467" s="229"/>
      <c r="G3467" s="229"/>
      <c r="H3467" s="229"/>
      <c r="I3467" s="72"/>
      <c r="J3467" s="185"/>
      <c r="K3467" s="205"/>
      <c r="L3467" s="7"/>
    </row>
    <row r="3468" spans="1:12">
      <c r="A3468" s="19"/>
      <c r="B3468" s="7"/>
      <c r="C3468" s="175"/>
      <c r="D3468" s="175"/>
      <c r="E3468" s="175"/>
      <c r="F3468" s="229"/>
      <c r="G3468" s="229"/>
      <c r="H3468" s="229"/>
      <c r="I3468" s="72"/>
      <c r="J3468" s="185"/>
      <c r="K3468" s="205"/>
      <c r="L3468" s="7"/>
    </row>
    <row r="3469" spans="1:12">
      <c r="A3469" s="19"/>
      <c r="B3469" s="7"/>
      <c r="C3469" s="175"/>
      <c r="D3469" s="175"/>
      <c r="E3469" s="175"/>
      <c r="F3469" s="229"/>
      <c r="G3469" s="229"/>
      <c r="H3469" s="229"/>
      <c r="I3469" s="72"/>
      <c r="J3469" s="185"/>
      <c r="K3469" s="205"/>
      <c r="L3469" s="7"/>
    </row>
    <row r="3470" spans="1:12">
      <c r="A3470" s="19"/>
      <c r="B3470" s="7"/>
      <c r="C3470" s="175"/>
      <c r="D3470" s="175"/>
      <c r="E3470" s="175"/>
      <c r="F3470" s="229"/>
      <c r="G3470" s="229"/>
      <c r="H3470" s="229"/>
      <c r="I3470" s="72"/>
      <c r="J3470" s="185"/>
      <c r="K3470" s="205"/>
      <c r="L3470" s="7"/>
    </row>
    <row r="3471" spans="1:12">
      <c r="A3471" s="19"/>
      <c r="B3471" s="7"/>
      <c r="C3471" s="175"/>
      <c r="D3471" s="175"/>
      <c r="E3471" s="175"/>
      <c r="F3471" s="229"/>
      <c r="G3471" s="229"/>
      <c r="H3471" s="229"/>
      <c r="I3471" s="72"/>
      <c r="J3471" s="185"/>
      <c r="K3471" s="205"/>
      <c r="L3471" s="7"/>
    </row>
    <row r="3472" spans="1:12">
      <c r="A3472" s="19"/>
      <c r="B3472" s="7"/>
      <c r="C3472" s="175"/>
      <c r="D3472" s="175"/>
      <c r="E3472" s="175"/>
      <c r="F3472" s="229"/>
      <c r="G3472" s="229"/>
      <c r="H3472" s="229"/>
      <c r="I3472" s="72"/>
      <c r="J3472" s="185"/>
      <c r="K3472" s="205"/>
      <c r="L3472" s="7"/>
    </row>
    <row r="3473" spans="1:12">
      <c r="A3473" s="19"/>
      <c r="B3473" s="7"/>
      <c r="C3473" s="175"/>
      <c r="D3473" s="175"/>
      <c r="E3473" s="175"/>
      <c r="F3473" s="229"/>
      <c r="G3473" s="229"/>
      <c r="H3473" s="229"/>
      <c r="I3473" s="72"/>
      <c r="J3473" s="185"/>
      <c r="K3473" s="205"/>
      <c r="L3473" s="7"/>
    </row>
    <row r="3474" spans="1:12">
      <c r="A3474" s="19"/>
      <c r="B3474" s="7"/>
      <c r="C3474" s="175"/>
      <c r="D3474" s="175"/>
      <c r="E3474" s="175"/>
      <c r="F3474" s="229"/>
      <c r="G3474" s="229"/>
      <c r="H3474" s="229"/>
      <c r="I3474" s="72"/>
      <c r="J3474" s="185"/>
      <c r="K3474" s="205"/>
      <c r="L3474" s="7"/>
    </row>
    <row r="3475" spans="1:12">
      <c r="A3475" s="19"/>
      <c r="B3475" s="7"/>
      <c r="C3475" s="175"/>
      <c r="D3475" s="175"/>
      <c r="E3475" s="175"/>
      <c r="F3475" s="229"/>
      <c r="G3475" s="229"/>
      <c r="H3475" s="229"/>
      <c r="I3475" s="72"/>
      <c r="J3475" s="185"/>
      <c r="K3475" s="205"/>
      <c r="L3475" s="7"/>
    </row>
    <row r="3476" spans="1:12">
      <c r="A3476" s="19"/>
      <c r="B3476" s="7"/>
      <c r="C3476" s="175"/>
      <c r="D3476" s="175"/>
      <c r="E3476" s="175"/>
      <c r="F3476" s="229"/>
      <c r="G3476" s="229"/>
      <c r="H3476" s="229"/>
      <c r="I3476" s="72"/>
      <c r="J3476" s="185"/>
      <c r="K3476" s="205"/>
      <c r="L3476" s="7"/>
    </row>
    <row r="3477" spans="1:12">
      <c r="A3477" s="19"/>
      <c r="B3477" s="7"/>
      <c r="C3477" s="175"/>
      <c r="D3477" s="175"/>
      <c r="E3477" s="175"/>
      <c r="F3477" s="229"/>
      <c r="G3477" s="229"/>
      <c r="H3477" s="229"/>
      <c r="I3477" s="72"/>
      <c r="J3477" s="185"/>
      <c r="K3477" s="205"/>
      <c r="L3477" s="7"/>
    </row>
    <row r="3478" spans="1:12">
      <c r="A3478" s="19"/>
      <c r="B3478" s="7"/>
      <c r="C3478" s="175"/>
      <c r="D3478" s="175"/>
      <c r="E3478" s="175"/>
      <c r="F3478" s="229"/>
      <c r="G3478" s="229"/>
      <c r="H3478" s="229"/>
      <c r="I3478" s="72"/>
      <c r="J3478" s="185"/>
      <c r="K3478" s="205"/>
      <c r="L3478" s="7"/>
    </row>
    <row r="3479" spans="1:12">
      <c r="A3479" s="21"/>
      <c r="B3479" s="21"/>
      <c r="C3479" s="175"/>
      <c r="D3479" s="175"/>
      <c r="E3479" s="175"/>
      <c r="F3479" s="232"/>
      <c r="G3479" s="232"/>
      <c r="H3479" s="232"/>
      <c r="I3479" s="63"/>
      <c r="J3479" s="189"/>
      <c r="K3479" s="208"/>
      <c r="L3479" s="7"/>
    </row>
    <row r="3480" spans="1:12">
      <c r="A3480" s="19"/>
      <c r="B3480" s="7"/>
      <c r="C3480" s="175"/>
      <c r="D3480" s="175"/>
      <c r="E3480" s="175"/>
      <c r="F3480" s="229"/>
      <c r="G3480" s="229"/>
      <c r="H3480" s="229"/>
      <c r="I3480" s="72"/>
      <c r="J3480" s="185"/>
      <c r="K3480" s="205"/>
      <c r="L3480" s="7"/>
    </row>
    <row r="3481" spans="1:12">
      <c r="A3481" s="19"/>
      <c r="B3481" s="7"/>
      <c r="C3481" s="175"/>
      <c r="D3481" s="175"/>
      <c r="E3481" s="175"/>
      <c r="F3481" s="229"/>
      <c r="G3481" s="229"/>
      <c r="H3481" s="229"/>
      <c r="I3481" s="72"/>
      <c r="J3481" s="185"/>
      <c r="K3481" s="205"/>
      <c r="L3481" s="7"/>
    </row>
    <row r="3482" spans="1:12">
      <c r="A3482" s="19"/>
      <c r="B3482" s="7"/>
      <c r="C3482" s="175"/>
      <c r="D3482" s="175"/>
      <c r="E3482" s="175"/>
      <c r="F3482" s="229"/>
      <c r="G3482" s="229"/>
      <c r="H3482" s="229"/>
      <c r="I3482" s="72"/>
      <c r="J3482" s="185"/>
      <c r="K3482" s="205"/>
      <c r="L3482" s="7"/>
    </row>
    <row r="3483" spans="1:12">
      <c r="A3483" s="19"/>
      <c r="B3483" s="7"/>
      <c r="C3483" s="175"/>
      <c r="D3483" s="175"/>
      <c r="E3483" s="175"/>
      <c r="F3483" s="229"/>
      <c r="G3483" s="229"/>
      <c r="H3483" s="229"/>
      <c r="I3483" s="72"/>
      <c r="J3483" s="185"/>
      <c r="K3483" s="205"/>
      <c r="L3483" s="7"/>
    </row>
    <row r="3484" spans="1:12">
      <c r="A3484" s="19"/>
      <c r="B3484" s="7"/>
      <c r="C3484" s="175"/>
      <c r="D3484" s="175"/>
      <c r="E3484" s="175"/>
      <c r="F3484" s="229"/>
      <c r="G3484" s="229"/>
      <c r="H3484" s="229"/>
      <c r="I3484" s="72"/>
      <c r="J3484" s="185"/>
      <c r="K3484" s="205"/>
      <c r="L3484" s="7"/>
    </row>
    <row r="3485" spans="1:12">
      <c r="A3485" s="19"/>
      <c r="B3485" s="7"/>
      <c r="C3485" s="175"/>
      <c r="D3485" s="175"/>
      <c r="E3485" s="175"/>
      <c r="F3485" s="229"/>
      <c r="G3485" s="229"/>
      <c r="H3485" s="229"/>
      <c r="I3485" s="72"/>
      <c r="J3485" s="185"/>
      <c r="K3485" s="205"/>
      <c r="L3485" s="7"/>
    </row>
    <row r="3486" spans="1:12">
      <c r="A3486" s="19"/>
      <c r="B3486" s="7"/>
      <c r="C3486" s="175"/>
      <c r="D3486" s="175"/>
      <c r="E3486" s="175"/>
      <c r="F3486" s="229"/>
      <c r="G3486" s="229"/>
      <c r="H3486" s="229"/>
      <c r="I3486" s="72"/>
      <c r="J3486" s="185"/>
      <c r="K3486" s="205"/>
      <c r="L3486" s="7"/>
    </row>
    <row r="3487" spans="1:12">
      <c r="A3487" s="19"/>
      <c r="B3487" s="7"/>
      <c r="C3487" s="175"/>
      <c r="D3487" s="175"/>
      <c r="E3487" s="175"/>
      <c r="F3487" s="229"/>
      <c r="G3487" s="229"/>
      <c r="H3487" s="229"/>
      <c r="I3487" s="72"/>
      <c r="J3487" s="185"/>
      <c r="K3487" s="205"/>
      <c r="L3487" s="7"/>
    </row>
    <row r="3488" spans="1:12">
      <c r="A3488" s="19"/>
      <c r="B3488" s="35"/>
      <c r="C3488" s="175"/>
      <c r="D3488" s="175"/>
      <c r="E3488" s="175"/>
      <c r="F3488" s="229"/>
      <c r="G3488" s="229"/>
      <c r="H3488" s="229"/>
      <c r="I3488" s="72"/>
      <c r="J3488" s="185"/>
      <c r="K3488" s="205"/>
      <c r="L3488" s="7"/>
    </row>
    <row r="3489" spans="1:12">
      <c r="A3489" s="19"/>
      <c r="B3489" s="7"/>
      <c r="C3489" s="175"/>
      <c r="D3489" s="175"/>
      <c r="E3489" s="175"/>
      <c r="F3489" s="229"/>
      <c r="G3489" s="229"/>
      <c r="H3489" s="229"/>
      <c r="I3489" s="72"/>
      <c r="J3489" s="185"/>
      <c r="K3489" s="205"/>
      <c r="L3489" s="7"/>
    </row>
    <row r="3490" spans="1:12">
      <c r="A3490" s="21"/>
      <c r="B3490" s="21"/>
      <c r="C3490" s="175"/>
      <c r="D3490" s="175"/>
      <c r="E3490" s="175"/>
      <c r="F3490" s="232"/>
      <c r="G3490" s="232"/>
      <c r="H3490" s="232"/>
      <c r="I3490" s="63"/>
      <c r="J3490" s="190"/>
      <c r="K3490" s="208"/>
      <c r="L3490" s="7"/>
    </row>
    <row r="3491" spans="1:12">
      <c r="A3491" s="19"/>
      <c r="B3491" s="7"/>
      <c r="C3491" s="175"/>
      <c r="D3491" s="175"/>
      <c r="E3491" s="175"/>
      <c r="F3491" s="229"/>
      <c r="G3491" s="229"/>
      <c r="H3491" s="229"/>
      <c r="I3491" s="72"/>
      <c r="J3491" s="185"/>
      <c r="K3491" s="205"/>
      <c r="L3491" s="7"/>
    </row>
    <row r="3492" spans="1:12">
      <c r="A3492" s="21"/>
      <c r="B3492" s="21"/>
      <c r="C3492" s="175"/>
      <c r="D3492" s="175"/>
      <c r="E3492" s="175"/>
      <c r="F3492" s="232"/>
      <c r="G3492" s="232"/>
      <c r="H3492" s="232"/>
      <c r="I3492" s="63"/>
      <c r="J3492" s="190"/>
      <c r="K3492" s="208"/>
      <c r="L3492" s="7"/>
    </row>
    <row r="3493" spans="1:12">
      <c r="A3493" s="21"/>
      <c r="B3493" s="21"/>
      <c r="C3493" s="175"/>
      <c r="D3493" s="175"/>
      <c r="E3493" s="175"/>
      <c r="F3493" s="232"/>
      <c r="G3493" s="232"/>
      <c r="H3493" s="232"/>
      <c r="I3493" s="63"/>
      <c r="J3493" s="190"/>
      <c r="K3493" s="208"/>
      <c r="L3493" s="7"/>
    </row>
    <row r="3494" spans="1:12">
      <c r="A3494" s="21"/>
      <c r="B3494" s="21"/>
      <c r="C3494" s="175"/>
      <c r="D3494" s="175"/>
      <c r="E3494" s="175"/>
      <c r="F3494" s="232"/>
      <c r="G3494" s="232"/>
      <c r="H3494" s="232"/>
      <c r="I3494" s="63"/>
      <c r="J3494" s="190"/>
      <c r="K3494" s="208"/>
      <c r="L3494" s="7"/>
    </row>
    <row r="3495" spans="1:12">
      <c r="A3495" s="21"/>
      <c r="B3495" s="21"/>
      <c r="C3495" s="175"/>
      <c r="D3495" s="175"/>
      <c r="E3495" s="175"/>
      <c r="F3495" s="232"/>
      <c r="G3495" s="232"/>
      <c r="H3495" s="232"/>
      <c r="I3495" s="63"/>
      <c r="J3495" s="190"/>
      <c r="K3495" s="208"/>
      <c r="L3495" s="7"/>
    </row>
    <row r="3496" spans="1:12">
      <c r="A3496" s="19"/>
      <c r="B3496" s="35"/>
      <c r="C3496" s="175"/>
      <c r="D3496" s="175"/>
      <c r="E3496" s="175"/>
      <c r="F3496" s="229"/>
      <c r="G3496" s="229"/>
      <c r="H3496" s="229"/>
      <c r="I3496" s="72"/>
      <c r="J3496" s="185"/>
      <c r="K3496" s="205"/>
      <c r="L3496" s="7"/>
    </row>
    <row r="3497" spans="1:12">
      <c r="A3497" s="21"/>
      <c r="B3497" s="21"/>
      <c r="C3497" s="175"/>
      <c r="D3497" s="175"/>
      <c r="E3497" s="175"/>
      <c r="F3497" s="232"/>
      <c r="G3497" s="232"/>
      <c r="H3497" s="232"/>
      <c r="I3497" s="63"/>
      <c r="J3497" s="190"/>
      <c r="K3497" s="208"/>
      <c r="L3497" s="7"/>
    </row>
    <row r="3498" spans="1:12">
      <c r="A3498" s="19"/>
      <c r="B3498" s="7"/>
      <c r="C3498" s="175"/>
      <c r="D3498" s="175"/>
      <c r="E3498" s="175"/>
      <c r="F3498" s="229"/>
      <c r="G3498" s="229"/>
      <c r="H3498" s="229"/>
      <c r="I3498" s="72"/>
      <c r="J3498" s="185"/>
      <c r="K3498" s="205"/>
      <c r="L3498" s="7"/>
    </row>
    <row r="3499" spans="1:12">
      <c r="A3499" s="19"/>
      <c r="B3499" s="7"/>
      <c r="C3499" s="175"/>
      <c r="D3499" s="175"/>
      <c r="E3499" s="175"/>
      <c r="F3499" s="229"/>
      <c r="G3499" s="229"/>
      <c r="H3499" s="229"/>
      <c r="I3499" s="72"/>
      <c r="J3499" s="185"/>
      <c r="K3499" s="205"/>
      <c r="L3499" s="7"/>
    </row>
    <row r="3500" spans="1:12">
      <c r="A3500" s="19"/>
      <c r="B3500" s="7"/>
      <c r="C3500" s="175"/>
      <c r="D3500" s="175"/>
      <c r="E3500" s="175"/>
      <c r="F3500" s="229"/>
      <c r="G3500" s="229"/>
      <c r="H3500" s="229"/>
      <c r="I3500" s="72"/>
      <c r="J3500" s="185"/>
      <c r="K3500" s="205"/>
      <c r="L3500" s="7"/>
    </row>
    <row r="3501" spans="1:12">
      <c r="A3501" s="19"/>
      <c r="B3501" s="7"/>
      <c r="C3501" s="175"/>
      <c r="D3501" s="175"/>
      <c r="E3501" s="175"/>
      <c r="F3501" s="229"/>
      <c r="G3501" s="229"/>
      <c r="H3501" s="229"/>
      <c r="I3501" s="72"/>
      <c r="J3501" s="185"/>
      <c r="K3501" s="205"/>
      <c r="L3501" s="7"/>
    </row>
    <row r="3502" spans="1:12">
      <c r="A3502" s="19"/>
      <c r="B3502" s="7"/>
      <c r="C3502" s="175"/>
      <c r="D3502" s="175"/>
      <c r="E3502" s="175"/>
      <c r="F3502" s="229"/>
      <c r="G3502" s="229"/>
      <c r="H3502" s="229"/>
      <c r="I3502" s="72"/>
      <c r="J3502" s="185"/>
      <c r="K3502" s="205"/>
      <c r="L3502" s="7"/>
    </row>
    <row r="3503" spans="1:12">
      <c r="A3503" s="19"/>
      <c r="B3503" s="7"/>
      <c r="C3503" s="175"/>
      <c r="D3503" s="175"/>
      <c r="E3503" s="175"/>
      <c r="F3503" s="229"/>
      <c r="G3503" s="229"/>
      <c r="H3503" s="229"/>
      <c r="I3503" s="72"/>
      <c r="J3503" s="185"/>
      <c r="K3503" s="205"/>
      <c r="L3503" s="7"/>
    </row>
    <row r="3504" spans="1:12">
      <c r="A3504" s="19"/>
      <c r="B3504" s="7"/>
      <c r="C3504" s="175"/>
      <c r="D3504" s="175"/>
      <c r="E3504" s="175"/>
      <c r="F3504" s="229"/>
      <c r="G3504" s="229"/>
      <c r="H3504" s="229"/>
      <c r="I3504" s="72"/>
      <c r="J3504" s="185"/>
      <c r="K3504" s="205"/>
      <c r="L3504" s="7"/>
    </row>
    <row r="3505" spans="1:12">
      <c r="A3505" s="19"/>
      <c r="B3505" s="7"/>
      <c r="C3505" s="175"/>
      <c r="D3505" s="175"/>
      <c r="E3505" s="175"/>
      <c r="F3505" s="229"/>
      <c r="G3505" s="229"/>
      <c r="H3505" s="229"/>
      <c r="I3505" s="72"/>
      <c r="J3505" s="185"/>
      <c r="K3505" s="205"/>
      <c r="L3505" s="7"/>
    </row>
    <row r="3506" spans="1:12">
      <c r="A3506" s="19"/>
      <c r="B3506" s="7"/>
      <c r="C3506" s="175"/>
      <c r="D3506" s="175"/>
      <c r="E3506" s="175"/>
      <c r="F3506" s="229"/>
      <c r="G3506" s="229"/>
      <c r="H3506" s="229"/>
      <c r="I3506" s="72"/>
      <c r="J3506" s="185"/>
      <c r="K3506" s="205"/>
      <c r="L3506" s="7"/>
    </row>
    <row r="3507" spans="1:12">
      <c r="A3507" s="19"/>
      <c r="B3507" s="7"/>
      <c r="C3507" s="175"/>
      <c r="D3507" s="175"/>
      <c r="E3507" s="175"/>
      <c r="F3507" s="229"/>
      <c r="G3507" s="229"/>
      <c r="H3507" s="229"/>
      <c r="I3507" s="72"/>
      <c r="J3507" s="185"/>
      <c r="K3507" s="205"/>
      <c r="L3507" s="7"/>
    </row>
    <row r="3508" spans="1:12">
      <c r="A3508" s="19"/>
      <c r="B3508" s="7"/>
      <c r="C3508" s="175"/>
      <c r="D3508" s="175"/>
      <c r="E3508" s="175"/>
      <c r="F3508" s="229"/>
      <c r="G3508" s="229"/>
      <c r="H3508" s="229"/>
      <c r="I3508" s="72"/>
      <c r="J3508" s="185"/>
      <c r="K3508" s="205"/>
      <c r="L3508" s="7"/>
    </row>
    <row r="3509" spans="1:12">
      <c r="A3509" s="19"/>
      <c r="B3509" s="7"/>
      <c r="C3509" s="175"/>
      <c r="D3509" s="175"/>
      <c r="E3509" s="175"/>
      <c r="F3509" s="229"/>
      <c r="G3509" s="229"/>
      <c r="H3509" s="229"/>
      <c r="I3509" s="72"/>
      <c r="J3509" s="185"/>
      <c r="K3509" s="205"/>
      <c r="L3509" s="7"/>
    </row>
    <row r="3510" spans="1:12">
      <c r="A3510" s="19"/>
      <c r="B3510" s="7"/>
      <c r="C3510" s="175"/>
      <c r="D3510" s="175"/>
      <c r="E3510" s="175"/>
      <c r="F3510" s="229"/>
      <c r="G3510" s="229"/>
      <c r="H3510" s="229"/>
      <c r="I3510" s="72"/>
      <c r="J3510" s="185"/>
      <c r="K3510" s="205"/>
      <c r="L3510" s="7"/>
    </row>
    <row r="3511" spans="1:12">
      <c r="A3511" s="19"/>
      <c r="B3511" s="7"/>
      <c r="C3511" s="175"/>
      <c r="D3511" s="175"/>
      <c r="E3511" s="175"/>
      <c r="F3511" s="229"/>
      <c r="G3511" s="229"/>
      <c r="H3511" s="229"/>
      <c r="I3511" s="72"/>
      <c r="J3511" s="185"/>
      <c r="K3511" s="205"/>
      <c r="L3511" s="7"/>
    </row>
    <row r="3512" spans="1:12">
      <c r="A3512" s="19"/>
      <c r="B3512" s="7"/>
      <c r="C3512" s="175"/>
      <c r="D3512" s="175"/>
      <c r="E3512" s="175"/>
      <c r="F3512" s="229"/>
      <c r="G3512" s="229"/>
      <c r="H3512" s="229"/>
      <c r="I3512" s="72"/>
      <c r="J3512" s="185"/>
      <c r="K3512" s="205"/>
      <c r="L3512" s="7"/>
    </row>
    <row r="3513" spans="1:12">
      <c r="A3513" s="19"/>
      <c r="B3513" s="7"/>
      <c r="C3513" s="175"/>
      <c r="D3513" s="175"/>
      <c r="E3513" s="175"/>
      <c r="F3513" s="229"/>
      <c r="G3513" s="229"/>
      <c r="H3513" s="229"/>
      <c r="I3513" s="72"/>
      <c r="J3513" s="185"/>
      <c r="K3513" s="205"/>
      <c r="L3513" s="7"/>
    </row>
    <row r="3514" spans="1:12">
      <c r="A3514" s="19"/>
      <c r="B3514" s="7"/>
      <c r="C3514" s="175"/>
      <c r="D3514" s="175"/>
      <c r="E3514" s="175"/>
      <c r="F3514" s="229"/>
      <c r="G3514" s="229"/>
      <c r="H3514" s="229"/>
      <c r="I3514" s="72"/>
      <c r="J3514" s="185"/>
      <c r="K3514" s="205"/>
      <c r="L3514" s="7"/>
    </row>
    <row r="3515" spans="1:12">
      <c r="A3515" s="19"/>
      <c r="B3515" s="7"/>
      <c r="C3515" s="175"/>
      <c r="D3515" s="175"/>
      <c r="E3515" s="175"/>
      <c r="F3515" s="229"/>
      <c r="G3515" s="229"/>
      <c r="H3515" s="229"/>
      <c r="I3515" s="72"/>
      <c r="J3515" s="185"/>
      <c r="K3515" s="205"/>
      <c r="L3515" s="7"/>
    </row>
    <row r="3516" spans="1:12">
      <c r="A3516" s="19"/>
      <c r="B3516" s="7"/>
      <c r="C3516" s="175"/>
      <c r="D3516" s="175"/>
      <c r="E3516" s="175"/>
      <c r="F3516" s="229"/>
      <c r="G3516" s="229"/>
      <c r="H3516" s="229"/>
      <c r="I3516" s="72"/>
      <c r="J3516" s="185"/>
      <c r="K3516" s="205"/>
      <c r="L3516" s="7"/>
    </row>
    <row r="3517" spans="1:12">
      <c r="A3517" s="19"/>
      <c r="B3517" s="7"/>
      <c r="C3517" s="175"/>
      <c r="D3517" s="175"/>
      <c r="E3517" s="175"/>
      <c r="F3517" s="229"/>
      <c r="G3517" s="229"/>
      <c r="H3517" s="229"/>
      <c r="I3517" s="72"/>
      <c r="J3517" s="185"/>
      <c r="K3517" s="205"/>
      <c r="L3517" s="7"/>
    </row>
    <row r="3518" spans="1:12">
      <c r="A3518" s="21"/>
      <c r="B3518" s="21"/>
      <c r="C3518" s="175"/>
      <c r="D3518" s="175"/>
      <c r="E3518" s="175"/>
      <c r="F3518" s="232"/>
      <c r="G3518" s="232"/>
      <c r="H3518" s="232"/>
      <c r="I3518" s="63"/>
      <c r="J3518" s="190"/>
      <c r="K3518" s="208"/>
      <c r="L3518" s="7"/>
    </row>
    <row r="3519" spans="1:12">
      <c r="A3519" s="21"/>
      <c r="B3519" s="21"/>
      <c r="C3519" s="175"/>
      <c r="D3519" s="175"/>
      <c r="E3519" s="175"/>
      <c r="F3519" s="232"/>
      <c r="G3519" s="232"/>
      <c r="H3519" s="232"/>
      <c r="I3519" s="63"/>
      <c r="J3519" s="190"/>
      <c r="K3519" s="208"/>
      <c r="L3519" s="7"/>
    </row>
    <row r="3520" spans="1:12">
      <c r="A3520" s="19"/>
      <c r="B3520" s="7"/>
      <c r="C3520" s="175"/>
      <c r="D3520" s="175"/>
      <c r="E3520" s="175"/>
      <c r="F3520" s="229"/>
      <c r="G3520" s="229"/>
      <c r="H3520" s="229"/>
      <c r="I3520" s="72"/>
      <c r="J3520" s="185"/>
      <c r="K3520" s="205"/>
      <c r="L3520" s="7"/>
    </row>
    <row r="3521" spans="1:12">
      <c r="A3521" s="19"/>
      <c r="B3521" s="7"/>
      <c r="C3521" s="175"/>
      <c r="D3521" s="175"/>
      <c r="E3521" s="175"/>
      <c r="F3521" s="229"/>
      <c r="G3521" s="229"/>
      <c r="H3521" s="229"/>
      <c r="I3521" s="72"/>
      <c r="J3521" s="185"/>
      <c r="K3521" s="205"/>
      <c r="L3521" s="7"/>
    </row>
    <row r="3522" spans="1:12">
      <c r="A3522" s="19"/>
      <c r="B3522" s="7"/>
      <c r="C3522" s="175"/>
      <c r="D3522" s="175"/>
      <c r="E3522" s="175"/>
      <c r="F3522" s="229"/>
      <c r="G3522" s="229"/>
      <c r="H3522" s="229"/>
      <c r="I3522" s="72"/>
      <c r="J3522" s="185"/>
      <c r="K3522" s="205"/>
      <c r="L3522" s="7"/>
    </row>
    <row r="3523" spans="1:12">
      <c r="A3523" s="19"/>
      <c r="B3523" s="7"/>
      <c r="C3523" s="175"/>
      <c r="D3523" s="175"/>
      <c r="E3523" s="175"/>
      <c r="F3523" s="229"/>
      <c r="G3523" s="229"/>
      <c r="H3523" s="229"/>
      <c r="I3523" s="72"/>
      <c r="J3523" s="185"/>
      <c r="K3523" s="205"/>
      <c r="L3523" s="7"/>
    </row>
    <row r="3524" spans="1:12">
      <c r="A3524" s="19"/>
      <c r="B3524" s="7"/>
      <c r="C3524" s="175"/>
      <c r="D3524" s="175"/>
      <c r="E3524" s="175"/>
      <c r="F3524" s="229"/>
      <c r="G3524" s="229"/>
      <c r="H3524" s="229"/>
      <c r="I3524" s="72"/>
      <c r="J3524" s="185"/>
      <c r="K3524" s="205"/>
      <c r="L3524" s="7"/>
    </row>
    <row r="3525" spans="1:12">
      <c r="A3525" s="19"/>
      <c r="B3525" s="7"/>
      <c r="C3525" s="175"/>
      <c r="D3525" s="175"/>
      <c r="E3525" s="175"/>
      <c r="F3525" s="229"/>
      <c r="G3525" s="229"/>
      <c r="H3525" s="229"/>
      <c r="I3525" s="72"/>
      <c r="J3525" s="185"/>
      <c r="K3525" s="205"/>
      <c r="L3525" s="7"/>
    </row>
    <row r="3526" spans="1:12">
      <c r="A3526" s="21"/>
      <c r="B3526" s="21"/>
      <c r="C3526" s="175"/>
      <c r="D3526" s="175"/>
      <c r="E3526" s="175"/>
      <c r="F3526" s="232"/>
      <c r="G3526" s="232"/>
      <c r="H3526" s="232"/>
      <c r="I3526" s="63"/>
      <c r="J3526" s="190"/>
      <c r="K3526" s="208"/>
      <c r="L3526" s="7"/>
    </row>
    <row r="3527" spans="1:12">
      <c r="A3527" s="19"/>
      <c r="B3527" s="7"/>
      <c r="C3527" s="175"/>
      <c r="D3527" s="175"/>
      <c r="E3527" s="175"/>
      <c r="F3527" s="229"/>
      <c r="G3527" s="229"/>
      <c r="H3527" s="229"/>
      <c r="I3527" s="72"/>
      <c r="J3527" s="185"/>
      <c r="K3527" s="205"/>
      <c r="L3527" s="7"/>
    </row>
    <row r="3528" spans="1:12">
      <c r="A3528" s="21"/>
      <c r="B3528" s="21"/>
      <c r="C3528" s="175"/>
      <c r="D3528" s="175"/>
      <c r="E3528" s="175"/>
      <c r="F3528" s="232"/>
      <c r="G3528" s="232"/>
      <c r="H3528" s="232"/>
      <c r="I3528" s="63"/>
      <c r="J3528" s="190"/>
      <c r="K3528" s="208"/>
      <c r="L3528" s="7"/>
    </row>
    <row r="3529" spans="1:12">
      <c r="A3529" s="21"/>
      <c r="B3529" s="21"/>
      <c r="C3529" s="175"/>
      <c r="D3529" s="175"/>
      <c r="E3529" s="175"/>
      <c r="F3529" s="232"/>
      <c r="G3529" s="232"/>
      <c r="H3529" s="232"/>
      <c r="I3529" s="63"/>
      <c r="J3529" s="190"/>
      <c r="K3529" s="208"/>
      <c r="L3529" s="7"/>
    </row>
    <row r="3530" spans="1:12">
      <c r="A3530" s="21"/>
      <c r="B3530" s="21"/>
      <c r="C3530" s="175"/>
      <c r="D3530" s="175"/>
      <c r="E3530" s="175"/>
      <c r="F3530" s="232"/>
      <c r="G3530" s="232"/>
      <c r="H3530" s="232"/>
      <c r="I3530" s="63"/>
      <c r="J3530" s="190"/>
      <c r="K3530" s="208"/>
      <c r="L3530" s="7"/>
    </row>
    <row r="3531" spans="1:12">
      <c r="A3531" s="21"/>
      <c r="B3531" s="21"/>
      <c r="C3531" s="175"/>
      <c r="D3531" s="175"/>
      <c r="E3531" s="175"/>
      <c r="F3531" s="232"/>
      <c r="G3531" s="232"/>
      <c r="H3531" s="232"/>
      <c r="I3531" s="63"/>
      <c r="J3531" s="190"/>
      <c r="K3531" s="208"/>
      <c r="L3531" s="7"/>
    </row>
    <row r="3532" spans="1:12">
      <c r="A3532" s="19"/>
      <c r="B3532" s="7"/>
      <c r="C3532" s="175"/>
      <c r="D3532" s="175"/>
      <c r="E3532" s="175"/>
      <c r="F3532" s="229"/>
      <c r="G3532" s="229"/>
      <c r="H3532" s="229"/>
      <c r="I3532" s="72"/>
      <c r="J3532" s="185"/>
      <c r="K3532" s="205"/>
      <c r="L3532" s="7"/>
    </row>
    <row r="3533" spans="1:12">
      <c r="A3533" s="19"/>
      <c r="B3533" s="7"/>
      <c r="C3533" s="175"/>
      <c r="D3533" s="175"/>
      <c r="E3533" s="175"/>
      <c r="F3533" s="229"/>
      <c r="G3533" s="229"/>
      <c r="H3533" s="229"/>
      <c r="I3533" s="72"/>
      <c r="J3533" s="185"/>
      <c r="K3533" s="205"/>
      <c r="L3533" s="7"/>
    </row>
    <row r="3534" spans="1:12">
      <c r="A3534" s="19"/>
      <c r="B3534" s="7"/>
      <c r="C3534" s="175"/>
      <c r="D3534" s="175"/>
      <c r="E3534" s="175"/>
      <c r="F3534" s="229"/>
      <c r="G3534" s="229"/>
      <c r="H3534" s="229"/>
      <c r="I3534" s="72"/>
      <c r="J3534" s="185"/>
      <c r="K3534" s="205"/>
      <c r="L3534" s="7"/>
    </row>
    <row r="3535" spans="1:12">
      <c r="A3535" s="19"/>
      <c r="B3535" s="7"/>
      <c r="C3535" s="175"/>
      <c r="D3535" s="175"/>
      <c r="E3535" s="175"/>
      <c r="F3535" s="229"/>
      <c r="G3535" s="229"/>
      <c r="H3535" s="229"/>
      <c r="I3535" s="72"/>
      <c r="J3535" s="185"/>
      <c r="K3535" s="205"/>
      <c r="L3535" s="7"/>
    </row>
    <row r="3536" spans="1:12">
      <c r="A3536" s="19"/>
      <c r="B3536" s="7"/>
      <c r="C3536" s="175"/>
      <c r="D3536" s="175"/>
      <c r="E3536" s="175"/>
      <c r="F3536" s="229"/>
      <c r="G3536" s="229"/>
      <c r="H3536" s="229"/>
      <c r="I3536" s="72"/>
      <c r="J3536" s="185"/>
      <c r="K3536" s="205"/>
      <c r="L3536" s="7"/>
    </row>
    <row r="3537" spans="1:12">
      <c r="A3537" s="19"/>
      <c r="B3537" s="7"/>
      <c r="C3537" s="175"/>
      <c r="D3537" s="175"/>
      <c r="E3537" s="175"/>
      <c r="F3537" s="229"/>
      <c r="G3537" s="229"/>
      <c r="H3537" s="229"/>
      <c r="I3537" s="72"/>
      <c r="J3537" s="185"/>
      <c r="K3537" s="205"/>
      <c r="L3537" s="7"/>
    </row>
    <row r="3538" spans="1:12">
      <c r="A3538" s="19"/>
      <c r="B3538" s="7"/>
      <c r="C3538" s="175"/>
      <c r="D3538" s="175"/>
      <c r="E3538" s="175"/>
      <c r="F3538" s="229"/>
      <c r="G3538" s="229"/>
      <c r="H3538" s="229"/>
      <c r="I3538" s="72"/>
      <c r="J3538" s="185"/>
      <c r="K3538" s="205"/>
      <c r="L3538" s="7"/>
    </row>
    <row r="3539" spans="1:12">
      <c r="A3539" s="19"/>
      <c r="B3539" s="7"/>
      <c r="C3539" s="175"/>
      <c r="D3539" s="175"/>
      <c r="E3539" s="175"/>
      <c r="F3539" s="229"/>
      <c r="G3539" s="229"/>
      <c r="H3539" s="229"/>
      <c r="I3539" s="72"/>
      <c r="J3539" s="185"/>
      <c r="K3539" s="205"/>
      <c r="L3539" s="7"/>
    </row>
    <row r="3540" spans="1:12">
      <c r="A3540" s="19"/>
      <c r="B3540" s="7"/>
      <c r="C3540" s="175"/>
      <c r="D3540" s="175"/>
      <c r="E3540" s="175"/>
      <c r="F3540" s="229"/>
      <c r="G3540" s="229"/>
      <c r="H3540" s="229"/>
      <c r="I3540" s="72"/>
      <c r="J3540" s="185"/>
      <c r="K3540" s="205"/>
      <c r="L3540" s="7"/>
    </row>
    <row r="3541" spans="1:12">
      <c r="A3541" s="19"/>
      <c r="B3541" s="7"/>
      <c r="C3541" s="175"/>
      <c r="D3541" s="175"/>
      <c r="E3541" s="175"/>
      <c r="F3541" s="229"/>
      <c r="G3541" s="229"/>
      <c r="H3541" s="229"/>
      <c r="I3541" s="72"/>
      <c r="J3541" s="185"/>
      <c r="K3541" s="205"/>
      <c r="L3541" s="7"/>
    </row>
    <row r="3542" spans="1:12">
      <c r="A3542" s="19"/>
      <c r="B3542" s="7"/>
      <c r="C3542" s="175"/>
      <c r="D3542" s="175"/>
      <c r="E3542" s="175"/>
      <c r="F3542" s="229"/>
      <c r="G3542" s="229"/>
      <c r="H3542" s="229"/>
      <c r="I3542" s="72"/>
      <c r="J3542" s="185"/>
      <c r="K3542" s="205"/>
      <c r="L3542" s="7"/>
    </row>
    <row r="3543" spans="1:12">
      <c r="A3543" s="19"/>
      <c r="B3543" s="7"/>
      <c r="C3543" s="175"/>
      <c r="D3543" s="175"/>
      <c r="E3543" s="175"/>
      <c r="F3543" s="229"/>
      <c r="G3543" s="229"/>
      <c r="H3543" s="229"/>
      <c r="I3543" s="72"/>
      <c r="J3543" s="185"/>
      <c r="K3543" s="205"/>
      <c r="L3543" s="7"/>
    </row>
    <row r="3544" spans="1:12">
      <c r="A3544" s="19"/>
      <c r="B3544" s="7"/>
      <c r="C3544" s="175"/>
      <c r="D3544" s="175"/>
      <c r="E3544" s="175"/>
      <c r="F3544" s="229"/>
      <c r="G3544" s="229"/>
      <c r="H3544" s="229"/>
      <c r="I3544" s="72"/>
      <c r="J3544" s="185"/>
      <c r="K3544" s="205"/>
      <c r="L3544" s="7"/>
    </row>
    <row r="3545" spans="1:12">
      <c r="A3545" s="19"/>
      <c r="B3545" s="7"/>
      <c r="C3545" s="175"/>
      <c r="D3545" s="175"/>
      <c r="E3545" s="175"/>
      <c r="F3545" s="229"/>
      <c r="G3545" s="229"/>
      <c r="H3545" s="229"/>
      <c r="I3545" s="72"/>
      <c r="J3545" s="185"/>
      <c r="K3545" s="205"/>
      <c r="L3545" s="7"/>
    </row>
    <row r="3546" spans="1:12">
      <c r="A3546" s="19"/>
      <c r="B3546" s="7"/>
      <c r="C3546" s="175"/>
      <c r="D3546" s="175"/>
      <c r="E3546" s="175"/>
      <c r="F3546" s="229"/>
      <c r="G3546" s="229"/>
      <c r="H3546" s="229"/>
      <c r="I3546" s="72"/>
      <c r="J3546" s="185"/>
      <c r="K3546" s="205"/>
      <c r="L3546" s="7"/>
    </row>
    <row r="3547" spans="1:12">
      <c r="A3547" s="19"/>
      <c r="B3547" s="7"/>
      <c r="C3547" s="175"/>
      <c r="D3547" s="175"/>
      <c r="E3547" s="175"/>
      <c r="F3547" s="229"/>
      <c r="G3547" s="229"/>
      <c r="H3547" s="229"/>
      <c r="I3547" s="72"/>
      <c r="J3547" s="185"/>
      <c r="K3547" s="205"/>
      <c r="L3547" s="7"/>
    </row>
    <row r="3548" spans="1:12">
      <c r="A3548" s="19"/>
      <c r="B3548" s="7"/>
      <c r="C3548" s="175"/>
      <c r="D3548" s="175"/>
      <c r="E3548" s="175"/>
      <c r="F3548" s="229"/>
      <c r="G3548" s="229"/>
      <c r="H3548" s="229"/>
      <c r="I3548" s="72"/>
      <c r="J3548" s="185"/>
      <c r="K3548" s="205"/>
      <c r="L3548" s="7"/>
    </row>
    <row r="3549" spans="1:12">
      <c r="A3549" s="21"/>
      <c r="B3549" s="21"/>
      <c r="C3549" s="175"/>
      <c r="D3549" s="175"/>
      <c r="E3549" s="175"/>
      <c r="F3549" s="232"/>
      <c r="G3549" s="232"/>
      <c r="H3549" s="232"/>
      <c r="I3549" s="63"/>
      <c r="J3549" s="190"/>
      <c r="K3549" s="208"/>
      <c r="L3549" s="7"/>
    </row>
    <row r="3550" spans="1:12">
      <c r="A3550" s="19"/>
      <c r="B3550" s="7"/>
      <c r="C3550" s="175"/>
      <c r="D3550" s="175"/>
      <c r="E3550" s="175"/>
      <c r="F3550" s="229"/>
      <c r="G3550" s="229"/>
      <c r="H3550" s="229"/>
      <c r="I3550" s="72"/>
      <c r="J3550" s="185"/>
      <c r="K3550" s="205"/>
      <c r="L3550" s="7"/>
    </row>
    <row r="3551" spans="1:12">
      <c r="A3551" s="19"/>
      <c r="B3551" s="7"/>
      <c r="C3551" s="175"/>
      <c r="D3551" s="175"/>
      <c r="E3551" s="175"/>
      <c r="F3551" s="229"/>
      <c r="G3551" s="229"/>
      <c r="H3551" s="229"/>
      <c r="I3551" s="72"/>
      <c r="J3551" s="185"/>
      <c r="K3551" s="205"/>
      <c r="L3551" s="7"/>
    </row>
    <row r="3552" spans="1:12">
      <c r="A3552" s="19"/>
      <c r="B3552" s="7"/>
      <c r="C3552" s="175"/>
      <c r="D3552" s="175"/>
      <c r="E3552" s="175"/>
      <c r="F3552" s="229"/>
      <c r="G3552" s="229"/>
      <c r="H3552" s="229"/>
      <c r="I3552" s="72"/>
      <c r="J3552" s="185"/>
      <c r="K3552" s="205"/>
      <c r="L3552" s="7"/>
    </row>
    <row r="3553" spans="1:12">
      <c r="A3553" s="19"/>
      <c r="B3553" s="7"/>
      <c r="C3553" s="175"/>
      <c r="D3553" s="175"/>
      <c r="E3553" s="175"/>
      <c r="F3553" s="229"/>
      <c r="G3553" s="229"/>
      <c r="H3553" s="229"/>
      <c r="I3553" s="72"/>
      <c r="J3553" s="185"/>
      <c r="K3553" s="205"/>
      <c r="L3553" s="7"/>
    </row>
    <row r="3554" spans="1:12">
      <c r="A3554" s="19"/>
      <c r="B3554" s="7"/>
      <c r="C3554" s="175"/>
      <c r="D3554" s="175"/>
      <c r="E3554" s="175"/>
      <c r="F3554" s="229"/>
      <c r="G3554" s="229"/>
      <c r="H3554" s="229"/>
      <c r="I3554" s="72"/>
      <c r="J3554" s="185"/>
      <c r="K3554" s="205"/>
      <c r="L3554" s="7"/>
    </row>
    <row r="3555" spans="1:12">
      <c r="A3555" s="19"/>
      <c r="B3555" s="7"/>
      <c r="C3555" s="175"/>
      <c r="D3555" s="175"/>
      <c r="E3555" s="175"/>
      <c r="F3555" s="229"/>
      <c r="G3555" s="229"/>
      <c r="H3555" s="229"/>
      <c r="I3555" s="72"/>
      <c r="J3555" s="185"/>
      <c r="K3555" s="205"/>
      <c r="L3555" s="7"/>
    </row>
    <row r="3556" spans="1:12">
      <c r="A3556" s="21"/>
      <c r="B3556" s="21"/>
      <c r="C3556" s="175"/>
      <c r="D3556" s="175"/>
      <c r="E3556" s="175"/>
      <c r="F3556" s="232"/>
      <c r="G3556" s="232"/>
      <c r="H3556" s="232"/>
      <c r="I3556" s="63"/>
      <c r="J3556" s="190"/>
      <c r="K3556" s="208"/>
      <c r="L3556" s="7"/>
    </row>
    <row r="3557" spans="1:12">
      <c r="A3557" s="21"/>
      <c r="B3557" s="21"/>
      <c r="C3557" s="175"/>
      <c r="D3557" s="175"/>
      <c r="E3557" s="175"/>
      <c r="F3557" s="232"/>
      <c r="G3557" s="232"/>
      <c r="H3557" s="232"/>
      <c r="I3557" s="63"/>
      <c r="J3557" s="190"/>
      <c r="K3557" s="208"/>
      <c r="L3557" s="7"/>
    </row>
    <row r="3558" spans="1:12">
      <c r="A3558" s="21"/>
      <c r="B3558" s="21"/>
      <c r="C3558" s="175"/>
      <c r="D3558" s="175"/>
      <c r="E3558" s="175"/>
      <c r="F3558" s="232"/>
      <c r="G3558" s="232"/>
      <c r="H3558" s="232"/>
      <c r="I3558" s="63"/>
      <c r="J3558" s="190"/>
      <c r="K3558" s="208"/>
      <c r="L3558" s="7"/>
    </row>
    <row r="3559" spans="1:12">
      <c r="A3559" s="21"/>
      <c r="B3559" s="21"/>
      <c r="C3559" s="175"/>
      <c r="D3559" s="175"/>
      <c r="E3559" s="175"/>
      <c r="F3559" s="232"/>
      <c r="G3559" s="232"/>
      <c r="H3559" s="232"/>
      <c r="I3559" s="63"/>
      <c r="J3559" s="190"/>
      <c r="K3559" s="208"/>
      <c r="L3559" s="7"/>
    </row>
    <row r="3560" spans="1:12">
      <c r="A3560" s="19"/>
      <c r="B3560" s="7"/>
      <c r="C3560" s="175"/>
      <c r="D3560" s="175"/>
      <c r="E3560" s="175"/>
      <c r="F3560" s="229"/>
      <c r="G3560" s="229"/>
      <c r="H3560" s="229"/>
      <c r="I3560" s="72"/>
      <c r="J3560" s="185"/>
      <c r="K3560" s="205"/>
      <c r="L3560" s="7"/>
    </row>
    <row r="3561" spans="1:12">
      <c r="A3561" s="19"/>
      <c r="B3561" s="7"/>
      <c r="C3561" s="175"/>
      <c r="D3561" s="175"/>
      <c r="E3561" s="175"/>
      <c r="F3561" s="229"/>
      <c r="G3561" s="229"/>
      <c r="H3561" s="229"/>
      <c r="I3561" s="72"/>
      <c r="J3561" s="185"/>
      <c r="K3561" s="205"/>
      <c r="L3561" s="7"/>
    </row>
    <row r="3562" spans="1:12">
      <c r="A3562" s="19"/>
      <c r="B3562" s="7"/>
      <c r="C3562" s="175"/>
      <c r="D3562" s="175"/>
      <c r="E3562" s="175"/>
      <c r="F3562" s="229"/>
      <c r="G3562" s="229"/>
      <c r="H3562" s="229"/>
      <c r="I3562" s="72"/>
      <c r="J3562" s="185"/>
      <c r="K3562" s="205"/>
      <c r="L3562" s="7"/>
    </row>
    <row r="3563" spans="1:12">
      <c r="A3563" s="19"/>
      <c r="B3563" s="7"/>
      <c r="C3563" s="175"/>
      <c r="D3563" s="175"/>
      <c r="E3563" s="175"/>
      <c r="F3563" s="229"/>
      <c r="G3563" s="229"/>
      <c r="H3563" s="229"/>
      <c r="I3563" s="72"/>
      <c r="J3563" s="185"/>
      <c r="K3563" s="205"/>
      <c r="L3563" s="7"/>
    </row>
    <row r="3564" spans="1:12">
      <c r="A3564" s="19"/>
      <c r="B3564" s="7"/>
      <c r="C3564" s="175"/>
      <c r="D3564" s="175"/>
      <c r="E3564" s="175"/>
      <c r="F3564" s="229"/>
      <c r="G3564" s="229"/>
      <c r="H3564" s="229"/>
      <c r="I3564" s="72"/>
      <c r="J3564" s="185"/>
      <c r="K3564" s="205"/>
      <c r="L3564" s="7"/>
    </row>
    <row r="3565" spans="1:12">
      <c r="A3565" s="19"/>
      <c r="B3565" s="7"/>
      <c r="C3565" s="175"/>
      <c r="D3565" s="175"/>
      <c r="E3565" s="175"/>
      <c r="F3565" s="229"/>
      <c r="G3565" s="229"/>
      <c r="H3565" s="229"/>
      <c r="I3565" s="72"/>
      <c r="J3565" s="185"/>
      <c r="K3565" s="205"/>
      <c r="L3565" s="7"/>
    </row>
    <row r="3566" spans="1:12">
      <c r="A3566" s="19"/>
      <c r="B3566" s="7"/>
      <c r="C3566" s="175"/>
      <c r="D3566" s="175"/>
      <c r="E3566" s="175"/>
      <c r="F3566" s="229"/>
      <c r="G3566" s="229"/>
      <c r="H3566" s="229"/>
      <c r="I3566" s="72"/>
      <c r="J3566" s="185"/>
      <c r="K3566" s="205"/>
      <c r="L3566" s="7"/>
    </row>
    <row r="3567" spans="1:12">
      <c r="A3567" s="19"/>
      <c r="B3567" s="7"/>
      <c r="C3567" s="175"/>
      <c r="D3567" s="175"/>
      <c r="E3567" s="175"/>
      <c r="F3567" s="229"/>
      <c r="G3567" s="229"/>
      <c r="H3567" s="229"/>
      <c r="I3567" s="72"/>
      <c r="J3567" s="185"/>
      <c r="K3567" s="205"/>
      <c r="L3567" s="7"/>
    </row>
    <row r="3568" spans="1:12">
      <c r="A3568" s="19"/>
      <c r="B3568" s="7"/>
      <c r="C3568" s="175"/>
      <c r="D3568" s="175"/>
      <c r="E3568" s="175"/>
      <c r="F3568" s="229"/>
      <c r="G3568" s="229"/>
      <c r="H3568" s="229"/>
      <c r="I3568" s="72"/>
      <c r="J3568" s="185"/>
      <c r="K3568" s="205"/>
      <c r="L3568" s="7"/>
    </row>
    <row r="3569" spans="1:12">
      <c r="A3569" s="19"/>
      <c r="B3569" s="7"/>
      <c r="C3569" s="175"/>
      <c r="D3569" s="175"/>
      <c r="E3569" s="175"/>
      <c r="F3569" s="229"/>
      <c r="G3569" s="229"/>
      <c r="H3569" s="229"/>
      <c r="I3569" s="72"/>
      <c r="J3569" s="185"/>
      <c r="K3569" s="205"/>
      <c r="L3569" s="7"/>
    </row>
    <row r="3570" spans="1:12">
      <c r="A3570" s="19"/>
      <c r="B3570" s="7"/>
      <c r="C3570" s="175"/>
      <c r="D3570" s="175"/>
      <c r="E3570" s="175"/>
      <c r="F3570" s="229"/>
      <c r="G3570" s="229"/>
      <c r="H3570" s="229"/>
      <c r="I3570" s="72"/>
      <c r="J3570" s="185"/>
      <c r="K3570" s="205"/>
      <c r="L3570" s="7"/>
    </row>
    <row r="3571" spans="1:12">
      <c r="A3571" s="19"/>
      <c r="B3571" s="7"/>
      <c r="C3571" s="175"/>
      <c r="D3571" s="175"/>
      <c r="E3571" s="175"/>
      <c r="F3571" s="229"/>
      <c r="G3571" s="229"/>
      <c r="H3571" s="229"/>
      <c r="I3571" s="72"/>
      <c r="J3571" s="185"/>
      <c r="K3571" s="205"/>
      <c r="L3571" s="7"/>
    </row>
    <row r="3572" spans="1:12">
      <c r="A3572" s="19"/>
      <c r="B3572" s="7"/>
      <c r="C3572" s="175"/>
      <c r="D3572" s="175"/>
      <c r="E3572" s="175"/>
      <c r="F3572" s="229"/>
      <c r="G3572" s="229"/>
      <c r="H3572" s="229"/>
      <c r="I3572" s="72"/>
      <c r="J3572" s="185"/>
      <c r="K3572" s="205"/>
      <c r="L3572" s="7"/>
    </row>
    <row r="3573" spans="1:12">
      <c r="A3573" s="19"/>
      <c r="B3573" s="7"/>
      <c r="C3573" s="175"/>
      <c r="D3573" s="175"/>
      <c r="E3573" s="175"/>
      <c r="F3573" s="229"/>
      <c r="G3573" s="229"/>
      <c r="H3573" s="229"/>
      <c r="I3573" s="72"/>
      <c r="J3573" s="185"/>
      <c r="K3573" s="205"/>
      <c r="L3573" s="7"/>
    </row>
    <row r="3574" spans="1:12">
      <c r="A3574" s="19"/>
      <c r="B3574" s="7"/>
      <c r="C3574" s="175"/>
      <c r="D3574" s="175"/>
      <c r="E3574" s="175"/>
      <c r="F3574" s="229"/>
      <c r="G3574" s="229"/>
      <c r="H3574" s="229"/>
      <c r="I3574" s="72"/>
      <c r="J3574" s="185"/>
      <c r="K3574" s="205"/>
      <c r="L3574" s="7"/>
    </row>
    <row r="3575" spans="1:12">
      <c r="A3575" s="19"/>
      <c r="B3575" s="7"/>
      <c r="C3575" s="175"/>
      <c r="D3575" s="175"/>
      <c r="E3575" s="175"/>
      <c r="F3575" s="229"/>
      <c r="G3575" s="229"/>
      <c r="H3575" s="229"/>
      <c r="I3575" s="72"/>
      <c r="J3575" s="185"/>
      <c r="K3575" s="205"/>
      <c r="L3575" s="7"/>
    </row>
    <row r="3576" spans="1:12">
      <c r="A3576" s="19"/>
      <c r="B3576" s="7"/>
      <c r="C3576" s="175"/>
      <c r="D3576" s="175"/>
      <c r="E3576" s="175"/>
      <c r="F3576" s="229"/>
      <c r="G3576" s="229"/>
      <c r="H3576" s="229"/>
      <c r="I3576" s="72"/>
      <c r="J3576" s="185"/>
      <c r="K3576" s="205"/>
      <c r="L3576" s="7"/>
    </row>
    <row r="3577" spans="1:12">
      <c r="A3577" s="19"/>
      <c r="B3577" s="7"/>
      <c r="C3577" s="175"/>
      <c r="D3577" s="175"/>
      <c r="E3577" s="175"/>
      <c r="F3577" s="229"/>
      <c r="G3577" s="229"/>
      <c r="H3577" s="229"/>
      <c r="I3577" s="72"/>
      <c r="J3577" s="185"/>
      <c r="K3577" s="205"/>
      <c r="L3577" s="7"/>
    </row>
    <row r="3578" spans="1:12">
      <c r="A3578" s="21"/>
      <c r="B3578" s="21"/>
      <c r="C3578" s="175"/>
      <c r="D3578" s="175"/>
      <c r="E3578" s="175"/>
      <c r="F3578" s="232"/>
      <c r="G3578" s="232"/>
      <c r="H3578" s="232"/>
      <c r="I3578" s="63"/>
      <c r="J3578" s="190"/>
      <c r="K3578" s="208"/>
      <c r="L3578" s="7"/>
    </row>
    <row r="3579" spans="1:12">
      <c r="A3579" s="19"/>
      <c r="B3579" s="7"/>
      <c r="C3579" s="175"/>
      <c r="D3579" s="175"/>
      <c r="E3579" s="175"/>
      <c r="F3579" s="229"/>
      <c r="G3579" s="229"/>
      <c r="H3579" s="229"/>
      <c r="I3579" s="72"/>
      <c r="J3579" s="185"/>
      <c r="K3579" s="205"/>
      <c r="L3579" s="7"/>
    </row>
    <row r="3580" spans="1:12">
      <c r="A3580" s="19"/>
      <c r="B3580" s="7"/>
      <c r="C3580" s="175"/>
      <c r="D3580" s="175"/>
      <c r="E3580" s="175"/>
      <c r="F3580" s="229"/>
      <c r="G3580" s="229"/>
      <c r="H3580" s="229"/>
      <c r="I3580" s="72"/>
      <c r="J3580" s="185"/>
      <c r="K3580" s="205"/>
      <c r="L3580" s="7"/>
    </row>
    <row r="3581" spans="1:12">
      <c r="A3581" s="19"/>
      <c r="B3581" s="7"/>
      <c r="C3581" s="175"/>
      <c r="D3581" s="175"/>
      <c r="E3581" s="175"/>
      <c r="F3581" s="229"/>
      <c r="G3581" s="229"/>
      <c r="H3581" s="229"/>
      <c r="I3581" s="72"/>
      <c r="J3581" s="185"/>
      <c r="K3581" s="205"/>
      <c r="L3581" s="7"/>
    </row>
    <row r="3582" spans="1:12">
      <c r="A3582" s="19"/>
      <c r="B3582" s="7"/>
      <c r="C3582" s="175"/>
      <c r="D3582" s="175"/>
      <c r="E3582" s="175"/>
      <c r="F3582" s="229"/>
      <c r="G3582" s="229"/>
      <c r="H3582" s="229"/>
      <c r="I3582" s="72"/>
      <c r="J3582" s="185"/>
      <c r="K3582" s="205"/>
      <c r="L3582" s="7"/>
    </row>
    <row r="3583" spans="1:12">
      <c r="A3583" s="19"/>
      <c r="B3583" s="7"/>
      <c r="C3583" s="175"/>
      <c r="D3583" s="175"/>
      <c r="E3583" s="175"/>
      <c r="F3583" s="229"/>
      <c r="G3583" s="229"/>
      <c r="H3583" s="229"/>
      <c r="I3583" s="72"/>
      <c r="J3583" s="185"/>
      <c r="K3583" s="205"/>
      <c r="L3583" s="7"/>
    </row>
    <row r="3584" spans="1:12">
      <c r="A3584" s="21"/>
      <c r="B3584" s="21"/>
      <c r="C3584" s="175"/>
      <c r="D3584" s="175"/>
      <c r="E3584" s="175"/>
      <c r="F3584" s="232"/>
      <c r="G3584" s="232"/>
      <c r="H3584" s="232"/>
      <c r="I3584" s="63"/>
      <c r="J3584" s="190"/>
      <c r="K3584" s="208"/>
      <c r="L3584" s="7"/>
    </row>
    <row r="3585" spans="1:12">
      <c r="A3585" s="21"/>
      <c r="B3585" s="21"/>
      <c r="C3585" s="175"/>
      <c r="D3585" s="175"/>
      <c r="E3585" s="175"/>
      <c r="F3585" s="232"/>
      <c r="G3585" s="232"/>
      <c r="H3585" s="232"/>
      <c r="I3585" s="63"/>
      <c r="J3585" s="190"/>
      <c r="K3585" s="208"/>
      <c r="L3585" s="7"/>
    </row>
    <row r="3586" spans="1:12">
      <c r="A3586" s="21"/>
      <c r="B3586" s="21"/>
      <c r="C3586" s="175"/>
      <c r="D3586" s="175"/>
      <c r="E3586" s="175"/>
      <c r="F3586" s="232"/>
      <c r="G3586" s="232"/>
      <c r="H3586" s="232"/>
      <c r="I3586" s="63"/>
      <c r="J3586" s="190"/>
      <c r="K3586" s="208"/>
      <c r="L3586" s="7"/>
    </row>
    <row r="3587" spans="1:12">
      <c r="A3587" s="21"/>
      <c r="B3587" s="21"/>
      <c r="C3587" s="175"/>
      <c r="D3587" s="175"/>
      <c r="E3587" s="175"/>
      <c r="F3587" s="232"/>
      <c r="G3587" s="232"/>
      <c r="H3587" s="232"/>
      <c r="I3587" s="63"/>
      <c r="J3587" s="190"/>
      <c r="K3587" s="208"/>
      <c r="L3587" s="7"/>
    </row>
    <row r="3588" spans="1:12">
      <c r="A3588" s="19"/>
      <c r="B3588" s="7"/>
      <c r="C3588" s="175"/>
      <c r="D3588" s="175"/>
      <c r="E3588" s="175"/>
      <c r="F3588" s="229"/>
      <c r="G3588" s="229"/>
      <c r="H3588" s="229"/>
      <c r="I3588" s="72"/>
      <c r="J3588" s="185"/>
      <c r="K3588" s="205"/>
      <c r="L3588" s="7"/>
    </row>
    <row r="3589" spans="1:12">
      <c r="A3589" s="19"/>
      <c r="B3589" s="7"/>
      <c r="C3589" s="175"/>
      <c r="D3589" s="175"/>
      <c r="E3589" s="175"/>
      <c r="F3589" s="229"/>
      <c r="G3589" s="229"/>
      <c r="H3589" s="229"/>
      <c r="I3589" s="72"/>
      <c r="J3589" s="185"/>
      <c r="K3589" s="205"/>
      <c r="L3589" s="7"/>
    </row>
    <row r="3590" spans="1:12">
      <c r="A3590" s="19"/>
      <c r="B3590" s="7"/>
      <c r="C3590" s="175"/>
      <c r="D3590" s="175"/>
      <c r="E3590" s="175"/>
      <c r="F3590" s="229"/>
      <c r="G3590" s="229"/>
      <c r="H3590" s="229"/>
      <c r="I3590" s="72"/>
      <c r="J3590" s="185"/>
      <c r="K3590" s="205"/>
      <c r="L3590" s="7"/>
    </row>
    <row r="3591" spans="1:12">
      <c r="A3591" s="19"/>
      <c r="B3591" s="7"/>
      <c r="C3591" s="175"/>
      <c r="D3591" s="175"/>
      <c r="E3591" s="175"/>
      <c r="F3591" s="229"/>
      <c r="G3591" s="229"/>
      <c r="H3591" s="229"/>
      <c r="I3591" s="72"/>
      <c r="J3591" s="185"/>
      <c r="K3591" s="205"/>
      <c r="L3591" s="7"/>
    </row>
    <row r="3592" spans="1:12">
      <c r="A3592" s="19"/>
      <c r="B3592" s="7"/>
      <c r="C3592" s="175"/>
      <c r="D3592" s="175"/>
      <c r="E3592" s="175"/>
      <c r="F3592" s="229"/>
      <c r="G3592" s="229"/>
      <c r="H3592" s="229"/>
      <c r="I3592" s="72"/>
      <c r="J3592" s="185"/>
      <c r="K3592" s="205"/>
      <c r="L3592" s="7"/>
    </row>
    <row r="3593" spans="1:12">
      <c r="A3593" s="19"/>
      <c r="B3593" s="7"/>
      <c r="C3593" s="175"/>
      <c r="D3593" s="175"/>
      <c r="E3593" s="175"/>
      <c r="F3593" s="229"/>
      <c r="G3593" s="229"/>
      <c r="H3593" s="229"/>
      <c r="I3593" s="72"/>
      <c r="J3593" s="185"/>
      <c r="K3593" s="205"/>
      <c r="L3593" s="7"/>
    </row>
    <row r="3594" spans="1:12">
      <c r="A3594" s="19"/>
      <c r="B3594" s="7"/>
      <c r="C3594" s="175"/>
      <c r="D3594" s="175"/>
      <c r="E3594" s="175"/>
      <c r="F3594" s="229"/>
      <c r="G3594" s="229"/>
      <c r="H3594" s="229"/>
      <c r="I3594" s="72"/>
      <c r="J3594" s="185"/>
      <c r="K3594" s="205"/>
      <c r="L3594" s="7"/>
    </row>
    <row r="3595" spans="1:12">
      <c r="A3595" s="19"/>
      <c r="B3595" s="7"/>
      <c r="C3595" s="175"/>
      <c r="D3595" s="175"/>
      <c r="E3595" s="175"/>
      <c r="F3595" s="229"/>
      <c r="G3595" s="229"/>
      <c r="H3595" s="229"/>
      <c r="I3595" s="72"/>
      <c r="J3595" s="185"/>
      <c r="K3595" s="205"/>
      <c r="L3595" s="7"/>
    </row>
    <row r="3596" spans="1:12">
      <c r="A3596" s="19"/>
      <c r="B3596" s="7"/>
      <c r="C3596" s="175"/>
      <c r="D3596" s="175"/>
      <c r="E3596" s="175"/>
      <c r="F3596" s="229"/>
      <c r="G3596" s="229"/>
      <c r="H3596" s="229"/>
      <c r="I3596" s="72"/>
      <c r="J3596" s="185"/>
      <c r="K3596" s="205"/>
      <c r="L3596" s="7"/>
    </row>
    <row r="3597" spans="1:12">
      <c r="A3597" s="19"/>
      <c r="B3597" s="7"/>
      <c r="C3597" s="175"/>
      <c r="D3597" s="175"/>
      <c r="E3597" s="175"/>
      <c r="F3597" s="229"/>
      <c r="G3597" s="229"/>
      <c r="H3597" s="229"/>
      <c r="I3597" s="72"/>
      <c r="J3597" s="185"/>
      <c r="K3597" s="205"/>
      <c r="L3597" s="7"/>
    </row>
    <row r="3598" spans="1:12">
      <c r="A3598" s="19"/>
      <c r="B3598" s="7"/>
      <c r="C3598" s="175"/>
      <c r="D3598" s="175"/>
      <c r="E3598" s="175"/>
      <c r="F3598" s="229"/>
      <c r="G3598" s="229"/>
      <c r="H3598" s="229"/>
      <c r="I3598" s="72"/>
      <c r="J3598" s="185"/>
      <c r="K3598" s="205"/>
      <c r="L3598" s="7"/>
    </row>
    <row r="3599" spans="1:12">
      <c r="A3599" s="19"/>
      <c r="B3599" s="7"/>
      <c r="C3599" s="175"/>
      <c r="D3599" s="175"/>
      <c r="E3599" s="175"/>
      <c r="F3599" s="229"/>
      <c r="G3599" s="229"/>
      <c r="H3599" s="229"/>
      <c r="I3599" s="72"/>
      <c r="J3599" s="185"/>
      <c r="K3599" s="205"/>
      <c r="L3599" s="7"/>
    </row>
    <row r="3600" spans="1:12">
      <c r="A3600" s="19"/>
      <c r="B3600" s="7"/>
      <c r="C3600" s="175"/>
      <c r="D3600" s="175"/>
      <c r="E3600" s="175"/>
      <c r="F3600" s="229"/>
      <c r="G3600" s="229"/>
      <c r="H3600" s="229"/>
      <c r="I3600" s="72"/>
      <c r="J3600" s="185"/>
      <c r="K3600" s="205"/>
      <c r="L3600" s="7"/>
    </row>
    <row r="3601" spans="1:12">
      <c r="A3601" s="19"/>
      <c r="B3601" s="7"/>
      <c r="C3601" s="175"/>
      <c r="D3601" s="175"/>
      <c r="E3601" s="175"/>
      <c r="F3601" s="229"/>
      <c r="G3601" s="229"/>
      <c r="H3601" s="229"/>
      <c r="I3601" s="72"/>
      <c r="J3601" s="185"/>
      <c r="K3601" s="205"/>
      <c r="L3601" s="7"/>
    </row>
    <row r="3602" spans="1:12">
      <c r="A3602" s="19"/>
      <c r="B3602" s="7"/>
      <c r="C3602" s="175"/>
      <c r="D3602" s="175"/>
      <c r="E3602" s="175"/>
      <c r="F3602" s="229"/>
      <c r="G3602" s="229"/>
      <c r="H3602" s="229"/>
      <c r="I3602" s="72"/>
      <c r="J3602" s="185"/>
      <c r="K3602" s="205"/>
      <c r="L3602" s="7"/>
    </row>
    <row r="3603" spans="1:12">
      <c r="A3603" s="19"/>
      <c r="B3603" s="7"/>
      <c r="C3603" s="175"/>
      <c r="D3603" s="175"/>
      <c r="E3603" s="175"/>
      <c r="F3603" s="229"/>
      <c r="G3603" s="229"/>
      <c r="H3603" s="229"/>
      <c r="I3603" s="72"/>
      <c r="J3603" s="185"/>
      <c r="K3603" s="205"/>
      <c r="L3603" s="7"/>
    </row>
    <row r="3604" spans="1:12">
      <c r="A3604" s="19"/>
      <c r="B3604" s="7"/>
      <c r="C3604" s="175"/>
      <c r="D3604" s="175"/>
      <c r="E3604" s="175"/>
      <c r="F3604" s="229"/>
      <c r="G3604" s="229"/>
      <c r="H3604" s="229"/>
      <c r="I3604" s="72"/>
      <c r="J3604" s="185"/>
      <c r="K3604" s="205"/>
      <c r="L3604" s="7"/>
    </row>
    <row r="3605" spans="1:12">
      <c r="A3605" s="19"/>
      <c r="B3605" s="7"/>
      <c r="C3605" s="175"/>
      <c r="D3605" s="175"/>
      <c r="E3605" s="175"/>
      <c r="F3605" s="229"/>
      <c r="G3605" s="229"/>
      <c r="H3605" s="229"/>
      <c r="I3605" s="72"/>
      <c r="J3605" s="185"/>
      <c r="K3605" s="205"/>
      <c r="L3605" s="7"/>
    </row>
    <row r="3606" spans="1:12">
      <c r="A3606" s="19"/>
      <c r="B3606" s="7"/>
      <c r="C3606" s="175"/>
      <c r="D3606" s="175"/>
      <c r="E3606" s="175"/>
      <c r="F3606" s="229"/>
      <c r="G3606" s="229"/>
      <c r="H3606" s="229"/>
      <c r="I3606" s="72"/>
      <c r="J3606" s="185"/>
      <c r="K3606" s="205"/>
      <c r="L3606" s="7"/>
    </row>
    <row r="3607" spans="1:12">
      <c r="A3607" s="19"/>
      <c r="B3607" s="7"/>
      <c r="C3607" s="175"/>
      <c r="D3607" s="175"/>
      <c r="E3607" s="175"/>
      <c r="F3607" s="229"/>
      <c r="G3607" s="229"/>
      <c r="H3607" s="229"/>
      <c r="I3607" s="72"/>
      <c r="J3607" s="185"/>
      <c r="K3607" s="205"/>
      <c r="L3607" s="7"/>
    </row>
    <row r="3608" spans="1:12">
      <c r="A3608" s="21"/>
      <c r="B3608" s="21"/>
      <c r="C3608" s="175"/>
      <c r="D3608" s="175"/>
      <c r="E3608" s="175"/>
      <c r="F3608" s="232"/>
      <c r="G3608" s="232"/>
      <c r="H3608" s="232"/>
      <c r="I3608" s="63"/>
      <c r="J3608" s="190"/>
      <c r="K3608" s="208"/>
      <c r="L3608" s="7"/>
    </row>
    <row r="3609" spans="1:12">
      <c r="A3609" s="19"/>
      <c r="B3609" s="7"/>
      <c r="C3609" s="175"/>
      <c r="D3609" s="175"/>
      <c r="E3609" s="175"/>
      <c r="F3609" s="229"/>
      <c r="G3609" s="229"/>
      <c r="H3609" s="229"/>
      <c r="I3609" s="72"/>
      <c r="J3609" s="185"/>
      <c r="K3609" s="205"/>
      <c r="L3609" s="7"/>
    </row>
    <row r="3610" spans="1:12">
      <c r="A3610" s="19"/>
      <c r="B3610" s="7"/>
      <c r="C3610" s="175"/>
      <c r="D3610" s="175"/>
      <c r="E3610" s="175"/>
      <c r="F3610" s="229"/>
      <c r="G3610" s="229"/>
      <c r="H3610" s="229"/>
      <c r="I3610" s="72"/>
      <c r="J3610" s="185"/>
      <c r="K3610" s="205"/>
      <c r="L3610" s="7"/>
    </row>
    <row r="3611" spans="1:12">
      <c r="A3611" s="19"/>
      <c r="B3611" s="7"/>
      <c r="C3611" s="175"/>
      <c r="D3611" s="175"/>
      <c r="E3611" s="175"/>
      <c r="F3611" s="229"/>
      <c r="G3611" s="229"/>
      <c r="H3611" s="229"/>
      <c r="I3611" s="72"/>
      <c r="J3611" s="185"/>
      <c r="K3611" s="205"/>
      <c r="L3611" s="7"/>
    </row>
    <row r="3612" spans="1:12">
      <c r="A3612" s="19"/>
      <c r="B3612" s="7"/>
      <c r="C3612" s="175"/>
      <c r="D3612" s="175"/>
      <c r="E3612" s="175"/>
      <c r="F3612" s="229"/>
      <c r="G3612" s="229"/>
      <c r="H3612" s="229"/>
      <c r="I3612" s="72"/>
      <c r="J3612" s="185"/>
      <c r="K3612" s="205"/>
      <c r="L3612" s="7"/>
    </row>
    <row r="3613" spans="1:12">
      <c r="A3613" s="19"/>
      <c r="B3613" s="7"/>
      <c r="C3613" s="175"/>
      <c r="D3613" s="175"/>
      <c r="E3613" s="175"/>
      <c r="F3613" s="229"/>
      <c r="G3613" s="229"/>
      <c r="H3613" s="229"/>
      <c r="I3613" s="72"/>
      <c r="J3613" s="185"/>
      <c r="K3613" s="205"/>
      <c r="L3613" s="7"/>
    </row>
    <row r="3614" spans="1:12">
      <c r="A3614" s="19"/>
      <c r="B3614" s="7"/>
      <c r="C3614" s="175"/>
      <c r="D3614" s="175"/>
      <c r="E3614" s="175"/>
      <c r="F3614" s="229"/>
      <c r="G3614" s="229"/>
      <c r="H3614" s="229"/>
      <c r="I3614" s="72"/>
      <c r="J3614" s="185"/>
      <c r="K3614" s="205"/>
      <c r="L3614" s="7"/>
    </row>
    <row r="3615" spans="1:12">
      <c r="A3615" s="19"/>
      <c r="B3615" s="7"/>
      <c r="C3615" s="175"/>
      <c r="D3615" s="175"/>
      <c r="E3615" s="175"/>
      <c r="F3615" s="229"/>
      <c r="G3615" s="229"/>
      <c r="H3615" s="229"/>
      <c r="I3615" s="72"/>
      <c r="J3615" s="185"/>
      <c r="K3615" s="205"/>
      <c r="L3615" s="7"/>
    </row>
    <row r="3616" spans="1:12">
      <c r="A3616" s="19"/>
      <c r="B3616" s="7"/>
      <c r="C3616" s="175"/>
      <c r="D3616" s="175"/>
      <c r="E3616" s="175"/>
      <c r="F3616" s="229"/>
      <c r="G3616" s="229"/>
      <c r="H3616" s="229"/>
      <c r="I3616" s="72"/>
      <c r="J3616" s="185"/>
      <c r="K3616" s="205"/>
      <c r="L3616" s="7"/>
    </row>
    <row r="3617" spans="1:12">
      <c r="A3617" s="19"/>
      <c r="B3617" s="7"/>
      <c r="C3617" s="175"/>
      <c r="D3617" s="175"/>
      <c r="E3617" s="175"/>
      <c r="F3617" s="229"/>
      <c r="G3617" s="229"/>
      <c r="H3617" s="229"/>
      <c r="I3617" s="72"/>
      <c r="J3617" s="185"/>
      <c r="K3617" s="205"/>
      <c r="L3617" s="7"/>
    </row>
    <row r="3618" spans="1:12">
      <c r="A3618" s="19"/>
      <c r="B3618" s="7"/>
      <c r="C3618" s="175"/>
      <c r="D3618" s="175"/>
      <c r="E3618" s="175"/>
      <c r="F3618" s="229"/>
      <c r="G3618" s="229"/>
      <c r="H3618" s="229"/>
      <c r="I3618" s="72"/>
      <c r="J3618" s="185"/>
      <c r="K3618" s="205"/>
      <c r="L3618" s="7"/>
    </row>
    <row r="3619" spans="1:12">
      <c r="A3619" s="19"/>
      <c r="B3619" s="7"/>
      <c r="C3619" s="175"/>
      <c r="D3619" s="175"/>
      <c r="E3619" s="175"/>
      <c r="F3619" s="229"/>
      <c r="G3619" s="229"/>
      <c r="H3619" s="229"/>
      <c r="I3619" s="72"/>
      <c r="J3619" s="185"/>
      <c r="K3619" s="205"/>
      <c r="L3619" s="7"/>
    </row>
    <row r="3620" spans="1:12">
      <c r="A3620" s="21"/>
      <c r="B3620" s="21"/>
      <c r="C3620" s="175"/>
      <c r="D3620" s="175"/>
      <c r="E3620" s="175"/>
      <c r="F3620" s="232"/>
      <c r="G3620" s="232"/>
      <c r="H3620" s="232"/>
      <c r="I3620" s="63"/>
      <c r="J3620" s="190"/>
      <c r="K3620" s="208"/>
      <c r="L3620" s="7"/>
    </row>
    <row r="3621" spans="1:12">
      <c r="A3621" s="21"/>
      <c r="B3621" s="21"/>
      <c r="C3621" s="175"/>
      <c r="D3621" s="175"/>
      <c r="E3621" s="175"/>
      <c r="F3621" s="232"/>
      <c r="G3621" s="232"/>
      <c r="H3621" s="232"/>
      <c r="I3621" s="63"/>
      <c r="J3621" s="190"/>
      <c r="K3621" s="208"/>
      <c r="L3621" s="7"/>
    </row>
    <row r="3622" spans="1:12">
      <c r="A3622" s="21"/>
      <c r="B3622" s="21"/>
      <c r="C3622" s="175"/>
      <c r="D3622" s="175"/>
      <c r="E3622" s="175"/>
      <c r="F3622" s="232"/>
      <c r="G3622" s="232"/>
      <c r="H3622" s="232"/>
      <c r="I3622" s="63"/>
      <c r="J3622" s="190"/>
      <c r="K3622" s="208"/>
      <c r="L3622" s="7"/>
    </row>
    <row r="3623" spans="1:12">
      <c r="A3623" s="21"/>
      <c r="B3623" s="21"/>
      <c r="C3623" s="175"/>
      <c r="D3623" s="175"/>
      <c r="E3623" s="175"/>
      <c r="F3623" s="232"/>
      <c r="G3623" s="232"/>
      <c r="H3623" s="232"/>
      <c r="I3623" s="63"/>
      <c r="J3623" s="190"/>
      <c r="K3623" s="208"/>
      <c r="L3623" s="7"/>
    </row>
    <row r="3624" spans="1:12">
      <c r="A3624" s="36"/>
      <c r="B3624" s="37"/>
      <c r="C3624" s="175"/>
      <c r="D3624" s="175"/>
      <c r="E3624" s="175"/>
      <c r="F3624" s="229"/>
      <c r="G3624" s="229"/>
      <c r="H3624" s="229"/>
      <c r="I3624" s="72"/>
      <c r="J3624" s="185"/>
      <c r="K3624" s="205"/>
      <c r="L3624" s="7"/>
    </row>
    <row r="3625" spans="1:12">
      <c r="A3625" s="36"/>
      <c r="B3625" s="37"/>
      <c r="C3625" s="175"/>
      <c r="D3625" s="175"/>
      <c r="E3625" s="175"/>
      <c r="F3625" s="229"/>
      <c r="G3625" s="229"/>
      <c r="H3625" s="229"/>
      <c r="I3625" s="72"/>
      <c r="J3625" s="185"/>
      <c r="K3625" s="205"/>
      <c r="L3625" s="7"/>
    </row>
    <row r="3626" spans="1:12">
      <c r="A3626" s="36"/>
      <c r="B3626" s="37"/>
      <c r="C3626" s="175"/>
      <c r="D3626" s="175"/>
      <c r="E3626" s="175"/>
      <c r="F3626" s="229"/>
      <c r="G3626" s="229"/>
      <c r="H3626" s="229"/>
      <c r="I3626" s="72"/>
      <c r="J3626" s="185"/>
      <c r="K3626" s="205"/>
      <c r="L3626" s="7"/>
    </row>
    <row r="3627" spans="1:12">
      <c r="A3627" s="36"/>
      <c r="B3627" s="37"/>
      <c r="C3627" s="175"/>
      <c r="D3627" s="175"/>
      <c r="E3627" s="175"/>
      <c r="F3627" s="229"/>
      <c r="G3627" s="229"/>
      <c r="H3627" s="229"/>
      <c r="I3627" s="72"/>
      <c r="J3627" s="185"/>
      <c r="K3627" s="205"/>
      <c r="L3627" s="7"/>
    </row>
    <row r="3628" spans="1:12">
      <c r="A3628" s="36"/>
      <c r="B3628" s="37"/>
      <c r="C3628" s="175"/>
      <c r="D3628" s="175"/>
      <c r="E3628" s="175"/>
      <c r="F3628" s="229"/>
      <c r="G3628" s="229"/>
      <c r="H3628" s="229"/>
      <c r="I3628" s="72"/>
      <c r="J3628" s="185"/>
      <c r="K3628" s="205"/>
      <c r="L3628" s="7"/>
    </row>
    <row r="3629" spans="1:12">
      <c r="A3629" s="36"/>
      <c r="B3629" s="37"/>
      <c r="C3629" s="175"/>
      <c r="D3629" s="175"/>
      <c r="E3629" s="175"/>
      <c r="F3629" s="229"/>
      <c r="G3629" s="229"/>
      <c r="H3629" s="229"/>
      <c r="I3629" s="72"/>
      <c r="J3629" s="185"/>
      <c r="K3629" s="205"/>
      <c r="L3629" s="7"/>
    </row>
    <row r="3630" spans="1:12">
      <c r="A3630" s="36"/>
      <c r="B3630" s="37"/>
      <c r="C3630" s="175"/>
      <c r="D3630" s="175"/>
      <c r="E3630" s="175"/>
      <c r="F3630" s="229"/>
      <c r="G3630" s="229"/>
      <c r="H3630" s="229"/>
      <c r="I3630" s="72"/>
      <c r="J3630" s="185"/>
      <c r="K3630" s="205"/>
      <c r="L3630" s="7"/>
    </row>
    <row r="3631" spans="1:12">
      <c r="A3631" s="36"/>
      <c r="B3631" s="37"/>
      <c r="C3631" s="175"/>
      <c r="D3631" s="175"/>
      <c r="E3631" s="175"/>
      <c r="F3631" s="229"/>
      <c r="G3631" s="229"/>
      <c r="H3631" s="229"/>
      <c r="I3631" s="72"/>
      <c r="J3631" s="185"/>
      <c r="K3631" s="205"/>
      <c r="L3631" s="7"/>
    </row>
    <row r="3632" spans="1:12">
      <c r="A3632" s="36"/>
      <c r="B3632" s="37"/>
      <c r="C3632" s="175"/>
      <c r="D3632" s="175"/>
      <c r="E3632" s="175"/>
      <c r="F3632" s="229"/>
      <c r="G3632" s="229"/>
      <c r="H3632" s="229"/>
      <c r="I3632" s="72"/>
      <c r="J3632" s="185"/>
      <c r="K3632" s="205"/>
      <c r="L3632" s="7"/>
    </row>
    <row r="3633" spans="1:12">
      <c r="A3633" s="36"/>
      <c r="B3633" s="37"/>
      <c r="C3633" s="175"/>
      <c r="D3633" s="175"/>
      <c r="E3633" s="175"/>
      <c r="F3633" s="229"/>
      <c r="G3633" s="229"/>
      <c r="H3633" s="229"/>
      <c r="I3633" s="72"/>
      <c r="J3633" s="185"/>
      <c r="K3633" s="205"/>
      <c r="L3633" s="7"/>
    </row>
    <row r="3634" spans="1:12">
      <c r="A3634" s="36"/>
      <c r="B3634" s="37"/>
      <c r="C3634" s="175"/>
      <c r="D3634" s="175"/>
      <c r="E3634" s="175"/>
      <c r="F3634" s="229"/>
      <c r="G3634" s="229"/>
      <c r="H3634" s="229"/>
      <c r="I3634" s="72"/>
      <c r="J3634" s="185"/>
      <c r="K3634" s="205"/>
      <c r="L3634" s="7"/>
    </row>
    <row r="3635" spans="1:12">
      <c r="A3635" s="36"/>
      <c r="B3635" s="37"/>
      <c r="C3635" s="175"/>
      <c r="D3635" s="175"/>
      <c r="E3635" s="175"/>
      <c r="F3635" s="229"/>
      <c r="G3635" s="229"/>
      <c r="H3635" s="229"/>
      <c r="I3635" s="72"/>
      <c r="J3635" s="185"/>
      <c r="K3635" s="205"/>
      <c r="L3635" s="7"/>
    </row>
    <row r="3636" spans="1:12">
      <c r="A3636" s="36"/>
      <c r="B3636" s="37"/>
      <c r="C3636" s="175"/>
      <c r="D3636" s="175"/>
      <c r="E3636" s="175"/>
      <c r="F3636" s="229"/>
      <c r="G3636" s="229"/>
      <c r="H3636" s="229"/>
      <c r="I3636" s="72"/>
      <c r="J3636" s="185"/>
      <c r="K3636" s="205"/>
      <c r="L3636" s="7"/>
    </row>
    <row r="3637" spans="1:12">
      <c r="A3637" s="36"/>
      <c r="B3637" s="37"/>
      <c r="C3637" s="175"/>
      <c r="D3637" s="175"/>
      <c r="E3637" s="175"/>
      <c r="F3637" s="229"/>
      <c r="G3637" s="229"/>
      <c r="H3637" s="229"/>
      <c r="I3637" s="72"/>
      <c r="J3637" s="185"/>
      <c r="K3637" s="205"/>
      <c r="L3637" s="7"/>
    </row>
    <row r="3638" spans="1:12">
      <c r="A3638" s="36"/>
      <c r="B3638" s="37"/>
      <c r="C3638" s="175"/>
      <c r="D3638" s="175"/>
      <c r="E3638" s="175"/>
      <c r="F3638" s="229"/>
      <c r="G3638" s="229"/>
      <c r="H3638" s="229"/>
      <c r="I3638" s="72"/>
      <c r="J3638" s="185"/>
      <c r="K3638" s="205"/>
      <c r="L3638" s="7"/>
    </row>
    <row r="3639" spans="1:12">
      <c r="A3639" s="36"/>
      <c r="B3639" s="37"/>
      <c r="C3639" s="175"/>
      <c r="D3639" s="175"/>
      <c r="E3639" s="175"/>
      <c r="F3639" s="229"/>
      <c r="G3639" s="229"/>
      <c r="H3639" s="229"/>
      <c r="I3639" s="72"/>
      <c r="J3639" s="185"/>
      <c r="K3639" s="205"/>
      <c r="L3639" s="7"/>
    </row>
    <row r="3640" spans="1:12">
      <c r="A3640" s="21"/>
      <c r="B3640" s="21"/>
      <c r="C3640" s="175"/>
      <c r="D3640" s="175"/>
      <c r="E3640" s="175"/>
      <c r="F3640" s="232"/>
      <c r="G3640" s="232"/>
      <c r="H3640" s="232"/>
      <c r="I3640" s="63"/>
      <c r="J3640" s="190"/>
      <c r="K3640" s="208"/>
      <c r="L3640" s="7"/>
    </row>
    <row r="3641" spans="1:12">
      <c r="A3641" s="36"/>
      <c r="B3641" s="37"/>
      <c r="C3641" s="175"/>
      <c r="D3641" s="175"/>
      <c r="E3641" s="175"/>
      <c r="F3641" s="229"/>
      <c r="G3641" s="229"/>
      <c r="H3641" s="229"/>
      <c r="I3641" s="72"/>
      <c r="J3641" s="185"/>
      <c r="K3641" s="205"/>
      <c r="L3641" s="7"/>
    </row>
    <row r="3642" spans="1:12">
      <c r="A3642" s="36"/>
      <c r="B3642" s="37"/>
      <c r="C3642" s="175"/>
      <c r="D3642" s="175"/>
      <c r="E3642" s="175"/>
      <c r="F3642" s="229"/>
      <c r="G3642" s="229"/>
      <c r="H3642" s="229"/>
      <c r="I3642" s="72"/>
      <c r="J3642" s="185"/>
      <c r="K3642" s="205"/>
      <c r="L3642" s="7"/>
    </row>
    <row r="3643" spans="1:12">
      <c r="A3643" s="36"/>
      <c r="B3643" s="37"/>
      <c r="C3643" s="175"/>
      <c r="D3643" s="175"/>
      <c r="E3643" s="175"/>
      <c r="F3643" s="229"/>
      <c r="G3643" s="229"/>
      <c r="H3643" s="229"/>
      <c r="I3643" s="72"/>
      <c r="J3643" s="185"/>
      <c r="K3643" s="205"/>
      <c r="L3643" s="7"/>
    </row>
    <row r="3644" spans="1:12">
      <c r="A3644" s="36"/>
      <c r="B3644" s="37"/>
      <c r="C3644" s="175"/>
      <c r="D3644" s="175"/>
      <c r="E3644" s="175"/>
      <c r="F3644" s="229"/>
      <c r="G3644" s="229"/>
      <c r="H3644" s="229"/>
      <c r="I3644" s="72"/>
      <c r="J3644" s="185"/>
      <c r="K3644" s="205"/>
      <c r="L3644" s="7"/>
    </row>
    <row r="3645" spans="1:12">
      <c r="A3645" s="36"/>
      <c r="B3645" s="37"/>
      <c r="C3645" s="175"/>
      <c r="D3645" s="175"/>
      <c r="E3645" s="175"/>
      <c r="F3645" s="229"/>
      <c r="G3645" s="229"/>
      <c r="H3645" s="229"/>
      <c r="I3645" s="72"/>
      <c r="J3645" s="185"/>
      <c r="K3645" s="205"/>
      <c r="L3645" s="7"/>
    </row>
    <row r="3646" spans="1:12">
      <c r="A3646" s="36"/>
      <c r="B3646" s="37"/>
      <c r="C3646" s="175"/>
      <c r="D3646" s="175"/>
      <c r="E3646" s="175"/>
      <c r="F3646" s="229"/>
      <c r="G3646" s="229"/>
      <c r="H3646" s="229"/>
      <c r="I3646" s="72"/>
      <c r="J3646" s="185"/>
      <c r="K3646" s="205"/>
      <c r="L3646" s="7"/>
    </row>
    <row r="3647" spans="1:12">
      <c r="A3647" s="21"/>
      <c r="B3647" s="21"/>
      <c r="C3647" s="175"/>
      <c r="D3647" s="175"/>
      <c r="E3647" s="175"/>
      <c r="F3647" s="232"/>
      <c r="G3647" s="232"/>
      <c r="H3647" s="232"/>
      <c r="I3647" s="63"/>
      <c r="J3647" s="190"/>
      <c r="K3647" s="208"/>
      <c r="L3647" s="7"/>
    </row>
    <row r="3648" spans="1:12">
      <c r="A3648" s="21"/>
      <c r="B3648" s="21"/>
      <c r="C3648" s="175"/>
      <c r="D3648" s="175"/>
      <c r="E3648" s="175"/>
      <c r="F3648" s="232"/>
      <c r="G3648" s="232"/>
      <c r="H3648" s="232"/>
      <c r="I3648" s="63"/>
      <c r="J3648" s="190"/>
      <c r="K3648" s="208"/>
      <c r="L3648" s="7"/>
    </row>
    <row r="3649" spans="1:12">
      <c r="A3649" s="21"/>
      <c r="B3649" s="21"/>
      <c r="C3649" s="175"/>
      <c r="D3649" s="175"/>
      <c r="E3649" s="175"/>
      <c r="F3649" s="232"/>
      <c r="G3649" s="232"/>
      <c r="H3649" s="232"/>
      <c r="I3649" s="63"/>
      <c r="J3649" s="190"/>
      <c r="K3649" s="208"/>
      <c r="L3649" s="7"/>
    </row>
    <row r="3650" spans="1:12">
      <c r="A3650" s="21"/>
      <c r="B3650" s="21"/>
      <c r="C3650" s="175"/>
      <c r="D3650" s="175"/>
      <c r="E3650" s="175"/>
      <c r="F3650" s="232"/>
      <c r="G3650" s="232"/>
      <c r="H3650" s="232"/>
      <c r="I3650" s="63"/>
      <c r="J3650" s="190"/>
      <c r="K3650" s="208"/>
      <c r="L3650" s="7"/>
    </row>
    <row r="3651" spans="1:12">
      <c r="A3651" s="21"/>
      <c r="B3651" s="21"/>
      <c r="C3651" s="175"/>
      <c r="D3651" s="175"/>
      <c r="E3651" s="175"/>
      <c r="F3651" s="232"/>
      <c r="G3651" s="232"/>
      <c r="H3651" s="232"/>
      <c r="I3651" s="63"/>
      <c r="J3651" s="190"/>
      <c r="K3651" s="208"/>
      <c r="L3651" s="7"/>
    </row>
    <row r="3652" spans="1:12">
      <c r="A3652" s="36"/>
      <c r="B3652" s="37"/>
      <c r="C3652" s="175"/>
      <c r="D3652" s="175"/>
      <c r="E3652" s="175"/>
      <c r="F3652" s="229"/>
      <c r="G3652" s="229"/>
      <c r="H3652" s="229"/>
      <c r="I3652" s="72"/>
      <c r="J3652" s="185"/>
      <c r="K3652" s="205"/>
      <c r="L3652" s="7"/>
    </row>
    <row r="3653" spans="1:12">
      <c r="A3653" s="36"/>
      <c r="B3653" s="37"/>
      <c r="C3653" s="175"/>
      <c r="D3653" s="175"/>
      <c r="E3653" s="175"/>
      <c r="F3653" s="229"/>
      <c r="G3653" s="229"/>
      <c r="H3653" s="229"/>
      <c r="I3653" s="72"/>
      <c r="J3653" s="185"/>
      <c r="K3653" s="205"/>
      <c r="L3653" s="7"/>
    </row>
    <row r="3654" spans="1:12">
      <c r="A3654" s="36"/>
      <c r="B3654" s="37"/>
      <c r="C3654" s="175"/>
      <c r="D3654" s="175"/>
      <c r="E3654" s="175"/>
      <c r="F3654" s="229"/>
      <c r="G3654" s="229"/>
      <c r="H3654" s="229"/>
      <c r="I3654" s="72"/>
      <c r="J3654" s="185"/>
      <c r="K3654" s="205"/>
      <c r="L3654" s="7"/>
    </row>
    <row r="3655" spans="1:12">
      <c r="A3655" s="36"/>
      <c r="B3655" s="37"/>
      <c r="C3655" s="175"/>
      <c r="D3655" s="175"/>
      <c r="E3655" s="175"/>
      <c r="F3655" s="229"/>
      <c r="G3655" s="229"/>
      <c r="H3655" s="229"/>
      <c r="I3655" s="72"/>
      <c r="J3655" s="185"/>
      <c r="K3655" s="205"/>
      <c r="L3655" s="7"/>
    </row>
    <row r="3656" spans="1:12">
      <c r="A3656" s="36"/>
      <c r="B3656" s="37"/>
      <c r="C3656" s="175"/>
      <c r="D3656" s="175"/>
      <c r="E3656" s="175"/>
      <c r="F3656" s="229"/>
      <c r="G3656" s="229"/>
      <c r="H3656" s="229"/>
      <c r="I3656" s="72"/>
      <c r="J3656" s="185"/>
      <c r="K3656" s="205"/>
      <c r="L3656" s="7"/>
    </row>
    <row r="3657" spans="1:12">
      <c r="A3657" s="36"/>
      <c r="B3657" s="37"/>
      <c r="C3657" s="175"/>
      <c r="D3657" s="175"/>
      <c r="E3657" s="175"/>
      <c r="F3657" s="229"/>
      <c r="G3657" s="229"/>
      <c r="H3657" s="229"/>
      <c r="I3657" s="72"/>
      <c r="J3657" s="185"/>
      <c r="K3657" s="205"/>
      <c r="L3657" s="7"/>
    </row>
    <row r="3658" spans="1:12">
      <c r="A3658" s="36"/>
      <c r="B3658" s="37"/>
      <c r="C3658" s="175"/>
      <c r="D3658" s="175"/>
      <c r="E3658" s="175"/>
      <c r="F3658" s="229"/>
      <c r="G3658" s="229"/>
      <c r="H3658" s="229"/>
      <c r="I3658" s="72"/>
      <c r="J3658" s="185"/>
      <c r="K3658" s="205"/>
      <c r="L3658" s="7"/>
    </row>
    <row r="3659" spans="1:12">
      <c r="A3659" s="36"/>
      <c r="B3659" s="37"/>
      <c r="C3659" s="175"/>
      <c r="D3659" s="175"/>
      <c r="E3659" s="175"/>
      <c r="F3659" s="229"/>
      <c r="G3659" s="229"/>
      <c r="H3659" s="229"/>
      <c r="I3659" s="72"/>
      <c r="J3659" s="185"/>
      <c r="K3659" s="205"/>
      <c r="L3659" s="7"/>
    </row>
    <row r="3660" spans="1:12">
      <c r="A3660" s="36"/>
      <c r="B3660" s="37"/>
      <c r="C3660" s="175"/>
      <c r="D3660" s="175"/>
      <c r="E3660" s="175"/>
      <c r="F3660" s="229"/>
      <c r="G3660" s="229"/>
      <c r="H3660" s="229"/>
      <c r="I3660" s="72"/>
      <c r="J3660" s="185"/>
      <c r="K3660" s="205"/>
      <c r="L3660" s="7"/>
    </row>
    <row r="3661" spans="1:12">
      <c r="A3661" s="36"/>
      <c r="B3661" s="37"/>
      <c r="C3661" s="175"/>
      <c r="D3661" s="175"/>
      <c r="E3661" s="175"/>
      <c r="F3661" s="229"/>
      <c r="G3661" s="229"/>
      <c r="H3661" s="229"/>
      <c r="I3661" s="72"/>
      <c r="J3661" s="185"/>
      <c r="K3661" s="205"/>
      <c r="L3661" s="7"/>
    </row>
    <row r="3662" spans="1:12">
      <c r="A3662" s="36"/>
      <c r="B3662" s="37"/>
      <c r="C3662" s="175"/>
      <c r="D3662" s="175"/>
      <c r="E3662" s="175"/>
      <c r="F3662" s="229"/>
      <c r="G3662" s="229"/>
      <c r="H3662" s="229"/>
      <c r="I3662" s="72"/>
      <c r="J3662" s="185"/>
      <c r="K3662" s="205"/>
      <c r="L3662" s="7"/>
    </row>
    <row r="3663" spans="1:12">
      <c r="A3663" s="36"/>
      <c r="B3663" s="37"/>
      <c r="C3663" s="175"/>
      <c r="D3663" s="175"/>
      <c r="E3663" s="175"/>
      <c r="F3663" s="229"/>
      <c r="G3663" s="229"/>
      <c r="H3663" s="229"/>
      <c r="I3663" s="72"/>
      <c r="J3663" s="185"/>
      <c r="K3663" s="205"/>
      <c r="L3663" s="7"/>
    </row>
    <row r="3664" spans="1:12">
      <c r="A3664" s="36"/>
      <c r="B3664" s="37"/>
      <c r="C3664" s="175"/>
      <c r="D3664" s="175"/>
      <c r="E3664" s="175"/>
      <c r="F3664" s="229"/>
      <c r="G3664" s="229"/>
      <c r="H3664" s="229"/>
      <c r="I3664" s="72"/>
      <c r="J3664" s="185"/>
      <c r="K3664" s="205"/>
      <c r="L3664" s="7"/>
    </row>
    <row r="3665" spans="1:12">
      <c r="A3665" s="36"/>
      <c r="B3665" s="37"/>
      <c r="C3665" s="175"/>
      <c r="D3665" s="175"/>
      <c r="E3665" s="175"/>
      <c r="F3665" s="229"/>
      <c r="G3665" s="229"/>
      <c r="H3665" s="229"/>
      <c r="I3665" s="72"/>
      <c r="J3665" s="185"/>
      <c r="K3665" s="205"/>
      <c r="L3665" s="7"/>
    </row>
    <row r="3666" spans="1:12">
      <c r="A3666" s="36"/>
      <c r="B3666" s="37"/>
      <c r="C3666" s="175"/>
      <c r="D3666" s="175"/>
      <c r="E3666" s="175"/>
      <c r="F3666" s="229"/>
      <c r="G3666" s="229"/>
      <c r="H3666" s="229"/>
      <c r="I3666" s="72"/>
      <c r="J3666" s="185"/>
      <c r="K3666" s="205"/>
      <c r="L3666" s="7"/>
    </row>
    <row r="3667" spans="1:12">
      <c r="A3667" s="36"/>
      <c r="B3667" s="37"/>
      <c r="C3667" s="175"/>
      <c r="D3667" s="175"/>
      <c r="E3667" s="175"/>
      <c r="F3667" s="229"/>
      <c r="G3667" s="229"/>
      <c r="H3667" s="229"/>
      <c r="I3667" s="72"/>
      <c r="J3667" s="185"/>
      <c r="K3667" s="205"/>
      <c r="L3667" s="7"/>
    </row>
    <row r="3668" spans="1:12">
      <c r="A3668" s="36"/>
      <c r="B3668" s="37"/>
      <c r="C3668" s="175"/>
      <c r="D3668" s="175"/>
      <c r="E3668" s="175"/>
      <c r="F3668" s="229"/>
      <c r="G3668" s="229"/>
      <c r="H3668" s="229"/>
      <c r="I3668" s="72"/>
      <c r="J3668" s="185"/>
      <c r="K3668" s="205"/>
      <c r="L3668" s="7"/>
    </row>
    <row r="3669" spans="1:12">
      <c r="A3669" s="36"/>
      <c r="B3669" s="37"/>
      <c r="C3669" s="175"/>
      <c r="D3669" s="175"/>
      <c r="E3669" s="175"/>
      <c r="F3669" s="229"/>
      <c r="G3669" s="229"/>
      <c r="H3669" s="229"/>
      <c r="I3669" s="72"/>
      <c r="J3669" s="185"/>
      <c r="K3669" s="205"/>
      <c r="L3669" s="7"/>
    </row>
    <row r="3670" spans="1:12">
      <c r="A3670" s="21"/>
      <c r="B3670" s="21"/>
      <c r="C3670" s="175"/>
      <c r="D3670" s="175"/>
      <c r="E3670" s="175"/>
      <c r="F3670" s="232"/>
      <c r="G3670" s="232"/>
      <c r="H3670" s="232"/>
      <c r="I3670" s="63"/>
      <c r="J3670" s="190"/>
      <c r="K3670" s="208"/>
      <c r="L3670" s="7"/>
    </row>
    <row r="3671" spans="1:12">
      <c r="A3671" s="36"/>
      <c r="B3671" s="37"/>
      <c r="C3671" s="175"/>
      <c r="D3671" s="175"/>
      <c r="E3671" s="175"/>
      <c r="F3671" s="229"/>
      <c r="G3671" s="229"/>
      <c r="H3671" s="229"/>
      <c r="I3671" s="72"/>
      <c r="J3671" s="185"/>
      <c r="K3671" s="205"/>
      <c r="L3671" s="7"/>
    </row>
    <row r="3672" spans="1:12">
      <c r="A3672" s="36"/>
      <c r="B3672" s="37"/>
      <c r="C3672" s="175"/>
      <c r="D3672" s="175"/>
      <c r="E3672" s="175"/>
      <c r="F3672" s="229"/>
      <c r="G3672" s="229"/>
      <c r="H3672" s="229"/>
      <c r="I3672" s="72"/>
      <c r="J3672" s="185"/>
      <c r="K3672" s="205"/>
      <c r="L3672" s="7"/>
    </row>
    <row r="3673" spans="1:12">
      <c r="A3673" s="36"/>
      <c r="B3673" s="37"/>
      <c r="C3673" s="175"/>
      <c r="D3673" s="175"/>
      <c r="E3673" s="175"/>
      <c r="F3673" s="229"/>
      <c r="G3673" s="229"/>
      <c r="H3673" s="229"/>
      <c r="I3673" s="72"/>
      <c r="J3673" s="185"/>
      <c r="K3673" s="205"/>
      <c r="L3673" s="7"/>
    </row>
    <row r="3674" spans="1:12">
      <c r="A3674" s="36"/>
      <c r="B3674" s="37"/>
      <c r="C3674" s="175"/>
      <c r="D3674" s="175"/>
      <c r="E3674" s="175"/>
      <c r="F3674" s="229"/>
      <c r="G3674" s="229"/>
      <c r="H3674" s="229"/>
      <c r="I3674" s="72"/>
      <c r="J3674" s="185"/>
      <c r="K3674" s="205"/>
      <c r="L3674" s="7"/>
    </row>
    <row r="3675" spans="1:12">
      <c r="A3675" s="36"/>
      <c r="B3675" s="37"/>
      <c r="C3675" s="175"/>
      <c r="D3675" s="175"/>
      <c r="E3675" s="175"/>
      <c r="F3675" s="229"/>
      <c r="G3675" s="229"/>
      <c r="H3675" s="229"/>
      <c r="I3675" s="72"/>
      <c r="J3675" s="185"/>
      <c r="K3675" s="205"/>
      <c r="L3675" s="7"/>
    </row>
    <row r="3676" spans="1:12">
      <c r="A3676" s="36"/>
      <c r="B3676" s="37"/>
      <c r="C3676" s="175"/>
      <c r="D3676" s="175"/>
      <c r="E3676" s="175"/>
      <c r="F3676" s="229"/>
      <c r="G3676" s="229"/>
      <c r="H3676" s="229"/>
      <c r="I3676" s="72"/>
      <c r="J3676" s="185"/>
      <c r="K3676" s="205"/>
      <c r="L3676" s="7"/>
    </row>
    <row r="3677" spans="1:12">
      <c r="A3677" s="21"/>
      <c r="B3677" s="21"/>
      <c r="C3677" s="175"/>
      <c r="D3677" s="175"/>
      <c r="E3677" s="175"/>
      <c r="F3677" s="232"/>
      <c r="G3677" s="232"/>
      <c r="H3677" s="232"/>
      <c r="I3677" s="63"/>
      <c r="J3677" s="190"/>
      <c r="K3677" s="208"/>
      <c r="L3677" s="7"/>
    </row>
    <row r="3678" spans="1:12">
      <c r="A3678" s="21"/>
      <c r="B3678" s="21"/>
      <c r="C3678" s="175"/>
      <c r="D3678" s="175"/>
      <c r="E3678" s="175"/>
      <c r="F3678" s="232"/>
      <c r="G3678" s="232"/>
      <c r="H3678" s="232"/>
      <c r="I3678" s="63"/>
      <c r="J3678" s="190"/>
      <c r="K3678" s="208"/>
      <c r="L3678" s="7"/>
    </row>
    <row r="3679" spans="1:12">
      <c r="A3679" s="21"/>
      <c r="B3679" s="21"/>
      <c r="C3679" s="175"/>
      <c r="D3679" s="175"/>
      <c r="E3679" s="175"/>
      <c r="F3679" s="232"/>
      <c r="G3679" s="232"/>
      <c r="H3679" s="232"/>
      <c r="I3679" s="63"/>
      <c r="J3679" s="190"/>
      <c r="K3679" s="208"/>
      <c r="L3679" s="7"/>
    </row>
    <row r="3680" spans="1:12">
      <c r="A3680" s="21"/>
      <c r="B3680" s="21"/>
      <c r="C3680" s="175"/>
      <c r="D3680" s="175"/>
      <c r="E3680" s="175"/>
      <c r="F3680" s="232"/>
      <c r="G3680" s="232"/>
      <c r="H3680" s="232"/>
      <c r="I3680" s="63"/>
      <c r="J3680" s="190"/>
      <c r="K3680" s="208"/>
      <c r="L3680" s="7"/>
    </row>
    <row r="3681" spans="1:12">
      <c r="A3681" s="36"/>
      <c r="B3681" s="37"/>
      <c r="C3681" s="179"/>
      <c r="D3681" s="179"/>
      <c r="E3681" s="179"/>
      <c r="F3681" s="235"/>
      <c r="G3681" s="235"/>
      <c r="H3681" s="235"/>
      <c r="I3681" s="79"/>
      <c r="J3681" s="185"/>
      <c r="K3681" s="216"/>
      <c r="L3681" s="7"/>
    </row>
    <row r="3682" spans="1:12">
      <c r="A3682" s="36"/>
      <c r="B3682" s="37"/>
      <c r="C3682" s="179"/>
      <c r="D3682" s="179"/>
      <c r="E3682" s="179"/>
      <c r="F3682" s="235"/>
      <c r="G3682" s="235"/>
      <c r="H3682" s="235"/>
      <c r="I3682" s="79"/>
      <c r="J3682" s="185"/>
      <c r="K3682" s="216"/>
      <c r="L3682" s="7"/>
    </row>
    <row r="3683" spans="1:12">
      <c r="A3683" s="36"/>
      <c r="B3683" s="37"/>
      <c r="C3683" s="179"/>
      <c r="D3683" s="179"/>
      <c r="E3683" s="179"/>
      <c r="F3683" s="235"/>
      <c r="G3683" s="235"/>
      <c r="H3683" s="235"/>
      <c r="I3683" s="79"/>
      <c r="J3683" s="185"/>
      <c r="K3683" s="216"/>
      <c r="L3683" s="7"/>
    </row>
    <row r="3684" spans="1:12">
      <c r="A3684" s="36"/>
      <c r="B3684" s="37"/>
      <c r="C3684" s="179"/>
      <c r="D3684" s="179"/>
      <c r="E3684" s="179"/>
      <c r="F3684" s="235"/>
      <c r="G3684" s="235"/>
      <c r="H3684" s="235"/>
      <c r="I3684" s="79"/>
      <c r="J3684" s="185"/>
      <c r="K3684" s="216"/>
      <c r="L3684" s="7"/>
    </row>
    <row r="3685" spans="1:12">
      <c r="A3685" s="36"/>
      <c r="B3685" s="37"/>
      <c r="C3685" s="179"/>
      <c r="D3685" s="179"/>
      <c r="E3685" s="179"/>
      <c r="F3685" s="235"/>
      <c r="G3685" s="235"/>
      <c r="H3685" s="235"/>
      <c r="I3685" s="79"/>
      <c r="J3685" s="185"/>
      <c r="K3685" s="216"/>
      <c r="L3685" s="7"/>
    </row>
    <row r="3686" spans="1:12">
      <c r="A3686" s="36"/>
      <c r="B3686" s="37"/>
      <c r="C3686" s="179"/>
      <c r="D3686" s="179"/>
      <c r="E3686" s="179"/>
      <c r="F3686" s="235"/>
      <c r="G3686" s="235"/>
      <c r="H3686" s="235"/>
      <c r="I3686" s="79"/>
      <c r="J3686" s="185"/>
      <c r="K3686" s="216"/>
      <c r="L3686" s="7"/>
    </row>
    <row r="3687" spans="1:12">
      <c r="A3687" s="36"/>
      <c r="B3687" s="37"/>
      <c r="C3687" s="179"/>
      <c r="D3687" s="179"/>
      <c r="E3687" s="179"/>
      <c r="F3687" s="235"/>
      <c r="G3687" s="235"/>
      <c r="H3687" s="235"/>
      <c r="I3687" s="79"/>
      <c r="J3687" s="185"/>
      <c r="K3687" s="216"/>
      <c r="L3687" s="7"/>
    </row>
    <row r="3688" spans="1:12">
      <c r="A3688" s="36"/>
      <c r="B3688" s="37"/>
      <c r="C3688" s="179"/>
      <c r="D3688" s="179"/>
      <c r="E3688" s="179"/>
      <c r="F3688" s="235"/>
      <c r="G3688" s="235"/>
      <c r="H3688" s="235"/>
      <c r="I3688" s="79"/>
      <c r="J3688" s="185"/>
      <c r="K3688" s="216"/>
      <c r="L3688" s="7"/>
    </row>
    <row r="3689" spans="1:12">
      <c r="A3689" s="36"/>
      <c r="B3689" s="37"/>
      <c r="C3689" s="179"/>
      <c r="D3689" s="179"/>
      <c r="E3689" s="179"/>
      <c r="F3689" s="235"/>
      <c r="G3689" s="235"/>
      <c r="H3689" s="235"/>
      <c r="I3689" s="79"/>
      <c r="J3689" s="185"/>
      <c r="K3689" s="216"/>
      <c r="L3689" s="7"/>
    </row>
    <row r="3690" spans="1:12">
      <c r="A3690" s="23"/>
      <c r="B3690" s="14"/>
      <c r="C3690" s="180"/>
      <c r="D3690" s="180"/>
      <c r="E3690" s="180"/>
      <c r="F3690" s="236"/>
      <c r="G3690" s="236"/>
      <c r="H3690" s="236"/>
      <c r="I3690" s="73"/>
      <c r="J3690" s="191"/>
      <c r="K3690" s="207"/>
      <c r="L3690" s="7"/>
    </row>
    <row r="3691" spans="1:12">
      <c r="A3691" s="36"/>
      <c r="B3691" s="37"/>
      <c r="C3691" s="179"/>
      <c r="D3691" s="179"/>
      <c r="E3691" s="179"/>
      <c r="F3691" s="235"/>
      <c r="G3691" s="235"/>
      <c r="H3691" s="235"/>
      <c r="I3691" s="79"/>
      <c r="J3691" s="185"/>
      <c r="K3691" s="216"/>
      <c r="L3691" s="7"/>
    </row>
    <row r="3692" spans="1:12">
      <c r="A3692" s="36"/>
      <c r="B3692" s="37"/>
      <c r="C3692" s="179"/>
      <c r="D3692" s="179"/>
      <c r="E3692" s="179"/>
      <c r="F3692" s="235"/>
      <c r="G3692" s="235"/>
      <c r="H3692" s="235"/>
      <c r="I3692" s="79"/>
      <c r="J3692" s="185"/>
      <c r="K3692" s="216"/>
      <c r="L3692" s="7"/>
    </row>
    <row r="3693" spans="1:12">
      <c r="A3693" s="36"/>
      <c r="B3693" s="37"/>
      <c r="C3693" s="179"/>
      <c r="D3693" s="179"/>
      <c r="E3693" s="179"/>
      <c r="F3693" s="235"/>
      <c r="G3693" s="235"/>
      <c r="H3693" s="235"/>
      <c r="I3693" s="79"/>
      <c r="J3693" s="185"/>
      <c r="K3693" s="216"/>
      <c r="L3693" s="7"/>
    </row>
    <row r="3694" spans="1:12">
      <c r="A3694" s="23"/>
      <c r="B3694" s="14"/>
      <c r="C3694" s="180"/>
      <c r="D3694" s="180"/>
      <c r="E3694" s="180"/>
      <c r="F3694" s="236"/>
      <c r="G3694" s="236"/>
      <c r="H3694" s="236"/>
      <c r="I3694" s="73"/>
      <c r="J3694" s="191"/>
      <c r="K3694" s="207"/>
      <c r="L3694" s="7"/>
    </row>
    <row r="3695" spans="1:12">
      <c r="A3695" s="36"/>
      <c r="B3695" s="37"/>
      <c r="C3695" s="179"/>
      <c r="D3695" s="179"/>
      <c r="E3695" s="179"/>
      <c r="F3695" s="235"/>
      <c r="G3695" s="235"/>
      <c r="H3695" s="235"/>
      <c r="I3695" s="79"/>
      <c r="J3695" s="185"/>
      <c r="K3695" s="216"/>
      <c r="L3695" s="7"/>
    </row>
    <row r="3696" spans="1:12">
      <c r="A3696" s="36"/>
      <c r="B3696" s="37"/>
      <c r="C3696" s="179"/>
      <c r="D3696" s="179"/>
      <c r="E3696" s="179"/>
      <c r="F3696" s="235"/>
      <c r="G3696" s="235"/>
      <c r="H3696" s="235"/>
      <c r="I3696" s="79"/>
      <c r="J3696" s="185"/>
      <c r="K3696" s="216"/>
      <c r="L3696" s="7"/>
    </row>
    <row r="3697" spans="1:12">
      <c r="A3697" s="36"/>
      <c r="B3697" s="37"/>
      <c r="C3697" s="179"/>
      <c r="D3697" s="179"/>
      <c r="E3697" s="179"/>
      <c r="F3697" s="235"/>
      <c r="G3697" s="235"/>
      <c r="H3697" s="235"/>
      <c r="I3697" s="79"/>
      <c r="J3697" s="185"/>
      <c r="K3697" s="216"/>
      <c r="L3697" s="7"/>
    </row>
    <row r="3698" spans="1:12">
      <c r="A3698" s="36"/>
      <c r="B3698" s="37"/>
      <c r="C3698" s="179"/>
      <c r="D3698" s="179"/>
      <c r="E3698" s="179"/>
      <c r="F3698" s="235"/>
      <c r="G3698" s="235"/>
      <c r="H3698" s="235"/>
      <c r="I3698" s="79"/>
      <c r="J3698" s="185"/>
      <c r="K3698" s="216"/>
      <c r="L3698" s="7"/>
    </row>
    <row r="3699" spans="1:12">
      <c r="A3699" s="36"/>
      <c r="B3699" s="37"/>
      <c r="C3699" s="179"/>
      <c r="D3699" s="179"/>
      <c r="E3699" s="179"/>
      <c r="F3699" s="235"/>
      <c r="G3699" s="235"/>
      <c r="H3699" s="235"/>
      <c r="I3699" s="79"/>
      <c r="J3699" s="185"/>
      <c r="K3699" s="216"/>
      <c r="L3699" s="7"/>
    </row>
    <row r="3700" spans="1:12">
      <c r="A3700" s="36"/>
      <c r="B3700" s="37"/>
      <c r="C3700" s="179"/>
      <c r="D3700" s="179"/>
      <c r="E3700" s="179"/>
      <c r="F3700" s="235"/>
      <c r="G3700" s="235"/>
      <c r="H3700" s="235"/>
      <c r="I3700" s="79"/>
      <c r="J3700" s="185"/>
      <c r="K3700" s="216"/>
      <c r="L3700" s="7"/>
    </row>
    <row r="3701" spans="1:12">
      <c r="A3701" s="21"/>
      <c r="B3701" s="21"/>
      <c r="C3701" s="175"/>
      <c r="D3701" s="175"/>
      <c r="E3701" s="175"/>
      <c r="F3701" s="232"/>
      <c r="G3701" s="232"/>
      <c r="H3701" s="232"/>
      <c r="I3701" s="63"/>
      <c r="J3701" s="190"/>
      <c r="K3701" s="208"/>
      <c r="L3701" s="7"/>
    </row>
    <row r="3702" spans="1:12">
      <c r="A3702" s="21"/>
      <c r="B3702" s="21"/>
      <c r="C3702" s="175"/>
      <c r="D3702" s="175"/>
      <c r="E3702" s="175"/>
      <c r="F3702" s="232"/>
      <c r="G3702" s="232"/>
      <c r="H3702" s="232"/>
      <c r="I3702" s="63"/>
      <c r="J3702" s="190"/>
      <c r="K3702" s="208"/>
      <c r="L3702" s="7"/>
    </row>
    <row r="3703" spans="1:12">
      <c r="A3703" s="21"/>
      <c r="B3703" s="21"/>
      <c r="C3703" s="175"/>
      <c r="D3703" s="175"/>
      <c r="E3703" s="175"/>
      <c r="F3703" s="232"/>
      <c r="G3703" s="232"/>
      <c r="H3703" s="232"/>
      <c r="I3703" s="63"/>
      <c r="J3703" s="190"/>
      <c r="K3703" s="208"/>
      <c r="L3703" s="7"/>
    </row>
    <row r="3704" spans="1:12">
      <c r="A3704" s="21"/>
      <c r="B3704" s="21"/>
      <c r="C3704" s="175"/>
      <c r="D3704" s="175"/>
      <c r="E3704" s="175"/>
      <c r="F3704" s="232"/>
      <c r="G3704" s="232"/>
      <c r="H3704" s="232"/>
      <c r="I3704" s="63"/>
      <c r="J3704" s="190"/>
      <c r="K3704" s="208"/>
      <c r="L3704" s="7"/>
    </row>
    <row r="3705" spans="1:12">
      <c r="A3705" s="21"/>
      <c r="B3705" s="21"/>
      <c r="C3705" s="175"/>
      <c r="D3705" s="175"/>
      <c r="E3705" s="175"/>
      <c r="F3705" s="232"/>
      <c r="G3705" s="232"/>
      <c r="H3705" s="232"/>
      <c r="I3705" s="63"/>
      <c r="J3705" s="190"/>
      <c r="K3705" s="208"/>
      <c r="L3705" s="7"/>
    </row>
    <row r="3706" spans="1:12">
      <c r="A3706" s="36"/>
      <c r="B3706" s="37"/>
      <c r="C3706" s="179"/>
      <c r="D3706" s="179"/>
      <c r="E3706" s="179"/>
      <c r="F3706" s="235"/>
      <c r="G3706" s="235"/>
      <c r="H3706" s="235"/>
      <c r="I3706" s="79"/>
      <c r="J3706" s="185"/>
      <c r="K3706" s="216"/>
      <c r="L3706" s="7"/>
    </row>
    <row r="3707" spans="1:12">
      <c r="A3707" s="36"/>
      <c r="B3707" s="37"/>
      <c r="C3707" s="179"/>
      <c r="D3707" s="179"/>
      <c r="E3707" s="179"/>
      <c r="F3707" s="235"/>
      <c r="G3707" s="235"/>
      <c r="H3707" s="235"/>
      <c r="I3707" s="79"/>
      <c r="J3707" s="185"/>
      <c r="K3707" s="216"/>
      <c r="L3707" s="7"/>
    </row>
    <row r="3708" spans="1:12">
      <c r="A3708" s="36"/>
      <c r="B3708" s="37"/>
      <c r="C3708" s="179"/>
      <c r="D3708" s="179"/>
      <c r="E3708" s="179"/>
      <c r="F3708" s="235"/>
      <c r="G3708" s="235"/>
      <c r="H3708" s="235"/>
      <c r="I3708" s="79"/>
      <c r="J3708" s="185"/>
      <c r="K3708" s="216"/>
      <c r="L3708" s="7"/>
    </row>
    <row r="3709" spans="1:12">
      <c r="A3709" s="36"/>
      <c r="B3709" s="37"/>
      <c r="C3709" s="179"/>
      <c r="D3709" s="179"/>
      <c r="E3709" s="179"/>
      <c r="F3709" s="235"/>
      <c r="G3709" s="235"/>
      <c r="H3709" s="235"/>
      <c r="I3709" s="79"/>
      <c r="J3709" s="185"/>
      <c r="K3709" s="216"/>
      <c r="L3709" s="7"/>
    </row>
    <row r="3710" spans="1:12">
      <c r="A3710" s="36"/>
      <c r="B3710" s="37"/>
      <c r="C3710" s="179"/>
      <c r="D3710" s="179"/>
      <c r="E3710" s="179"/>
      <c r="F3710" s="235"/>
      <c r="G3710" s="235"/>
      <c r="H3710" s="235"/>
      <c r="I3710" s="79"/>
      <c r="J3710" s="185"/>
      <c r="K3710" s="216"/>
      <c r="L3710" s="7"/>
    </row>
    <row r="3711" spans="1:12">
      <c r="A3711" s="36"/>
      <c r="B3711" s="37"/>
      <c r="C3711" s="179"/>
      <c r="D3711" s="179"/>
      <c r="E3711" s="179"/>
      <c r="F3711" s="235"/>
      <c r="G3711" s="235"/>
      <c r="H3711" s="235"/>
      <c r="I3711" s="79"/>
      <c r="J3711" s="185"/>
      <c r="K3711" s="216"/>
      <c r="L3711" s="7"/>
    </row>
    <row r="3712" spans="1:12">
      <c r="A3712" s="36"/>
      <c r="B3712" s="37"/>
      <c r="C3712" s="179"/>
      <c r="D3712" s="179"/>
      <c r="E3712" s="179"/>
      <c r="F3712" s="235"/>
      <c r="G3712" s="235"/>
      <c r="H3712" s="235"/>
      <c r="I3712" s="79"/>
      <c r="J3712" s="185"/>
      <c r="K3712" s="216"/>
      <c r="L3712" s="7"/>
    </row>
    <row r="3713" spans="1:12">
      <c r="A3713" s="36"/>
      <c r="B3713" s="37"/>
      <c r="C3713" s="179"/>
      <c r="D3713" s="179"/>
      <c r="E3713" s="179"/>
      <c r="F3713" s="235"/>
      <c r="G3713" s="235"/>
      <c r="H3713" s="235"/>
      <c r="I3713" s="79"/>
      <c r="J3713" s="185"/>
      <c r="K3713" s="216"/>
      <c r="L3713" s="7"/>
    </row>
    <row r="3714" spans="1:12">
      <c r="A3714" s="36"/>
      <c r="B3714" s="37"/>
      <c r="C3714" s="179"/>
      <c r="D3714" s="179"/>
      <c r="E3714" s="179"/>
      <c r="F3714" s="235"/>
      <c r="G3714" s="235"/>
      <c r="H3714" s="235"/>
      <c r="I3714" s="79"/>
      <c r="J3714" s="185"/>
      <c r="K3714" s="216"/>
      <c r="L3714" s="7"/>
    </row>
    <row r="3715" spans="1:12">
      <c r="A3715" s="36"/>
      <c r="B3715" s="37"/>
      <c r="C3715" s="179"/>
      <c r="D3715" s="179"/>
      <c r="E3715" s="179"/>
      <c r="F3715" s="235"/>
      <c r="G3715" s="235"/>
      <c r="H3715" s="235"/>
      <c r="I3715" s="79"/>
      <c r="J3715" s="185"/>
      <c r="K3715" s="216"/>
      <c r="L3715" s="7"/>
    </row>
    <row r="3716" spans="1:12">
      <c r="A3716" s="36"/>
      <c r="B3716" s="37"/>
      <c r="C3716" s="179"/>
      <c r="D3716" s="179"/>
      <c r="E3716" s="179"/>
      <c r="F3716" s="235"/>
      <c r="G3716" s="235"/>
      <c r="H3716" s="235"/>
      <c r="I3716" s="79"/>
      <c r="J3716" s="185"/>
      <c r="K3716" s="216"/>
      <c r="L3716" s="7"/>
    </row>
    <row r="3717" spans="1:12">
      <c r="A3717" s="36"/>
      <c r="B3717" s="37"/>
      <c r="C3717" s="179"/>
      <c r="D3717" s="179"/>
      <c r="E3717" s="179"/>
      <c r="F3717" s="235"/>
      <c r="G3717" s="235"/>
      <c r="H3717" s="235"/>
      <c r="I3717" s="79"/>
      <c r="J3717" s="185"/>
      <c r="K3717" s="216"/>
      <c r="L3717" s="7"/>
    </row>
    <row r="3718" spans="1:12">
      <c r="A3718" s="23"/>
      <c r="B3718" s="14"/>
      <c r="C3718" s="180"/>
      <c r="D3718" s="180"/>
      <c r="E3718" s="180"/>
      <c r="F3718" s="236"/>
      <c r="G3718" s="236"/>
      <c r="H3718" s="236"/>
      <c r="I3718" s="73"/>
      <c r="J3718" s="191"/>
      <c r="K3718" s="207"/>
      <c r="L3718" s="7"/>
    </row>
    <row r="3719" spans="1:12">
      <c r="A3719" s="23"/>
      <c r="B3719" s="14"/>
      <c r="C3719" s="180"/>
      <c r="D3719" s="180"/>
      <c r="E3719" s="180"/>
      <c r="F3719" s="236"/>
      <c r="G3719" s="236"/>
      <c r="H3719" s="236"/>
      <c r="I3719" s="73"/>
      <c r="J3719" s="191"/>
      <c r="K3719" s="207"/>
      <c r="L3719" s="7"/>
    </row>
    <row r="3720" spans="1:12">
      <c r="A3720" s="23"/>
      <c r="B3720" s="14"/>
      <c r="C3720" s="180"/>
      <c r="D3720" s="180"/>
      <c r="E3720" s="180"/>
      <c r="F3720" s="236"/>
      <c r="G3720" s="236"/>
      <c r="H3720" s="236"/>
      <c r="I3720" s="73"/>
      <c r="J3720" s="191"/>
      <c r="K3720" s="207"/>
      <c r="L3720" s="7"/>
    </row>
    <row r="3721" spans="1:12">
      <c r="A3721" s="36"/>
      <c r="B3721" s="37"/>
      <c r="C3721" s="179"/>
      <c r="D3721" s="179"/>
      <c r="E3721" s="179"/>
      <c r="F3721" s="235"/>
      <c r="G3721" s="235"/>
      <c r="H3721" s="235"/>
      <c r="I3721" s="79"/>
      <c r="J3721" s="185"/>
      <c r="K3721" s="216"/>
      <c r="L3721" s="7"/>
    </row>
    <row r="3722" spans="1:12">
      <c r="A3722" s="23"/>
      <c r="B3722" s="14"/>
      <c r="C3722" s="180"/>
      <c r="D3722" s="180"/>
      <c r="E3722" s="180"/>
      <c r="F3722" s="236"/>
      <c r="G3722" s="236"/>
      <c r="H3722" s="236"/>
      <c r="I3722" s="73"/>
      <c r="J3722" s="191"/>
      <c r="K3722" s="207"/>
      <c r="L3722" s="7"/>
    </row>
    <row r="3723" spans="1:12">
      <c r="A3723" s="23"/>
      <c r="B3723" s="14"/>
      <c r="C3723" s="180"/>
      <c r="D3723" s="180"/>
      <c r="E3723" s="180"/>
      <c r="F3723" s="236"/>
      <c r="G3723" s="236"/>
      <c r="H3723" s="236"/>
      <c r="I3723" s="73"/>
      <c r="J3723" s="191"/>
      <c r="K3723" s="207"/>
      <c r="L3723" s="7"/>
    </row>
    <row r="3724" spans="1:12">
      <c r="A3724" s="23"/>
      <c r="B3724" s="14"/>
      <c r="C3724" s="180"/>
      <c r="D3724" s="180"/>
      <c r="E3724" s="180"/>
      <c r="F3724" s="236"/>
      <c r="G3724" s="236"/>
      <c r="H3724" s="236"/>
      <c r="I3724" s="73"/>
      <c r="J3724" s="191"/>
      <c r="K3724" s="207"/>
      <c r="L3724" s="7"/>
    </row>
    <row r="3725" spans="1:12">
      <c r="A3725" s="36"/>
      <c r="B3725" s="37"/>
      <c r="C3725" s="179"/>
      <c r="D3725" s="179"/>
      <c r="E3725" s="179"/>
      <c r="F3725" s="235"/>
      <c r="G3725" s="235"/>
      <c r="H3725" s="235"/>
      <c r="I3725" s="79"/>
      <c r="J3725" s="185"/>
      <c r="K3725" s="216"/>
      <c r="L3725" s="7"/>
    </row>
    <row r="3726" spans="1:12">
      <c r="A3726" s="36"/>
      <c r="B3726" s="37"/>
      <c r="C3726" s="179"/>
      <c r="D3726" s="179"/>
      <c r="E3726" s="179"/>
      <c r="F3726" s="235"/>
      <c r="G3726" s="235"/>
      <c r="H3726" s="235"/>
      <c r="I3726" s="79"/>
      <c r="J3726" s="185"/>
      <c r="K3726" s="216"/>
      <c r="L3726" s="7"/>
    </row>
    <row r="3727" spans="1:12">
      <c r="A3727" s="36"/>
      <c r="B3727" s="37"/>
      <c r="C3727" s="179"/>
      <c r="D3727" s="179"/>
      <c r="E3727" s="179"/>
      <c r="F3727" s="235"/>
      <c r="G3727" s="235"/>
      <c r="H3727" s="235"/>
      <c r="I3727" s="79"/>
      <c r="J3727" s="185"/>
      <c r="K3727" s="216"/>
      <c r="L3727" s="7"/>
    </row>
    <row r="3728" spans="1:12">
      <c r="A3728" s="36"/>
      <c r="B3728" s="37"/>
      <c r="C3728" s="179"/>
      <c r="D3728" s="179"/>
      <c r="E3728" s="179"/>
      <c r="F3728" s="235"/>
      <c r="G3728" s="235"/>
      <c r="H3728" s="235"/>
      <c r="I3728" s="79"/>
      <c r="J3728" s="185"/>
      <c r="K3728" s="216"/>
      <c r="L3728" s="7"/>
    </row>
    <row r="3729" spans="1:12">
      <c r="A3729" s="36"/>
      <c r="B3729" s="37"/>
      <c r="C3729" s="179"/>
      <c r="D3729" s="179"/>
      <c r="E3729" s="179"/>
      <c r="F3729" s="235"/>
      <c r="G3729" s="235"/>
      <c r="H3729" s="235"/>
      <c r="I3729" s="79"/>
      <c r="J3729" s="185"/>
      <c r="K3729" s="216"/>
      <c r="L3729" s="7"/>
    </row>
    <row r="3730" spans="1:12">
      <c r="A3730" s="21"/>
      <c r="B3730" s="21"/>
      <c r="C3730" s="175"/>
      <c r="D3730" s="175"/>
      <c r="E3730" s="175"/>
      <c r="F3730" s="232"/>
      <c r="G3730" s="232"/>
      <c r="H3730" s="232"/>
      <c r="I3730" s="63"/>
      <c r="J3730" s="190"/>
      <c r="K3730" s="208"/>
      <c r="L3730" s="7"/>
    </row>
    <row r="3731" spans="1:12">
      <c r="A3731" s="21"/>
      <c r="B3731" s="21"/>
      <c r="C3731" s="175"/>
      <c r="D3731" s="175"/>
      <c r="E3731" s="175"/>
      <c r="F3731" s="232"/>
      <c r="G3731" s="232"/>
      <c r="H3731" s="232"/>
      <c r="I3731" s="63"/>
      <c r="J3731" s="190"/>
      <c r="K3731" s="208"/>
      <c r="L3731" s="7"/>
    </row>
    <row r="3732" spans="1:12">
      <c r="A3732" s="21"/>
      <c r="B3732" s="21"/>
      <c r="C3732" s="175"/>
      <c r="D3732" s="175"/>
      <c r="E3732" s="175"/>
      <c r="F3732" s="234"/>
      <c r="G3732" s="234"/>
      <c r="H3732" s="234"/>
      <c r="I3732" s="63"/>
      <c r="J3732" s="190"/>
      <c r="K3732" s="208"/>
      <c r="L3732" s="7"/>
    </row>
    <row r="3733" spans="1:12">
      <c r="A3733" s="21"/>
      <c r="B3733" s="21"/>
      <c r="C3733" s="175"/>
      <c r="D3733" s="175"/>
      <c r="E3733" s="175"/>
      <c r="F3733" s="234"/>
      <c r="G3733" s="234"/>
      <c r="H3733" s="234"/>
      <c r="I3733" s="63"/>
      <c r="J3733" s="190"/>
      <c r="K3733" s="208"/>
      <c r="L3733" s="7"/>
    </row>
    <row r="3734" spans="1:12">
      <c r="A3734" s="21"/>
      <c r="B3734" s="21"/>
      <c r="C3734" s="175"/>
      <c r="D3734" s="175"/>
      <c r="E3734" s="175"/>
      <c r="F3734" s="234"/>
      <c r="G3734" s="234"/>
      <c r="H3734" s="234"/>
      <c r="I3734" s="63"/>
      <c r="J3734" s="190"/>
      <c r="K3734" s="208"/>
      <c r="L3734" s="7"/>
    </row>
    <row r="3735" spans="1:12">
      <c r="A3735" s="23"/>
      <c r="B3735" s="14"/>
      <c r="C3735" s="180"/>
      <c r="D3735" s="180"/>
      <c r="E3735" s="180"/>
      <c r="F3735" s="236"/>
      <c r="G3735" s="236"/>
      <c r="H3735" s="236"/>
      <c r="I3735" s="73"/>
      <c r="J3735" s="191"/>
      <c r="K3735" s="207"/>
      <c r="L3735" s="7"/>
    </row>
    <row r="3736" spans="1:12">
      <c r="A3736" s="36"/>
      <c r="B3736" s="37"/>
      <c r="C3736" s="179"/>
      <c r="D3736" s="179"/>
      <c r="E3736" s="179"/>
      <c r="F3736" s="235"/>
      <c r="G3736" s="235"/>
      <c r="H3736" s="235"/>
      <c r="I3736" s="79"/>
      <c r="J3736" s="185"/>
      <c r="K3736" s="216"/>
      <c r="L3736" s="7"/>
    </row>
    <row r="3737" spans="1:12">
      <c r="A3737" s="36"/>
      <c r="B3737" s="37"/>
      <c r="C3737" s="179"/>
      <c r="D3737" s="179"/>
      <c r="E3737" s="179"/>
      <c r="F3737" s="235"/>
      <c r="G3737" s="235"/>
      <c r="H3737" s="235"/>
      <c r="I3737" s="79"/>
      <c r="J3737" s="185"/>
      <c r="K3737" s="216"/>
      <c r="L3737" s="7"/>
    </row>
    <row r="3738" spans="1:12">
      <c r="A3738" s="36"/>
      <c r="B3738" s="37"/>
      <c r="C3738" s="179"/>
      <c r="D3738" s="179"/>
      <c r="E3738" s="179"/>
      <c r="F3738" s="235"/>
      <c r="G3738" s="235"/>
      <c r="H3738" s="235"/>
      <c r="I3738" s="79"/>
      <c r="J3738" s="185"/>
      <c r="K3738" s="216"/>
      <c r="L3738" s="7"/>
    </row>
    <row r="3739" spans="1:12">
      <c r="A3739" s="36"/>
      <c r="B3739" s="37"/>
      <c r="C3739" s="179"/>
      <c r="D3739" s="179"/>
      <c r="E3739" s="179"/>
      <c r="F3739" s="235"/>
      <c r="G3739" s="235"/>
      <c r="H3739" s="235"/>
      <c r="I3739" s="79"/>
      <c r="J3739" s="185"/>
      <c r="K3739" s="216"/>
      <c r="L3739" s="7"/>
    </row>
    <row r="3740" spans="1:12">
      <c r="A3740" s="36"/>
      <c r="B3740" s="37"/>
      <c r="C3740" s="179"/>
      <c r="D3740" s="179"/>
      <c r="E3740" s="179"/>
      <c r="F3740" s="235"/>
      <c r="G3740" s="235"/>
      <c r="H3740" s="235"/>
      <c r="I3740" s="79"/>
      <c r="J3740" s="185"/>
      <c r="K3740" s="216"/>
      <c r="L3740" s="7"/>
    </row>
    <row r="3741" spans="1:12">
      <c r="A3741" s="36"/>
      <c r="B3741" s="37"/>
      <c r="C3741" s="179"/>
      <c r="D3741" s="179"/>
      <c r="E3741" s="179"/>
      <c r="F3741" s="235"/>
      <c r="G3741" s="235"/>
      <c r="H3741" s="235"/>
      <c r="I3741" s="79"/>
      <c r="J3741" s="185"/>
      <c r="K3741" s="216"/>
      <c r="L3741" s="7"/>
    </row>
    <row r="3742" spans="1:12">
      <c r="A3742" s="36"/>
      <c r="B3742" s="37"/>
      <c r="C3742" s="179"/>
      <c r="D3742" s="179"/>
      <c r="E3742" s="179"/>
      <c r="F3742" s="235"/>
      <c r="G3742" s="235"/>
      <c r="H3742" s="235"/>
      <c r="I3742" s="79"/>
      <c r="J3742" s="185"/>
      <c r="K3742" s="216"/>
      <c r="L3742" s="7"/>
    </row>
    <row r="3743" spans="1:12">
      <c r="A3743" s="36"/>
      <c r="B3743" s="37"/>
      <c r="C3743" s="179"/>
      <c r="D3743" s="179"/>
      <c r="E3743" s="179"/>
      <c r="F3743" s="235"/>
      <c r="G3743" s="235"/>
      <c r="H3743" s="235"/>
      <c r="I3743" s="79"/>
      <c r="J3743" s="185"/>
      <c r="K3743" s="216"/>
      <c r="L3743" s="7"/>
    </row>
    <row r="3744" spans="1:12">
      <c r="A3744" s="36"/>
      <c r="B3744" s="37"/>
      <c r="C3744" s="179"/>
      <c r="D3744" s="179"/>
      <c r="E3744" s="179"/>
      <c r="F3744" s="235"/>
      <c r="G3744" s="235"/>
      <c r="H3744" s="235"/>
      <c r="I3744" s="79"/>
      <c r="J3744" s="185"/>
      <c r="K3744" s="216"/>
      <c r="L3744" s="7"/>
    </row>
    <row r="3745" spans="1:12">
      <c r="A3745" s="36"/>
      <c r="B3745" s="37"/>
      <c r="C3745" s="179"/>
      <c r="D3745" s="179"/>
      <c r="E3745" s="179"/>
      <c r="F3745" s="235"/>
      <c r="G3745" s="235"/>
      <c r="H3745" s="235"/>
      <c r="I3745" s="79"/>
      <c r="J3745" s="185"/>
      <c r="K3745" s="216"/>
      <c r="L3745" s="7"/>
    </row>
    <row r="3746" spans="1:12">
      <c r="A3746" s="36"/>
      <c r="B3746" s="37"/>
      <c r="C3746" s="179"/>
      <c r="D3746" s="179"/>
      <c r="E3746" s="179"/>
      <c r="F3746" s="235"/>
      <c r="G3746" s="235"/>
      <c r="H3746" s="235"/>
      <c r="I3746" s="79"/>
      <c r="J3746" s="185"/>
      <c r="K3746" s="216"/>
      <c r="L3746" s="7"/>
    </row>
    <row r="3747" spans="1:12">
      <c r="A3747" s="36"/>
      <c r="B3747" s="37"/>
      <c r="C3747" s="179"/>
      <c r="D3747" s="179"/>
      <c r="E3747" s="179"/>
      <c r="F3747" s="235"/>
      <c r="G3747" s="235"/>
      <c r="H3747" s="235"/>
      <c r="I3747" s="79"/>
      <c r="J3747" s="185"/>
      <c r="K3747" s="216"/>
      <c r="L3747" s="7"/>
    </row>
    <row r="3748" spans="1:12">
      <c r="A3748" s="23"/>
      <c r="B3748" s="14"/>
      <c r="C3748" s="180"/>
      <c r="D3748" s="180"/>
      <c r="E3748" s="180"/>
      <c r="F3748" s="236"/>
      <c r="G3748" s="236"/>
      <c r="H3748" s="236"/>
      <c r="I3748" s="73"/>
      <c r="J3748" s="191"/>
      <c r="K3748" s="207"/>
      <c r="L3748" s="7"/>
    </row>
    <row r="3749" spans="1:12">
      <c r="A3749" s="36"/>
      <c r="B3749" s="37"/>
      <c r="C3749" s="179"/>
      <c r="D3749" s="179"/>
      <c r="E3749" s="179"/>
      <c r="F3749" s="235"/>
      <c r="G3749" s="235"/>
      <c r="H3749" s="235"/>
      <c r="I3749" s="79"/>
      <c r="J3749" s="185"/>
      <c r="K3749" s="216"/>
      <c r="L3749" s="7"/>
    </row>
    <row r="3750" spans="1:12">
      <c r="A3750" s="36"/>
      <c r="B3750" s="37"/>
      <c r="C3750" s="179"/>
      <c r="D3750" s="179"/>
      <c r="E3750" s="179"/>
      <c r="F3750" s="235"/>
      <c r="G3750" s="235"/>
      <c r="H3750" s="235"/>
      <c r="I3750" s="79"/>
      <c r="J3750" s="185"/>
      <c r="K3750" s="216"/>
      <c r="L3750" s="7"/>
    </row>
    <row r="3751" spans="1:12">
      <c r="A3751" s="21"/>
      <c r="B3751" s="21"/>
      <c r="C3751" s="175"/>
      <c r="D3751" s="175"/>
      <c r="E3751" s="175"/>
      <c r="F3751" s="234"/>
      <c r="G3751" s="234"/>
      <c r="H3751" s="234"/>
      <c r="I3751" s="63"/>
      <c r="J3751" s="190"/>
      <c r="K3751" s="208"/>
      <c r="L3751" s="7"/>
    </row>
    <row r="3752" spans="1:12">
      <c r="A3752" s="23"/>
      <c r="B3752" s="14"/>
      <c r="C3752" s="180"/>
      <c r="D3752" s="180"/>
      <c r="E3752" s="180"/>
      <c r="F3752" s="236"/>
      <c r="G3752" s="236"/>
      <c r="H3752" s="236"/>
      <c r="I3752" s="73"/>
      <c r="J3752" s="191"/>
      <c r="K3752" s="207"/>
      <c r="L3752" s="7"/>
    </row>
    <row r="3753" spans="1:12">
      <c r="A3753" s="21"/>
      <c r="B3753" s="21"/>
      <c r="C3753" s="175"/>
      <c r="D3753" s="175"/>
      <c r="E3753" s="175"/>
      <c r="F3753" s="234"/>
      <c r="G3753" s="234"/>
      <c r="H3753" s="234"/>
      <c r="I3753" s="63"/>
      <c r="J3753" s="190"/>
      <c r="K3753" s="208"/>
      <c r="L3753" s="7"/>
    </row>
    <row r="3754" spans="1:12">
      <c r="A3754" s="21"/>
      <c r="B3754" s="21"/>
      <c r="C3754" s="175"/>
      <c r="D3754" s="175"/>
      <c r="E3754" s="175"/>
      <c r="F3754" s="234"/>
      <c r="G3754" s="234"/>
      <c r="H3754" s="234"/>
      <c r="I3754" s="63"/>
      <c r="J3754" s="190"/>
      <c r="K3754" s="208"/>
      <c r="L3754" s="7"/>
    </row>
    <row r="3755" spans="1:12">
      <c r="A3755" s="36"/>
      <c r="B3755" s="37"/>
      <c r="C3755" s="179"/>
      <c r="D3755" s="179"/>
      <c r="E3755" s="179"/>
      <c r="F3755" s="235"/>
      <c r="G3755" s="235"/>
      <c r="H3755" s="235"/>
      <c r="I3755" s="79"/>
      <c r="J3755" s="185"/>
      <c r="K3755" s="216"/>
      <c r="L3755" s="7"/>
    </row>
    <row r="3756" spans="1:12">
      <c r="A3756" s="36"/>
      <c r="B3756" s="37"/>
      <c r="C3756" s="179"/>
      <c r="D3756" s="179"/>
      <c r="E3756" s="179"/>
      <c r="F3756" s="235"/>
      <c r="G3756" s="235"/>
      <c r="H3756" s="235"/>
      <c r="I3756" s="79"/>
      <c r="J3756" s="185"/>
      <c r="K3756" s="216"/>
      <c r="L3756" s="7"/>
    </row>
    <row r="3757" spans="1:12">
      <c r="A3757" s="36"/>
      <c r="B3757" s="37"/>
      <c r="C3757" s="179"/>
      <c r="D3757" s="179"/>
      <c r="E3757" s="179"/>
      <c r="F3757" s="235"/>
      <c r="G3757" s="235"/>
      <c r="H3757" s="235"/>
      <c r="I3757" s="79"/>
      <c r="J3757" s="185"/>
      <c r="K3757" s="216"/>
      <c r="L3757" s="7"/>
    </row>
    <row r="3758" spans="1:12">
      <c r="A3758" s="36"/>
      <c r="B3758" s="37"/>
      <c r="C3758" s="179"/>
      <c r="D3758" s="179"/>
      <c r="E3758" s="179"/>
      <c r="F3758" s="235"/>
      <c r="G3758" s="235"/>
      <c r="H3758" s="235"/>
      <c r="I3758" s="79"/>
      <c r="J3758" s="185"/>
      <c r="K3758" s="216"/>
      <c r="L3758" s="7"/>
    </row>
    <row r="3759" spans="1:12">
      <c r="A3759" s="36"/>
      <c r="B3759" s="37"/>
      <c r="C3759" s="179"/>
      <c r="D3759" s="179"/>
      <c r="E3759" s="179"/>
      <c r="F3759" s="235"/>
      <c r="G3759" s="235"/>
      <c r="H3759" s="235"/>
      <c r="I3759" s="79"/>
      <c r="J3759" s="185"/>
      <c r="K3759" s="216"/>
      <c r="L3759" s="7"/>
    </row>
    <row r="3760" spans="1:12">
      <c r="A3760" s="21"/>
      <c r="B3760" s="21"/>
      <c r="C3760" s="175"/>
      <c r="D3760" s="175"/>
      <c r="E3760" s="175"/>
      <c r="F3760" s="234"/>
      <c r="G3760" s="234"/>
      <c r="H3760" s="234"/>
      <c r="I3760" s="63"/>
      <c r="J3760" s="190"/>
      <c r="K3760" s="208"/>
      <c r="L3760" s="7"/>
    </row>
    <row r="3761" spans="1:12">
      <c r="A3761" s="21"/>
      <c r="B3761" s="21"/>
      <c r="C3761" s="175"/>
      <c r="D3761" s="175"/>
      <c r="E3761" s="175"/>
      <c r="F3761" s="234"/>
      <c r="G3761" s="234"/>
      <c r="H3761" s="234"/>
      <c r="I3761" s="63"/>
      <c r="J3761" s="190"/>
      <c r="K3761" s="208"/>
      <c r="L3761" s="7"/>
    </row>
    <row r="3762" spans="1:12">
      <c r="A3762" s="21"/>
      <c r="B3762" s="21"/>
      <c r="C3762" s="175"/>
      <c r="D3762" s="175"/>
      <c r="E3762" s="175"/>
      <c r="F3762" s="234"/>
      <c r="G3762" s="234"/>
      <c r="H3762" s="234"/>
      <c r="I3762" s="63"/>
      <c r="J3762" s="190"/>
      <c r="K3762" s="208"/>
      <c r="L3762" s="7"/>
    </row>
    <row r="3763" spans="1:12">
      <c r="A3763" s="21"/>
      <c r="B3763" s="21"/>
      <c r="C3763" s="175"/>
      <c r="D3763" s="175"/>
      <c r="E3763" s="175"/>
      <c r="F3763" s="234"/>
      <c r="G3763" s="234"/>
      <c r="H3763" s="234"/>
      <c r="I3763" s="63"/>
      <c r="J3763" s="190"/>
      <c r="K3763" s="208"/>
      <c r="L3763" s="7"/>
    </row>
    <row r="3764" spans="1:12">
      <c r="A3764" s="36"/>
      <c r="B3764" s="37"/>
      <c r="C3764" s="179"/>
      <c r="D3764" s="179"/>
      <c r="E3764" s="179"/>
      <c r="F3764" s="235"/>
      <c r="G3764" s="235"/>
      <c r="H3764" s="235"/>
      <c r="I3764" s="79"/>
      <c r="J3764" s="185"/>
      <c r="K3764" s="216"/>
      <c r="L3764" s="7"/>
    </row>
    <row r="3765" spans="1:12">
      <c r="A3765" s="36"/>
      <c r="B3765" s="37"/>
      <c r="C3765" s="179"/>
      <c r="D3765" s="179"/>
      <c r="E3765" s="179"/>
      <c r="F3765" s="235"/>
      <c r="G3765" s="235"/>
      <c r="H3765" s="235"/>
      <c r="I3765" s="79"/>
      <c r="J3765" s="185"/>
      <c r="K3765" s="216"/>
      <c r="L3765" s="7"/>
    </row>
    <row r="3766" spans="1:12">
      <c r="A3766" s="36"/>
      <c r="B3766" s="37"/>
      <c r="C3766" s="179"/>
      <c r="D3766" s="179"/>
      <c r="E3766" s="179"/>
      <c r="F3766" s="235"/>
      <c r="G3766" s="235"/>
      <c r="H3766" s="235"/>
      <c r="I3766" s="79"/>
      <c r="J3766" s="185"/>
      <c r="K3766" s="216"/>
      <c r="L3766" s="7"/>
    </row>
    <row r="3767" spans="1:12">
      <c r="A3767" s="36"/>
      <c r="B3767" s="37"/>
      <c r="C3767" s="179"/>
      <c r="D3767" s="179"/>
      <c r="E3767" s="179"/>
      <c r="F3767" s="235"/>
      <c r="G3767" s="235"/>
      <c r="H3767" s="235"/>
      <c r="I3767" s="79"/>
      <c r="J3767" s="185"/>
      <c r="K3767" s="216"/>
      <c r="L3767" s="7"/>
    </row>
    <row r="3768" spans="1:12">
      <c r="A3768" s="36"/>
      <c r="B3768" s="37"/>
      <c r="C3768" s="179"/>
      <c r="D3768" s="179"/>
      <c r="E3768" s="179"/>
      <c r="F3768" s="235"/>
      <c r="G3768" s="235"/>
      <c r="H3768" s="235"/>
      <c r="I3768" s="79"/>
      <c r="J3768" s="185"/>
      <c r="K3768" s="216"/>
      <c r="L3768" s="7"/>
    </row>
    <row r="3769" spans="1:12">
      <c r="A3769" s="36"/>
      <c r="B3769" s="37"/>
      <c r="C3769" s="179"/>
      <c r="D3769" s="179"/>
      <c r="E3769" s="179"/>
      <c r="F3769" s="235"/>
      <c r="G3769" s="235"/>
      <c r="H3769" s="235"/>
      <c r="I3769" s="79"/>
      <c r="J3769" s="185"/>
      <c r="K3769" s="216"/>
      <c r="L3769" s="7"/>
    </row>
    <row r="3770" spans="1:12">
      <c r="A3770" s="36"/>
      <c r="B3770" s="37"/>
      <c r="C3770" s="179"/>
      <c r="D3770" s="179"/>
      <c r="E3770" s="179"/>
      <c r="F3770" s="235"/>
      <c r="G3770" s="235"/>
      <c r="H3770" s="235"/>
      <c r="I3770" s="79"/>
      <c r="J3770" s="185"/>
      <c r="K3770" s="216"/>
      <c r="L3770" s="7"/>
    </row>
    <row r="3771" spans="1:12">
      <c r="A3771" s="23"/>
      <c r="B3771" s="14"/>
      <c r="C3771" s="180"/>
      <c r="D3771" s="180"/>
      <c r="E3771" s="180"/>
      <c r="F3771" s="236"/>
      <c r="G3771" s="236"/>
      <c r="H3771" s="236"/>
      <c r="I3771" s="73"/>
      <c r="J3771" s="191"/>
      <c r="K3771" s="207"/>
      <c r="L3771" s="7"/>
    </row>
    <row r="3772" spans="1:12">
      <c r="A3772" s="36"/>
      <c r="B3772" s="37"/>
      <c r="C3772" s="179"/>
      <c r="D3772" s="179"/>
      <c r="E3772" s="179"/>
      <c r="F3772" s="235"/>
      <c r="G3772" s="235"/>
      <c r="H3772" s="235"/>
      <c r="I3772" s="79"/>
      <c r="J3772" s="185"/>
      <c r="K3772" s="216"/>
      <c r="L3772" s="7"/>
    </row>
    <row r="3773" spans="1:12">
      <c r="A3773" s="36"/>
      <c r="B3773" s="37"/>
      <c r="C3773" s="179"/>
      <c r="D3773" s="179"/>
      <c r="E3773" s="179"/>
      <c r="F3773" s="235"/>
      <c r="G3773" s="235"/>
      <c r="H3773" s="235"/>
      <c r="I3773" s="79"/>
      <c r="J3773" s="185"/>
      <c r="K3773" s="216"/>
      <c r="L3773" s="7"/>
    </row>
    <row r="3774" spans="1:12">
      <c r="A3774" s="36"/>
      <c r="B3774" s="37"/>
      <c r="C3774" s="179"/>
      <c r="D3774" s="179"/>
      <c r="E3774" s="179"/>
      <c r="F3774" s="235"/>
      <c r="G3774" s="235"/>
      <c r="H3774" s="235"/>
      <c r="I3774" s="79"/>
      <c r="J3774" s="185"/>
      <c r="K3774" s="216"/>
      <c r="L3774" s="7"/>
    </row>
    <row r="3775" spans="1:12">
      <c r="A3775" s="36"/>
      <c r="B3775" s="37"/>
      <c r="C3775" s="179"/>
      <c r="D3775" s="179"/>
      <c r="E3775" s="179"/>
      <c r="F3775" s="235"/>
      <c r="G3775" s="235"/>
      <c r="H3775" s="235"/>
      <c r="I3775" s="79"/>
      <c r="J3775" s="185"/>
      <c r="K3775" s="216"/>
      <c r="L3775" s="7"/>
    </row>
    <row r="3776" spans="1:12">
      <c r="A3776" s="36"/>
      <c r="B3776" s="37"/>
      <c r="C3776" s="179"/>
      <c r="D3776" s="179"/>
      <c r="E3776" s="179"/>
      <c r="F3776" s="235"/>
      <c r="G3776" s="235"/>
      <c r="H3776" s="235"/>
      <c r="I3776" s="79"/>
      <c r="J3776" s="185"/>
      <c r="K3776" s="216"/>
      <c r="L3776" s="7"/>
    </row>
    <row r="3777" spans="1:12">
      <c r="A3777" s="36"/>
      <c r="B3777" s="37"/>
      <c r="C3777" s="179"/>
      <c r="D3777" s="179"/>
      <c r="E3777" s="179"/>
      <c r="F3777" s="235"/>
      <c r="G3777" s="235"/>
      <c r="H3777" s="235"/>
      <c r="I3777" s="79"/>
      <c r="J3777" s="185"/>
      <c r="K3777" s="216"/>
      <c r="L3777" s="7"/>
    </row>
    <row r="3778" spans="1:12">
      <c r="A3778" s="36"/>
      <c r="B3778" s="37"/>
      <c r="C3778" s="179"/>
      <c r="D3778" s="179"/>
      <c r="E3778" s="179"/>
      <c r="F3778" s="235"/>
      <c r="G3778" s="235"/>
      <c r="H3778" s="235"/>
      <c r="I3778" s="79"/>
      <c r="J3778" s="185"/>
      <c r="K3778" s="216"/>
      <c r="L3778" s="7"/>
    </row>
    <row r="3779" spans="1:12">
      <c r="A3779" s="36"/>
      <c r="B3779" s="37"/>
      <c r="C3779" s="179"/>
      <c r="D3779" s="179"/>
      <c r="E3779" s="179"/>
      <c r="F3779" s="235"/>
      <c r="G3779" s="235"/>
      <c r="H3779" s="235"/>
      <c r="I3779" s="79"/>
      <c r="J3779" s="185"/>
      <c r="K3779" s="216"/>
      <c r="L3779" s="7"/>
    </row>
    <row r="3780" spans="1:12">
      <c r="A3780" s="36"/>
      <c r="B3780" s="37"/>
      <c r="C3780" s="179"/>
      <c r="D3780" s="179"/>
      <c r="E3780" s="179"/>
      <c r="F3780" s="235"/>
      <c r="G3780" s="235"/>
      <c r="H3780" s="235"/>
      <c r="I3780" s="79"/>
      <c r="J3780" s="185"/>
      <c r="K3780" s="216"/>
      <c r="L3780" s="7"/>
    </row>
    <row r="3781" spans="1:12">
      <c r="A3781" s="36"/>
      <c r="B3781" s="37"/>
      <c r="C3781" s="179"/>
      <c r="D3781" s="179"/>
      <c r="E3781" s="179"/>
      <c r="F3781" s="235"/>
      <c r="G3781" s="235"/>
      <c r="H3781" s="235"/>
      <c r="I3781" s="79"/>
      <c r="J3781" s="185"/>
      <c r="K3781" s="216"/>
      <c r="L3781" s="7"/>
    </row>
    <row r="3782" spans="1:12">
      <c r="A3782" s="23"/>
      <c r="B3782" s="14"/>
      <c r="C3782" s="180"/>
      <c r="D3782" s="180"/>
      <c r="E3782" s="180"/>
      <c r="F3782" s="236"/>
      <c r="G3782" s="236"/>
      <c r="H3782" s="236"/>
      <c r="I3782" s="73"/>
      <c r="J3782" s="191"/>
      <c r="K3782" s="207"/>
      <c r="L3782" s="7"/>
    </row>
    <row r="3783" spans="1:12">
      <c r="A3783" s="36"/>
      <c r="B3783" s="37"/>
      <c r="C3783" s="179"/>
      <c r="D3783" s="179"/>
      <c r="E3783" s="179"/>
      <c r="F3783" s="235"/>
      <c r="G3783" s="235"/>
      <c r="H3783" s="235"/>
      <c r="I3783" s="79"/>
      <c r="J3783" s="185"/>
      <c r="K3783" s="216"/>
      <c r="L3783" s="7"/>
    </row>
    <row r="3784" spans="1:12">
      <c r="A3784" s="36"/>
      <c r="B3784" s="37"/>
      <c r="C3784" s="179"/>
      <c r="D3784" s="179"/>
      <c r="E3784" s="179"/>
      <c r="F3784" s="235"/>
      <c r="G3784" s="235"/>
      <c r="H3784" s="235"/>
      <c r="I3784" s="79"/>
      <c r="J3784" s="185"/>
      <c r="K3784" s="216"/>
      <c r="L3784" s="7"/>
    </row>
    <row r="3785" spans="1:12">
      <c r="A3785" s="23"/>
      <c r="B3785" s="14"/>
      <c r="C3785" s="180"/>
      <c r="D3785" s="180"/>
      <c r="E3785" s="180"/>
      <c r="F3785" s="236"/>
      <c r="G3785" s="236"/>
      <c r="H3785" s="236"/>
      <c r="I3785" s="73"/>
      <c r="J3785" s="191"/>
      <c r="K3785" s="207"/>
      <c r="L3785" s="7"/>
    </row>
    <row r="3786" spans="1:12">
      <c r="A3786" s="36"/>
      <c r="B3786" s="37"/>
      <c r="C3786" s="179"/>
      <c r="D3786" s="179"/>
      <c r="E3786" s="179"/>
      <c r="F3786" s="235"/>
      <c r="G3786" s="235"/>
      <c r="H3786" s="235"/>
      <c r="I3786" s="79"/>
      <c r="J3786" s="185"/>
      <c r="K3786" s="216"/>
      <c r="L3786" s="7"/>
    </row>
    <row r="3787" spans="1:12">
      <c r="A3787" s="36"/>
      <c r="B3787" s="37"/>
      <c r="C3787" s="179"/>
      <c r="D3787" s="179"/>
      <c r="E3787" s="179"/>
      <c r="F3787" s="235"/>
      <c r="G3787" s="235"/>
      <c r="H3787" s="235"/>
      <c r="I3787" s="79"/>
      <c r="J3787" s="185"/>
      <c r="K3787" s="216"/>
      <c r="L3787" s="7"/>
    </row>
    <row r="3788" spans="1:12">
      <c r="A3788" s="21"/>
      <c r="B3788" s="21"/>
      <c r="C3788" s="175"/>
      <c r="D3788" s="175"/>
      <c r="E3788" s="175"/>
      <c r="F3788" s="234"/>
      <c r="G3788" s="234"/>
      <c r="H3788" s="234"/>
      <c r="I3788" s="63"/>
      <c r="J3788" s="190"/>
      <c r="K3788" s="208"/>
      <c r="L3788" s="7"/>
    </row>
    <row r="3789" spans="1:12">
      <c r="A3789" s="21"/>
      <c r="B3789" s="21"/>
      <c r="C3789" s="175"/>
      <c r="D3789" s="175"/>
      <c r="E3789" s="175"/>
      <c r="F3789" s="234"/>
      <c r="G3789" s="234"/>
      <c r="H3789" s="234"/>
      <c r="I3789" s="63"/>
      <c r="J3789" s="190"/>
      <c r="K3789" s="208"/>
      <c r="L3789" s="7"/>
    </row>
    <row r="3790" spans="1:12">
      <c r="A3790" s="36"/>
      <c r="B3790" s="37"/>
      <c r="C3790" s="179"/>
      <c r="D3790" s="179"/>
      <c r="E3790" s="179"/>
      <c r="F3790" s="235"/>
      <c r="G3790" s="235"/>
      <c r="H3790" s="235"/>
      <c r="I3790" s="79"/>
      <c r="J3790" s="185"/>
      <c r="K3790" s="216"/>
      <c r="L3790" s="7"/>
    </row>
    <row r="3791" spans="1:12">
      <c r="A3791" s="36"/>
      <c r="B3791" s="37"/>
      <c r="C3791" s="179"/>
      <c r="D3791" s="179"/>
      <c r="E3791" s="179"/>
      <c r="F3791" s="235"/>
      <c r="G3791" s="235"/>
      <c r="H3791" s="235"/>
      <c r="I3791" s="79"/>
      <c r="J3791" s="185"/>
      <c r="K3791" s="216"/>
      <c r="L3791" s="7"/>
    </row>
    <row r="3792" spans="1:12">
      <c r="A3792" s="36"/>
      <c r="B3792" s="37"/>
      <c r="C3792" s="179"/>
      <c r="D3792" s="179"/>
      <c r="E3792" s="179"/>
      <c r="F3792" s="235"/>
      <c r="G3792" s="235"/>
      <c r="H3792" s="235"/>
      <c r="I3792" s="79"/>
      <c r="J3792" s="185"/>
      <c r="K3792" s="216"/>
      <c r="L3792" s="7"/>
    </row>
    <row r="3793" spans="1:12">
      <c r="A3793" s="36"/>
      <c r="B3793" s="37"/>
      <c r="C3793" s="179"/>
      <c r="D3793" s="179"/>
      <c r="E3793" s="179"/>
      <c r="F3793" s="235"/>
      <c r="G3793" s="235"/>
      <c r="H3793" s="235"/>
      <c r="I3793" s="79"/>
      <c r="J3793" s="185"/>
      <c r="K3793" s="216"/>
      <c r="L3793" s="7"/>
    </row>
    <row r="3794" spans="1:12">
      <c r="A3794" s="36"/>
      <c r="B3794" s="37"/>
      <c r="C3794" s="179"/>
      <c r="D3794" s="179"/>
      <c r="E3794" s="179"/>
      <c r="F3794" s="235"/>
      <c r="G3794" s="235"/>
      <c r="H3794" s="235"/>
      <c r="I3794" s="79"/>
      <c r="J3794" s="185"/>
      <c r="K3794" s="216"/>
      <c r="L3794" s="7"/>
    </row>
    <row r="3795" spans="1:12">
      <c r="A3795" s="36"/>
      <c r="B3795" s="37"/>
      <c r="C3795" s="179"/>
      <c r="D3795" s="179"/>
      <c r="E3795" s="179"/>
      <c r="F3795" s="235"/>
      <c r="G3795" s="235"/>
      <c r="H3795" s="235"/>
      <c r="I3795" s="79"/>
      <c r="J3795" s="185"/>
      <c r="K3795" s="216"/>
      <c r="L3795" s="7"/>
    </row>
    <row r="3796" spans="1:12">
      <c r="A3796" s="36"/>
      <c r="B3796" s="37"/>
      <c r="C3796" s="179"/>
      <c r="D3796" s="179"/>
      <c r="E3796" s="179"/>
      <c r="F3796" s="235"/>
      <c r="G3796" s="235"/>
      <c r="H3796" s="235"/>
      <c r="I3796" s="79"/>
      <c r="J3796" s="185"/>
      <c r="K3796" s="216"/>
      <c r="L3796" s="7"/>
    </row>
    <row r="3797" spans="1:12">
      <c r="A3797" s="36"/>
      <c r="B3797" s="37"/>
      <c r="C3797" s="179"/>
      <c r="D3797" s="179"/>
      <c r="E3797" s="179"/>
      <c r="F3797" s="235"/>
      <c r="G3797" s="235"/>
      <c r="H3797" s="235"/>
      <c r="I3797" s="79"/>
      <c r="J3797" s="185"/>
      <c r="K3797" s="216"/>
      <c r="L3797" s="7"/>
    </row>
    <row r="3798" spans="1:12">
      <c r="A3798" s="36"/>
      <c r="B3798" s="37"/>
      <c r="C3798" s="179"/>
      <c r="D3798" s="179"/>
      <c r="E3798" s="179"/>
      <c r="F3798" s="235"/>
      <c r="G3798" s="235"/>
      <c r="H3798" s="235"/>
      <c r="I3798" s="79"/>
      <c r="J3798" s="185"/>
      <c r="K3798" s="216"/>
      <c r="L3798" s="7"/>
    </row>
    <row r="3799" spans="1:12">
      <c r="A3799" s="36"/>
      <c r="B3799" s="37"/>
      <c r="C3799" s="179"/>
      <c r="D3799" s="179"/>
      <c r="E3799" s="179"/>
      <c r="F3799" s="235"/>
      <c r="G3799" s="235"/>
      <c r="H3799" s="235"/>
      <c r="I3799" s="79"/>
      <c r="J3799" s="185"/>
      <c r="K3799" s="216"/>
      <c r="L3799" s="7"/>
    </row>
    <row r="3800" spans="1:12">
      <c r="A3800" s="36"/>
      <c r="B3800" s="37"/>
      <c r="C3800" s="179"/>
      <c r="D3800" s="179"/>
      <c r="E3800" s="179"/>
      <c r="F3800" s="235"/>
      <c r="G3800" s="235"/>
      <c r="H3800" s="235"/>
      <c r="I3800" s="79"/>
      <c r="J3800" s="185"/>
      <c r="K3800" s="216"/>
      <c r="L3800" s="7"/>
    </row>
    <row r="3801" spans="1:12">
      <c r="A3801" s="21"/>
      <c r="B3801" s="21"/>
      <c r="C3801" s="175"/>
      <c r="D3801" s="175"/>
      <c r="E3801" s="175"/>
      <c r="F3801" s="234"/>
      <c r="G3801" s="234"/>
      <c r="H3801" s="234"/>
      <c r="I3801" s="63"/>
      <c r="J3801" s="190"/>
      <c r="K3801" s="208"/>
      <c r="L3801" s="7"/>
    </row>
    <row r="3802" spans="1:12">
      <c r="A3802" s="21"/>
      <c r="B3802" s="21"/>
      <c r="C3802" s="175"/>
      <c r="D3802" s="175"/>
      <c r="E3802" s="175"/>
      <c r="F3802" s="234"/>
      <c r="G3802" s="234"/>
      <c r="H3802" s="234"/>
      <c r="I3802" s="63"/>
      <c r="J3802" s="190"/>
      <c r="K3802" s="208"/>
      <c r="L3802" s="7"/>
    </row>
    <row r="3803" spans="1:12">
      <c r="A3803" s="21"/>
      <c r="B3803" s="21"/>
      <c r="C3803" s="175"/>
      <c r="D3803" s="175"/>
      <c r="E3803" s="175"/>
      <c r="F3803" s="234"/>
      <c r="G3803" s="234"/>
      <c r="H3803" s="234"/>
      <c r="I3803" s="63"/>
      <c r="J3803" s="190"/>
      <c r="K3803" s="208"/>
      <c r="L3803" s="7"/>
    </row>
    <row r="3804" spans="1:12">
      <c r="A3804" s="36"/>
      <c r="B3804" s="37"/>
      <c r="C3804" s="179"/>
      <c r="D3804" s="179"/>
      <c r="E3804" s="179"/>
      <c r="F3804" s="235"/>
      <c r="G3804" s="235"/>
      <c r="H3804" s="235"/>
      <c r="I3804" s="79"/>
      <c r="J3804" s="185"/>
      <c r="K3804" s="216"/>
      <c r="L3804" s="7"/>
    </row>
    <row r="3805" spans="1:12">
      <c r="A3805" s="21"/>
      <c r="B3805" s="21"/>
      <c r="C3805" s="175"/>
      <c r="D3805" s="175"/>
      <c r="E3805" s="175"/>
      <c r="F3805" s="234"/>
      <c r="G3805" s="234"/>
      <c r="H3805" s="234"/>
      <c r="I3805" s="63"/>
      <c r="J3805" s="190"/>
      <c r="K3805" s="208"/>
      <c r="L3805" s="7"/>
    </row>
    <row r="3806" spans="1:12">
      <c r="A3806" s="21"/>
      <c r="B3806" s="21"/>
      <c r="C3806" s="175"/>
      <c r="D3806" s="175"/>
      <c r="E3806" s="175"/>
      <c r="F3806" s="234"/>
      <c r="G3806" s="234"/>
      <c r="H3806" s="234"/>
      <c r="I3806" s="63"/>
      <c r="J3806" s="190"/>
      <c r="K3806" s="208"/>
      <c r="L3806" s="7"/>
    </row>
    <row r="3807" spans="1:12">
      <c r="A3807" s="21"/>
      <c r="B3807" s="21"/>
      <c r="C3807" s="175"/>
      <c r="D3807" s="175"/>
      <c r="E3807" s="175"/>
      <c r="F3807" s="234"/>
      <c r="G3807" s="234"/>
      <c r="H3807" s="234"/>
      <c r="I3807" s="63"/>
      <c r="J3807" s="190"/>
      <c r="K3807" s="208"/>
      <c r="L3807" s="7"/>
    </row>
    <row r="3808" spans="1:12">
      <c r="A3808" s="21"/>
      <c r="B3808" s="21"/>
      <c r="C3808" s="175"/>
      <c r="D3808" s="175"/>
      <c r="E3808" s="175"/>
      <c r="F3808" s="234"/>
      <c r="G3808" s="234"/>
      <c r="H3808" s="234"/>
      <c r="I3808" s="63"/>
      <c r="J3808" s="190"/>
      <c r="K3808" s="208"/>
      <c r="L3808" s="7"/>
    </row>
    <row r="3809" spans="1:12">
      <c r="A3809" s="21"/>
      <c r="B3809" s="21"/>
      <c r="C3809" s="175"/>
      <c r="D3809" s="175"/>
      <c r="E3809" s="175"/>
      <c r="F3809" s="234"/>
      <c r="G3809" s="234"/>
      <c r="H3809" s="234"/>
      <c r="I3809" s="63"/>
      <c r="J3809" s="190"/>
      <c r="K3809" s="208"/>
      <c r="L3809" s="7"/>
    </row>
    <row r="3810" spans="1:12">
      <c r="A3810" s="36"/>
      <c r="B3810" s="37"/>
      <c r="C3810" s="179"/>
      <c r="D3810" s="179"/>
      <c r="E3810" s="179"/>
      <c r="F3810" s="235"/>
      <c r="G3810" s="235"/>
      <c r="H3810" s="235"/>
      <c r="I3810" s="79"/>
      <c r="J3810" s="185"/>
      <c r="K3810" s="216"/>
      <c r="L3810" s="7"/>
    </row>
    <row r="3811" spans="1:12">
      <c r="A3811" s="36"/>
      <c r="B3811" s="37"/>
      <c r="C3811" s="179"/>
      <c r="D3811" s="179"/>
      <c r="E3811" s="179"/>
      <c r="F3811" s="235"/>
      <c r="G3811" s="235"/>
      <c r="H3811" s="235"/>
      <c r="I3811" s="79"/>
      <c r="J3811" s="185"/>
      <c r="K3811" s="216"/>
      <c r="L3811" s="7"/>
    </row>
    <row r="3812" spans="1:12">
      <c r="A3812" s="36"/>
      <c r="B3812" s="37"/>
      <c r="C3812" s="179"/>
      <c r="D3812" s="179"/>
      <c r="E3812" s="179"/>
      <c r="F3812" s="235"/>
      <c r="G3812" s="235"/>
      <c r="H3812" s="235"/>
      <c r="I3812" s="79"/>
      <c r="J3812" s="185"/>
      <c r="K3812" s="216"/>
      <c r="L3812" s="7"/>
    </row>
    <row r="3813" spans="1:12">
      <c r="A3813" s="36"/>
      <c r="B3813" s="37"/>
      <c r="C3813" s="179"/>
      <c r="D3813" s="179"/>
      <c r="E3813" s="179"/>
      <c r="F3813" s="235"/>
      <c r="G3813" s="235"/>
      <c r="H3813" s="235"/>
      <c r="I3813" s="79"/>
      <c r="J3813" s="185"/>
      <c r="K3813" s="216"/>
      <c r="L3813" s="7"/>
    </row>
    <row r="3814" spans="1:12">
      <c r="A3814" s="36"/>
      <c r="B3814" s="37"/>
      <c r="C3814" s="179"/>
      <c r="D3814" s="179"/>
      <c r="E3814" s="179"/>
      <c r="F3814" s="235"/>
      <c r="G3814" s="235"/>
      <c r="H3814" s="235"/>
      <c r="I3814" s="79"/>
      <c r="J3814" s="185"/>
      <c r="K3814" s="216"/>
      <c r="L3814" s="7"/>
    </row>
    <row r="3815" spans="1:12">
      <c r="A3815" s="36"/>
      <c r="B3815" s="37"/>
      <c r="C3815" s="179"/>
      <c r="D3815" s="179"/>
      <c r="E3815" s="179"/>
      <c r="F3815" s="235"/>
      <c r="G3815" s="235"/>
      <c r="H3815" s="235"/>
      <c r="I3815" s="79"/>
      <c r="J3815" s="185"/>
      <c r="K3815" s="216"/>
      <c r="L3815" s="7"/>
    </row>
    <row r="3816" spans="1:12">
      <c r="A3816" s="36"/>
      <c r="B3816" s="37"/>
      <c r="C3816" s="179"/>
      <c r="D3816" s="179"/>
      <c r="E3816" s="179"/>
      <c r="F3816" s="235"/>
      <c r="G3816" s="235"/>
      <c r="H3816" s="235"/>
      <c r="I3816" s="79"/>
      <c r="J3816" s="185"/>
      <c r="K3816" s="216"/>
      <c r="L3816" s="7"/>
    </row>
    <row r="3817" spans="1:12">
      <c r="A3817" s="36"/>
      <c r="B3817" s="37"/>
      <c r="C3817" s="179"/>
      <c r="D3817" s="179"/>
      <c r="E3817" s="179"/>
      <c r="F3817" s="235"/>
      <c r="G3817" s="235"/>
      <c r="H3817" s="235"/>
      <c r="I3817" s="79"/>
      <c r="J3817" s="185"/>
      <c r="K3817" s="216"/>
      <c r="L3817" s="7"/>
    </row>
    <row r="3818" spans="1:12">
      <c r="A3818" s="36"/>
      <c r="B3818" s="37"/>
      <c r="C3818" s="179"/>
      <c r="D3818" s="179"/>
      <c r="E3818" s="179"/>
      <c r="F3818" s="235"/>
      <c r="G3818" s="235"/>
      <c r="H3818" s="235"/>
      <c r="I3818" s="79"/>
      <c r="J3818" s="185"/>
      <c r="K3818" s="216"/>
      <c r="L3818" s="7"/>
    </row>
    <row r="3819" spans="1:12">
      <c r="A3819" s="36"/>
      <c r="B3819" s="37"/>
      <c r="C3819" s="179"/>
      <c r="D3819" s="179"/>
      <c r="E3819" s="179"/>
      <c r="F3819" s="235"/>
      <c r="G3819" s="235"/>
      <c r="H3819" s="235"/>
      <c r="I3819" s="79"/>
      <c r="J3819" s="185"/>
      <c r="K3819" s="216"/>
      <c r="L3819" s="7"/>
    </row>
    <row r="3820" spans="1:12">
      <c r="A3820" s="36"/>
      <c r="B3820" s="37"/>
      <c r="C3820" s="179"/>
      <c r="D3820" s="179"/>
      <c r="E3820" s="179"/>
      <c r="F3820" s="235"/>
      <c r="G3820" s="235"/>
      <c r="H3820" s="235"/>
      <c r="I3820" s="79"/>
      <c r="J3820" s="185"/>
      <c r="K3820" s="216"/>
      <c r="L3820" s="7"/>
    </row>
    <row r="3821" spans="1:12">
      <c r="A3821" s="36"/>
      <c r="B3821" s="37"/>
      <c r="C3821" s="179"/>
      <c r="D3821" s="179"/>
      <c r="E3821" s="179"/>
      <c r="F3821" s="235"/>
      <c r="G3821" s="235"/>
      <c r="H3821" s="235"/>
      <c r="I3821" s="79"/>
      <c r="J3821" s="185"/>
      <c r="K3821" s="216"/>
      <c r="L3821" s="7"/>
    </row>
    <row r="3822" spans="1:12">
      <c r="A3822" s="36"/>
      <c r="B3822" s="37"/>
      <c r="C3822" s="179"/>
      <c r="D3822" s="179"/>
      <c r="E3822" s="179"/>
      <c r="F3822" s="235"/>
      <c r="G3822" s="235"/>
      <c r="H3822" s="235"/>
      <c r="I3822" s="79"/>
      <c r="J3822" s="185"/>
      <c r="K3822" s="216"/>
      <c r="L3822" s="7"/>
    </row>
    <row r="3823" spans="1:12">
      <c r="A3823" s="36"/>
      <c r="B3823" s="37"/>
      <c r="C3823" s="179"/>
      <c r="D3823" s="179"/>
      <c r="E3823" s="179"/>
      <c r="F3823" s="235"/>
      <c r="G3823" s="235"/>
      <c r="H3823" s="235"/>
      <c r="I3823" s="79"/>
      <c r="J3823" s="185"/>
      <c r="K3823" s="216"/>
      <c r="L3823" s="7"/>
    </row>
    <row r="3824" spans="1:12">
      <c r="A3824" s="36"/>
      <c r="B3824" s="37"/>
      <c r="C3824" s="179"/>
      <c r="D3824" s="179"/>
      <c r="E3824" s="179"/>
      <c r="F3824" s="235"/>
      <c r="G3824" s="235"/>
      <c r="H3824" s="235"/>
      <c r="I3824" s="79"/>
      <c r="J3824" s="185"/>
      <c r="K3824" s="216"/>
      <c r="L3824" s="7"/>
    </row>
    <row r="3825" spans="1:12">
      <c r="A3825" s="36"/>
      <c r="B3825" s="37"/>
      <c r="C3825" s="179"/>
      <c r="D3825" s="179"/>
      <c r="E3825" s="179"/>
      <c r="F3825" s="235"/>
      <c r="G3825" s="235"/>
      <c r="H3825" s="235"/>
      <c r="I3825" s="79"/>
      <c r="J3825" s="185"/>
      <c r="K3825" s="216"/>
      <c r="L3825" s="7"/>
    </row>
    <row r="3826" spans="1:12">
      <c r="A3826" s="36"/>
      <c r="B3826" s="37"/>
      <c r="C3826" s="179"/>
      <c r="D3826" s="179"/>
      <c r="E3826" s="179"/>
      <c r="F3826" s="235"/>
      <c r="G3826" s="235"/>
      <c r="H3826" s="235"/>
      <c r="I3826" s="79"/>
      <c r="J3826" s="185"/>
      <c r="K3826" s="216"/>
      <c r="L3826" s="7"/>
    </row>
    <row r="3827" spans="1:12">
      <c r="A3827" s="36"/>
      <c r="B3827" s="37"/>
      <c r="C3827" s="179"/>
      <c r="D3827" s="179"/>
      <c r="E3827" s="179"/>
      <c r="F3827" s="235"/>
      <c r="G3827" s="235"/>
      <c r="H3827" s="235"/>
      <c r="I3827" s="79"/>
      <c r="J3827" s="185"/>
      <c r="K3827" s="216"/>
      <c r="L3827" s="7"/>
    </row>
    <row r="3828" spans="1:12">
      <c r="A3828" s="36"/>
      <c r="B3828" s="37"/>
      <c r="C3828" s="179"/>
      <c r="D3828" s="179"/>
      <c r="E3828" s="179"/>
      <c r="F3828" s="235"/>
      <c r="G3828" s="235"/>
      <c r="H3828" s="235"/>
      <c r="I3828" s="79"/>
      <c r="J3828" s="185"/>
      <c r="K3828" s="216"/>
      <c r="L3828" s="7"/>
    </row>
    <row r="3829" spans="1:12">
      <c r="A3829" s="36"/>
      <c r="B3829" s="37"/>
      <c r="C3829" s="179"/>
      <c r="D3829" s="179"/>
      <c r="E3829" s="179"/>
      <c r="F3829" s="235"/>
      <c r="G3829" s="235"/>
      <c r="H3829" s="235"/>
      <c r="I3829" s="79"/>
      <c r="J3829" s="185"/>
      <c r="K3829" s="216"/>
      <c r="L3829" s="7"/>
    </row>
    <row r="3830" spans="1:12">
      <c r="A3830" s="36"/>
      <c r="B3830" s="37"/>
      <c r="C3830" s="179"/>
      <c r="D3830" s="179"/>
      <c r="E3830" s="179"/>
      <c r="F3830" s="235"/>
      <c r="G3830" s="235"/>
      <c r="H3830" s="235"/>
      <c r="I3830" s="79"/>
      <c r="J3830" s="185"/>
      <c r="K3830" s="216"/>
      <c r="L3830" s="7"/>
    </row>
    <row r="3831" spans="1:12">
      <c r="A3831" s="36"/>
      <c r="B3831" s="37"/>
      <c r="C3831" s="179"/>
      <c r="D3831" s="179"/>
      <c r="E3831" s="179"/>
      <c r="F3831" s="235"/>
      <c r="G3831" s="235"/>
      <c r="H3831" s="235"/>
      <c r="I3831" s="79"/>
      <c r="J3831" s="185"/>
      <c r="K3831" s="216"/>
      <c r="L3831" s="7"/>
    </row>
    <row r="3832" spans="1:12">
      <c r="A3832" s="36"/>
      <c r="B3832" s="37"/>
      <c r="C3832" s="179"/>
      <c r="D3832" s="179"/>
      <c r="E3832" s="179"/>
      <c r="F3832" s="235"/>
      <c r="G3832" s="235"/>
      <c r="H3832" s="235"/>
      <c r="I3832" s="79"/>
      <c r="J3832" s="185"/>
      <c r="K3832" s="216"/>
      <c r="L3832" s="7"/>
    </row>
    <row r="3833" spans="1:12">
      <c r="A3833" s="36"/>
      <c r="B3833" s="37"/>
      <c r="C3833" s="179"/>
      <c r="D3833" s="179"/>
      <c r="E3833" s="179"/>
      <c r="F3833" s="235"/>
      <c r="G3833" s="235"/>
      <c r="H3833" s="235"/>
      <c r="I3833" s="79"/>
      <c r="J3833" s="185"/>
      <c r="K3833" s="216"/>
      <c r="L3833" s="7"/>
    </row>
    <row r="3834" spans="1:12">
      <c r="A3834" s="36"/>
      <c r="B3834" s="37"/>
      <c r="C3834" s="179"/>
      <c r="D3834" s="179"/>
      <c r="E3834" s="179"/>
      <c r="F3834" s="235"/>
      <c r="G3834" s="235"/>
      <c r="H3834" s="235"/>
      <c r="I3834" s="79"/>
      <c r="J3834" s="185"/>
      <c r="K3834" s="216"/>
      <c r="L3834" s="7"/>
    </row>
    <row r="3835" spans="1:12">
      <c r="A3835" s="36"/>
      <c r="B3835" s="37"/>
      <c r="C3835" s="179"/>
      <c r="D3835" s="179"/>
      <c r="E3835" s="179"/>
      <c r="F3835" s="235"/>
      <c r="G3835" s="235"/>
      <c r="H3835" s="235"/>
      <c r="I3835" s="79"/>
      <c r="J3835" s="185"/>
      <c r="K3835" s="216"/>
      <c r="L3835" s="7"/>
    </row>
    <row r="3836" spans="1:12">
      <c r="A3836" s="36"/>
      <c r="B3836" s="37"/>
      <c r="C3836" s="179"/>
      <c r="D3836" s="179"/>
      <c r="E3836" s="179"/>
      <c r="F3836" s="235"/>
      <c r="G3836" s="235"/>
      <c r="H3836" s="235"/>
      <c r="I3836" s="79"/>
      <c r="J3836" s="185"/>
      <c r="K3836" s="216"/>
      <c r="L3836" s="7"/>
    </row>
    <row r="3837" spans="1:12">
      <c r="A3837" s="36"/>
      <c r="B3837" s="37"/>
      <c r="C3837" s="179"/>
      <c r="D3837" s="179"/>
      <c r="E3837" s="179"/>
      <c r="F3837" s="235"/>
      <c r="G3837" s="235"/>
      <c r="H3837" s="235"/>
      <c r="I3837" s="79"/>
      <c r="J3837" s="185"/>
      <c r="K3837" s="216"/>
      <c r="L3837" s="7"/>
    </row>
    <row r="3838" spans="1:12">
      <c r="A3838" s="36"/>
      <c r="B3838" s="37"/>
      <c r="C3838" s="179"/>
      <c r="D3838" s="179"/>
      <c r="E3838" s="179"/>
      <c r="F3838" s="235"/>
      <c r="G3838" s="235"/>
      <c r="H3838" s="235"/>
      <c r="I3838" s="79"/>
      <c r="J3838" s="185"/>
      <c r="K3838" s="216"/>
      <c r="L3838" s="7"/>
    </row>
    <row r="3839" spans="1:12">
      <c r="A3839" s="36"/>
      <c r="B3839" s="37"/>
      <c r="C3839" s="179"/>
      <c r="D3839" s="179"/>
      <c r="E3839" s="179"/>
      <c r="F3839" s="235"/>
      <c r="G3839" s="235"/>
      <c r="H3839" s="235"/>
      <c r="I3839" s="79"/>
      <c r="J3839" s="185"/>
      <c r="K3839" s="216"/>
      <c r="L3839" s="7"/>
    </row>
    <row r="3840" spans="1:12">
      <c r="A3840" s="21"/>
      <c r="B3840" s="21"/>
      <c r="C3840" s="175"/>
      <c r="D3840" s="175"/>
      <c r="E3840" s="175"/>
      <c r="F3840" s="234"/>
      <c r="G3840" s="234"/>
      <c r="H3840" s="234"/>
      <c r="I3840" s="63"/>
      <c r="J3840" s="190"/>
      <c r="K3840" s="208"/>
      <c r="L3840" s="7"/>
    </row>
    <row r="3841" spans="1:12">
      <c r="A3841" s="36"/>
      <c r="B3841" s="37"/>
      <c r="C3841" s="179"/>
      <c r="D3841" s="179"/>
      <c r="E3841" s="179"/>
      <c r="F3841" s="235"/>
      <c r="G3841" s="235"/>
      <c r="H3841" s="235"/>
      <c r="I3841" s="79"/>
      <c r="J3841" s="185"/>
      <c r="K3841" s="216"/>
      <c r="L3841" s="7"/>
    </row>
    <row r="3842" spans="1:12">
      <c r="A3842" s="36"/>
      <c r="B3842" s="37"/>
      <c r="C3842" s="179"/>
      <c r="D3842" s="179"/>
      <c r="E3842" s="179"/>
      <c r="F3842" s="235"/>
      <c r="G3842" s="235"/>
      <c r="H3842" s="235"/>
      <c r="I3842" s="79"/>
      <c r="J3842" s="185"/>
      <c r="K3842" s="216"/>
      <c r="L3842" s="7"/>
    </row>
    <row r="3843" spans="1:12">
      <c r="A3843" s="23"/>
      <c r="B3843" s="14"/>
      <c r="C3843" s="180"/>
      <c r="D3843" s="180"/>
      <c r="E3843" s="180"/>
      <c r="F3843" s="236"/>
      <c r="G3843" s="236"/>
      <c r="H3843" s="236"/>
      <c r="I3843" s="73"/>
      <c r="J3843" s="191"/>
      <c r="K3843" s="207"/>
      <c r="L3843" s="7"/>
    </row>
    <row r="3844" spans="1:12">
      <c r="A3844" s="36"/>
      <c r="B3844" s="37"/>
      <c r="C3844" s="179"/>
      <c r="D3844" s="179"/>
      <c r="E3844" s="179"/>
      <c r="F3844" s="235"/>
      <c r="G3844" s="235"/>
      <c r="H3844" s="235"/>
      <c r="I3844" s="79"/>
      <c r="J3844" s="185"/>
      <c r="K3844" s="216"/>
      <c r="L3844" s="7"/>
    </row>
    <row r="3845" spans="1:12">
      <c r="A3845" s="36"/>
      <c r="B3845" s="37"/>
      <c r="C3845" s="179"/>
      <c r="D3845" s="179"/>
      <c r="E3845" s="179"/>
      <c r="F3845" s="235"/>
      <c r="G3845" s="235"/>
      <c r="H3845" s="235"/>
      <c r="I3845" s="79"/>
      <c r="J3845" s="185"/>
      <c r="K3845" s="216"/>
      <c r="L3845" s="7"/>
    </row>
    <row r="3846" spans="1:12">
      <c r="A3846" s="23"/>
      <c r="B3846" s="14"/>
      <c r="C3846" s="180"/>
      <c r="D3846" s="180"/>
      <c r="E3846" s="180"/>
      <c r="F3846" s="236"/>
      <c r="G3846" s="236"/>
      <c r="H3846" s="236"/>
      <c r="I3846" s="73"/>
      <c r="J3846" s="191"/>
      <c r="K3846" s="207"/>
      <c r="L3846" s="7"/>
    </row>
    <row r="3847" spans="1:12">
      <c r="A3847" s="36"/>
      <c r="B3847" s="37"/>
      <c r="C3847" s="179"/>
      <c r="D3847" s="179"/>
      <c r="E3847" s="179"/>
      <c r="F3847" s="235"/>
      <c r="G3847" s="235"/>
      <c r="H3847" s="235"/>
      <c r="I3847" s="79"/>
      <c r="J3847" s="185"/>
      <c r="K3847" s="216"/>
      <c r="L3847" s="7"/>
    </row>
    <row r="3848" spans="1:12">
      <c r="A3848" s="36"/>
      <c r="B3848" s="37"/>
      <c r="C3848" s="179"/>
      <c r="D3848" s="179"/>
      <c r="E3848" s="179"/>
      <c r="F3848" s="235"/>
      <c r="G3848" s="235"/>
      <c r="H3848" s="235"/>
      <c r="I3848" s="79"/>
      <c r="J3848" s="185"/>
      <c r="K3848" s="216"/>
      <c r="L3848" s="7"/>
    </row>
    <row r="3849" spans="1:12">
      <c r="A3849" s="36"/>
      <c r="B3849" s="37"/>
      <c r="C3849" s="179"/>
      <c r="D3849" s="179"/>
      <c r="E3849" s="179"/>
      <c r="F3849" s="235"/>
      <c r="G3849" s="235"/>
      <c r="H3849" s="235"/>
      <c r="I3849" s="79"/>
      <c r="J3849" s="185"/>
      <c r="K3849" s="216"/>
      <c r="L3849" s="7"/>
    </row>
    <row r="3850" spans="1:12">
      <c r="A3850" s="36"/>
      <c r="B3850" s="37"/>
      <c r="C3850" s="179"/>
      <c r="D3850" s="179"/>
      <c r="E3850" s="179"/>
      <c r="F3850" s="235"/>
      <c r="G3850" s="235"/>
      <c r="H3850" s="235"/>
      <c r="I3850" s="79"/>
      <c r="J3850" s="185"/>
      <c r="K3850" s="216"/>
      <c r="L3850" s="7"/>
    </row>
    <row r="3851" spans="1:12">
      <c r="A3851" s="36"/>
      <c r="B3851" s="37"/>
      <c r="C3851" s="179"/>
      <c r="D3851" s="179"/>
      <c r="E3851" s="179"/>
      <c r="F3851" s="235"/>
      <c r="G3851" s="235"/>
      <c r="H3851" s="235"/>
      <c r="I3851" s="79"/>
      <c r="J3851" s="185"/>
      <c r="K3851" s="216"/>
      <c r="L3851" s="7"/>
    </row>
    <row r="3852" spans="1:12">
      <c r="A3852" s="36"/>
      <c r="B3852" s="37"/>
      <c r="C3852" s="179"/>
      <c r="D3852" s="179"/>
      <c r="E3852" s="179"/>
      <c r="F3852" s="235"/>
      <c r="G3852" s="235"/>
      <c r="H3852" s="235"/>
      <c r="I3852" s="79"/>
      <c r="J3852" s="185"/>
      <c r="K3852" s="216"/>
      <c r="L3852" s="7"/>
    </row>
    <row r="3853" spans="1:12">
      <c r="A3853" s="21"/>
      <c r="B3853" s="21"/>
      <c r="C3853" s="175"/>
      <c r="D3853" s="175"/>
      <c r="E3853" s="175"/>
      <c r="F3853" s="234"/>
      <c r="G3853" s="234"/>
      <c r="H3853" s="234"/>
      <c r="I3853" s="63"/>
      <c r="J3853" s="190"/>
      <c r="K3853" s="208"/>
      <c r="L3853" s="7"/>
    </row>
    <row r="3854" spans="1:12">
      <c r="A3854" s="21"/>
      <c r="B3854" s="21"/>
      <c r="C3854" s="175"/>
      <c r="D3854" s="175"/>
      <c r="E3854" s="175"/>
      <c r="F3854" s="234"/>
      <c r="G3854" s="234"/>
      <c r="H3854" s="234"/>
      <c r="I3854" s="63"/>
      <c r="J3854" s="190"/>
      <c r="K3854" s="208"/>
      <c r="L3854" s="7"/>
    </row>
    <row r="3855" spans="1:12">
      <c r="A3855" s="21"/>
      <c r="B3855" s="21"/>
      <c r="C3855" s="175"/>
      <c r="D3855" s="175"/>
      <c r="E3855" s="175"/>
      <c r="F3855" s="234"/>
      <c r="G3855" s="234"/>
      <c r="H3855" s="234"/>
      <c r="I3855" s="63"/>
      <c r="J3855" s="190"/>
      <c r="K3855" s="208"/>
      <c r="L3855" s="7"/>
    </row>
    <row r="3856" spans="1:12">
      <c r="A3856" s="21"/>
      <c r="B3856" s="21"/>
      <c r="C3856" s="175"/>
      <c r="D3856" s="175"/>
      <c r="E3856" s="175"/>
      <c r="F3856" s="234"/>
      <c r="G3856" s="234"/>
      <c r="H3856" s="234"/>
      <c r="I3856" s="63"/>
      <c r="J3856" s="189"/>
      <c r="K3856" s="208"/>
      <c r="L3856" s="7"/>
    </row>
    <row r="3857" spans="1:12">
      <c r="A3857" s="21"/>
      <c r="B3857" s="21"/>
      <c r="C3857" s="175"/>
      <c r="D3857" s="175"/>
      <c r="E3857" s="175"/>
      <c r="F3857" s="234"/>
      <c r="G3857" s="234"/>
      <c r="H3857" s="234"/>
      <c r="I3857" s="63"/>
      <c r="J3857" s="189"/>
      <c r="K3857" s="208"/>
      <c r="L3857" s="7"/>
    </row>
    <row r="3858" spans="1:12">
      <c r="A3858" s="36"/>
      <c r="B3858" s="37"/>
      <c r="C3858" s="179"/>
      <c r="D3858" s="179"/>
      <c r="E3858" s="179"/>
      <c r="F3858" s="235"/>
      <c r="G3858" s="235"/>
      <c r="H3858" s="235"/>
      <c r="I3858" s="79"/>
      <c r="J3858" s="185"/>
      <c r="K3858" s="216"/>
      <c r="L3858" s="7"/>
    </row>
    <row r="3859" spans="1:12">
      <c r="A3859" s="36"/>
      <c r="B3859" s="37"/>
      <c r="C3859" s="179"/>
      <c r="D3859" s="179"/>
      <c r="E3859" s="179"/>
      <c r="F3859" s="235"/>
      <c r="G3859" s="235"/>
      <c r="H3859" s="235"/>
      <c r="I3859" s="79"/>
      <c r="J3859" s="185"/>
      <c r="K3859" s="216"/>
      <c r="L3859" s="7"/>
    </row>
    <row r="3860" spans="1:12">
      <c r="A3860" s="36"/>
      <c r="B3860" s="37"/>
      <c r="C3860" s="179"/>
      <c r="D3860" s="179"/>
      <c r="E3860" s="179"/>
      <c r="F3860" s="235"/>
      <c r="G3860" s="235"/>
      <c r="H3860" s="235"/>
      <c r="I3860" s="79"/>
      <c r="J3860" s="185"/>
      <c r="K3860" s="216"/>
      <c r="L3860" s="7"/>
    </row>
    <row r="3861" spans="1:12">
      <c r="A3861" s="36"/>
      <c r="B3861" s="37"/>
      <c r="C3861" s="179"/>
      <c r="D3861" s="179"/>
      <c r="E3861" s="179"/>
      <c r="F3861" s="235"/>
      <c r="G3861" s="235"/>
      <c r="H3861" s="235"/>
      <c r="I3861" s="79"/>
      <c r="J3861" s="185"/>
      <c r="K3861" s="216"/>
      <c r="L3861" s="7"/>
    </row>
    <row r="3862" spans="1:12">
      <c r="A3862" s="36"/>
      <c r="B3862" s="37"/>
      <c r="C3862" s="179"/>
      <c r="D3862" s="179"/>
      <c r="E3862" s="179"/>
      <c r="F3862" s="235"/>
      <c r="G3862" s="235"/>
      <c r="H3862" s="235"/>
      <c r="I3862" s="79"/>
      <c r="J3862" s="185"/>
      <c r="K3862" s="216"/>
      <c r="L3862" s="7"/>
    </row>
    <row r="3863" spans="1:12">
      <c r="A3863" s="36"/>
      <c r="B3863" s="37"/>
      <c r="C3863" s="179"/>
      <c r="D3863" s="179"/>
      <c r="E3863" s="179"/>
      <c r="F3863" s="235"/>
      <c r="G3863" s="235"/>
      <c r="H3863" s="235"/>
      <c r="I3863" s="79"/>
      <c r="J3863" s="185"/>
      <c r="K3863" s="216"/>
      <c r="L3863" s="7"/>
    </row>
    <row r="3864" spans="1:12">
      <c r="A3864" s="36"/>
      <c r="B3864" s="37"/>
      <c r="C3864" s="179"/>
      <c r="D3864" s="179"/>
      <c r="E3864" s="179"/>
      <c r="F3864" s="235"/>
      <c r="G3864" s="235"/>
      <c r="H3864" s="235"/>
      <c r="I3864" s="79"/>
      <c r="J3864" s="185"/>
      <c r="K3864" s="216"/>
      <c r="L3864" s="7"/>
    </row>
    <row r="3865" spans="1:12">
      <c r="A3865" s="36"/>
      <c r="B3865" s="37"/>
      <c r="C3865" s="179"/>
      <c r="D3865" s="179"/>
      <c r="E3865" s="179"/>
      <c r="F3865" s="235"/>
      <c r="G3865" s="235"/>
      <c r="H3865" s="235"/>
      <c r="I3865" s="79"/>
      <c r="J3865" s="185"/>
      <c r="K3865" s="216"/>
      <c r="L3865" s="7"/>
    </row>
    <row r="3866" spans="1:12">
      <c r="A3866" s="36"/>
      <c r="B3866" s="37"/>
      <c r="C3866" s="179"/>
      <c r="D3866" s="179"/>
      <c r="E3866" s="179"/>
      <c r="F3866" s="235"/>
      <c r="G3866" s="235"/>
      <c r="H3866" s="235"/>
      <c r="I3866" s="79"/>
      <c r="J3866" s="185"/>
      <c r="K3866" s="216"/>
      <c r="L3866" s="7"/>
    </row>
    <row r="3867" spans="1:12">
      <c r="A3867" s="36"/>
      <c r="B3867" s="37"/>
      <c r="C3867" s="179"/>
      <c r="D3867" s="179"/>
      <c r="E3867" s="179"/>
      <c r="F3867" s="235"/>
      <c r="G3867" s="235"/>
      <c r="H3867" s="235"/>
      <c r="I3867" s="79"/>
      <c r="J3867" s="185"/>
      <c r="K3867" s="216"/>
      <c r="L3867" s="7"/>
    </row>
    <row r="3868" spans="1:12">
      <c r="A3868" s="36"/>
      <c r="B3868" s="37"/>
      <c r="C3868" s="179"/>
      <c r="D3868" s="179"/>
      <c r="E3868" s="179"/>
      <c r="F3868" s="235"/>
      <c r="G3868" s="235"/>
      <c r="H3868" s="235"/>
      <c r="I3868" s="79"/>
      <c r="J3868" s="185"/>
      <c r="K3868" s="216"/>
      <c r="L3868" s="7"/>
    </row>
    <row r="3869" spans="1:12">
      <c r="A3869" s="36"/>
      <c r="B3869" s="37"/>
      <c r="C3869" s="179"/>
      <c r="D3869" s="179"/>
      <c r="E3869" s="179"/>
      <c r="F3869" s="235"/>
      <c r="G3869" s="235"/>
      <c r="H3869" s="235"/>
      <c r="I3869" s="79"/>
      <c r="J3869" s="185"/>
      <c r="K3869" s="216"/>
      <c r="L3869" s="7"/>
    </row>
    <row r="3870" spans="1:12">
      <c r="A3870" s="36"/>
      <c r="B3870" s="37"/>
      <c r="C3870" s="179"/>
      <c r="D3870" s="179"/>
      <c r="E3870" s="179"/>
      <c r="F3870" s="235"/>
      <c r="G3870" s="235"/>
      <c r="H3870" s="235"/>
      <c r="I3870" s="79"/>
      <c r="J3870" s="185"/>
      <c r="K3870" s="216"/>
      <c r="L3870" s="7"/>
    </row>
    <row r="3871" spans="1:12">
      <c r="A3871" s="36"/>
      <c r="B3871" s="37"/>
      <c r="C3871" s="179"/>
      <c r="D3871" s="179"/>
      <c r="E3871" s="179"/>
      <c r="F3871" s="235"/>
      <c r="G3871" s="235"/>
      <c r="H3871" s="235"/>
      <c r="I3871" s="79"/>
      <c r="J3871" s="185"/>
      <c r="K3871" s="216"/>
      <c r="L3871" s="7"/>
    </row>
    <row r="3872" spans="1:12">
      <c r="A3872" s="36"/>
      <c r="B3872" s="37"/>
      <c r="C3872" s="179"/>
      <c r="D3872" s="179"/>
      <c r="E3872" s="179"/>
      <c r="F3872" s="235"/>
      <c r="G3872" s="235"/>
      <c r="H3872" s="235"/>
      <c r="I3872" s="79"/>
      <c r="J3872" s="185"/>
      <c r="K3872" s="216"/>
      <c r="L3872" s="7"/>
    </row>
    <row r="3873" spans="1:12">
      <c r="A3873" s="36"/>
      <c r="B3873" s="37"/>
      <c r="C3873" s="179"/>
      <c r="D3873" s="179"/>
      <c r="E3873" s="179"/>
      <c r="F3873" s="235"/>
      <c r="G3873" s="235"/>
      <c r="H3873" s="235"/>
      <c r="I3873" s="79"/>
      <c r="J3873" s="185"/>
      <c r="K3873" s="216"/>
      <c r="L3873" s="7"/>
    </row>
    <row r="3874" spans="1:12">
      <c r="A3874" s="36"/>
      <c r="B3874" s="37"/>
      <c r="C3874" s="179"/>
      <c r="D3874" s="179"/>
      <c r="E3874" s="179"/>
      <c r="F3874" s="235"/>
      <c r="G3874" s="235"/>
      <c r="H3874" s="235"/>
      <c r="I3874" s="79"/>
      <c r="J3874" s="185"/>
      <c r="K3874" s="216"/>
      <c r="L3874" s="7"/>
    </row>
    <row r="3875" spans="1:12">
      <c r="A3875" s="36"/>
      <c r="B3875" s="37"/>
      <c r="C3875" s="179"/>
      <c r="D3875" s="179"/>
      <c r="E3875" s="179"/>
      <c r="F3875" s="235"/>
      <c r="G3875" s="235"/>
      <c r="H3875" s="235"/>
      <c r="I3875" s="79"/>
      <c r="J3875" s="185"/>
      <c r="K3875" s="216"/>
      <c r="L3875" s="7"/>
    </row>
    <row r="3876" spans="1:12">
      <c r="A3876" s="36"/>
      <c r="B3876" s="37"/>
      <c r="C3876" s="179"/>
      <c r="D3876" s="179"/>
      <c r="E3876" s="179"/>
      <c r="F3876" s="235"/>
      <c r="G3876" s="235"/>
      <c r="H3876" s="235"/>
      <c r="I3876" s="79"/>
      <c r="J3876" s="185"/>
      <c r="K3876" s="216"/>
      <c r="L3876" s="7"/>
    </row>
    <row r="3877" spans="1:12">
      <c r="A3877" s="36"/>
      <c r="B3877" s="37"/>
      <c r="C3877" s="179"/>
      <c r="D3877" s="179"/>
      <c r="E3877" s="179"/>
      <c r="F3877" s="235"/>
      <c r="G3877" s="235"/>
      <c r="H3877" s="235"/>
      <c r="I3877" s="79"/>
      <c r="J3877" s="185"/>
      <c r="K3877" s="216"/>
      <c r="L3877" s="7"/>
    </row>
    <row r="3878" spans="1:12">
      <c r="A3878" s="36"/>
      <c r="B3878" s="37"/>
      <c r="C3878" s="179"/>
      <c r="D3878" s="179"/>
      <c r="E3878" s="179"/>
      <c r="F3878" s="235"/>
      <c r="G3878" s="235"/>
      <c r="H3878" s="235"/>
      <c r="I3878" s="79"/>
      <c r="J3878" s="185"/>
      <c r="K3878" s="216"/>
      <c r="L3878" s="7"/>
    </row>
    <row r="3879" spans="1:12">
      <c r="A3879" s="36"/>
      <c r="B3879" s="37"/>
      <c r="C3879" s="179"/>
      <c r="D3879" s="179"/>
      <c r="E3879" s="179"/>
      <c r="F3879" s="235"/>
      <c r="G3879" s="235"/>
      <c r="H3879" s="235"/>
      <c r="I3879" s="79"/>
      <c r="J3879" s="185"/>
      <c r="K3879" s="216"/>
      <c r="L3879" s="7"/>
    </row>
    <row r="3880" spans="1:12">
      <c r="A3880" s="36"/>
      <c r="B3880" s="37"/>
      <c r="C3880" s="179"/>
      <c r="D3880" s="179"/>
      <c r="E3880" s="179"/>
      <c r="F3880" s="235"/>
      <c r="G3880" s="235"/>
      <c r="H3880" s="235"/>
      <c r="I3880" s="79"/>
      <c r="J3880" s="185"/>
      <c r="K3880" s="216"/>
      <c r="L3880" s="7"/>
    </row>
    <row r="3881" spans="1:12">
      <c r="A3881" s="36"/>
      <c r="B3881" s="37"/>
      <c r="C3881" s="179"/>
      <c r="D3881" s="179"/>
      <c r="E3881" s="179"/>
      <c r="F3881" s="235"/>
      <c r="G3881" s="235"/>
      <c r="H3881" s="235"/>
      <c r="I3881" s="79"/>
      <c r="J3881" s="185"/>
      <c r="K3881" s="216"/>
      <c r="L3881" s="7"/>
    </row>
    <row r="3882" spans="1:12">
      <c r="A3882" s="36"/>
      <c r="B3882" s="37"/>
      <c r="C3882" s="179"/>
      <c r="D3882" s="179"/>
      <c r="E3882" s="179"/>
      <c r="F3882" s="235"/>
      <c r="G3882" s="235"/>
      <c r="H3882" s="235"/>
      <c r="I3882" s="79"/>
      <c r="J3882" s="185"/>
      <c r="K3882" s="216"/>
      <c r="L3882" s="7"/>
    </row>
    <row r="3883" spans="1:12">
      <c r="A3883" s="21"/>
      <c r="B3883" s="21"/>
      <c r="C3883" s="175"/>
      <c r="D3883" s="175"/>
      <c r="E3883" s="175"/>
      <c r="F3883" s="234"/>
      <c r="G3883" s="234"/>
      <c r="H3883" s="234"/>
      <c r="I3883" s="63"/>
      <c r="J3883" s="190"/>
      <c r="K3883" s="208"/>
      <c r="L3883" s="7"/>
    </row>
    <row r="3884" spans="1:12">
      <c r="A3884" s="36"/>
      <c r="B3884" s="37"/>
      <c r="C3884" s="179"/>
      <c r="D3884" s="179"/>
      <c r="E3884" s="179"/>
      <c r="F3884" s="235"/>
      <c r="G3884" s="235"/>
      <c r="H3884" s="235"/>
      <c r="I3884" s="79"/>
      <c r="J3884" s="185"/>
      <c r="K3884" s="216"/>
      <c r="L3884" s="7"/>
    </row>
    <row r="3885" spans="1:12">
      <c r="A3885" s="36"/>
      <c r="B3885" s="37"/>
      <c r="C3885" s="179"/>
      <c r="D3885" s="179"/>
      <c r="E3885" s="179"/>
      <c r="F3885" s="235"/>
      <c r="G3885" s="235"/>
      <c r="H3885" s="235"/>
      <c r="I3885" s="79"/>
      <c r="J3885" s="185"/>
      <c r="K3885" s="216"/>
      <c r="L3885" s="7"/>
    </row>
    <row r="3886" spans="1:12">
      <c r="A3886" s="36"/>
      <c r="B3886" s="37"/>
      <c r="C3886" s="179"/>
      <c r="D3886" s="179"/>
      <c r="E3886" s="179"/>
      <c r="F3886" s="235"/>
      <c r="G3886" s="235"/>
      <c r="H3886" s="235"/>
      <c r="I3886" s="79"/>
      <c r="J3886" s="185"/>
      <c r="K3886" s="216"/>
      <c r="L3886" s="7"/>
    </row>
    <row r="3887" spans="1:12">
      <c r="A3887" s="36"/>
      <c r="B3887" s="37"/>
      <c r="C3887" s="179"/>
      <c r="D3887" s="179"/>
      <c r="E3887" s="179"/>
      <c r="F3887" s="235"/>
      <c r="G3887" s="235"/>
      <c r="H3887" s="235"/>
      <c r="I3887" s="79"/>
      <c r="J3887" s="185"/>
      <c r="K3887" s="216"/>
      <c r="L3887" s="7"/>
    </row>
    <row r="3888" spans="1:12">
      <c r="A3888" s="36"/>
      <c r="B3888" s="37"/>
      <c r="C3888" s="179"/>
      <c r="D3888" s="179"/>
      <c r="E3888" s="179"/>
      <c r="F3888" s="235"/>
      <c r="G3888" s="235"/>
      <c r="H3888" s="235"/>
      <c r="I3888" s="79"/>
      <c r="J3888" s="185"/>
      <c r="K3888" s="216"/>
      <c r="L3888" s="7"/>
    </row>
    <row r="3889" spans="1:12">
      <c r="A3889" s="36"/>
      <c r="B3889" s="37"/>
      <c r="C3889" s="179"/>
      <c r="D3889" s="179"/>
      <c r="E3889" s="179"/>
      <c r="F3889" s="235"/>
      <c r="G3889" s="235"/>
      <c r="H3889" s="235"/>
      <c r="I3889" s="79"/>
      <c r="J3889" s="185"/>
      <c r="K3889" s="216"/>
      <c r="L3889" s="7"/>
    </row>
    <row r="3890" spans="1:12">
      <c r="A3890" s="36"/>
      <c r="B3890" s="37"/>
      <c r="C3890" s="179"/>
      <c r="D3890" s="179"/>
      <c r="E3890" s="179"/>
      <c r="F3890" s="235"/>
      <c r="G3890" s="235"/>
      <c r="H3890" s="235"/>
      <c r="I3890" s="79"/>
      <c r="J3890" s="185"/>
      <c r="K3890" s="216"/>
      <c r="L3890" s="7"/>
    </row>
    <row r="3891" spans="1:12">
      <c r="A3891" s="36"/>
      <c r="B3891" s="37"/>
      <c r="C3891" s="179"/>
      <c r="D3891" s="179"/>
      <c r="E3891" s="179"/>
      <c r="F3891" s="235"/>
      <c r="G3891" s="235"/>
      <c r="H3891" s="235"/>
      <c r="I3891" s="79"/>
      <c r="J3891" s="185"/>
      <c r="K3891" s="216"/>
      <c r="L3891" s="7"/>
    </row>
    <row r="3892" spans="1:12">
      <c r="A3892" s="36"/>
      <c r="B3892" s="37"/>
      <c r="C3892" s="179"/>
      <c r="D3892" s="179"/>
      <c r="E3892" s="179"/>
      <c r="F3892" s="235"/>
      <c r="G3892" s="235"/>
      <c r="H3892" s="235"/>
      <c r="I3892" s="79"/>
      <c r="J3892" s="185"/>
      <c r="K3892" s="216"/>
      <c r="L3892" s="7"/>
    </row>
    <row r="3893" spans="1:12">
      <c r="A3893" s="36"/>
      <c r="B3893" s="37"/>
      <c r="C3893" s="179"/>
      <c r="D3893" s="179"/>
      <c r="E3893" s="179"/>
      <c r="F3893" s="235"/>
      <c r="G3893" s="235"/>
      <c r="H3893" s="235"/>
      <c r="I3893" s="79"/>
      <c r="J3893" s="185"/>
      <c r="K3893" s="216"/>
      <c r="L3893" s="7"/>
    </row>
    <row r="3894" spans="1:12">
      <c r="A3894" s="36"/>
      <c r="B3894" s="37"/>
      <c r="C3894" s="179"/>
      <c r="D3894" s="179"/>
      <c r="E3894" s="179"/>
      <c r="F3894" s="235"/>
      <c r="G3894" s="235"/>
      <c r="H3894" s="235"/>
      <c r="I3894" s="79"/>
      <c r="J3894" s="185"/>
      <c r="K3894" s="216"/>
      <c r="L3894" s="7"/>
    </row>
    <row r="3895" spans="1:12">
      <c r="A3895" s="36"/>
      <c r="B3895" s="37"/>
      <c r="C3895" s="179"/>
      <c r="D3895" s="179"/>
      <c r="E3895" s="179"/>
      <c r="F3895" s="235"/>
      <c r="G3895" s="235"/>
      <c r="H3895" s="235"/>
      <c r="I3895" s="79"/>
      <c r="J3895" s="185"/>
      <c r="K3895" s="216"/>
      <c r="L3895" s="7"/>
    </row>
    <row r="3896" spans="1:12">
      <c r="A3896" s="21"/>
      <c r="B3896" s="21"/>
      <c r="C3896" s="175"/>
      <c r="D3896" s="175"/>
      <c r="E3896" s="175"/>
      <c r="F3896" s="234"/>
      <c r="G3896" s="234"/>
      <c r="H3896" s="234"/>
      <c r="I3896" s="63"/>
      <c r="J3896" s="190"/>
      <c r="K3896" s="208"/>
      <c r="L3896" s="7"/>
    </row>
    <row r="3897" spans="1:12">
      <c r="A3897" s="21"/>
      <c r="B3897" s="21"/>
      <c r="C3897" s="175"/>
      <c r="D3897" s="175"/>
      <c r="E3897" s="175"/>
      <c r="F3897" s="234"/>
      <c r="G3897" s="234"/>
      <c r="H3897" s="234"/>
      <c r="I3897" s="63"/>
      <c r="J3897" s="190"/>
      <c r="K3897" s="208"/>
      <c r="L3897" s="7"/>
    </row>
    <row r="3898" spans="1:12">
      <c r="A3898" s="36"/>
      <c r="B3898" s="37"/>
      <c r="C3898" s="179"/>
      <c r="D3898" s="179"/>
      <c r="E3898" s="179"/>
      <c r="F3898" s="235"/>
      <c r="G3898" s="235"/>
      <c r="H3898" s="235"/>
      <c r="I3898" s="79"/>
      <c r="J3898" s="185"/>
      <c r="K3898" s="216"/>
      <c r="L3898" s="7"/>
    </row>
    <row r="3899" spans="1:12">
      <c r="A3899" s="36"/>
      <c r="B3899" s="37"/>
      <c r="C3899" s="179"/>
      <c r="D3899" s="179"/>
      <c r="E3899" s="179"/>
      <c r="F3899" s="235"/>
      <c r="G3899" s="235"/>
      <c r="H3899" s="235"/>
      <c r="I3899" s="79"/>
      <c r="J3899" s="185"/>
      <c r="K3899" s="216"/>
      <c r="L3899" s="7"/>
    </row>
    <row r="3900" spans="1:12">
      <c r="A3900" s="23"/>
      <c r="B3900" s="14"/>
      <c r="C3900" s="180"/>
      <c r="D3900" s="180"/>
      <c r="E3900" s="180"/>
      <c r="F3900" s="236"/>
      <c r="G3900" s="236"/>
      <c r="H3900" s="236"/>
      <c r="I3900" s="73"/>
      <c r="J3900" s="191"/>
      <c r="K3900" s="207"/>
      <c r="L3900" s="7"/>
    </row>
    <row r="3901" spans="1:12">
      <c r="A3901" s="23"/>
      <c r="B3901" s="14"/>
      <c r="C3901" s="180"/>
      <c r="D3901" s="180"/>
      <c r="E3901" s="180"/>
      <c r="F3901" s="236"/>
      <c r="G3901" s="236"/>
      <c r="H3901" s="236"/>
      <c r="I3901" s="73"/>
      <c r="J3901" s="191"/>
      <c r="K3901" s="207"/>
      <c r="L3901" s="7"/>
    </row>
    <row r="3902" spans="1:12">
      <c r="A3902" s="21"/>
      <c r="B3902" s="21"/>
      <c r="C3902" s="175"/>
      <c r="D3902" s="175"/>
      <c r="E3902" s="175"/>
      <c r="F3902" s="234"/>
      <c r="G3902" s="234"/>
      <c r="H3902" s="234"/>
      <c r="I3902" s="63"/>
      <c r="J3902" s="190"/>
      <c r="K3902" s="208"/>
      <c r="L3902" s="7"/>
    </row>
    <row r="3903" spans="1:12">
      <c r="A3903" s="21"/>
      <c r="B3903" s="21"/>
      <c r="C3903" s="175"/>
      <c r="D3903" s="175"/>
      <c r="E3903" s="175"/>
      <c r="F3903" s="234"/>
      <c r="G3903" s="234"/>
      <c r="H3903" s="234"/>
      <c r="I3903" s="63"/>
      <c r="J3903" s="190"/>
      <c r="K3903" s="208"/>
      <c r="L3903" s="7"/>
    </row>
    <row r="3904" spans="1:12">
      <c r="A3904" s="21"/>
      <c r="B3904" s="21"/>
      <c r="C3904" s="175"/>
      <c r="D3904" s="175"/>
      <c r="E3904" s="175"/>
      <c r="F3904" s="234"/>
      <c r="G3904" s="234"/>
      <c r="H3904" s="234"/>
      <c r="I3904" s="63"/>
      <c r="J3904" s="190"/>
      <c r="K3904" s="208"/>
      <c r="L3904" s="7"/>
    </row>
    <row r="3905" spans="1:12">
      <c r="A3905" s="36"/>
      <c r="B3905" s="37"/>
      <c r="C3905" s="179"/>
      <c r="D3905" s="179"/>
      <c r="E3905" s="179"/>
      <c r="F3905" s="235"/>
      <c r="G3905" s="235"/>
      <c r="H3905" s="235"/>
      <c r="I3905" s="79"/>
      <c r="J3905" s="185"/>
      <c r="K3905" s="216"/>
      <c r="L3905" s="7"/>
    </row>
    <row r="3906" spans="1:12">
      <c r="A3906" s="36"/>
      <c r="B3906" s="37"/>
      <c r="C3906" s="179"/>
      <c r="D3906" s="179"/>
      <c r="E3906" s="179"/>
      <c r="F3906" s="235"/>
      <c r="G3906" s="235"/>
      <c r="H3906" s="235"/>
      <c r="I3906" s="79"/>
      <c r="J3906" s="185"/>
      <c r="K3906" s="216"/>
      <c r="L3906" s="7"/>
    </row>
    <row r="3907" spans="1:12">
      <c r="A3907" s="36"/>
      <c r="B3907" s="37"/>
      <c r="C3907" s="179"/>
      <c r="D3907" s="179"/>
      <c r="E3907" s="179"/>
      <c r="F3907" s="235"/>
      <c r="G3907" s="235"/>
      <c r="H3907" s="235"/>
      <c r="I3907" s="79"/>
      <c r="J3907" s="185"/>
      <c r="K3907" s="216"/>
      <c r="L3907" s="7"/>
    </row>
    <row r="3908" spans="1:12">
      <c r="A3908" s="36"/>
      <c r="B3908" s="37"/>
      <c r="C3908" s="179"/>
      <c r="D3908" s="179"/>
      <c r="E3908" s="179"/>
      <c r="F3908" s="235"/>
      <c r="G3908" s="235"/>
      <c r="H3908" s="235"/>
      <c r="I3908" s="79"/>
      <c r="J3908" s="185"/>
      <c r="K3908" s="216"/>
      <c r="L3908" s="7"/>
    </row>
    <row r="3909" spans="1:12">
      <c r="A3909" s="36"/>
      <c r="B3909" s="37"/>
      <c r="C3909" s="179"/>
      <c r="D3909" s="179"/>
      <c r="E3909" s="179"/>
      <c r="F3909" s="235"/>
      <c r="G3909" s="235"/>
      <c r="H3909" s="235"/>
      <c r="I3909" s="79"/>
      <c r="J3909" s="185"/>
      <c r="K3909" s="216"/>
      <c r="L3909" s="7"/>
    </row>
    <row r="3910" spans="1:12">
      <c r="A3910" s="36"/>
      <c r="B3910" s="37"/>
      <c r="C3910" s="179"/>
      <c r="D3910" s="179"/>
      <c r="E3910" s="179"/>
      <c r="F3910" s="235"/>
      <c r="G3910" s="235"/>
      <c r="H3910" s="235"/>
      <c r="I3910" s="79"/>
      <c r="J3910" s="185"/>
      <c r="K3910" s="216"/>
      <c r="L3910" s="7"/>
    </row>
    <row r="3911" spans="1:12">
      <c r="A3911" s="36"/>
      <c r="B3911" s="37"/>
      <c r="C3911" s="179"/>
      <c r="D3911" s="179"/>
      <c r="E3911" s="179"/>
      <c r="F3911" s="235"/>
      <c r="G3911" s="235"/>
      <c r="H3911" s="235"/>
      <c r="I3911" s="79"/>
      <c r="J3911" s="185"/>
      <c r="K3911" s="216"/>
      <c r="L3911" s="7"/>
    </row>
    <row r="3912" spans="1:12">
      <c r="A3912" s="36"/>
      <c r="B3912" s="37"/>
      <c r="C3912" s="179"/>
      <c r="D3912" s="179"/>
      <c r="E3912" s="179"/>
      <c r="F3912" s="235"/>
      <c r="G3912" s="235"/>
      <c r="H3912" s="235"/>
      <c r="I3912" s="79"/>
      <c r="J3912" s="185"/>
      <c r="K3912" s="216"/>
      <c r="L3912" s="7"/>
    </row>
    <row r="3913" spans="1:12">
      <c r="A3913" s="36"/>
      <c r="B3913" s="37"/>
      <c r="C3913" s="179"/>
      <c r="D3913" s="179"/>
      <c r="E3913" s="179"/>
      <c r="F3913" s="235"/>
      <c r="G3913" s="235"/>
      <c r="H3913" s="235"/>
      <c r="I3913" s="79"/>
      <c r="J3913" s="185"/>
      <c r="K3913" s="216"/>
      <c r="L3913" s="7"/>
    </row>
    <row r="3914" spans="1:12">
      <c r="A3914" s="36"/>
      <c r="B3914" s="37"/>
      <c r="C3914" s="179"/>
      <c r="D3914" s="179"/>
      <c r="E3914" s="179"/>
      <c r="F3914" s="235"/>
      <c r="G3914" s="235"/>
      <c r="H3914" s="235"/>
      <c r="I3914" s="79"/>
      <c r="J3914" s="185"/>
      <c r="K3914" s="216"/>
      <c r="L3914" s="7"/>
    </row>
    <row r="3915" spans="1:12">
      <c r="A3915" s="36"/>
      <c r="B3915" s="37"/>
      <c r="C3915" s="179"/>
      <c r="D3915" s="179"/>
      <c r="E3915" s="179"/>
      <c r="F3915" s="235"/>
      <c r="G3915" s="235"/>
      <c r="H3915" s="235"/>
      <c r="I3915" s="79"/>
      <c r="J3915" s="185"/>
      <c r="K3915" s="216"/>
      <c r="L3915" s="7"/>
    </row>
    <row r="3916" spans="1:12">
      <c r="A3916" s="36"/>
      <c r="B3916" s="37"/>
      <c r="C3916" s="179"/>
      <c r="D3916" s="179"/>
      <c r="E3916" s="179"/>
      <c r="F3916" s="235"/>
      <c r="G3916" s="235"/>
      <c r="H3916" s="235"/>
      <c r="I3916" s="79"/>
      <c r="J3916" s="185"/>
      <c r="K3916" s="216"/>
      <c r="L3916" s="7"/>
    </row>
    <row r="3917" spans="1:12">
      <c r="A3917" s="36"/>
      <c r="B3917" s="37"/>
      <c r="C3917" s="179"/>
      <c r="D3917" s="179"/>
      <c r="E3917" s="179"/>
      <c r="F3917" s="235"/>
      <c r="G3917" s="235"/>
      <c r="H3917" s="235"/>
      <c r="I3917" s="79"/>
      <c r="J3917" s="185"/>
      <c r="K3917" s="216"/>
      <c r="L3917" s="7"/>
    </row>
    <row r="3918" spans="1:12">
      <c r="A3918" s="36"/>
      <c r="B3918" s="37"/>
      <c r="C3918" s="179"/>
      <c r="D3918" s="179"/>
      <c r="E3918" s="179"/>
      <c r="F3918" s="235"/>
      <c r="G3918" s="235"/>
      <c r="H3918" s="235"/>
      <c r="I3918" s="79"/>
      <c r="J3918" s="185"/>
      <c r="K3918" s="216"/>
      <c r="L3918" s="7"/>
    </row>
    <row r="3919" spans="1:12">
      <c r="A3919" s="36"/>
      <c r="B3919" s="37"/>
      <c r="C3919" s="179"/>
      <c r="D3919" s="179"/>
      <c r="E3919" s="179"/>
      <c r="F3919" s="235"/>
      <c r="G3919" s="235"/>
      <c r="H3919" s="235"/>
      <c r="I3919" s="79"/>
      <c r="J3919" s="185"/>
      <c r="K3919" s="216"/>
      <c r="L3919" s="7"/>
    </row>
    <row r="3920" spans="1:12">
      <c r="A3920" s="36"/>
      <c r="B3920" s="37"/>
      <c r="C3920" s="179"/>
      <c r="D3920" s="179"/>
      <c r="E3920" s="179"/>
      <c r="F3920" s="235"/>
      <c r="G3920" s="235"/>
      <c r="H3920" s="235"/>
      <c r="I3920" s="79"/>
      <c r="J3920" s="185"/>
      <c r="K3920" s="216"/>
      <c r="L3920" s="7"/>
    </row>
    <row r="3921" spans="1:12">
      <c r="A3921" s="36"/>
      <c r="B3921" s="37"/>
      <c r="C3921" s="179"/>
      <c r="D3921" s="179"/>
      <c r="E3921" s="179"/>
      <c r="F3921" s="235"/>
      <c r="G3921" s="235"/>
      <c r="H3921" s="235"/>
      <c r="I3921" s="79"/>
      <c r="J3921" s="185"/>
      <c r="K3921" s="216"/>
      <c r="L3921" s="7"/>
    </row>
    <row r="3922" spans="1:12">
      <c r="A3922" s="36"/>
      <c r="B3922" s="37"/>
      <c r="C3922" s="179"/>
      <c r="D3922" s="179"/>
      <c r="E3922" s="179"/>
      <c r="F3922" s="235"/>
      <c r="G3922" s="235"/>
      <c r="H3922" s="235"/>
      <c r="I3922" s="79"/>
      <c r="J3922" s="185"/>
      <c r="K3922" s="216"/>
      <c r="L3922" s="7"/>
    </row>
    <row r="3923" spans="1:12">
      <c r="A3923" s="36"/>
      <c r="B3923" s="37"/>
      <c r="C3923" s="179"/>
      <c r="D3923" s="179"/>
      <c r="E3923" s="179"/>
      <c r="F3923" s="235"/>
      <c r="G3923" s="235"/>
      <c r="H3923" s="235"/>
      <c r="I3923" s="79"/>
      <c r="J3923" s="185"/>
      <c r="K3923" s="216"/>
      <c r="L3923" s="7"/>
    </row>
    <row r="3924" spans="1:12">
      <c r="A3924" s="36"/>
      <c r="B3924" s="37"/>
      <c r="C3924" s="179"/>
      <c r="D3924" s="179"/>
      <c r="E3924" s="179"/>
      <c r="F3924" s="235"/>
      <c r="G3924" s="235"/>
      <c r="H3924" s="235"/>
      <c r="I3924" s="79"/>
      <c r="J3924" s="185"/>
      <c r="K3924" s="216"/>
      <c r="L3924" s="7"/>
    </row>
    <row r="3925" spans="1:12">
      <c r="A3925" s="36"/>
      <c r="B3925" s="37"/>
      <c r="C3925" s="179"/>
      <c r="D3925" s="179"/>
      <c r="E3925" s="179"/>
      <c r="F3925" s="235"/>
      <c r="G3925" s="235"/>
      <c r="H3925" s="235"/>
      <c r="I3925" s="79"/>
      <c r="J3925" s="185"/>
      <c r="K3925" s="216"/>
      <c r="L3925" s="7"/>
    </row>
    <row r="3926" spans="1:12">
      <c r="A3926" s="21"/>
      <c r="B3926" s="21"/>
      <c r="C3926" s="175"/>
      <c r="D3926" s="175"/>
      <c r="E3926" s="175"/>
      <c r="F3926" s="234"/>
      <c r="G3926" s="234"/>
      <c r="H3926" s="234"/>
      <c r="I3926" s="63"/>
      <c r="J3926" s="190"/>
      <c r="K3926" s="208"/>
      <c r="L3926" s="7"/>
    </row>
    <row r="3927" spans="1:12">
      <c r="A3927" s="36"/>
      <c r="B3927" s="37"/>
      <c r="C3927" s="179"/>
      <c r="D3927" s="179"/>
      <c r="E3927" s="179"/>
      <c r="F3927" s="235"/>
      <c r="G3927" s="235"/>
      <c r="H3927" s="235"/>
      <c r="I3927" s="79"/>
      <c r="J3927" s="185"/>
      <c r="K3927" s="216"/>
      <c r="L3927" s="7"/>
    </row>
    <row r="3928" spans="1:12">
      <c r="A3928" s="36"/>
      <c r="B3928" s="37"/>
      <c r="C3928" s="179"/>
      <c r="D3928" s="179"/>
      <c r="E3928" s="179"/>
      <c r="F3928" s="235"/>
      <c r="G3928" s="235"/>
      <c r="H3928" s="235"/>
      <c r="I3928" s="79"/>
      <c r="J3928" s="185"/>
      <c r="K3928" s="216"/>
      <c r="L3928" s="7"/>
    </row>
    <row r="3929" spans="1:12">
      <c r="A3929" s="36"/>
      <c r="B3929" s="37"/>
      <c r="C3929" s="179"/>
      <c r="D3929" s="179"/>
      <c r="E3929" s="179"/>
      <c r="F3929" s="235"/>
      <c r="G3929" s="235"/>
      <c r="H3929" s="235"/>
      <c r="I3929" s="79"/>
      <c r="J3929" s="185"/>
      <c r="K3929" s="216"/>
      <c r="L3929" s="7"/>
    </row>
    <row r="3930" spans="1:12">
      <c r="A3930" s="36"/>
      <c r="B3930" s="37"/>
      <c r="C3930" s="179"/>
      <c r="D3930" s="179"/>
      <c r="E3930" s="179"/>
      <c r="F3930" s="235"/>
      <c r="G3930" s="235"/>
      <c r="H3930" s="235"/>
      <c r="I3930" s="79"/>
      <c r="J3930" s="185"/>
      <c r="K3930" s="216"/>
      <c r="L3930" s="7"/>
    </row>
    <row r="3931" spans="1:12">
      <c r="A3931" s="36"/>
      <c r="B3931" s="37"/>
      <c r="C3931" s="179"/>
      <c r="D3931" s="179"/>
      <c r="E3931" s="179"/>
      <c r="F3931" s="235"/>
      <c r="G3931" s="235"/>
      <c r="H3931" s="235"/>
      <c r="I3931" s="79"/>
      <c r="J3931" s="185"/>
      <c r="K3931" s="216"/>
      <c r="L3931" s="7"/>
    </row>
    <row r="3932" spans="1:12">
      <c r="A3932" s="36"/>
      <c r="B3932" s="37"/>
      <c r="C3932" s="179"/>
      <c r="D3932" s="179"/>
      <c r="E3932" s="179"/>
      <c r="F3932" s="235"/>
      <c r="G3932" s="235"/>
      <c r="H3932" s="235"/>
      <c r="I3932" s="79"/>
      <c r="J3932" s="185"/>
      <c r="K3932" s="216"/>
      <c r="L3932" s="7"/>
    </row>
    <row r="3933" spans="1:12">
      <c r="A3933" s="36"/>
      <c r="B3933" s="37"/>
      <c r="C3933" s="179"/>
      <c r="D3933" s="179"/>
      <c r="E3933" s="179"/>
      <c r="F3933" s="235"/>
      <c r="G3933" s="235"/>
      <c r="H3933" s="235"/>
      <c r="I3933" s="79"/>
      <c r="J3933" s="185"/>
      <c r="K3933" s="216"/>
      <c r="L3933" s="7"/>
    </row>
    <row r="3934" spans="1:12">
      <c r="A3934" s="36"/>
      <c r="B3934" s="37"/>
      <c r="C3934" s="179"/>
      <c r="D3934" s="179"/>
      <c r="E3934" s="179"/>
      <c r="F3934" s="235"/>
      <c r="G3934" s="235"/>
      <c r="H3934" s="235"/>
      <c r="I3934" s="79"/>
      <c r="J3934" s="185"/>
      <c r="K3934" s="216"/>
      <c r="L3934" s="7"/>
    </row>
    <row r="3935" spans="1:12">
      <c r="A3935" s="36"/>
      <c r="B3935" s="37"/>
      <c r="C3935" s="179"/>
      <c r="D3935" s="179"/>
      <c r="E3935" s="179"/>
      <c r="F3935" s="235"/>
      <c r="G3935" s="235"/>
      <c r="H3935" s="235"/>
      <c r="I3935" s="79"/>
      <c r="J3935" s="185"/>
      <c r="K3935" s="216"/>
      <c r="L3935" s="7"/>
    </row>
    <row r="3936" spans="1:12">
      <c r="A3936" s="36"/>
      <c r="B3936" s="37"/>
      <c r="C3936" s="179"/>
      <c r="D3936" s="179"/>
      <c r="E3936" s="179"/>
      <c r="F3936" s="235"/>
      <c r="G3936" s="235"/>
      <c r="H3936" s="235"/>
      <c r="I3936" s="79"/>
      <c r="J3936" s="185"/>
      <c r="K3936" s="216"/>
      <c r="L3936" s="7"/>
    </row>
    <row r="3937" spans="1:12">
      <c r="A3937" s="36"/>
      <c r="B3937" s="37"/>
      <c r="C3937" s="179"/>
      <c r="D3937" s="179"/>
      <c r="E3937" s="179"/>
      <c r="F3937" s="235"/>
      <c r="G3937" s="235"/>
      <c r="H3937" s="235"/>
      <c r="I3937" s="79"/>
      <c r="J3937" s="185"/>
      <c r="K3937" s="216"/>
      <c r="L3937" s="7"/>
    </row>
    <row r="3938" spans="1:12">
      <c r="A3938" s="36"/>
      <c r="B3938" s="37"/>
      <c r="C3938" s="179"/>
      <c r="D3938" s="179"/>
      <c r="E3938" s="179"/>
      <c r="F3938" s="235"/>
      <c r="G3938" s="235"/>
      <c r="H3938" s="235"/>
      <c r="I3938" s="79"/>
      <c r="J3938" s="185"/>
      <c r="K3938" s="216"/>
      <c r="L3938" s="7"/>
    </row>
    <row r="3939" spans="1:12">
      <c r="A3939" s="36"/>
      <c r="B3939" s="37"/>
      <c r="C3939" s="179"/>
      <c r="D3939" s="179"/>
      <c r="E3939" s="179"/>
      <c r="F3939" s="235"/>
      <c r="G3939" s="235"/>
      <c r="H3939" s="235"/>
      <c r="I3939" s="79"/>
      <c r="J3939" s="185"/>
      <c r="K3939" s="216"/>
      <c r="L3939" s="7"/>
    </row>
    <row r="3940" spans="1:12">
      <c r="A3940" s="21"/>
      <c r="B3940" s="21"/>
      <c r="C3940" s="175"/>
      <c r="D3940" s="175"/>
      <c r="E3940" s="175"/>
      <c r="F3940" s="234"/>
      <c r="G3940" s="234"/>
      <c r="H3940" s="234"/>
      <c r="I3940" s="63"/>
      <c r="J3940" s="190"/>
      <c r="K3940" s="208"/>
      <c r="L3940" s="7"/>
    </row>
    <row r="3941" spans="1:12">
      <c r="A3941" s="21"/>
      <c r="B3941" s="21"/>
      <c r="C3941" s="175"/>
      <c r="D3941" s="175"/>
      <c r="E3941" s="175"/>
      <c r="F3941" s="234"/>
      <c r="G3941" s="234"/>
      <c r="H3941" s="234"/>
      <c r="I3941" s="63"/>
      <c r="J3941" s="190"/>
      <c r="K3941" s="208"/>
      <c r="L3941" s="7"/>
    </row>
    <row r="3942" spans="1:12">
      <c r="A3942" s="21"/>
      <c r="B3942" s="21"/>
      <c r="C3942" s="175"/>
      <c r="D3942" s="175"/>
      <c r="E3942" s="175"/>
      <c r="F3942" s="234"/>
      <c r="G3942" s="234"/>
      <c r="H3942" s="234"/>
      <c r="I3942" s="63"/>
      <c r="J3942" s="190"/>
      <c r="K3942" s="208"/>
      <c r="L3942" s="7"/>
    </row>
    <row r="3943" spans="1:12">
      <c r="A3943" s="36"/>
      <c r="B3943" s="37"/>
      <c r="C3943" s="179"/>
      <c r="D3943" s="179"/>
      <c r="E3943" s="179"/>
      <c r="F3943" s="235"/>
      <c r="G3943" s="235"/>
      <c r="H3943" s="235"/>
      <c r="I3943" s="79"/>
      <c r="J3943" s="185"/>
      <c r="K3943" s="216"/>
      <c r="L3943" s="7"/>
    </row>
    <row r="3944" spans="1:12">
      <c r="A3944" s="36"/>
      <c r="B3944" s="37"/>
      <c r="C3944" s="179"/>
      <c r="D3944" s="179"/>
      <c r="E3944" s="179"/>
      <c r="F3944" s="235"/>
      <c r="G3944" s="235"/>
      <c r="H3944" s="235"/>
      <c r="I3944" s="79"/>
      <c r="J3944" s="185"/>
      <c r="K3944" s="216"/>
      <c r="L3944" s="7"/>
    </row>
    <row r="3945" spans="1:12">
      <c r="A3945" s="36"/>
      <c r="B3945" s="37"/>
      <c r="C3945" s="179"/>
      <c r="D3945" s="179"/>
      <c r="E3945" s="179"/>
      <c r="F3945" s="235"/>
      <c r="G3945" s="235"/>
      <c r="H3945" s="235"/>
      <c r="I3945" s="79"/>
      <c r="J3945" s="185"/>
      <c r="K3945" s="216"/>
      <c r="L3945" s="7"/>
    </row>
    <row r="3946" spans="1:12">
      <c r="A3946" s="23"/>
      <c r="B3946" s="14"/>
      <c r="C3946" s="180"/>
      <c r="D3946" s="180"/>
      <c r="E3946" s="180"/>
      <c r="F3946" s="236"/>
      <c r="G3946" s="236"/>
      <c r="H3946" s="236"/>
      <c r="I3946" s="73"/>
      <c r="J3946" s="191"/>
      <c r="K3946" s="207"/>
      <c r="L3946" s="7"/>
    </row>
    <row r="3947" spans="1:12">
      <c r="A3947" s="36"/>
      <c r="B3947" s="37"/>
      <c r="C3947" s="179"/>
      <c r="D3947" s="179"/>
      <c r="E3947" s="179"/>
      <c r="F3947" s="235"/>
      <c r="G3947" s="235"/>
      <c r="H3947" s="235"/>
      <c r="I3947" s="79"/>
      <c r="J3947" s="185"/>
      <c r="K3947" s="216"/>
      <c r="L3947" s="7"/>
    </row>
    <row r="3948" spans="1:12">
      <c r="A3948" s="36"/>
      <c r="B3948" s="37"/>
      <c r="C3948" s="179"/>
      <c r="D3948" s="179"/>
      <c r="E3948" s="179"/>
      <c r="F3948" s="235"/>
      <c r="G3948" s="235"/>
      <c r="H3948" s="235"/>
      <c r="I3948" s="79"/>
      <c r="J3948" s="185"/>
      <c r="K3948" s="216"/>
      <c r="L3948" s="7"/>
    </row>
    <row r="3949" spans="1:12">
      <c r="A3949" s="36"/>
      <c r="B3949" s="37"/>
      <c r="C3949" s="179"/>
      <c r="D3949" s="179"/>
      <c r="E3949" s="179"/>
      <c r="F3949" s="235"/>
      <c r="G3949" s="235"/>
      <c r="H3949" s="235"/>
      <c r="I3949" s="79"/>
      <c r="J3949" s="185"/>
      <c r="K3949" s="216"/>
      <c r="L3949" s="7"/>
    </row>
    <row r="3950" spans="1:12">
      <c r="A3950" s="36"/>
      <c r="B3950" s="37"/>
      <c r="C3950" s="179"/>
      <c r="D3950" s="179"/>
      <c r="E3950" s="179"/>
      <c r="F3950" s="235"/>
      <c r="G3950" s="235"/>
      <c r="H3950" s="235"/>
      <c r="I3950" s="79"/>
      <c r="J3950" s="185"/>
      <c r="K3950" s="216"/>
      <c r="L3950" s="7"/>
    </row>
    <row r="3951" spans="1:12">
      <c r="A3951" s="36"/>
      <c r="B3951" s="37"/>
      <c r="C3951" s="179"/>
      <c r="D3951" s="179"/>
      <c r="E3951" s="179"/>
      <c r="F3951" s="235"/>
      <c r="G3951" s="235"/>
      <c r="H3951" s="235"/>
      <c r="I3951" s="79"/>
      <c r="J3951" s="185"/>
      <c r="K3951" s="216"/>
      <c r="L3951" s="7"/>
    </row>
    <row r="3952" spans="1:12">
      <c r="A3952" s="36"/>
      <c r="B3952" s="37"/>
      <c r="C3952" s="179"/>
      <c r="D3952" s="179"/>
      <c r="E3952" s="179"/>
      <c r="F3952" s="235"/>
      <c r="G3952" s="235"/>
      <c r="H3952" s="235"/>
      <c r="I3952" s="79"/>
      <c r="J3952" s="185"/>
      <c r="K3952" s="216"/>
      <c r="L3952" s="7"/>
    </row>
    <row r="3953" spans="1:12">
      <c r="A3953" s="36"/>
      <c r="B3953" s="37"/>
      <c r="C3953" s="179"/>
      <c r="D3953" s="179"/>
      <c r="E3953" s="179"/>
      <c r="F3953" s="235"/>
      <c r="G3953" s="235"/>
      <c r="H3953" s="235"/>
      <c r="I3953" s="79"/>
      <c r="J3953" s="185"/>
      <c r="K3953" s="216"/>
      <c r="L3953" s="7"/>
    </row>
    <row r="3954" spans="1:12">
      <c r="A3954" s="36"/>
      <c r="B3954" s="37"/>
      <c r="C3954" s="179"/>
      <c r="D3954" s="179"/>
      <c r="E3954" s="179"/>
      <c r="F3954" s="235"/>
      <c r="G3954" s="235"/>
      <c r="H3954" s="235"/>
      <c r="I3954" s="79"/>
      <c r="J3954" s="185"/>
      <c r="K3954" s="216"/>
      <c r="L3954" s="7"/>
    </row>
    <row r="3955" spans="1:12">
      <c r="A3955" s="36"/>
      <c r="B3955" s="37"/>
      <c r="C3955" s="179"/>
      <c r="D3955" s="179"/>
      <c r="E3955" s="179"/>
      <c r="F3955" s="235"/>
      <c r="G3955" s="235"/>
      <c r="H3955" s="235"/>
      <c r="I3955" s="79"/>
      <c r="J3955" s="185"/>
      <c r="K3955" s="216"/>
      <c r="L3955" s="7"/>
    </row>
    <row r="3956" spans="1:12">
      <c r="A3956" s="36"/>
      <c r="B3956" s="37"/>
      <c r="C3956" s="179"/>
      <c r="D3956" s="179"/>
      <c r="E3956" s="179"/>
      <c r="F3956" s="235"/>
      <c r="G3956" s="235"/>
      <c r="H3956" s="235"/>
      <c r="I3956" s="79"/>
      <c r="J3956" s="185"/>
      <c r="K3956" s="216"/>
      <c r="L3956" s="7"/>
    </row>
    <row r="3957" spans="1:12">
      <c r="A3957" s="36"/>
      <c r="B3957" s="37"/>
      <c r="C3957" s="179"/>
      <c r="D3957" s="179"/>
      <c r="E3957" s="179"/>
      <c r="F3957" s="235"/>
      <c r="G3957" s="235"/>
      <c r="H3957" s="235"/>
      <c r="I3957" s="79"/>
      <c r="J3957" s="185"/>
      <c r="K3957" s="216"/>
      <c r="L3957" s="7"/>
    </row>
    <row r="3958" spans="1:12">
      <c r="A3958" s="36"/>
      <c r="B3958" s="37"/>
      <c r="C3958" s="179"/>
      <c r="D3958" s="179"/>
      <c r="E3958" s="179"/>
      <c r="F3958" s="235"/>
      <c r="G3958" s="235"/>
      <c r="H3958" s="235"/>
      <c r="I3958" s="79"/>
      <c r="J3958" s="185"/>
      <c r="K3958" s="216"/>
      <c r="L3958" s="7"/>
    </row>
    <row r="3959" spans="1:12">
      <c r="A3959" s="36"/>
      <c r="B3959" s="37"/>
      <c r="C3959" s="179"/>
      <c r="D3959" s="179"/>
      <c r="E3959" s="179"/>
      <c r="F3959" s="235"/>
      <c r="G3959" s="235"/>
      <c r="H3959" s="235"/>
      <c r="I3959" s="79"/>
      <c r="J3959" s="185"/>
      <c r="K3959" s="216"/>
      <c r="L3959" s="7"/>
    </row>
    <row r="3960" spans="1:12">
      <c r="A3960" s="36"/>
      <c r="B3960" s="37"/>
      <c r="C3960" s="179"/>
      <c r="D3960" s="179"/>
      <c r="E3960" s="179"/>
      <c r="F3960" s="235"/>
      <c r="G3960" s="235"/>
      <c r="H3960" s="235"/>
      <c r="I3960" s="79"/>
      <c r="J3960" s="185"/>
      <c r="K3960" s="216"/>
      <c r="L3960" s="7"/>
    </row>
    <row r="3961" spans="1:12">
      <c r="A3961" s="36"/>
      <c r="B3961" s="37"/>
      <c r="C3961" s="179"/>
      <c r="D3961" s="179"/>
      <c r="E3961" s="179"/>
      <c r="F3961" s="235"/>
      <c r="G3961" s="235"/>
      <c r="H3961" s="235"/>
      <c r="I3961" s="79"/>
      <c r="J3961" s="185"/>
      <c r="K3961" s="216"/>
      <c r="L3961" s="7"/>
    </row>
    <row r="3962" spans="1:12" s="6" customFormat="1">
      <c r="A3962" s="36"/>
      <c r="B3962" s="37"/>
      <c r="C3962" s="179"/>
      <c r="D3962" s="179"/>
      <c r="E3962" s="179"/>
      <c r="F3962" s="235"/>
      <c r="G3962" s="235"/>
      <c r="H3962" s="235"/>
      <c r="I3962" s="79"/>
      <c r="J3962" s="185"/>
      <c r="K3962" s="216"/>
      <c r="L3962" s="7"/>
    </row>
    <row r="3963" spans="1:12">
      <c r="A3963" s="23"/>
      <c r="B3963" s="14"/>
      <c r="C3963" s="180"/>
      <c r="D3963" s="180"/>
      <c r="E3963" s="180"/>
      <c r="F3963" s="236"/>
      <c r="G3963" s="236"/>
      <c r="H3963" s="236"/>
      <c r="I3963" s="73"/>
      <c r="J3963" s="191"/>
      <c r="K3963" s="207"/>
      <c r="L3963" s="7"/>
    </row>
    <row r="3964" spans="1:12">
      <c r="A3964" s="36"/>
      <c r="B3964" s="37"/>
      <c r="C3964" s="179"/>
      <c r="D3964" s="179"/>
      <c r="E3964" s="179"/>
      <c r="F3964" s="235"/>
      <c r="G3964" s="235"/>
      <c r="H3964" s="235"/>
      <c r="I3964" s="79"/>
      <c r="J3964" s="185"/>
      <c r="K3964" s="216"/>
      <c r="L3964" s="7"/>
    </row>
    <row r="3965" spans="1:12">
      <c r="A3965" s="36"/>
      <c r="B3965" s="37"/>
      <c r="C3965" s="179"/>
      <c r="D3965" s="179"/>
      <c r="E3965" s="179"/>
      <c r="F3965" s="235"/>
      <c r="G3965" s="235"/>
      <c r="H3965" s="235"/>
      <c r="I3965" s="79"/>
      <c r="J3965" s="185"/>
      <c r="K3965" s="216"/>
      <c r="L3965" s="7"/>
    </row>
    <row r="3966" spans="1:12">
      <c r="A3966" s="36"/>
      <c r="B3966" s="37"/>
      <c r="C3966" s="179"/>
      <c r="D3966" s="179"/>
      <c r="E3966" s="179"/>
      <c r="F3966" s="235"/>
      <c r="G3966" s="235"/>
      <c r="H3966" s="235"/>
      <c r="I3966" s="79"/>
      <c r="J3966" s="185"/>
      <c r="K3966" s="216"/>
      <c r="L3966" s="7"/>
    </row>
    <row r="3967" spans="1:12">
      <c r="A3967" s="36"/>
      <c r="B3967" s="37"/>
      <c r="C3967" s="179"/>
      <c r="D3967" s="179"/>
      <c r="E3967" s="179"/>
      <c r="F3967" s="235"/>
      <c r="G3967" s="235"/>
      <c r="H3967" s="235"/>
      <c r="I3967" s="79"/>
      <c r="J3967" s="185"/>
      <c r="K3967" s="216"/>
      <c r="L3967" s="7"/>
    </row>
    <row r="3968" spans="1:12">
      <c r="A3968" s="36"/>
      <c r="B3968" s="37"/>
      <c r="C3968" s="179"/>
      <c r="D3968" s="179"/>
      <c r="E3968" s="179"/>
      <c r="F3968" s="235"/>
      <c r="G3968" s="235"/>
      <c r="H3968" s="235"/>
      <c r="I3968" s="79"/>
      <c r="J3968" s="185"/>
      <c r="K3968" s="216"/>
      <c r="L3968" s="7"/>
    </row>
    <row r="3969" spans="1:12">
      <c r="A3969" s="36"/>
      <c r="B3969" s="37"/>
      <c r="C3969" s="179"/>
      <c r="D3969" s="179"/>
      <c r="E3969" s="179"/>
      <c r="F3969" s="235"/>
      <c r="G3969" s="235"/>
      <c r="H3969" s="235"/>
      <c r="I3969" s="79"/>
      <c r="J3969" s="185"/>
      <c r="K3969" s="216"/>
      <c r="L3969" s="7"/>
    </row>
    <row r="3970" spans="1:12">
      <c r="A3970" s="21"/>
      <c r="B3970" s="21"/>
      <c r="C3970" s="175"/>
      <c r="D3970" s="175"/>
      <c r="E3970" s="175"/>
      <c r="F3970" s="234"/>
      <c r="G3970" s="234"/>
      <c r="H3970" s="234"/>
      <c r="I3970" s="63"/>
      <c r="J3970" s="190"/>
      <c r="K3970" s="208"/>
      <c r="L3970" s="7"/>
    </row>
    <row r="3971" spans="1:12">
      <c r="A3971" s="21"/>
      <c r="B3971" s="21"/>
      <c r="C3971" s="175"/>
      <c r="D3971" s="175"/>
      <c r="E3971" s="175"/>
      <c r="F3971" s="234"/>
      <c r="G3971" s="234"/>
      <c r="H3971" s="234"/>
      <c r="I3971" s="63"/>
      <c r="J3971" s="190"/>
      <c r="K3971" s="208"/>
      <c r="L3971" s="7"/>
    </row>
    <row r="3972" spans="1:12">
      <c r="A3972" s="36"/>
      <c r="B3972" s="37"/>
      <c r="C3972" s="179"/>
      <c r="D3972" s="179"/>
      <c r="E3972" s="179"/>
      <c r="F3972" s="235"/>
      <c r="G3972" s="235"/>
      <c r="H3972" s="235"/>
      <c r="I3972" s="79"/>
      <c r="J3972" s="185"/>
      <c r="K3972" s="216"/>
      <c r="L3972" s="7"/>
    </row>
    <row r="3973" spans="1:12">
      <c r="A3973" s="36"/>
      <c r="B3973" s="37"/>
      <c r="C3973" s="179"/>
      <c r="D3973" s="179"/>
      <c r="E3973" s="179"/>
      <c r="F3973" s="235"/>
      <c r="G3973" s="235"/>
      <c r="H3973" s="235"/>
      <c r="I3973" s="79"/>
      <c r="J3973" s="185"/>
      <c r="K3973" s="216"/>
      <c r="L3973" s="7"/>
    </row>
    <row r="3974" spans="1:12">
      <c r="A3974" s="36"/>
      <c r="B3974" s="37"/>
      <c r="C3974" s="179"/>
      <c r="D3974" s="179"/>
      <c r="E3974" s="179"/>
      <c r="F3974" s="235"/>
      <c r="G3974" s="235"/>
      <c r="H3974" s="235"/>
      <c r="I3974" s="79"/>
      <c r="J3974" s="185"/>
      <c r="K3974" s="216"/>
      <c r="L3974" s="7"/>
    </row>
    <row r="3975" spans="1:12">
      <c r="A3975" s="36"/>
      <c r="B3975" s="37"/>
      <c r="C3975" s="179"/>
      <c r="D3975" s="179"/>
      <c r="E3975" s="179"/>
      <c r="F3975" s="235"/>
      <c r="G3975" s="235"/>
      <c r="H3975" s="235"/>
      <c r="I3975" s="79"/>
      <c r="J3975" s="185"/>
      <c r="K3975" s="216"/>
      <c r="L3975" s="7"/>
    </row>
    <row r="3976" spans="1:12">
      <c r="A3976" s="36"/>
      <c r="B3976" s="37"/>
      <c r="C3976" s="179"/>
      <c r="D3976" s="179"/>
      <c r="E3976" s="179"/>
      <c r="F3976" s="235"/>
      <c r="G3976" s="235"/>
      <c r="H3976" s="235"/>
      <c r="I3976" s="79"/>
      <c r="J3976" s="185"/>
      <c r="K3976" s="216"/>
      <c r="L3976" s="7"/>
    </row>
    <row r="3977" spans="1:12">
      <c r="A3977" s="36"/>
      <c r="B3977" s="37"/>
      <c r="C3977" s="179"/>
      <c r="D3977" s="179"/>
      <c r="E3977" s="179"/>
      <c r="F3977" s="235"/>
      <c r="G3977" s="235"/>
      <c r="H3977" s="235"/>
      <c r="I3977" s="79"/>
      <c r="J3977" s="185"/>
      <c r="K3977" s="216"/>
      <c r="L3977" s="7"/>
    </row>
    <row r="3978" spans="1:12">
      <c r="A3978" s="36"/>
      <c r="B3978" s="37"/>
      <c r="C3978" s="179"/>
      <c r="D3978" s="179"/>
      <c r="E3978" s="179"/>
      <c r="F3978" s="235"/>
      <c r="G3978" s="235"/>
      <c r="H3978" s="235"/>
      <c r="I3978" s="79"/>
      <c r="J3978" s="185"/>
      <c r="K3978" s="216"/>
      <c r="L3978" s="7"/>
    </row>
    <row r="3979" spans="1:12">
      <c r="A3979" s="36"/>
      <c r="B3979" s="37"/>
      <c r="C3979" s="179"/>
      <c r="D3979" s="179"/>
      <c r="E3979" s="179"/>
      <c r="F3979" s="235"/>
      <c r="G3979" s="235"/>
      <c r="H3979" s="235"/>
      <c r="I3979" s="79"/>
      <c r="J3979" s="185"/>
      <c r="K3979" s="216"/>
      <c r="L3979" s="7"/>
    </row>
    <row r="3980" spans="1:12">
      <c r="A3980" s="36"/>
      <c r="B3980" s="37"/>
      <c r="C3980" s="179"/>
      <c r="D3980" s="179"/>
      <c r="E3980" s="179"/>
      <c r="F3980" s="235"/>
      <c r="G3980" s="235"/>
      <c r="H3980" s="235"/>
      <c r="I3980" s="79"/>
      <c r="J3980" s="185"/>
      <c r="K3980" s="216"/>
      <c r="L3980" s="7"/>
    </row>
    <row r="3981" spans="1:12">
      <c r="A3981" s="36"/>
      <c r="B3981" s="37"/>
      <c r="C3981" s="179"/>
      <c r="D3981" s="179"/>
      <c r="E3981" s="179"/>
      <c r="F3981" s="235"/>
      <c r="G3981" s="235"/>
      <c r="H3981" s="235"/>
      <c r="I3981" s="79"/>
      <c r="J3981" s="185"/>
      <c r="K3981" s="216"/>
      <c r="L3981" s="7"/>
    </row>
    <row r="3982" spans="1:12">
      <c r="A3982" s="21"/>
      <c r="B3982" s="21"/>
      <c r="C3982" s="175"/>
      <c r="D3982" s="175"/>
      <c r="E3982" s="175"/>
      <c r="F3982" s="234"/>
      <c r="G3982" s="234"/>
      <c r="H3982" s="234"/>
      <c r="I3982" s="63"/>
      <c r="J3982" s="190"/>
      <c r="K3982" s="208"/>
      <c r="L3982" s="7"/>
    </row>
    <row r="3983" spans="1:12">
      <c r="A3983" s="21"/>
      <c r="B3983" s="21"/>
      <c r="C3983" s="175"/>
      <c r="D3983" s="175"/>
      <c r="E3983" s="175"/>
      <c r="F3983" s="234"/>
      <c r="G3983" s="234"/>
      <c r="H3983" s="234"/>
      <c r="I3983" s="63"/>
      <c r="J3983" s="190"/>
      <c r="K3983" s="208"/>
      <c r="L3983" s="7"/>
    </row>
    <row r="3984" spans="1:12">
      <c r="A3984" s="21"/>
      <c r="B3984" s="21"/>
      <c r="C3984" s="175"/>
      <c r="D3984" s="175"/>
      <c r="E3984" s="175"/>
      <c r="F3984" s="234"/>
      <c r="G3984" s="234"/>
      <c r="H3984" s="234"/>
      <c r="I3984" s="63"/>
      <c r="J3984" s="190"/>
      <c r="K3984" s="208"/>
      <c r="L3984" s="7"/>
    </row>
    <row r="3985" spans="1:12">
      <c r="A3985" s="21"/>
      <c r="B3985" s="21"/>
      <c r="C3985" s="175"/>
      <c r="D3985" s="175"/>
      <c r="E3985" s="175"/>
      <c r="F3985" s="234"/>
      <c r="G3985" s="234"/>
      <c r="H3985" s="234"/>
      <c r="I3985" s="63"/>
      <c r="J3985" s="190"/>
      <c r="K3985" s="208"/>
      <c r="L3985" s="7"/>
    </row>
    <row r="3986" spans="1:12">
      <c r="A3986" s="21"/>
      <c r="B3986" s="21"/>
      <c r="C3986" s="175"/>
      <c r="D3986" s="175"/>
      <c r="E3986" s="175"/>
      <c r="F3986" s="234"/>
      <c r="G3986" s="234"/>
      <c r="H3986" s="234"/>
      <c r="I3986" s="63"/>
      <c r="J3986" s="190"/>
      <c r="K3986" s="208"/>
      <c r="L3986" s="7"/>
    </row>
    <row r="3987" spans="1:12">
      <c r="A3987" s="36"/>
      <c r="B3987" s="37"/>
      <c r="C3987" s="179"/>
      <c r="D3987" s="179"/>
      <c r="E3987" s="179"/>
      <c r="F3987" s="235"/>
      <c r="G3987" s="235"/>
      <c r="H3987" s="235"/>
      <c r="I3987" s="79"/>
      <c r="J3987" s="185"/>
      <c r="K3987" s="216"/>
      <c r="L3987" s="7"/>
    </row>
    <row r="3988" spans="1:12">
      <c r="A3988" s="36"/>
      <c r="B3988" s="37"/>
      <c r="C3988" s="179"/>
      <c r="D3988" s="179"/>
      <c r="E3988" s="179"/>
      <c r="F3988" s="235"/>
      <c r="G3988" s="235"/>
      <c r="H3988" s="235"/>
      <c r="I3988" s="79"/>
      <c r="J3988" s="185"/>
      <c r="K3988" s="216"/>
      <c r="L3988" s="7"/>
    </row>
    <row r="3989" spans="1:12">
      <c r="A3989" s="36"/>
      <c r="B3989" s="37"/>
      <c r="C3989" s="179"/>
      <c r="D3989" s="179"/>
      <c r="E3989" s="179"/>
      <c r="F3989" s="235"/>
      <c r="G3989" s="235"/>
      <c r="H3989" s="235"/>
      <c r="I3989" s="79"/>
      <c r="J3989" s="185"/>
      <c r="K3989" s="216"/>
      <c r="L3989" s="7"/>
    </row>
    <row r="3990" spans="1:12">
      <c r="A3990" s="36"/>
      <c r="B3990" s="37"/>
      <c r="C3990" s="179"/>
      <c r="D3990" s="179"/>
      <c r="E3990" s="179"/>
      <c r="F3990" s="235"/>
      <c r="G3990" s="235"/>
      <c r="H3990" s="235"/>
      <c r="I3990" s="79"/>
      <c r="J3990" s="185"/>
      <c r="K3990" s="216"/>
      <c r="L3990" s="7"/>
    </row>
    <row r="3991" spans="1:12">
      <c r="A3991" s="36"/>
      <c r="B3991" s="37"/>
      <c r="C3991" s="179"/>
      <c r="D3991" s="179"/>
      <c r="E3991" s="179"/>
      <c r="F3991" s="235"/>
      <c r="G3991" s="235"/>
      <c r="H3991" s="235"/>
      <c r="I3991" s="79"/>
      <c r="J3991" s="185"/>
      <c r="K3991" s="216"/>
      <c r="L3991" s="7"/>
    </row>
    <row r="3992" spans="1:12">
      <c r="A3992" s="36"/>
      <c r="B3992" s="37"/>
      <c r="C3992" s="179"/>
      <c r="D3992" s="179"/>
      <c r="E3992" s="179"/>
      <c r="F3992" s="235"/>
      <c r="G3992" s="235"/>
      <c r="H3992" s="235"/>
      <c r="I3992" s="79"/>
      <c r="J3992" s="185"/>
      <c r="K3992" s="216"/>
      <c r="L3992" s="7"/>
    </row>
    <row r="3993" spans="1:12">
      <c r="A3993" s="36"/>
      <c r="B3993" s="37"/>
      <c r="C3993" s="179"/>
      <c r="D3993" s="179"/>
      <c r="E3993" s="179"/>
      <c r="F3993" s="235"/>
      <c r="G3993" s="235"/>
      <c r="H3993" s="235"/>
      <c r="I3993" s="79"/>
      <c r="J3993" s="185"/>
      <c r="K3993" s="216"/>
      <c r="L3993" s="7"/>
    </row>
    <row r="3994" spans="1:12">
      <c r="A3994" s="36"/>
      <c r="B3994" s="37"/>
      <c r="C3994" s="179"/>
      <c r="D3994" s="179"/>
      <c r="E3994" s="179"/>
      <c r="F3994" s="235"/>
      <c r="G3994" s="235"/>
      <c r="H3994" s="235"/>
      <c r="I3994" s="79"/>
      <c r="J3994" s="185"/>
      <c r="K3994" s="216"/>
      <c r="L3994" s="7"/>
    </row>
    <row r="3995" spans="1:12">
      <c r="A3995" s="36"/>
      <c r="B3995" s="37"/>
      <c r="C3995" s="179"/>
      <c r="D3995" s="179"/>
      <c r="E3995" s="179"/>
      <c r="F3995" s="235"/>
      <c r="G3995" s="235"/>
      <c r="H3995" s="235"/>
      <c r="I3995" s="79"/>
      <c r="J3995" s="185"/>
      <c r="K3995" s="216"/>
      <c r="L3995" s="7"/>
    </row>
    <row r="3996" spans="1:12">
      <c r="A3996" s="36"/>
      <c r="B3996" s="37"/>
      <c r="C3996" s="179"/>
      <c r="D3996" s="179"/>
      <c r="E3996" s="179"/>
      <c r="F3996" s="235"/>
      <c r="G3996" s="235"/>
      <c r="H3996" s="235"/>
      <c r="I3996" s="79"/>
      <c r="J3996" s="185"/>
      <c r="K3996" s="216"/>
      <c r="L3996" s="7"/>
    </row>
    <row r="3997" spans="1:12">
      <c r="A3997" s="36"/>
      <c r="B3997" s="37"/>
      <c r="C3997" s="179"/>
      <c r="D3997" s="179"/>
      <c r="E3997" s="179"/>
      <c r="F3997" s="235"/>
      <c r="G3997" s="235"/>
      <c r="H3997" s="235"/>
      <c r="I3997" s="79"/>
      <c r="J3997" s="185"/>
      <c r="K3997" s="216"/>
      <c r="L3997" s="7"/>
    </row>
    <row r="3998" spans="1:12">
      <c r="A3998" s="36"/>
      <c r="B3998" s="37"/>
      <c r="C3998" s="179"/>
      <c r="D3998" s="179"/>
      <c r="E3998" s="179"/>
      <c r="F3998" s="235"/>
      <c r="G3998" s="235"/>
      <c r="H3998" s="235"/>
      <c r="I3998" s="79"/>
      <c r="J3998" s="185"/>
      <c r="K3998" s="216"/>
      <c r="L3998" s="7"/>
    </row>
    <row r="3999" spans="1:12">
      <c r="A3999" s="36"/>
      <c r="B3999" s="37"/>
      <c r="C3999" s="179"/>
      <c r="D3999" s="179"/>
      <c r="E3999" s="179"/>
      <c r="F3999" s="235"/>
      <c r="G3999" s="235"/>
      <c r="H3999" s="235"/>
      <c r="I3999" s="79"/>
      <c r="J3999" s="185"/>
      <c r="K3999" s="216"/>
      <c r="L3999" s="7"/>
    </row>
    <row r="4000" spans="1:12">
      <c r="A4000" s="36"/>
      <c r="B4000" s="37"/>
      <c r="C4000" s="179"/>
      <c r="D4000" s="179"/>
      <c r="E4000" s="179"/>
      <c r="F4000" s="235"/>
      <c r="G4000" s="235"/>
      <c r="H4000" s="235"/>
      <c r="I4000" s="79"/>
      <c r="J4000" s="185"/>
      <c r="K4000" s="216"/>
      <c r="L4000" s="7"/>
    </row>
    <row r="4001" spans="1:12">
      <c r="A4001" s="36"/>
      <c r="B4001" s="37"/>
      <c r="C4001" s="179"/>
      <c r="D4001" s="179"/>
      <c r="E4001" s="179"/>
      <c r="F4001" s="235"/>
      <c r="G4001" s="235"/>
      <c r="H4001" s="235"/>
      <c r="I4001" s="79"/>
      <c r="J4001" s="185"/>
      <c r="K4001" s="216"/>
      <c r="L4001" s="7"/>
    </row>
    <row r="4002" spans="1:12">
      <c r="A4002" s="36"/>
      <c r="B4002" s="37"/>
      <c r="C4002" s="179"/>
      <c r="D4002" s="179"/>
      <c r="E4002" s="179"/>
      <c r="F4002" s="235"/>
      <c r="G4002" s="235"/>
      <c r="H4002" s="235"/>
      <c r="I4002" s="79"/>
      <c r="J4002" s="185"/>
      <c r="K4002" s="216"/>
      <c r="L4002" s="7"/>
    </row>
    <row r="4003" spans="1:12">
      <c r="A4003" s="36"/>
      <c r="B4003" s="37"/>
      <c r="C4003" s="179"/>
      <c r="D4003" s="179"/>
      <c r="E4003" s="179"/>
      <c r="F4003" s="235"/>
      <c r="G4003" s="235"/>
      <c r="H4003" s="235"/>
      <c r="I4003" s="79"/>
      <c r="J4003" s="185"/>
      <c r="K4003" s="216"/>
      <c r="L4003" s="7"/>
    </row>
    <row r="4004" spans="1:12">
      <c r="A4004" s="36"/>
      <c r="B4004" s="37"/>
      <c r="C4004" s="179"/>
      <c r="D4004" s="179"/>
      <c r="E4004" s="179"/>
      <c r="F4004" s="235"/>
      <c r="G4004" s="235"/>
      <c r="H4004" s="235"/>
      <c r="I4004" s="79"/>
      <c r="J4004" s="185"/>
      <c r="K4004" s="216"/>
      <c r="L4004" s="7"/>
    </row>
    <row r="4005" spans="1:12">
      <c r="A4005" s="36"/>
      <c r="B4005" s="37"/>
      <c r="C4005" s="179"/>
      <c r="D4005" s="179"/>
      <c r="E4005" s="179"/>
      <c r="F4005" s="235"/>
      <c r="G4005" s="235"/>
      <c r="H4005" s="235"/>
      <c r="I4005" s="79"/>
      <c r="J4005" s="185"/>
      <c r="K4005" s="216"/>
      <c r="L4005" s="7"/>
    </row>
    <row r="4006" spans="1:12">
      <c r="A4006" s="36"/>
      <c r="B4006" s="37"/>
      <c r="C4006" s="179"/>
      <c r="D4006" s="179"/>
      <c r="E4006" s="179"/>
      <c r="F4006" s="235"/>
      <c r="G4006" s="235"/>
      <c r="H4006" s="235"/>
      <c r="I4006" s="79"/>
      <c r="J4006" s="185"/>
      <c r="K4006" s="216"/>
      <c r="L4006" s="7"/>
    </row>
    <row r="4007" spans="1:12">
      <c r="A4007" s="36"/>
      <c r="B4007" s="37"/>
      <c r="C4007" s="179"/>
      <c r="D4007" s="179"/>
      <c r="E4007" s="179"/>
      <c r="F4007" s="235"/>
      <c r="G4007" s="235"/>
      <c r="H4007" s="235"/>
      <c r="I4007" s="79"/>
      <c r="J4007" s="185"/>
      <c r="K4007" s="216"/>
      <c r="L4007" s="7"/>
    </row>
    <row r="4008" spans="1:12">
      <c r="A4008" s="36"/>
      <c r="B4008" s="37"/>
      <c r="C4008" s="179"/>
      <c r="D4008" s="179"/>
      <c r="E4008" s="179"/>
      <c r="F4008" s="235"/>
      <c r="G4008" s="235"/>
      <c r="H4008" s="235"/>
      <c r="I4008" s="79"/>
      <c r="J4008" s="185"/>
      <c r="K4008" s="216"/>
      <c r="L4008" s="7"/>
    </row>
    <row r="4009" spans="1:12">
      <c r="A4009" s="36"/>
      <c r="B4009" s="37"/>
      <c r="C4009" s="179"/>
      <c r="D4009" s="179"/>
      <c r="E4009" s="179"/>
      <c r="F4009" s="235"/>
      <c r="G4009" s="235"/>
      <c r="H4009" s="235"/>
      <c r="I4009" s="79"/>
      <c r="J4009" s="185"/>
      <c r="K4009" s="216"/>
      <c r="L4009" s="7"/>
    </row>
    <row r="4010" spans="1:12" s="6" customFormat="1">
      <c r="A4010" s="36"/>
      <c r="B4010" s="37"/>
      <c r="C4010" s="179"/>
      <c r="D4010" s="179"/>
      <c r="E4010" s="179"/>
      <c r="F4010" s="235"/>
      <c r="G4010" s="235"/>
      <c r="H4010" s="235"/>
      <c r="I4010" s="79"/>
      <c r="J4010" s="185"/>
      <c r="K4010" s="216"/>
      <c r="L4010" s="7"/>
    </row>
    <row r="4011" spans="1:12">
      <c r="A4011" s="36"/>
      <c r="B4011" s="37"/>
      <c r="C4011" s="179"/>
      <c r="D4011" s="179"/>
      <c r="E4011" s="179"/>
      <c r="F4011" s="235"/>
      <c r="G4011" s="235"/>
      <c r="H4011" s="235"/>
      <c r="I4011" s="79"/>
      <c r="J4011" s="185"/>
      <c r="K4011" s="216"/>
      <c r="L4011" s="7"/>
    </row>
    <row r="4012" spans="1:12">
      <c r="A4012" s="36"/>
      <c r="B4012" s="37"/>
      <c r="C4012" s="179"/>
      <c r="D4012" s="179"/>
      <c r="E4012" s="179"/>
      <c r="F4012" s="235"/>
      <c r="G4012" s="235"/>
      <c r="H4012" s="235"/>
      <c r="I4012" s="79"/>
      <c r="J4012" s="185"/>
      <c r="K4012" s="216"/>
      <c r="L4012" s="7"/>
    </row>
    <row r="4013" spans="1:12">
      <c r="A4013" s="36"/>
      <c r="B4013" s="37"/>
      <c r="C4013" s="179"/>
      <c r="D4013" s="179"/>
      <c r="E4013" s="179"/>
      <c r="F4013" s="235"/>
      <c r="G4013" s="235"/>
      <c r="H4013" s="235"/>
      <c r="I4013" s="79"/>
      <c r="J4013" s="185"/>
      <c r="K4013" s="216"/>
      <c r="L4013" s="7"/>
    </row>
    <row r="4014" spans="1:12">
      <c r="A4014" s="36"/>
      <c r="B4014" s="37"/>
      <c r="C4014" s="179"/>
      <c r="D4014" s="179"/>
      <c r="E4014" s="179"/>
      <c r="F4014" s="235"/>
      <c r="G4014" s="235"/>
      <c r="H4014" s="235"/>
      <c r="I4014" s="79"/>
      <c r="J4014" s="185"/>
      <c r="K4014" s="216"/>
      <c r="L4014" s="7"/>
    </row>
    <row r="4015" spans="1:12">
      <c r="A4015" s="21"/>
      <c r="B4015" s="21"/>
      <c r="C4015" s="175"/>
      <c r="D4015" s="175"/>
      <c r="E4015" s="175"/>
      <c r="F4015" s="234"/>
      <c r="G4015" s="234"/>
      <c r="H4015" s="234"/>
      <c r="I4015" s="63"/>
      <c r="J4015" s="190"/>
      <c r="K4015" s="208"/>
      <c r="L4015" s="7"/>
    </row>
    <row r="4016" spans="1:12">
      <c r="A4016" s="36"/>
      <c r="B4016" s="37"/>
      <c r="C4016" s="179"/>
      <c r="D4016" s="179"/>
      <c r="E4016" s="179"/>
      <c r="F4016" s="235"/>
      <c r="G4016" s="235"/>
      <c r="H4016" s="235"/>
      <c r="I4016" s="79"/>
      <c r="J4016" s="185"/>
      <c r="K4016" s="216"/>
      <c r="L4016" s="7"/>
    </row>
    <row r="4017" spans="1:12">
      <c r="A4017" s="36"/>
      <c r="B4017" s="37"/>
      <c r="C4017" s="179"/>
      <c r="D4017" s="179"/>
      <c r="E4017" s="179"/>
      <c r="F4017" s="235"/>
      <c r="G4017" s="235"/>
      <c r="H4017" s="235"/>
      <c r="I4017" s="79"/>
      <c r="J4017" s="185"/>
      <c r="K4017" s="216"/>
      <c r="L4017" s="7"/>
    </row>
    <row r="4018" spans="1:12">
      <c r="A4018" s="36"/>
      <c r="B4018" s="37"/>
      <c r="C4018" s="179"/>
      <c r="D4018" s="179"/>
      <c r="E4018" s="179"/>
      <c r="F4018" s="235"/>
      <c r="G4018" s="235"/>
      <c r="H4018" s="235"/>
      <c r="I4018" s="79"/>
      <c r="J4018" s="185"/>
      <c r="K4018" s="216"/>
      <c r="L4018" s="7"/>
    </row>
    <row r="4019" spans="1:12">
      <c r="A4019" s="36"/>
      <c r="B4019" s="37"/>
      <c r="C4019" s="179"/>
      <c r="D4019" s="179"/>
      <c r="E4019" s="179"/>
      <c r="F4019" s="235"/>
      <c r="G4019" s="235"/>
      <c r="H4019" s="235"/>
      <c r="I4019" s="79"/>
      <c r="J4019" s="185"/>
      <c r="K4019" s="216"/>
      <c r="L4019" s="7"/>
    </row>
    <row r="4020" spans="1:12">
      <c r="A4020" s="36"/>
      <c r="B4020" s="37"/>
      <c r="C4020" s="179"/>
      <c r="D4020" s="179"/>
      <c r="E4020" s="179"/>
      <c r="F4020" s="235"/>
      <c r="G4020" s="235"/>
      <c r="H4020" s="235"/>
      <c r="I4020" s="79"/>
      <c r="J4020" s="185"/>
      <c r="K4020" s="216"/>
      <c r="L4020" s="7"/>
    </row>
    <row r="4021" spans="1:12">
      <c r="A4021" s="36"/>
      <c r="B4021" s="37"/>
      <c r="C4021" s="179"/>
      <c r="D4021" s="179"/>
      <c r="E4021" s="179"/>
      <c r="F4021" s="235"/>
      <c r="G4021" s="235"/>
      <c r="H4021" s="235"/>
      <c r="I4021" s="79"/>
      <c r="J4021" s="185"/>
      <c r="K4021" s="216"/>
      <c r="L4021" s="7"/>
    </row>
    <row r="4022" spans="1:12">
      <c r="A4022" s="36"/>
      <c r="B4022" s="37"/>
      <c r="C4022" s="179"/>
      <c r="D4022" s="179"/>
      <c r="E4022" s="179"/>
      <c r="F4022" s="235"/>
      <c r="G4022" s="235"/>
      <c r="H4022" s="235"/>
      <c r="I4022" s="79"/>
      <c r="J4022" s="185"/>
      <c r="K4022" s="216"/>
      <c r="L4022" s="7"/>
    </row>
    <row r="4023" spans="1:12">
      <c r="A4023" s="36"/>
      <c r="B4023" s="37"/>
      <c r="C4023" s="179"/>
      <c r="D4023" s="179"/>
      <c r="E4023" s="179"/>
      <c r="F4023" s="235"/>
      <c r="G4023" s="235"/>
      <c r="H4023" s="235"/>
      <c r="I4023" s="79"/>
      <c r="J4023" s="185"/>
      <c r="K4023" s="216"/>
      <c r="L4023" s="7"/>
    </row>
    <row r="4024" spans="1:12">
      <c r="A4024" s="36"/>
      <c r="B4024" s="37"/>
      <c r="C4024" s="179"/>
      <c r="D4024" s="179"/>
      <c r="E4024" s="179"/>
      <c r="F4024" s="235"/>
      <c r="G4024" s="235"/>
      <c r="H4024" s="235"/>
      <c r="I4024" s="79"/>
      <c r="J4024" s="185"/>
      <c r="K4024" s="216"/>
      <c r="L4024" s="7"/>
    </row>
    <row r="4025" spans="1:12">
      <c r="A4025" s="36"/>
      <c r="B4025" s="37"/>
      <c r="C4025" s="179"/>
      <c r="D4025" s="179"/>
      <c r="E4025" s="179"/>
      <c r="F4025" s="235"/>
      <c r="G4025" s="235"/>
      <c r="H4025" s="235"/>
      <c r="I4025" s="79"/>
      <c r="J4025" s="185"/>
      <c r="K4025" s="216"/>
      <c r="L4025" s="7"/>
    </row>
    <row r="4026" spans="1:12">
      <c r="A4026" s="36"/>
      <c r="B4026" s="37"/>
      <c r="C4026" s="179"/>
      <c r="D4026" s="179"/>
      <c r="E4026" s="179"/>
      <c r="F4026" s="235"/>
      <c r="G4026" s="235"/>
      <c r="H4026" s="235"/>
      <c r="I4026" s="79"/>
      <c r="J4026" s="185"/>
      <c r="K4026" s="216"/>
      <c r="L4026" s="7"/>
    </row>
    <row r="4027" spans="1:12">
      <c r="A4027" s="36"/>
      <c r="B4027" s="37"/>
      <c r="C4027" s="179"/>
      <c r="D4027" s="179"/>
      <c r="E4027" s="179"/>
      <c r="F4027" s="235"/>
      <c r="G4027" s="235"/>
      <c r="H4027" s="235"/>
      <c r="I4027" s="79"/>
      <c r="J4027" s="185"/>
      <c r="K4027" s="216"/>
      <c r="L4027" s="7"/>
    </row>
    <row r="4028" spans="1:12">
      <c r="A4028" s="36"/>
      <c r="B4028" s="37"/>
      <c r="C4028" s="179"/>
      <c r="D4028" s="179"/>
      <c r="E4028" s="179"/>
      <c r="F4028" s="235"/>
      <c r="G4028" s="235"/>
      <c r="H4028" s="235"/>
      <c r="I4028" s="79"/>
      <c r="J4028" s="185"/>
      <c r="K4028" s="216"/>
      <c r="L4028" s="7"/>
    </row>
    <row r="4029" spans="1:12">
      <c r="A4029" s="36"/>
      <c r="B4029" s="37"/>
      <c r="C4029" s="179"/>
      <c r="D4029" s="179"/>
      <c r="E4029" s="179"/>
      <c r="F4029" s="235"/>
      <c r="G4029" s="235"/>
      <c r="H4029" s="235"/>
      <c r="I4029" s="79"/>
      <c r="J4029" s="185"/>
      <c r="K4029" s="216"/>
      <c r="L4029" s="7"/>
    </row>
    <row r="4030" spans="1:12">
      <c r="A4030" s="21"/>
      <c r="B4030" s="21"/>
      <c r="C4030" s="175"/>
      <c r="D4030" s="175"/>
      <c r="E4030" s="175"/>
      <c r="F4030" s="234"/>
      <c r="G4030" s="234"/>
      <c r="H4030" s="234"/>
      <c r="I4030" s="63"/>
      <c r="J4030" s="190"/>
      <c r="K4030" s="208"/>
      <c r="L4030" s="7"/>
    </row>
    <row r="4031" spans="1:12">
      <c r="A4031" s="21"/>
      <c r="B4031" s="21"/>
      <c r="C4031" s="175"/>
      <c r="D4031" s="175"/>
      <c r="E4031" s="175"/>
      <c r="F4031" s="234"/>
      <c r="G4031" s="234"/>
      <c r="H4031" s="234"/>
      <c r="I4031" s="63"/>
      <c r="J4031" s="190"/>
      <c r="K4031" s="208"/>
      <c r="L4031" s="7"/>
    </row>
    <row r="4032" spans="1:12">
      <c r="A4032" s="21"/>
      <c r="B4032" s="21"/>
      <c r="C4032" s="175"/>
      <c r="D4032" s="175"/>
      <c r="E4032" s="175"/>
      <c r="F4032" s="234"/>
      <c r="G4032" s="234"/>
      <c r="H4032" s="234"/>
      <c r="I4032" s="63"/>
      <c r="J4032" s="190"/>
      <c r="K4032" s="208"/>
      <c r="L4032" s="7"/>
    </row>
    <row r="4033" spans="1:12">
      <c r="A4033" s="21"/>
      <c r="B4033" s="21"/>
      <c r="C4033" s="175"/>
      <c r="D4033" s="175"/>
      <c r="E4033" s="175"/>
      <c r="F4033" s="234"/>
      <c r="G4033" s="234"/>
      <c r="H4033" s="234"/>
      <c r="I4033" s="63"/>
      <c r="J4033" s="190"/>
      <c r="K4033" s="208"/>
      <c r="L4033" s="7"/>
    </row>
    <row r="4034" spans="1:12">
      <c r="A4034" s="36"/>
      <c r="B4034" s="37"/>
      <c r="C4034" s="179"/>
      <c r="D4034" s="179"/>
      <c r="E4034" s="179"/>
      <c r="F4034" s="235"/>
      <c r="G4034" s="235"/>
      <c r="H4034" s="235"/>
      <c r="I4034" s="79"/>
      <c r="J4034" s="185"/>
      <c r="K4034" s="216"/>
      <c r="L4034" s="7"/>
    </row>
    <row r="4035" spans="1:12">
      <c r="A4035" s="36"/>
      <c r="B4035" s="37"/>
      <c r="C4035" s="179"/>
      <c r="D4035" s="179"/>
      <c r="E4035" s="179"/>
      <c r="F4035" s="235"/>
      <c r="G4035" s="235"/>
      <c r="H4035" s="235"/>
      <c r="I4035" s="79"/>
      <c r="J4035" s="185"/>
      <c r="K4035" s="216"/>
      <c r="L4035" s="7"/>
    </row>
    <row r="4036" spans="1:12">
      <c r="A4036" s="36"/>
      <c r="B4036" s="37"/>
      <c r="C4036" s="179"/>
      <c r="D4036" s="179"/>
      <c r="E4036" s="179"/>
      <c r="F4036" s="235"/>
      <c r="G4036" s="235"/>
      <c r="H4036" s="235"/>
      <c r="I4036" s="79"/>
      <c r="J4036" s="195"/>
      <c r="K4036" s="216"/>
      <c r="L4036" s="7"/>
    </row>
    <row r="4037" spans="1:12">
      <c r="A4037" s="36"/>
      <c r="B4037" s="37"/>
      <c r="C4037" s="179"/>
      <c r="D4037" s="179"/>
      <c r="E4037" s="179"/>
      <c r="F4037" s="235"/>
      <c r="G4037" s="235"/>
      <c r="H4037" s="235"/>
      <c r="I4037" s="79"/>
      <c r="J4037" s="185"/>
      <c r="K4037" s="216"/>
      <c r="L4037" s="7"/>
    </row>
    <row r="4038" spans="1:12">
      <c r="A4038" s="36"/>
      <c r="B4038" s="37"/>
      <c r="C4038" s="179"/>
      <c r="D4038" s="179"/>
      <c r="E4038" s="179"/>
      <c r="F4038" s="235"/>
      <c r="G4038" s="235"/>
      <c r="H4038" s="235"/>
      <c r="I4038" s="79"/>
      <c r="J4038" s="185"/>
      <c r="K4038" s="216"/>
      <c r="L4038" s="7"/>
    </row>
    <row r="4039" spans="1:12">
      <c r="A4039" s="36"/>
      <c r="B4039" s="37"/>
      <c r="C4039" s="179"/>
      <c r="D4039" s="179"/>
      <c r="E4039" s="179"/>
      <c r="F4039" s="235"/>
      <c r="G4039" s="235"/>
      <c r="H4039" s="235"/>
      <c r="I4039" s="79"/>
      <c r="J4039" s="185"/>
      <c r="K4039" s="216"/>
      <c r="L4039" s="7"/>
    </row>
    <row r="4040" spans="1:12">
      <c r="A4040" s="36"/>
      <c r="B4040" s="37"/>
      <c r="C4040" s="179"/>
      <c r="D4040" s="179"/>
      <c r="E4040" s="179"/>
      <c r="F4040" s="235"/>
      <c r="G4040" s="235"/>
      <c r="H4040" s="235"/>
      <c r="I4040" s="79"/>
      <c r="J4040" s="195"/>
      <c r="K4040" s="216"/>
      <c r="L4040" s="7"/>
    </row>
    <row r="4041" spans="1:12">
      <c r="A4041" s="36"/>
      <c r="B4041" s="37"/>
      <c r="C4041" s="179"/>
      <c r="D4041" s="179"/>
      <c r="E4041" s="179"/>
      <c r="F4041" s="235"/>
      <c r="G4041" s="235"/>
      <c r="H4041" s="235"/>
      <c r="I4041" s="79"/>
      <c r="J4041" s="195"/>
      <c r="K4041" s="216"/>
      <c r="L4041" s="7"/>
    </row>
    <row r="4042" spans="1:12">
      <c r="A4042" s="36"/>
      <c r="B4042" s="37"/>
      <c r="C4042" s="179"/>
      <c r="D4042" s="179"/>
      <c r="E4042" s="179"/>
      <c r="F4042" s="235"/>
      <c r="G4042" s="235"/>
      <c r="H4042" s="235"/>
      <c r="I4042" s="79"/>
      <c r="J4042" s="195"/>
      <c r="K4042" s="216"/>
      <c r="L4042" s="7"/>
    </row>
    <row r="4043" spans="1:12">
      <c r="A4043" s="36"/>
      <c r="B4043" s="37"/>
      <c r="C4043" s="179"/>
      <c r="D4043" s="179"/>
      <c r="E4043" s="179"/>
      <c r="F4043" s="235"/>
      <c r="G4043" s="235"/>
      <c r="H4043" s="235"/>
      <c r="I4043" s="79"/>
      <c r="J4043" s="195"/>
      <c r="K4043" s="216"/>
      <c r="L4043" s="7"/>
    </row>
    <row r="4044" spans="1:12">
      <c r="A4044" s="36"/>
      <c r="B4044" s="37"/>
      <c r="C4044" s="179"/>
      <c r="D4044" s="179"/>
      <c r="E4044" s="179"/>
      <c r="F4044" s="235"/>
      <c r="G4044" s="235"/>
      <c r="H4044" s="235"/>
      <c r="I4044" s="79"/>
      <c r="J4044" s="195"/>
      <c r="K4044" s="216"/>
      <c r="L4044" s="7"/>
    </row>
    <row r="4045" spans="1:12">
      <c r="A4045" s="36"/>
      <c r="B4045" s="37"/>
      <c r="C4045" s="179"/>
      <c r="D4045" s="179"/>
      <c r="E4045" s="179"/>
      <c r="F4045" s="235"/>
      <c r="G4045" s="235"/>
      <c r="H4045" s="235"/>
      <c r="I4045" s="79"/>
      <c r="J4045" s="195"/>
      <c r="K4045" s="216"/>
      <c r="L4045" s="7"/>
    </row>
    <row r="4046" spans="1:12">
      <c r="A4046" s="36"/>
      <c r="B4046" s="37"/>
      <c r="C4046" s="179"/>
      <c r="D4046" s="179"/>
      <c r="E4046" s="179"/>
      <c r="F4046" s="235"/>
      <c r="G4046" s="235"/>
      <c r="H4046" s="235"/>
      <c r="I4046" s="79"/>
      <c r="J4046" s="195"/>
      <c r="K4046" s="216"/>
      <c r="L4046" s="7"/>
    </row>
    <row r="4047" spans="1:12">
      <c r="A4047" s="36"/>
      <c r="B4047" s="37"/>
      <c r="C4047" s="179"/>
      <c r="D4047" s="179"/>
      <c r="E4047" s="179"/>
      <c r="F4047" s="235"/>
      <c r="G4047" s="235"/>
      <c r="H4047" s="235"/>
      <c r="I4047" s="79"/>
      <c r="J4047" s="185"/>
      <c r="K4047" s="216"/>
      <c r="L4047" s="7"/>
    </row>
    <row r="4048" spans="1:12">
      <c r="A4048" s="36"/>
      <c r="B4048" s="37"/>
      <c r="C4048" s="179"/>
      <c r="D4048" s="179"/>
      <c r="E4048" s="179"/>
      <c r="F4048" s="235"/>
      <c r="G4048" s="235"/>
      <c r="H4048" s="235"/>
      <c r="I4048" s="79"/>
      <c r="J4048" s="195"/>
      <c r="K4048" s="216"/>
      <c r="L4048" s="7"/>
    </row>
    <row r="4049" spans="1:12">
      <c r="A4049" s="36"/>
      <c r="B4049" s="37"/>
      <c r="C4049" s="179"/>
      <c r="D4049" s="179"/>
      <c r="E4049" s="179"/>
      <c r="F4049" s="235"/>
      <c r="G4049" s="235"/>
      <c r="H4049" s="235"/>
      <c r="I4049" s="79"/>
      <c r="J4049" s="195"/>
      <c r="K4049" s="216"/>
      <c r="L4049" s="7"/>
    </row>
    <row r="4050" spans="1:12">
      <c r="A4050" s="36"/>
      <c r="B4050" s="37"/>
      <c r="C4050" s="179"/>
      <c r="D4050" s="179"/>
      <c r="E4050" s="179"/>
      <c r="F4050" s="235"/>
      <c r="G4050" s="235"/>
      <c r="H4050" s="235"/>
      <c r="I4050" s="79"/>
      <c r="J4050" s="195"/>
      <c r="K4050" s="216"/>
      <c r="L4050" s="7"/>
    </row>
    <row r="4051" spans="1:12">
      <c r="A4051" s="36"/>
      <c r="B4051" s="37"/>
      <c r="C4051" s="179"/>
      <c r="D4051" s="179"/>
      <c r="E4051" s="179"/>
      <c r="F4051" s="235"/>
      <c r="G4051" s="235"/>
      <c r="H4051" s="235"/>
      <c r="I4051" s="79"/>
      <c r="J4051" s="195"/>
      <c r="K4051" s="216"/>
      <c r="L4051" s="7"/>
    </row>
    <row r="4052" spans="1:12">
      <c r="A4052" s="36"/>
      <c r="B4052" s="37"/>
      <c r="C4052" s="179"/>
      <c r="D4052" s="179"/>
      <c r="E4052" s="179"/>
      <c r="F4052" s="235"/>
      <c r="G4052" s="235"/>
      <c r="H4052" s="235"/>
      <c r="I4052" s="79"/>
      <c r="J4052" s="195"/>
      <c r="K4052" s="216"/>
      <c r="L4052" s="7"/>
    </row>
    <row r="4053" spans="1:12">
      <c r="A4053" s="36"/>
      <c r="B4053" s="37"/>
      <c r="C4053" s="179"/>
      <c r="D4053" s="179"/>
      <c r="E4053" s="179"/>
      <c r="F4053" s="235"/>
      <c r="G4053" s="235"/>
      <c r="H4053" s="235"/>
      <c r="I4053" s="79"/>
      <c r="J4053" s="195"/>
      <c r="K4053" s="216"/>
      <c r="L4053" s="7"/>
    </row>
    <row r="4054" spans="1:12">
      <c r="A4054" s="36"/>
      <c r="B4054" s="37"/>
      <c r="C4054" s="179"/>
      <c r="D4054" s="179"/>
      <c r="E4054" s="179"/>
      <c r="F4054" s="235"/>
      <c r="G4054" s="235"/>
      <c r="H4054" s="235"/>
      <c r="I4054" s="79"/>
      <c r="J4054" s="195"/>
      <c r="K4054" s="216"/>
      <c r="L4054" s="7"/>
    </row>
    <row r="4055" spans="1:12">
      <c r="A4055" s="36"/>
      <c r="B4055" s="37"/>
      <c r="C4055" s="179"/>
      <c r="D4055" s="179"/>
      <c r="E4055" s="179"/>
      <c r="F4055" s="235"/>
      <c r="G4055" s="235"/>
      <c r="H4055" s="235"/>
      <c r="I4055" s="79"/>
      <c r="J4055" s="195"/>
      <c r="K4055" s="216"/>
      <c r="L4055" s="7"/>
    </row>
    <row r="4056" spans="1:12" s="6" customFormat="1">
      <c r="A4056" s="36"/>
      <c r="B4056" s="37"/>
      <c r="C4056" s="179"/>
      <c r="D4056" s="179"/>
      <c r="E4056" s="179"/>
      <c r="F4056" s="235"/>
      <c r="G4056" s="235"/>
      <c r="H4056" s="235"/>
      <c r="I4056" s="79"/>
      <c r="J4056" s="195"/>
      <c r="K4056" s="216"/>
      <c r="L4056" s="7"/>
    </row>
    <row r="4057" spans="1:12">
      <c r="A4057" s="36"/>
      <c r="B4057" s="37"/>
      <c r="C4057" s="179"/>
      <c r="D4057" s="179"/>
      <c r="E4057" s="179"/>
      <c r="F4057" s="235"/>
      <c r="G4057" s="235"/>
      <c r="H4057" s="235"/>
      <c r="I4057" s="79"/>
      <c r="J4057" s="195"/>
      <c r="K4057" s="216"/>
      <c r="L4057" s="7"/>
    </row>
    <row r="4058" spans="1:12">
      <c r="A4058" s="36"/>
      <c r="B4058" s="37"/>
      <c r="C4058" s="179"/>
      <c r="D4058" s="179"/>
      <c r="E4058" s="179"/>
      <c r="F4058" s="235"/>
      <c r="G4058" s="235"/>
      <c r="H4058" s="235"/>
      <c r="I4058" s="79"/>
      <c r="J4058" s="195"/>
      <c r="K4058" s="216"/>
      <c r="L4058" s="7"/>
    </row>
    <row r="4059" spans="1:12">
      <c r="A4059" s="36"/>
      <c r="B4059" s="37"/>
      <c r="C4059" s="179"/>
      <c r="D4059" s="179"/>
      <c r="E4059" s="179"/>
      <c r="F4059" s="235"/>
      <c r="G4059" s="235"/>
      <c r="H4059" s="235"/>
      <c r="I4059" s="79"/>
      <c r="J4059" s="195"/>
      <c r="K4059" s="216"/>
      <c r="L4059" s="7"/>
    </row>
    <row r="4060" spans="1:12">
      <c r="A4060" s="36"/>
      <c r="B4060" s="37"/>
      <c r="C4060" s="179"/>
      <c r="D4060" s="179"/>
      <c r="E4060" s="179"/>
      <c r="F4060" s="235"/>
      <c r="G4060" s="235"/>
      <c r="H4060" s="235"/>
      <c r="I4060" s="79"/>
      <c r="J4060" s="195"/>
      <c r="K4060" s="216"/>
      <c r="L4060" s="7"/>
    </row>
    <row r="4061" spans="1:12">
      <c r="A4061" s="36"/>
      <c r="B4061" s="37"/>
      <c r="C4061" s="179"/>
      <c r="D4061" s="179"/>
      <c r="E4061" s="179"/>
      <c r="F4061" s="235"/>
      <c r="G4061" s="235"/>
      <c r="H4061" s="235"/>
      <c r="I4061" s="79"/>
      <c r="J4061" s="195"/>
      <c r="K4061" s="216"/>
      <c r="L4061" s="7"/>
    </row>
    <row r="4062" spans="1:12">
      <c r="A4062" s="36"/>
      <c r="B4062" s="37"/>
      <c r="C4062" s="179"/>
      <c r="D4062" s="179"/>
      <c r="E4062" s="179"/>
      <c r="F4062" s="235"/>
      <c r="G4062" s="235"/>
      <c r="H4062" s="235"/>
      <c r="I4062" s="79"/>
      <c r="J4062" s="195"/>
      <c r="K4062" s="216"/>
      <c r="L4062" s="7"/>
    </row>
    <row r="4063" spans="1:12">
      <c r="A4063" s="36"/>
      <c r="B4063" s="37"/>
      <c r="C4063" s="179"/>
      <c r="D4063" s="179"/>
      <c r="E4063" s="179"/>
      <c r="F4063" s="235"/>
      <c r="G4063" s="235"/>
      <c r="H4063" s="235"/>
      <c r="I4063" s="79"/>
      <c r="J4063" s="195"/>
      <c r="K4063" s="216"/>
      <c r="L4063" s="7"/>
    </row>
    <row r="4064" spans="1:12">
      <c r="A4064" s="36"/>
      <c r="B4064" s="37"/>
      <c r="C4064" s="179"/>
      <c r="D4064" s="179"/>
      <c r="E4064" s="179"/>
      <c r="F4064" s="235"/>
      <c r="G4064" s="235"/>
      <c r="H4064" s="235"/>
      <c r="I4064" s="79"/>
      <c r="J4064" s="185"/>
      <c r="K4064" s="216"/>
      <c r="L4064" s="7"/>
    </row>
    <row r="4065" spans="1:12">
      <c r="A4065" s="23"/>
      <c r="B4065" s="14"/>
      <c r="C4065" s="180"/>
      <c r="D4065" s="180"/>
      <c r="E4065" s="180"/>
      <c r="F4065" s="236"/>
      <c r="G4065" s="236"/>
      <c r="H4065" s="236"/>
      <c r="I4065" s="73"/>
      <c r="J4065" s="191"/>
      <c r="K4065" s="207"/>
      <c r="L4065" s="7"/>
    </row>
    <row r="4066" spans="1:12">
      <c r="A4066" s="21"/>
      <c r="B4066" s="21"/>
      <c r="C4066" s="175"/>
      <c r="D4066" s="175"/>
      <c r="E4066" s="175"/>
      <c r="F4066" s="234"/>
      <c r="G4066" s="234"/>
      <c r="H4066" s="234"/>
      <c r="I4066" s="63"/>
      <c r="J4066" s="190"/>
      <c r="K4066" s="208"/>
      <c r="L4066" s="7"/>
    </row>
    <row r="4067" spans="1:12">
      <c r="A4067" s="36"/>
      <c r="B4067" s="37"/>
      <c r="C4067" s="179"/>
      <c r="D4067" s="179"/>
      <c r="E4067" s="179"/>
      <c r="F4067" s="235"/>
      <c r="G4067" s="235"/>
      <c r="H4067" s="235"/>
      <c r="I4067" s="79"/>
      <c r="J4067" s="185"/>
      <c r="K4067" s="216"/>
      <c r="L4067" s="7"/>
    </row>
    <row r="4068" spans="1:12">
      <c r="A4068" s="36"/>
      <c r="B4068" s="37"/>
      <c r="C4068" s="179"/>
      <c r="D4068" s="179"/>
      <c r="E4068" s="179"/>
      <c r="F4068" s="235"/>
      <c r="G4068" s="235"/>
      <c r="H4068" s="235"/>
      <c r="I4068" s="79"/>
      <c r="J4068" s="185"/>
      <c r="K4068" s="216"/>
      <c r="L4068" s="7"/>
    </row>
    <row r="4069" spans="1:12">
      <c r="A4069" s="36"/>
      <c r="B4069" s="37"/>
      <c r="C4069" s="179"/>
      <c r="D4069" s="179"/>
      <c r="E4069" s="179"/>
      <c r="F4069" s="235"/>
      <c r="G4069" s="235"/>
      <c r="H4069" s="235"/>
      <c r="I4069" s="79"/>
      <c r="J4069" s="185"/>
      <c r="K4069" s="216"/>
      <c r="L4069" s="7"/>
    </row>
    <row r="4070" spans="1:12">
      <c r="A4070" s="36"/>
      <c r="B4070" s="37"/>
      <c r="C4070" s="179"/>
      <c r="D4070" s="179"/>
      <c r="E4070" s="179"/>
      <c r="F4070" s="235"/>
      <c r="G4070" s="235"/>
      <c r="H4070" s="235"/>
      <c r="I4070" s="79"/>
      <c r="J4070" s="185"/>
      <c r="K4070" s="216"/>
      <c r="L4070" s="7"/>
    </row>
    <row r="4071" spans="1:12">
      <c r="A4071" s="36"/>
      <c r="B4071" s="37"/>
      <c r="C4071" s="179"/>
      <c r="D4071" s="179"/>
      <c r="E4071" s="179"/>
      <c r="F4071" s="235"/>
      <c r="G4071" s="235"/>
      <c r="H4071" s="235"/>
      <c r="I4071" s="79"/>
      <c r="J4071" s="185"/>
      <c r="K4071" s="216"/>
      <c r="L4071" s="7"/>
    </row>
    <row r="4072" spans="1:12">
      <c r="A4072" s="36"/>
      <c r="B4072" s="37"/>
      <c r="C4072" s="179"/>
      <c r="D4072" s="179"/>
      <c r="E4072" s="179"/>
      <c r="F4072" s="235"/>
      <c r="G4072" s="235"/>
      <c r="H4072" s="235"/>
      <c r="I4072" s="79"/>
      <c r="J4072" s="185"/>
      <c r="K4072" s="216"/>
      <c r="L4072" s="7"/>
    </row>
    <row r="4073" spans="1:12">
      <c r="A4073" s="36"/>
      <c r="B4073" s="37"/>
      <c r="C4073" s="179"/>
      <c r="D4073" s="179"/>
      <c r="E4073" s="179"/>
      <c r="F4073" s="235"/>
      <c r="G4073" s="235"/>
      <c r="H4073" s="235"/>
      <c r="I4073" s="79"/>
      <c r="J4073" s="185"/>
      <c r="K4073" s="216"/>
      <c r="L4073" s="7"/>
    </row>
    <row r="4074" spans="1:12">
      <c r="A4074" s="36"/>
      <c r="B4074" s="37"/>
      <c r="C4074" s="179"/>
      <c r="D4074" s="179"/>
      <c r="E4074" s="179"/>
      <c r="F4074" s="235"/>
      <c r="G4074" s="235"/>
      <c r="H4074" s="235"/>
      <c r="I4074" s="79"/>
      <c r="J4074" s="185"/>
      <c r="K4074" s="216"/>
      <c r="L4074" s="7"/>
    </row>
    <row r="4075" spans="1:12">
      <c r="A4075" s="36"/>
      <c r="B4075" s="37"/>
      <c r="C4075" s="179"/>
      <c r="D4075" s="179"/>
      <c r="E4075" s="179"/>
      <c r="F4075" s="235"/>
      <c r="G4075" s="235"/>
      <c r="H4075" s="235"/>
      <c r="I4075" s="79"/>
      <c r="J4075" s="185"/>
      <c r="K4075" s="216"/>
      <c r="L4075" s="7"/>
    </row>
    <row r="4076" spans="1:12">
      <c r="A4076" s="36"/>
      <c r="B4076" s="37"/>
      <c r="C4076" s="179"/>
      <c r="D4076" s="179"/>
      <c r="E4076" s="179"/>
      <c r="F4076" s="235"/>
      <c r="G4076" s="235"/>
      <c r="H4076" s="235"/>
      <c r="I4076" s="79"/>
      <c r="J4076" s="185"/>
      <c r="K4076" s="216"/>
      <c r="L4076" s="7"/>
    </row>
    <row r="4077" spans="1:12">
      <c r="A4077" s="36"/>
      <c r="B4077" s="37"/>
      <c r="C4077" s="179"/>
      <c r="D4077" s="179"/>
      <c r="E4077" s="179"/>
      <c r="F4077" s="235"/>
      <c r="G4077" s="235"/>
      <c r="H4077" s="235"/>
      <c r="I4077" s="79"/>
      <c r="J4077" s="185"/>
      <c r="K4077" s="216"/>
      <c r="L4077" s="7"/>
    </row>
    <row r="4078" spans="1:12">
      <c r="A4078" s="36"/>
      <c r="B4078" s="37"/>
      <c r="C4078" s="179"/>
      <c r="D4078" s="179"/>
      <c r="E4078" s="179"/>
      <c r="F4078" s="235"/>
      <c r="G4078" s="235"/>
      <c r="H4078" s="235"/>
      <c r="I4078" s="79"/>
      <c r="J4078" s="185"/>
      <c r="K4078" s="216"/>
      <c r="L4078" s="7"/>
    </row>
    <row r="4079" spans="1:12">
      <c r="A4079" s="36"/>
      <c r="B4079" s="37"/>
      <c r="C4079" s="179"/>
      <c r="D4079" s="179"/>
      <c r="E4079" s="179"/>
      <c r="F4079" s="235"/>
      <c r="G4079" s="235"/>
      <c r="H4079" s="235"/>
      <c r="I4079" s="79"/>
      <c r="J4079" s="185"/>
      <c r="K4079" s="216"/>
      <c r="L4079" s="7"/>
    </row>
    <row r="4080" spans="1:12">
      <c r="A4080" s="36"/>
      <c r="B4080" s="37"/>
      <c r="C4080" s="179"/>
      <c r="D4080" s="179"/>
      <c r="E4080" s="179"/>
      <c r="F4080" s="235"/>
      <c r="G4080" s="235"/>
      <c r="H4080" s="235"/>
      <c r="I4080" s="79"/>
      <c r="J4080" s="185"/>
      <c r="K4080" s="216"/>
      <c r="L4080" s="7"/>
    </row>
    <row r="4081" spans="1:12">
      <c r="A4081" s="36"/>
      <c r="B4081" s="37"/>
      <c r="C4081" s="179"/>
      <c r="D4081" s="179"/>
      <c r="E4081" s="179"/>
      <c r="F4081" s="235"/>
      <c r="G4081" s="235"/>
      <c r="H4081" s="235"/>
      <c r="I4081" s="79"/>
      <c r="J4081" s="185"/>
      <c r="K4081" s="216"/>
      <c r="L4081" s="7"/>
    </row>
    <row r="4082" spans="1:12">
      <c r="A4082" s="36"/>
      <c r="B4082" s="37"/>
      <c r="C4082" s="179"/>
      <c r="D4082" s="179"/>
      <c r="E4082" s="179"/>
      <c r="F4082" s="235"/>
      <c r="G4082" s="235"/>
      <c r="H4082" s="235"/>
      <c r="I4082" s="79"/>
      <c r="J4082" s="185"/>
      <c r="K4082" s="216"/>
      <c r="L4082" s="7"/>
    </row>
    <row r="4083" spans="1:12">
      <c r="A4083" s="21"/>
      <c r="B4083" s="21"/>
      <c r="C4083" s="175"/>
      <c r="D4083" s="175"/>
      <c r="E4083" s="175"/>
      <c r="F4083" s="234"/>
      <c r="G4083" s="234"/>
      <c r="H4083" s="234"/>
      <c r="I4083" s="63"/>
      <c r="J4083" s="190"/>
      <c r="K4083" s="208"/>
      <c r="L4083" s="7"/>
    </row>
    <row r="4084" spans="1:12">
      <c r="A4084" s="21"/>
      <c r="B4084" s="21"/>
      <c r="C4084" s="175"/>
      <c r="D4084" s="175"/>
      <c r="E4084" s="175"/>
      <c r="F4084" s="234"/>
      <c r="G4084" s="234"/>
      <c r="H4084" s="234"/>
      <c r="I4084" s="63"/>
      <c r="J4084" s="190"/>
      <c r="K4084" s="208"/>
      <c r="L4084" s="7"/>
    </row>
    <row r="4085" spans="1:12">
      <c r="A4085" s="21"/>
      <c r="B4085" s="21"/>
      <c r="C4085" s="175"/>
      <c r="D4085" s="175"/>
      <c r="E4085" s="175"/>
      <c r="F4085" s="234"/>
      <c r="G4085" s="234"/>
      <c r="H4085" s="234"/>
      <c r="I4085" s="63"/>
      <c r="J4085" s="190"/>
      <c r="K4085" s="208"/>
      <c r="L4085" s="7"/>
    </row>
    <row r="4086" spans="1:12">
      <c r="A4086" s="36"/>
      <c r="B4086" s="37"/>
      <c r="C4086" s="179"/>
      <c r="D4086" s="179"/>
      <c r="E4086" s="179"/>
      <c r="F4086" s="235"/>
      <c r="G4086" s="235"/>
      <c r="H4086" s="235"/>
      <c r="I4086" s="79"/>
      <c r="J4086" s="185"/>
      <c r="K4086" s="216"/>
      <c r="L4086" s="7"/>
    </row>
    <row r="4087" spans="1:12">
      <c r="A4087" s="36"/>
      <c r="B4087" s="37"/>
      <c r="C4087" s="179"/>
      <c r="D4087" s="179"/>
      <c r="E4087" s="179"/>
      <c r="F4087" s="235"/>
      <c r="G4087" s="235"/>
      <c r="H4087" s="235"/>
      <c r="I4087" s="79"/>
      <c r="J4087" s="185"/>
      <c r="K4087" s="216"/>
      <c r="L4087" s="7"/>
    </row>
    <row r="4088" spans="1:12">
      <c r="A4088" s="21"/>
      <c r="B4088" s="21"/>
      <c r="C4088" s="175"/>
      <c r="D4088" s="175"/>
      <c r="E4088" s="175"/>
      <c r="F4088" s="234"/>
      <c r="G4088" s="234"/>
      <c r="H4088" s="234"/>
      <c r="I4088" s="63"/>
      <c r="J4088" s="190"/>
      <c r="K4088" s="208"/>
      <c r="L4088" s="7"/>
    </row>
    <row r="4089" spans="1:12">
      <c r="A4089" s="36"/>
      <c r="B4089" s="37"/>
      <c r="C4089" s="179"/>
      <c r="D4089" s="179"/>
      <c r="E4089" s="179"/>
      <c r="F4089" s="235"/>
      <c r="G4089" s="235"/>
      <c r="H4089" s="235"/>
      <c r="I4089" s="79"/>
      <c r="J4089" s="185"/>
      <c r="K4089" s="216"/>
      <c r="L4089" s="7"/>
    </row>
    <row r="4090" spans="1:12">
      <c r="A4090" s="36"/>
      <c r="B4090" s="37"/>
      <c r="C4090" s="179"/>
      <c r="D4090" s="179"/>
      <c r="E4090" s="179"/>
      <c r="F4090" s="235"/>
      <c r="G4090" s="235"/>
      <c r="H4090" s="235"/>
      <c r="I4090" s="79"/>
      <c r="J4090" s="185"/>
      <c r="K4090" s="216"/>
      <c r="L4090" s="7"/>
    </row>
    <row r="4091" spans="1:12">
      <c r="A4091" s="36"/>
      <c r="B4091" s="37"/>
      <c r="C4091" s="179"/>
      <c r="D4091" s="179"/>
      <c r="E4091" s="179"/>
      <c r="F4091" s="235"/>
      <c r="G4091" s="235"/>
      <c r="H4091" s="235"/>
      <c r="I4091" s="79"/>
      <c r="J4091" s="185"/>
      <c r="K4091" s="216"/>
      <c r="L4091" s="7"/>
    </row>
    <row r="4092" spans="1:12">
      <c r="A4092" s="36"/>
      <c r="B4092" s="37"/>
      <c r="C4092" s="179"/>
      <c r="D4092" s="179"/>
      <c r="E4092" s="179"/>
      <c r="F4092" s="235"/>
      <c r="G4092" s="235"/>
      <c r="H4092" s="235"/>
      <c r="I4092" s="79"/>
      <c r="J4092" s="185"/>
      <c r="K4092" s="216"/>
      <c r="L4092" s="7"/>
    </row>
    <row r="4093" spans="1:12">
      <c r="A4093" s="36"/>
      <c r="B4093" s="37"/>
      <c r="C4093" s="179"/>
      <c r="D4093" s="179"/>
      <c r="E4093" s="179"/>
      <c r="F4093" s="235"/>
      <c r="G4093" s="235"/>
      <c r="H4093" s="235"/>
      <c r="I4093" s="79"/>
      <c r="J4093" s="185"/>
      <c r="K4093" s="216"/>
      <c r="L4093" s="7"/>
    </row>
    <row r="4094" spans="1:12">
      <c r="A4094" s="36"/>
      <c r="B4094" s="37"/>
      <c r="C4094" s="179"/>
      <c r="D4094" s="179"/>
      <c r="E4094" s="179"/>
      <c r="F4094" s="235"/>
      <c r="G4094" s="235"/>
      <c r="H4094" s="235"/>
      <c r="I4094" s="79"/>
      <c r="J4094" s="185"/>
      <c r="K4094" s="216"/>
      <c r="L4094" s="7"/>
    </row>
    <row r="4095" spans="1:12">
      <c r="A4095" s="23"/>
      <c r="B4095" s="14"/>
      <c r="C4095" s="180"/>
      <c r="D4095" s="180"/>
      <c r="E4095" s="180"/>
      <c r="F4095" s="236"/>
      <c r="G4095" s="236"/>
      <c r="H4095" s="236"/>
      <c r="I4095" s="73"/>
      <c r="J4095" s="191"/>
      <c r="K4095" s="207"/>
      <c r="L4095" s="7"/>
    </row>
    <row r="4096" spans="1:12">
      <c r="A4096" s="36"/>
      <c r="B4096" s="37"/>
      <c r="C4096" s="179"/>
      <c r="D4096" s="179"/>
      <c r="E4096" s="179"/>
      <c r="F4096" s="235"/>
      <c r="G4096" s="235"/>
      <c r="H4096" s="235"/>
      <c r="I4096" s="79"/>
      <c r="J4096" s="185"/>
      <c r="K4096" s="216"/>
      <c r="L4096" s="7"/>
    </row>
    <row r="4097" spans="1:12">
      <c r="A4097" s="36"/>
      <c r="B4097" s="37"/>
      <c r="C4097" s="179"/>
      <c r="D4097" s="179"/>
      <c r="E4097" s="179"/>
      <c r="F4097" s="235"/>
      <c r="G4097" s="235"/>
      <c r="H4097" s="235"/>
      <c r="I4097" s="79"/>
      <c r="J4097" s="185"/>
      <c r="K4097" s="216"/>
      <c r="L4097" s="7"/>
    </row>
    <row r="4098" spans="1:12" s="6" customFormat="1">
      <c r="A4098" s="36"/>
      <c r="B4098" s="37"/>
      <c r="C4098" s="179"/>
      <c r="D4098" s="179"/>
      <c r="E4098" s="179"/>
      <c r="F4098" s="235"/>
      <c r="G4098" s="235"/>
      <c r="H4098" s="235"/>
      <c r="I4098" s="79"/>
      <c r="J4098" s="185"/>
      <c r="K4098" s="216"/>
      <c r="L4098" s="7"/>
    </row>
    <row r="4099" spans="1:12">
      <c r="A4099" s="23"/>
      <c r="B4099" s="14"/>
      <c r="C4099" s="180"/>
      <c r="D4099" s="180"/>
      <c r="E4099" s="180"/>
      <c r="F4099" s="236"/>
      <c r="G4099" s="236"/>
      <c r="H4099" s="236"/>
      <c r="I4099" s="73"/>
      <c r="J4099" s="191"/>
      <c r="K4099" s="207"/>
      <c r="L4099" s="7"/>
    </row>
    <row r="4100" spans="1:12">
      <c r="A4100" s="23"/>
      <c r="B4100" s="14"/>
      <c r="C4100" s="180"/>
      <c r="D4100" s="180"/>
      <c r="E4100" s="180"/>
      <c r="F4100" s="236"/>
      <c r="G4100" s="236"/>
      <c r="H4100" s="236"/>
      <c r="I4100" s="73"/>
      <c r="J4100" s="191"/>
      <c r="K4100" s="207"/>
      <c r="L4100" s="7"/>
    </row>
    <row r="4101" spans="1:12">
      <c r="A4101" s="23"/>
      <c r="B4101" s="14"/>
      <c r="C4101" s="180"/>
      <c r="D4101" s="180"/>
      <c r="E4101" s="180"/>
      <c r="F4101" s="236"/>
      <c r="G4101" s="236"/>
      <c r="H4101" s="236"/>
      <c r="I4101" s="73"/>
      <c r="J4101" s="191"/>
      <c r="K4101" s="207"/>
      <c r="L4101" s="7"/>
    </row>
    <row r="4102" spans="1:12">
      <c r="A4102" s="36"/>
      <c r="B4102" s="37"/>
      <c r="C4102" s="179"/>
      <c r="D4102" s="179"/>
      <c r="E4102" s="179"/>
      <c r="F4102" s="235"/>
      <c r="G4102" s="235"/>
      <c r="H4102" s="235"/>
      <c r="I4102" s="79"/>
      <c r="J4102" s="185"/>
      <c r="K4102" s="216"/>
      <c r="L4102" s="7"/>
    </row>
    <row r="4103" spans="1:12">
      <c r="A4103" s="23"/>
      <c r="B4103" s="14"/>
      <c r="C4103" s="180"/>
      <c r="D4103" s="180"/>
      <c r="E4103" s="180"/>
      <c r="F4103" s="236"/>
      <c r="G4103" s="236"/>
      <c r="H4103" s="236"/>
      <c r="I4103" s="73"/>
      <c r="J4103" s="191"/>
      <c r="K4103" s="207"/>
      <c r="L4103" s="7"/>
    </row>
    <row r="4104" spans="1:12">
      <c r="A4104" s="23"/>
      <c r="B4104" s="14"/>
      <c r="C4104" s="180"/>
      <c r="D4104" s="180"/>
      <c r="E4104" s="180"/>
      <c r="F4104" s="236"/>
      <c r="G4104" s="236"/>
      <c r="H4104" s="236"/>
      <c r="I4104" s="73"/>
      <c r="J4104" s="191"/>
      <c r="K4104" s="207"/>
      <c r="L4104" s="7"/>
    </row>
    <row r="4105" spans="1:12">
      <c r="A4105" s="36"/>
      <c r="B4105" s="37"/>
      <c r="C4105" s="179"/>
      <c r="D4105" s="179"/>
      <c r="E4105" s="179"/>
      <c r="F4105" s="235"/>
      <c r="G4105" s="235"/>
      <c r="H4105" s="235"/>
      <c r="I4105" s="79"/>
      <c r="J4105" s="185"/>
      <c r="K4105" s="216"/>
      <c r="L4105" s="7"/>
    </row>
    <row r="4106" spans="1:12">
      <c r="A4106" s="36"/>
      <c r="B4106" s="37"/>
      <c r="C4106" s="179"/>
      <c r="D4106" s="179"/>
      <c r="E4106" s="179"/>
      <c r="F4106" s="235"/>
      <c r="G4106" s="235"/>
      <c r="H4106" s="235"/>
      <c r="I4106" s="79"/>
      <c r="J4106" s="185"/>
      <c r="K4106" s="216"/>
      <c r="L4106" s="7"/>
    </row>
    <row r="4107" spans="1:12">
      <c r="A4107" s="36"/>
      <c r="B4107" s="37"/>
      <c r="C4107" s="179"/>
      <c r="D4107" s="179"/>
      <c r="E4107" s="179"/>
      <c r="F4107" s="235"/>
      <c r="G4107" s="235"/>
      <c r="H4107" s="235"/>
      <c r="I4107" s="79"/>
      <c r="J4107" s="185"/>
      <c r="K4107" s="216"/>
      <c r="L4107" s="7"/>
    </row>
    <row r="4108" spans="1:12">
      <c r="A4108" s="36"/>
      <c r="B4108" s="37"/>
      <c r="C4108" s="179"/>
      <c r="D4108" s="179"/>
      <c r="E4108" s="179"/>
      <c r="F4108" s="235"/>
      <c r="G4108" s="235"/>
      <c r="H4108" s="235"/>
      <c r="I4108" s="79"/>
      <c r="J4108" s="185"/>
      <c r="K4108" s="216"/>
      <c r="L4108" s="7"/>
    </row>
    <row r="4109" spans="1:12">
      <c r="A4109" s="36"/>
      <c r="B4109" s="37"/>
      <c r="C4109" s="179"/>
      <c r="D4109" s="179"/>
      <c r="E4109" s="179"/>
      <c r="F4109" s="235"/>
      <c r="G4109" s="235"/>
      <c r="H4109" s="235"/>
      <c r="I4109" s="79"/>
      <c r="J4109" s="185"/>
      <c r="K4109" s="216"/>
      <c r="L4109" s="7"/>
    </row>
    <row r="4110" spans="1:12">
      <c r="A4110" s="23"/>
      <c r="B4110" s="14"/>
      <c r="C4110" s="180"/>
      <c r="D4110" s="180"/>
      <c r="E4110" s="180"/>
      <c r="F4110" s="236"/>
      <c r="G4110" s="236"/>
      <c r="H4110" s="236"/>
      <c r="I4110" s="73"/>
      <c r="J4110" s="191"/>
      <c r="K4110" s="207"/>
      <c r="L4110" s="7"/>
    </row>
    <row r="4111" spans="1:12">
      <c r="A4111" s="36"/>
      <c r="B4111" s="37"/>
      <c r="C4111" s="179"/>
      <c r="D4111" s="179"/>
      <c r="E4111" s="179"/>
      <c r="F4111" s="235"/>
      <c r="G4111" s="235"/>
      <c r="H4111" s="235"/>
      <c r="I4111" s="79"/>
      <c r="J4111" s="185"/>
      <c r="K4111" s="216"/>
      <c r="L4111" s="7"/>
    </row>
    <row r="4112" spans="1:12">
      <c r="A4112" s="36"/>
      <c r="B4112" s="37"/>
      <c r="C4112" s="179"/>
      <c r="D4112" s="179"/>
      <c r="E4112" s="179"/>
      <c r="F4112" s="235"/>
      <c r="G4112" s="235"/>
      <c r="H4112" s="235"/>
      <c r="I4112" s="79"/>
      <c r="J4112" s="185"/>
      <c r="K4112" s="216"/>
      <c r="L4112" s="7"/>
    </row>
    <row r="4113" spans="1:12" s="6" customFormat="1">
      <c r="A4113" s="36"/>
      <c r="B4113" s="37"/>
      <c r="C4113" s="179"/>
      <c r="D4113" s="179"/>
      <c r="E4113" s="179"/>
      <c r="F4113" s="235"/>
      <c r="G4113" s="235"/>
      <c r="H4113" s="235"/>
      <c r="I4113" s="79"/>
      <c r="J4113" s="185"/>
      <c r="K4113" s="216"/>
      <c r="L4113" s="7"/>
    </row>
    <row r="4114" spans="1:12">
      <c r="A4114" s="36"/>
      <c r="B4114" s="37"/>
      <c r="C4114" s="179"/>
      <c r="D4114" s="179"/>
      <c r="E4114" s="179"/>
      <c r="F4114" s="235"/>
      <c r="G4114" s="235"/>
      <c r="H4114" s="235"/>
      <c r="I4114" s="79"/>
      <c r="J4114" s="185"/>
      <c r="K4114" s="216"/>
      <c r="L4114" s="7"/>
    </row>
    <row r="4115" spans="1:12">
      <c r="A4115" s="36"/>
      <c r="B4115" s="37"/>
      <c r="C4115" s="179"/>
      <c r="D4115" s="179"/>
      <c r="E4115" s="179"/>
      <c r="F4115" s="235"/>
      <c r="G4115" s="235"/>
      <c r="H4115" s="235"/>
      <c r="I4115" s="79"/>
      <c r="J4115" s="185"/>
      <c r="K4115" s="216"/>
      <c r="L4115" s="7"/>
    </row>
    <row r="4116" spans="1:12">
      <c r="A4116" s="36"/>
      <c r="B4116" s="37"/>
      <c r="C4116" s="179"/>
      <c r="D4116" s="179"/>
      <c r="E4116" s="179"/>
      <c r="F4116" s="235"/>
      <c r="G4116" s="235"/>
      <c r="H4116" s="235"/>
      <c r="I4116" s="79"/>
      <c r="J4116" s="185"/>
      <c r="K4116" s="216"/>
      <c r="L4116" s="7"/>
    </row>
    <row r="4117" spans="1:12">
      <c r="A4117" s="36"/>
      <c r="B4117" s="37"/>
      <c r="C4117" s="179"/>
      <c r="D4117" s="179"/>
      <c r="E4117" s="179"/>
      <c r="F4117" s="235"/>
      <c r="G4117" s="235"/>
      <c r="H4117" s="235"/>
      <c r="I4117" s="79"/>
      <c r="J4117" s="185"/>
      <c r="K4117" s="216"/>
      <c r="L4117" s="7"/>
    </row>
    <row r="4118" spans="1:12">
      <c r="A4118" s="36"/>
      <c r="B4118" s="37"/>
      <c r="C4118" s="179"/>
      <c r="D4118" s="179"/>
      <c r="E4118" s="179"/>
      <c r="F4118" s="235"/>
      <c r="G4118" s="235"/>
      <c r="H4118" s="235"/>
      <c r="I4118" s="79"/>
      <c r="J4118" s="185"/>
      <c r="K4118" s="216"/>
      <c r="L4118" s="7"/>
    </row>
    <row r="4119" spans="1:12">
      <c r="A4119" s="36"/>
      <c r="B4119" s="37"/>
      <c r="C4119" s="179"/>
      <c r="D4119" s="179"/>
      <c r="E4119" s="179"/>
      <c r="F4119" s="235"/>
      <c r="G4119" s="235"/>
      <c r="H4119" s="235"/>
      <c r="I4119" s="79"/>
      <c r="J4119" s="185"/>
      <c r="K4119" s="216"/>
      <c r="L4119" s="7"/>
    </row>
    <row r="4120" spans="1:12">
      <c r="A4120" s="36"/>
      <c r="B4120" s="37"/>
      <c r="C4120" s="179"/>
      <c r="D4120" s="179"/>
      <c r="E4120" s="179"/>
      <c r="F4120" s="235"/>
      <c r="G4120" s="235"/>
      <c r="H4120" s="235"/>
      <c r="I4120" s="79"/>
      <c r="J4120" s="185"/>
      <c r="K4120" s="216"/>
      <c r="L4120" s="7"/>
    </row>
    <row r="4121" spans="1:12">
      <c r="A4121" s="36"/>
      <c r="B4121" s="37"/>
      <c r="C4121" s="179"/>
      <c r="D4121" s="179"/>
      <c r="E4121" s="179"/>
      <c r="F4121" s="235"/>
      <c r="G4121" s="235"/>
      <c r="H4121" s="235"/>
      <c r="I4121" s="79"/>
      <c r="J4121" s="185"/>
      <c r="K4121" s="216"/>
      <c r="L4121" s="7"/>
    </row>
    <row r="4122" spans="1:12">
      <c r="A4122" s="21"/>
      <c r="B4122" s="21"/>
      <c r="C4122" s="175"/>
      <c r="D4122" s="175"/>
      <c r="E4122" s="175"/>
      <c r="F4122" s="234"/>
      <c r="G4122" s="234"/>
      <c r="H4122" s="234"/>
      <c r="I4122" s="63"/>
      <c r="J4122" s="190"/>
      <c r="K4122" s="208"/>
      <c r="L4122" s="7"/>
    </row>
    <row r="4123" spans="1:12" s="6" customFormat="1">
      <c r="A4123" s="36"/>
      <c r="B4123" s="37"/>
      <c r="C4123" s="179"/>
      <c r="D4123" s="179"/>
      <c r="E4123" s="179"/>
      <c r="F4123" s="235"/>
      <c r="G4123" s="235"/>
      <c r="H4123" s="235"/>
      <c r="I4123" s="79"/>
      <c r="J4123" s="185"/>
      <c r="K4123" s="216"/>
      <c r="L4123" s="7"/>
    </row>
    <row r="4124" spans="1:12">
      <c r="A4124" s="36"/>
      <c r="B4124" s="37"/>
      <c r="C4124" s="179"/>
      <c r="D4124" s="179"/>
      <c r="E4124" s="179"/>
      <c r="F4124" s="235"/>
      <c r="G4124" s="235"/>
      <c r="H4124" s="235"/>
      <c r="I4124" s="79"/>
      <c r="J4124" s="185"/>
      <c r="K4124" s="216"/>
      <c r="L4124" s="7"/>
    </row>
    <row r="4125" spans="1:12">
      <c r="A4125" s="36"/>
      <c r="B4125" s="37"/>
      <c r="C4125" s="179"/>
      <c r="D4125" s="179"/>
      <c r="E4125" s="179"/>
      <c r="F4125" s="235"/>
      <c r="G4125" s="235"/>
      <c r="H4125" s="235"/>
      <c r="I4125" s="79"/>
      <c r="J4125" s="185"/>
      <c r="K4125" s="216"/>
      <c r="L4125" s="7"/>
    </row>
    <row r="4126" spans="1:12">
      <c r="A4126" s="36"/>
      <c r="B4126" s="37"/>
      <c r="C4126" s="179"/>
      <c r="D4126" s="179"/>
      <c r="E4126" s="179"/>
      <c r="F4126" s="235"/>
      <c r="G4126" s="235"/>
      <c r="H4126" s="235"/>
      <c r="I4126" s="79"/>
      <c r="J4126" s="185"/>
      <c r="K4126" s="216"/>
      <c r="L4126" s="7"/>
    </row>
    <row r="4127" spans="1:12">
      <c r="A4127" s="36"/>
      <c r="B4127" s="37"/>
      <c r="C4127" s="179"/>
      <c r="D4127" s="179"/>
      <c r="E4127" s="179"/>
      <c r="F4127" s="235"/>
      <c r="G4127" s="235"/>
      <c r="H4127" s="235"/>
      <c r="I4127" s="79"/>
      <c r="J4127" s="185"/>
      <c r="K4127" s="216"/>
      <c r="L4127" s="7"/>
    </row>
    <row r="4128" spans="1:12">
      <c r="A4128" s="36"/>
      <c r="B4128" s="37"/>
      <c r="C4128" s="179"/>
      <c r="D4128" s="179"/>
      <c r="E4128" s="179"/>
      <c r="F4128" s="235"/>
      <c r="G4128" s="235"/>
      <c r="H4128" s="235"/>
      <c r="I4128" s="79"/>
      <c r="J4128" s="185"/>
      <c r="K4128" s="216"/>
      <c r="L4128" s="7"/>
    </row>
    <row r="4129" spans="1:12">
      <c r="A4129" s="36"/>
      <c r="B4129" s="37"/>
      <c r="C4129" s="179"/>
      <c r="D4129" s="179"/>
      <c r="E4129" s="179"/>
      <c r="F4129" s="235"/>
      <c r="G4129" s="235"/>
      <c r="H4129" s="235"/>
      <c r="I4129" s="79"/>
      <c r="J4129" s="185"/>
      <c r="K4129" s="216"/>
      <c r="L4129" s="7"/>
    </row>
    <row r="4130" spans="1:12">
      <c r="A4130" s="36"/>
      <c r="B4130" s="37"/>
      <c r="C4130" s="179"/>
      <c r="D4130" s="179"/>
      <c r="E4130" s="179"/>
      <c r="F4130" s="235"/>
      <c r="G4130" s="235"/>
      <c r="H4130" s="235"/>
      <c r="I4130" s="79"/>
      <c r="J4130" s="185"/>
      <c r="K4130" s="216"/>
      <c r="L4130" s="7"/>
    </row>
    <row r="4131" spans="1:12">
      <c r="A4131" s="36"/>
      <c r="B4131" s="37"/>
      <c r="C4131" s="179"/>
      <c r="D4131" s="179"/>
      <c r="E4131" s="179"/>
      <c r="F4131" s="235"/>
      <c r="G4131" s="235"/>
      <c r="H4131" s="235"/>
      <c r="I4131" s="79"/>
      <c r="J4131" s="185"/>
      <c r="K4131" s="216"/>
      <c r="L4131" s="7"/>
    </row>
    <row r="4132" spans="1:12" s="6" customFormat="1">
      <c r="A4132" s="36"/>
      <c r="B4132" s="37"/>
      <c r="C4132" s="179"/>
      <c r="D4132" s="179"/>
      <c r="E4132" s="179"/>
      <c r="F4132" s="235"/>
      <c r="G4132" s="235"/>
      <c r="H4132" s="235"/>
      <c r="I4132" s="79"/>
      <c r="J4132" s="185"/>
      <c r="K4132" s="216"/>
      <c r="L4132" s="7"/>
    </row>
    <row r="4133" spans="1:12">
      <c r="A4133" s="21"/>
      <c r="B4133" s="21"/>
      <c r="C4133" s="175"/>
      <c r="D4133" s="175"/>
      <c r="E4133" s="175"/>
      <c r="F4133" s="234"/>
      <c r="G4133" s="234"/>
      <c r="H4133" s="234"/>
      <c r="I4133" s="63"/>
      <c r="J4133" s="190"/>
      <c r="K4133" s="208"/>
      <c r="L4133" s="7"/>
    </row>
    <row r="4134" spans="1:12">
      <c r="A4134" s="21"/>
      <c r="B4134" s="21"/>
      <c r="C4134" s="175"/>
      <c r="D4134" s="175"/>
      <c r="E4134" s="175"/>
      <c r="F4134" s="234"/>
      <c r="G4134" s="234"/>
      <c r="H4134" s="234"/>
      <c r="I4134" s="63"/>
      <c r="J4134" s="190"/>
      <c r="K4134" s="208"/>
      <c r="L4134" s="7"/>
    </row>
    <row r="4135" spans="1:12">
      <c r="A4135" s="21"/>
      <c r="B4135" s="21"/>
      <c r="C4135" s="175"/>
      <c r="D4135" s="175"/>
      <c r="E4135" s="175"/>
      <c r="F4135" s="234"/>
      <c r="G4135" s="234"/>
      <c r="H4135" s="234"/>
      <c r="I4135" s="63"/>
      <c r="J4135" s="190"/>
      <c r="K4135" s="208"/>
      <c r="L4135" s="7"/>
    </row>
    <row r="4136" spans="1:12">
      <c r="A4136" s="21"/>
      <c r="B4136" s="21"/>
      <c r="C4136" s="175"/>
      <c r="D4136" s="175"/>
      <c r="E4136" s="175"/>
      <c r="F4136" s="234"/>
      <c r="G4136" s="234"/>
      <c r="H4136" s="234"/>
      <c r="I4136" s="63"/>
      <c r="J4136" s="190"/>
      <c r="K4136" s="208"/>
      <c r="L4136" s="7"/>
    </row>
    <row r="4137" spans="1:12">
      <c r="A4137" s="36"/>
      <c r="B4137" s="37"/>
      <c r="C4137" s="179"/>
      <c r="D4137" s="179"/>
      <c r="E4137" s="179"/>
      <c r="F4137" s="235"/>
      <c r="G4137" s="235"/>
      <c r="H4137" s="235"/>
      <c r="I4137" s="79"/>
      <c r="J4137" s="185"/>
      <c r="K4137" s="216"/>
      <c r="L4137" s="7"/>
    </row>
    <row r="4138" spans="1:12">
      <c r="A4138" s="36"/>
      <c r="B4138" s="37"/>
      <c r="C4138" s="179"/>
      <c r="D4138" s="179"/>
      <c r="E4138" s="179"/>
      <c r="F4138" s="235"/>
      <c r="G4138" s="235"/>
      <c r="H4138" s="235"/>
      <c r="I4138" s="79"/>
      <c r="J4138" s="185"/>
      <c r="K4138" s="216"/>
      <c r="L4138" s="7"/>
    </row>
    <row r="4139" spans="1:12">
      <c r="A4139" s="36"/>
      <c r="B4139" s="37"/>
      <c r="C4139" s="179"/>
      <c r="D4139" s="179"/>
      <c r="E4139" s="179"/>
      <c r="F4139" s="235"/>
      <c r="G4139" s="235"/>
      <c r="H4139" s="235"/>
      <c r="I4139" s="79"/>
      <c r="J4139" s="185"/>
      <c r="K4139" s="216"/>
      <c r="L4139" s="7"/>
    </row>
    <row r="4140" spans="1:12">
      <c r="A4140" s="36"/>
      <c r="B4140" s="37"/>
      <c r="C4140" s="179"/>
      <c r="D4140" s="179"/>
      <c r="E4140" s="179"/>
      <c r="F4140" s="235"/>
      <c r="G4140" s="235"/>
      <c r="H4140" s="235"/>
      <c r="I4140" s="79"/>
      <c r="J4140" s="185"/>
      <c r="K4140" s="216"/>
      <c r="L4140" s="7"/>
    </row>
    <row r="4141" spans="1:12">
      <c r="A4141" s="36"/>
      <c r="B4141" s="37"/>
      <c r="C4141" s="179"/>
      <c r="D4141" s="179"/>
      <c r="E4141" s="179"/>
      <c r="F4141" s="235"/>
      <c r="G4141" s="235"/>
      <c r="H4141" s="235"/>
      <c r="I4141" s="79"/>
      <c r="J4141" s="185"/>
      <c r="K4141" s="216"/>
      <c r="L4141" s="7"/>
    </row>
    <row r="4142" spans="1:12">
      <c r="A4142" s="36"/>
      <c r="B4142" s="37"/>
      <c r="C4142" s="179"/>
      <c r="D4142" s="179"/>
      <c r="E4142" s="179"/>
      <c r="F4142" s="235"/>
      <c r="G4142" s="235"/>
      <c r="H4142" s="235"/>
      <c r="I4142" s="79"/>
      <c r="J4142" s="185"/>
      <c r="K4142" s="216"/>
      <c r="L4142" s="7"/>
    </row>
    <row r="4143" spans="1:12">
      <c r="A4143" s="36"/>
      <c r="B4143" s="37"/>
      <c r="C4143" s="179"/>
      <c r="D4143" s="179"/>
      <c r="E4143" s="179"/>
      <c r="F4143" s="235"/>
      <c r="G4143" s="235"/>
      <c r="H4143" s="235"/>
      <c r="I4143" s="79"/>
      <c r="J4143" s="185"/>
      <c r="K4143" s="216"/>
      <c r="L4143" s="7"/>
    </row>
    <row r="4144" spans="1:12">
      <c r="A4144" s="36"/>
      <c r="B4144" s="37"/>
      <c r="C4144" s="179"/>
      <c r="D4144" s="179"/>
      <c r="E4144" s="179"/>
      <c r="F4144" s="235"/>
      <c r="G4144" s="235"/>
      <c r="H4144" s="235"/>
      <c r="I4144" s="79"/>
      <c r="J4144" s="185"/>
      <c r="K4144" s="216"/>
      <c r="L4144" s="7"/>
    </row>
    <row r="4145" spans="1:12" s="6" customFormat="1">
      <c r="A4145" s="36"/>
      <c r="B4145" s="37"/>
      <c r="C4145" s="179"/>
      <c r="D4145" s="179"/>
      <c r="E4145" s="179"/>
      <c r="F4145" s="235"/>
      <c r="G4145" s="235"/>
      <c r="H4145" s="235"/>
      <c r="I4145" s="79"/>
      <c r="J4145" s="185"/>
      <c r="K4145" s="216"/>
      <c r="L4145" s="7"/>
    </row>
    <row r="4146" spans="1:12">
      <c r="A4146" s="36"/>
      <c r="B4146" s="37"/>
      <c r="C4146" s="179"/>
      <c r="D4146" s="179"/>
      <c r="E4146" s="179"/>
      <c r="F4146" s="235"/>
      <c r="G4146" s="235"/>
      <c r="H4146" s="235"/>
      <c r="I4146" s="79"/>
      <c r="J4146" s="185"/>
      <c r="K4146" s="216"/>
      <c r="L4146" s="7"/>
    </row>
    <row r="4147" spans="1:12">
      <c r="A4147" s="36"/>
      <c r="B4147" s="37"/>
      <c r="C4147" s="179"/>
      <c r="D4147" s="179"/>
      <c r="E4147" s="179"/>
      <c r="F4147" s="235"/>
      <c r="G4147" s="235"/>
      <c r="H4147" s="235"/>
      <c r="I4147" s="79"/>
      <c r="J4147" s="185"/>
      <c r="K4147" s="216"/>
      <c r="L4147" s="7"/>
    </row>
    <row r="4148" spans="1:12">
      <c r="A4148" s="36"/>
      <c r="B4148" s="37"/>
      <c r="C4148" s="179"/>
      <c r="D4148" s="179"/>
      <c r="E4148" s="179"/>
      <c r="F4148" s="235"/>
      <c r="G4148" s="235"/>
      <c r="H4148" s="235"/>
      <c r="I4148" s="79"/>
      <c r="J4148" s="185"/>
      <c r="K4148" s="216"/>
      <c r="L4148" s="7"/>
    </row>
    <row r="4149" spans="1:12">
      <c r="A4149" s="36"/>
      <c r="B4149" s="37"/>
      <c r="C4149" s="179"/>
      <c r="D4149" s="179"/>
      <c r="E4149" s="179"/>
      <c r="F4149" s="235"/>
      <c r="G4149" s="235"/>
      <c r="H4149" s="235"/>
      <c r="I4149" s="79"/>
      <c r="J4149" s="185"/>
      <c r="K4149" s="216"/>
      <c r="L4149" s="7"/>
    </row>
    <row r="4150" spans="1:12">
      <c r="A4150" s="36"/>
      <c r="B4150" s="37"/>
      <c r="C4150" s="179"/>
      <c r="D4150" s="179"/>
      <c r="E4150" s="179"/>
      <c r="F4150" s="235"/>
      <c r="G4150" s="235"/>
      <c r="H4150" s="235"/>
      <c r="I4150" s="79"/>
      <c r="J4150" s="185"/>
      <c r="K4150" s="216"/>
      <c r="L4150" s="7"/>
    </row>
    <row r="4151" spans="1:12">
      <c r="A4151" s="36"/>
      <c r="B4151" s="37"/>
      <c r="C4151" s="179"/>
      <c r="D4151" s="179"/>
      <c r="E4151" s="179"/>
      <c r="F4151" s="235"/>
      <c r="G4151" s="235"/>
      <c r="H4151" s="235"/>
      <c r="I4151" s="79"/>
      <c r="J4151" s="185"/>
      <c r="K4151" s="216"/>
      <c r="L4151" s="7"/>
    </row>
    <row r="4152" spans="1:12">
      <c r="A4152" s="36"/>
      <c r="B4152" s="37"/>
      <c r="C4152" s="179"/>
      <c r="D4152" s="179"/>
      <c r="E4152" s="179"/>
      <c r="F4152" s="235"/>
      <c r="G4152" s="235"/>
      <c r="H4152" s="235"/>
      <c r="I4152" s="79"/>
      <c r="J4152" s="185"/>
      <c r="K4152" s="216"/>
      <c r="L4152" s="7"/>
    </row>
    <row r="4153" spans="1:12">
      <c r="A4153" s="36"/>
      <c r="B4153" s="37"/>
      <c r="C4153" s="179"/>
      <c r="D4153" s="179"/>
      <c r="E4153" s="179"/>
      <c r="F4153" s="235"/>
      <c r="G4153" s="235"/>
      <c r="H4153" s="235"/>
      <c r="I4153" s="79"/>
      <c r="J4153" s="185"/>
      <c r="K4153" s="216"/>
      <c r="L4153" s="7"/>
    </row>
    <row r="4154" spans="1:12">
      <c r="A4154" s="36"/>
      <c r="B4154" s="37"/>
      <c r="C4154" s="179"/>
      <c r="D4154" s="179"/>
      <c r="E4154" s="179"/>
      <c r="F4154" s="235"/>
      <c r="G4154" s="235"/>
      <c r="H4154" s="235"/>
      <c r="I4154" s="79"/>
      <c r="J4154" s="185"/>
      <c r="K4154" s="216"/>
      <c r="L4154" s="7"/>
    </row>
    <row r="4155" spans="1:12">
      <c r="A4155" s="36"/>
      <c r="B4155" s="37"/>
      <c r="C4155" s="179"/>
      <c r="D4155" s="179"/>
      <c r="E4155" s="179"/>
      <c r="F4155" s="235"/>
      <c r="G4155" s="235"/>
      <c r="H4155" s="235"/>
      <c r="I4155" s="79"/>
      <c r="J4155" s="185"/>
      <c r="K4155" s="216"/>
      <c r="L4155" s="7"/>
    </row>
    <row r="4156" spans="1:12" ht="15.6" customHeight="1">
      <c r="A4156" s="36"/>
      <c r="B4156" s="37"/>
      <c r="C4156" s="179"/>
      <c r="D4156" s="179"/>
      <c r="E4156" s="179"/>
      <c r="F4156" s="235"/>
      <c r="G4156" s="235"/>
      <c r="H4156" s="235"/>
      <c r="I4156" s="79"/>
      <c r="J4156" s="185"/>
      <c r="K4156" s="216"/>
      <c r="L4156" s="7"/>
    </row>
    <row r="4157" spans="1:12" ht="15.6" customHeight="1">
      <c r="A4157" s="36"/>
      <c r="B4157" s="37"/>
      <c r="C4157" s="179"/>
      <c r="D4157" s="179"/>
      <c r="E4157" s="179"/>
      <c r="F4157" s="235"/>
      <c r="G4157" s="235"/>
      <c r="H4157" s="235"/>
      <c r="I4157" s="79"/>
      <c r="J4157" s="185"/>
      <c r="K4157" s="216"/>
      <c r="L4157" s="7"/>
    </row>
    <row r="4158" spans="1:12">
      <c r="A4158" s="38"/>
      <c r="B4158" s="39"/>
      <c r="C4158" s="179"/>
      <c r="D4158" s="179"/>
      <c r="E4158" s="179"/>
      <c r="F4158" s="235"/>
      <c r="G4158" s="235"/>
      <c r="H4158" s="235"/>
      <c r="I4158" s="80"/>
      <c r="J4158" s="185"/>
      <c r="K4158" s="217"/>
      <c r="L4158" s="7"/>
    </row>
    <row r="4159" spans="1:12">
      <c r="A4159" s="40"/>
      <c r="B4159" s="41"/>
      <c r="C4159" s="179"/>
      <c r="D4159" s="179"/>
      <c r="E4159" s="179"/>
      <c r="F4159" s="235"/>
      <c r="G4159" s="235"/>
      <c r="H4159" s="235"/>
      <c r="I4159" s="81"/>
      <c r="J4159" s="185"/>
      <c r="K4159" s="218"/>
      <c r="L4159" s="7"/>
    </row>
    <row r="4160" spans="1:12">
      <c r="A4160" s="21"/>
      <c r="B4160" s="21"/>
      <c r="C4160" s="175"/>
      <c r="D4160" s="175"/>
      <c r="E4160" s="175"/>
      <c r="F4160" s="234"/>
      <c r="G4160" s="234"/>
      <c r="H4160" s="234"/>
      <c r="I4160" s="63"/>
      <c r="J4160" s="190"/>
      <c r="K4160" s="208"/>
      <c r="L4160" s="7"/>
    </row>
    <row r="4161" spans="1:12">
      <c r="A4161" s="36"/>
      <c r="B4161" s="37"/>
      <c r="C4161" s="179"/>
      <c r="D4161" s="179"/>
      <c r="E4161" s="179"/>
      <c r="F4161" s="235"/>
      <c r="G4161" s="235"/>
      <c r="H4161" s="235"/>
      <c r="I4161" s="79"/>
      <c r="J4161" s="185"/>
      <c r="K4161" s="216"/>
      <c r="L4161" s="7"/>
    </row>
    <row r="4162" spans="1:12" s="6" customFormat="1">
      <c r="A4162" s="36"/>
      <c r="B4162" s="37"/>
      <c r="C4162" s="179"/>
      <c r="D4162" s="179"/>
      <c r="E4162" s="179"/>
      <c r="F4162" s="235"/>
      <c r="G4162" s="235"/>
      <c r="H4162" s="235"/>
      <c r="I4162" s="79"/>
      <c r="J4162" s="185"/>
      <c r="K4162" s="216"/>
      <c r="L4162" s="7"/>
    </row>
    <row r="4163" spans="1:12">
      <c r="A4163" s="36"/>
      <c r="B4163" s="37"/>
      <c r="C4163" s="179"/>
      <c r="D4163" s="179"/>
      <c r="E4163" s="179"/>
      <c r="F4163" s="235"/>
      <c r="G4163" s="235"/>
      <c r="H4163" s="235"/>
      <c r="I4163" s="79"/>
      <c r="J4163" s="185"/>
      <c r="K4163" s="216"/>
      <c r="L4163" s="7"/>
    </row>
    <row r="4164" spans="1:12">
      <c r="A4164" s="36"/>
      <c r="B4164" s="37"/>
      <c r="C4164" s="179"/>
      <c r="D4164" s="179"/>
      <c r="E4164" s="179"/>
      <c r="F4164" s="235"/>
      <c r="G4164" s="235"/>
      <c r="H4164" s="235"/>
      <c r="I4164" s="79"/>
      <c r="J4164" s="185"/>
      <c r="K4164" s="216"/>
      <c r="L4164" s="7"/>
    </row>
    <row r="4165" spans="1:12">
      <c r="A4165" s="36"/>
      <c r="B4165" s="37"/>
      <c r="C4165" s="179"/>
      <c r="D4165" s="179"/>
      <c r="E4165" s="179"/>
      <c r="F4165" s="235"/>
      <c r="G4165" s="235"/>
      <c r="H4165" s="235"/>
      <c r="I4165" s="79"/>
      <c r="J4165" s="185"/>
      <c r="K4165" s="216"/>
      <c r="L4165" s="7"/>
    </row>
    <row r="4166" spans="1:12">
      <c r="A4166" s="36"/>
      <c r="B4166" s="37"/>
      <c r="C4166" s="179"/>
      <c r="D4166" s="179"/>
      <c r="E4166" s="179"/>
      <c r="F4166" s="235"/>
      <c r="G4166" s="235"/>
      <c r="H4166" s="235"/>
      <c r="I4166" s="79"/>
      <c r="J4166" s="185"/>
      <c r="K4166" s="216"/>
      <c r="L4166" s="7"/>
    </row>
    <row r="4167" spans="1:12">
      <c r="A4167" s="36"/>
      <c r="B4167" s="37"/>
      <c r="C4167" s="179"/>
      <c r="D4167" s="179"/>
      <c r="E4167" s="179"/>
      <c r="F4167" s="235"/>
      <c r="G4167" s="235"/>
      <c r="H4167" s="235"/>
      <c r="I4167" s="79"/>
      <c r="J4167" s="185"/>
      <c r="K4167" s="216"/>
      <c r="L4167" s="7"/>
    </row>
    <row r="4168" spans="1:12">
      <c r="A4168" s="36"/>
      <c r="B4168" s="37"/>
      <c r="C4168" s="179"/>
      <c r="D4168" s="179"/>
      <c r="E4168" s="179"/>
      <c r="F4168" s="235"/>
      <c r="G4168" s="235"/>
      <c r="H4168" s="235"/>
      <c r="I4168" s="79"/>
      <c r="J4168" s="185"/>
      <c r="K4168" s="216"/>
      <c r="L4168" s="7"/>
    </row>
    <row r="4169" spans="1:12">
      <c r="A4169" s="36"/>
      <c r="B4169" s="37"/>
      <c r="C4169" s="179"/>
      <c r="D4169" s="179"/>
      <c r="E4169" s="179"/>
      <c r="F4169" s="235"/>
      <c r="G4169" s="235"/>
      <c r="H4169" s="235"/>
      <c r="I4169" s="79"/>
      <c r="J4169" s="185"/>
      <c r="K4169" s="216"/>
      <c r="L4169" s="7"/>
    </row>
    <row r="4170" spans="1:12">
      <c r="A4170" s="36"/>
      <c r="B4170" s="37"/>
      <c r="C4170" s="179"/>
      <c r="D4170" s="179"/>
      <c r="E4170" s="179"/>
      <c r="F4170" s="235"/>
      <c r="G4170" s="235"/>
      <c r="H4170" s="235"/>
      <c r="I4170" s="79"/>
      <c r="J4170" s="185"/>
      <c r="K4170" s="216"/>
      <c r="L4170" s="7"/>
    </row>
    <row r="4171" spans="1:12">
      <c r="A4171" s="36"/>
      <c r="B4171" s="37"/>
      <c r="C4171" s="179"/>
      <c r="D4171" s="179"/>
      <c r="E4171" s="179"/>
      <c r="F4171" s="235"/>
      <c r="G4171" s="235"/>
      <c r="H4171" s="235"/>
      <c r="I4171" s="79"/>
      <c r="J4171" s="185"/>
      <c r="K4171" s="216"/>
      <c r="L4171" s="7"/>
    </row>
    <row r="4172" spans="1:12">
      <c r="A4172" s="36"/>
      <c r="B4172" s="37"/>
      <c r="C4172" s="179"/>
      <c r="D4172" s="179"/>
      <c r="E4172" s="179"/>
      <c r="F4172" s="235"/>
      <c r="G4172" s="235"/>
      <c r="H4172" s="235"/>
      <c r="I4172" s="79"/>
      <c r="J4172" s="185"/>
      <c r="K4172" s="216"/>
      <c r="L4172" s="7"/>
    </row>
    <row r="4173" spans="1:12">
      <c r="A4173" s="36"/>
      <c r="B4173" s="37"/>
      <c r="C4173" s="179"/>
      <c r="D4173" s="179"/>
      <c r="E4173" s="179"/>
      <c r="F4173" s="235"/>
      <c r="G4173" s="235"/>
      <c r="H4173" s="235"/>
      <c r="I4173" s="79"/>
      <c r="J4173" s="185"/>
      <c r="K4173" s="216"/>
      <c r="L4173" s="7"/>
    </row>
    <row r="4174" spans="1:12">
      <c r="A4174" s="21"/>
      <c r="B4174" s="21"/>
      <c r="C4174" s="175"/>
      <c r="D4174" s="175"/>
      <c r="E4174" s="175"/>
      <c r="F4174" s="234"/>
      <c r="G4174" s="234"/>
      <c r="H4174" s="234"/>
      <c r="I4174" s="63"/>
      <c r="J4174" s="190"/>
      <c r="K4174" s="208"/>
      <c r="L4174" s="7"/>
    </row>
    <row r="4175" spans="1:12">
      <c r="A4175" s="21"/>
      <c r="B4175" s="21"/>
      <c r="C4175" s="175"/>
      <c r="D4175" s="175"/>
      <c r="E4175" s="175"/>
      <c r="F4175" s="234"/>
      <c r="G4175" s="234"/>
      <c r="H4175" s="234"/>
      <c r="I4175" s="63"/>
      <c r="J4175" s="190"/>
      <c r="K4175" s="208"/>
      <c r="L4175" s="7"/>
    </row>
    <row r="4176" spans="1:12">
      <c r="A4176" s="21"/>
      <c r="B4176" s="21"/>
      <c r="C4176" s="175"/>
      <c r="D4176" s="175"/>
      <c r="E4176" s="175"/>
      <c r="F4176" s="234"/>
      <c r="G4176" s="234"/>
      <c r="H4176" s="234"/>
      <c r="I4176" s="63"/>
      <c r="J4176" s="190"/>
      <c r="K4176" s="208"/>
      <c r="L4176" s="7"/>
    </row>
    <row r="4177" spans="1:12">
      <c r="A4177" s="21"/>
      <c r="B4177" s="21"/>
      <c r="C4177" s="175"/>
      <c r="D4177" s="175"/>
      <c r="E4177" s="175"/>
      <c r="F4177" s="234"/>
      <c r="G4177" s="234"/>
      <c r="H4177" s="234"/>
      <c r="I4177" s="63"/>
      <c r="J4177" s="190"/>
      <c r="K4177" s="208"/>
      <c r="L4177" s="7"/>
    </row>
    <row r="4178" spans="1:12">
      <c r="A4178" s="21"/>
      <c r="B4178" s="21"/>
      <c r="C4178" s="175"/>
      <c r="D4178" s="175"/>
      <c r="E4178" s="175"/>
      <c r="F4178" s="234"/>
      <c r="G4178" s="234"/>
      <c r="H4178" s="234"/>
      <c r="I4178" s="63"/>
      <c r="J4178" s="190"/>
      <c r="K4178" s="208"/>
      <c r="L4178" s="7"/>
    </row>
    <row r="4179" spans="1:12">
      <c r="A4179" s="36"/>
      <c r="B4179" s="37"/>
      <c r="C4179" s="179"/>
      <c r="D4179" s="179"/>
      <c r="E4179" s="179"/>
      <c r="F4179" s="235"/>
      <c r="G4179" s="235"/>
      <c r="H4179" s="235"/>
      <c r="I4179" s="79"/>
      <c r="J4179" s="185"/>
      <c r="K4179" s="216"/>
      <c r="L4179" s="7"/>
    </row>
    <row r="4180" spans="1:12">
      <c r="A4180" s="36"/>
      <c r="B4180" s="37"/>
      <c r="C4180" s="179"/>
      <c r="D4180" s="179"/>
      <c r="E4180" s="179"/>
      <c r="F4180" s="235"/>
      <c r="G4180" s="235"/>
      <c r="H4180" s="235"/>
      <c r="I4180" s="79"/>
      <c r="J4180" s="185"/>
      <c r="K4180" s="216"/>
      <c r="L4180" s="7"/>
    </row>
    <row r="4181" spans="1:12">
      <c r="A4181" s="36"/>
      <c r="B4181" s="37"/>
      <c r="C4181" s="179"/>
      <c r="D4181" s="179"/>
      <c r="E4181" s="179"/>
      <c r="F4181" s="235"/>
      <c r="G4181" s="235"/>
      <c r="H4181" s="235"/>
      <c r="I4181" s="79"/>
      <c r="J4181" s="185"/>
      <c r="K4181" s="216"/>
      <c r="L4181" s="7"/>
    </row>
    <row r="4182" spans="1:12">
      <c r="A4182" s="36"/>
      <c r="B4182" s="37"/>
      <c r="C4182" s="179"/>
      <c r="D4182" s="179"/>
      <c r="E4182" s="179"/>
      <c r="F4182" s="235"/>
      <c r="G4182" s="235"/>
      <c r="H4182" s="235"/>
      <c r="I4182" s="79"/>
      <c r="J4182" s="185"/>
      <c r="K4182" s="216"/>
      <c r="L4182" s="7"/>
    </row>
    <row r="4183" spans="1:12" s="6" customFormat="1">
      <c r="A4183" s="36"/>
      <c r="B4183" s="37"/>
      <c r="C4183" s="179"/>
      <c r="D4183" s="179"/>
      <c r="E4183" s="179"/>
      <c r="F4183" s="235"/>
      <c r="G4183" s="235"/>
      <c r="H4183" s="235"/>
      <c r="I4183" s="79"/>
      <c r="J4183" s="185"/>
      <c r="K4183" s="216"/>
      <c r="L4183" s="7"/>
    </row>
    <row r="4184" spans="1:12">
      <c r="A4184" s="36"/>
      <c r="B4184" s="37"/>
      <c r="C4184" s="179"/>
      <c r="D4184" s="179"/>
      <c r="E4184" s="179"/>
      <c r="F4184" s="235"/>
      <c r="G4184" s="235"/>
      <c r="H4184" s="235"/>
      <c r="I4184" s="79"/>
      <c r="J4184" s="185"/>
      <c r="K4184" s="216"/>
      <c r="L4184" s="7"/>
    </row>
    <row r="4185" spans="1:12">
      <c r="A4185" s="36"/>
      <c r="B4185" s="37"/>
      <c r="C4185" s="179"/>
      <c r="D4185" s="179"/>
      <c r="E4185" s="179"/>
      <c r="F4185" s="235"/>
      <c r="G4185" s="235"/>
      <c r="H4185" s="235"/>
      <c r="I4185" s="79"/>
      <c r="J4185" s="185"/>
      <c r="K4185" s="216"/>
      <c r="L4185" s="7"/>
    </row>
    <row r="4186" spans="1:12">
      <c r="A4186" s="36"/>
      <c r="B4186" s="37"/>
      <c r="C4186" s="179"/>
      <c r="D4186" s="179"/>
      <c r="E4186" s="179"/>
      <c r="F4186" s="235"/>
      <c r="G4186" s="235"/>
      <c r="H4186" s="235"/>
      <c r="I4186" s="79"/>
      <c r="J4186" s="185"/>
      <c r="K4186" s="216"/>
      <c r="L4186" s="7"/>
    </row>
    <row r="4187" spans="1:12">
      <c r="A4187" s="36"/>
      <c r="B4187" s="37"/>
      <c r="C4187" s="179"/>
      <c r="D4187" s="179"/>
      <c r="E4187" s="179"/>
      <c r="F4187" s="235"/>
      <c r="G4187" s="235"/>
      <c r="H4187" s="235"/>
      <c r="I4187" s="79"/>
      <c r="J4187" s="185"/>
      <c r="K4187" s="216"/>
      <c r="L4187" s="7"/>
    </row>
    <row r="4188" spans="1:12">
      <c r="A4188" s="36"/>
      <c r="B4188" s="37"/>
      <c r="C4188" s="179"/>
      <c r="D4188" s="179"/>
      <c r="E4188" s="179"/>
      <c r="F4188" s="235"/>
      <c r="G4188" s="235"/>
      <c r="H4188" s="235"/>
      <c r="I4188" s="79"/>
      <c r="J4188" s="185"/>
      <c r="K4188" s="216"/>
      <c r="L4188" s="7"/>
    </row>
    <row r="4189" spans="1:12">
      <c r="A4189" s="36"/>
      <c r="B4189" s="37"/>
      <c r="C4189" s="179"/>
      <c r="D4189" s="179"/>
      <c r="E4189" s="179"/>
      <c r="F4189" s="235"/>
      <c r="G4189" s="235"/>
      <c r="H4189" s="235"/>
      <c r="I4189" s="79"/>
      <c r="J4189" s="185"/>
      <c r="K4189" s="216"/>
      <c r="L4189" s="7"/>
    </row>
    <row r="4190" spans="1:12">
      <c r="A4190" s="36"/>
      <c r="B4190" s="37"/>
      <c r="C4190" s="179"/>
      <c r="D4190" s="179"/>
      <c r="E4190" s="179"/>
      <c r="F4190" s="235"/>
      <c r="G4190" s="235"/>
      <c r="H4190" s="235"/>
      <c r="I4190" s="79"/>
      <c r="J4190" s="185"/>
      <c r="K4190" s="216"/>
      <c r="L4190" s="7"/>
    </row>
    <row r="4191" spans="1:12">
      <c r="A4191" s="36"/>
      <c r="B4191" s="37"/>
      <c r="C4191" s="179"/>
      <c r="D4191" s="179"/>
      <c r="E4191" s="179"/>
      <c r="F4191" s="235"/>
      <c r="G4191" s="235"/>
      <c r="H4191" s="235"/>
      <c r="I4191" s="79"/>
      <c r="J4191" s="185"/>
      <c r="K4191" s="216"/>
      <c r="L4191" s="7"/>
    </row>
    <row r="4192" spans="1:12">
      <c r="A4192" s="36"/>
      <c r="B4192" s="37"/>
      <c r="C4192" s="179"/>
      <c r="D4192" s="179"/>
      <c r="E4192" s="179"/>
      <c r="F4192" s="235"/>
      <c r="G4192" s="235"/>
      <c r="H4192" s="235"/>
      <c r="I4192" s="79"/>
      <c r="J4192" s="185"/>
      <c r="K4192" s="216"/>
      <c r="L4192" s="7"/>
    </row>
    <row r="4193" spans="1:12">
      <c r="A4193" s="36"/>
      <c r="B4193" s="37"/>
      <c r="C4193" s="179"/>
      <c r="D4193" s="179"/>
      <c r="E4193" s="179"/>
      <c r="F4193" s="235"/>
      <c r="G4193" s="235"/>
      <c r="H4193" s="235"/>
      <c r="I4193" s="79"/>
      <c r="J4193" s="185"/>
      <c r="K4193" s="216"/>
      <c r="L4193" s="7"/>
    </row>
    <row r="4194" spans="1:12">
      <c r="A4194" s="36"/>
      <c r="B4194" s="37"/>
      <c r="C4194" s="179"/>
      <c r="D4194" s="179"/>
      <c r="E4194" s="179"/>
      <c r="F4194" s="235"/>
      <c r="G4194" s="235"/>
      <c r="H4194" s="235"/>
      <c r="I4194" s="79"/>
      <c r="J4194" s="185"/>
      <c r="K4194" s="216"/>
      <c r="L4194" s="7"/>
    </row>
    <row r="4195" spans="1:12">
      <c r="A4195" s="36"/>
      <c r="B4195" s="37"/>
      <c r="C4195" s="179"/>
      <c r="D4195" s="179"/>
      <c r="E4195" s="179"/>
      <c r="F4195" s="235"/>
      <c r="G4195" s="235"/>
      <c r="H4195" s="235"/>
      <c r="I4195" s="79"/>
      <c r="J4195" s="185"/>
      <c r="K4195" s="216"/>
      <c r="L4195" s="7"/>
    </row>
    <row r="4196" spans="1:12">
      <c r="A4196" s="36"/>
      <c r="B4196" s="37"/>
      <c r="C4196" s="179"/>
      <c r="D4196" s="179"/>
      <c r="E4196" s="179"/>
      <c r="F4196" s="235"/>
      <c r="G4196" s="235"/>
      <c r="H4196" s="235"/>
      <c r="I4196" s="79"/>
      <c r="J4196" s="185"/>
      <c r="K4196" s="216"/>
      <c r="L4196" s="7"/>
    </row>
    <row r="4197" spans="1:12">
      <c r="A4197" s="36"/>
      <c r="B4197" s="37"/>
      <c r="C4197" s="179"/>
      <c r="D4197" s="179"/>
      <c r="E4197" s="179"/>
      <c r="F4197" s="235"/>
      <c r="G4197" s="235"/>
      <c r="H4197" s="235"/>
      <c r="I4197" s="79"/>
      <c r="J4197" s="185"/>
      <c r="K4197" s="216"/>
      <c r="L4197" s="7"/>
    </row>
    <row r="4198" spans="1:12">
      <c r="A4198" s="36"/>
      <c r="B4198" s="37"/>
      <c r="C4198" s="179"/>
      <c r="D4198" s="179"/>
      <c r="E4198" s="179"/>
      <c r="F4198" s="235"/>
      <c r="G4198" s="235"/>
      <c r="H4198" s="235"/>
      <c r="I4198" s="79"/>
      <c r="J4198" s="185"/>
      <c r="K4198" s="216"/>
      <c r="L4198" s="7"/>
    </row>
    <row r="4199" spans="1:12">
      <c r="A4199" s="36"/>
      <c r="B4199" s="37"/>
      <c r="C4199" s="179"/>
      <c r="D4199" s="179"/>
      <c r="E4199" s="179"/>
      <c r="F4199" s="235"/>
      <c r="G4199" s="235"/>
      <c r="H4199" s="235"/>
      <c r="I4199" s="79"/>
      <c r="J4199" s="185"/>
      <c r="K4199" s="216"/>
      <c r="L4199" s="7"/>
    </row>
    <row r="4200" spans="1:12" s="6" customFormat="1">
      <c r="A4200" s="36"/>
      <c r="B4200" s="37"/>
      <c r="C4200" s="179"/>
      <c r="D4200" s="179"/>
      <c r="E4200" s="179"/>
      <c r="F4200" s="235"/>
      <c r="G4200" s="235"/>
      <c r="H4200" s="235"/>
      <c r="I4200" s="79"/>
      <c r="J4200" s="185"/>
      <c r="K4200" s="216"/>
      <c r="L4200" s="7"/>
    </row>
    <row r="4201" spans="1:12">
      <c r="A4201" s="21"/>
      <c r="B4201" s="21"/>
      <c r="C4201" s="175"/>
      <c r="D4201" s="175"/>
      <c r="E4201" s="175"/>
      <c r="F4201" s="234"/>
      <c r="G4201" s="234"/>
      <c r="H4201" s="234"/>
      <c r="I4201" s="63"/>
      <c r="J4201" s="190"/>
      <c r="K4201" s="208"/>
      <c r="L4201" s="7"/>
    </row>
    <row r="4202" spans="1:12">
      <c r="A4202" s="36"/>
      <c r="B4202" s="37"/>
      <c r="C4202" s="179"/>
      <c r="D4202" s="179"/>
      <c r="E4202" s="179"/>
      <c r="F4202" s="235"/>
      <c r="G4202" s="235"/>
      <c r="H4202" s="235"/>
      <c r="I4202" s="79"/>
      <c r="J4202" s="185"/>
      <c r="K4202" s="216"/>
      <c r="L4202" s="7"/>
    </row>
    <row r="4203" spans="1:12">
      <c r="A4203" s="36"/>
      <c r="B4203" s="37"/>
      <c r="C4203" s="179"/>
      <c r="D4203" s="179"/>
      <c r="E4203" s="179"/>
      <c r="F4203" s="235"/>
      <c r="G4203" s="235"/>
      <c r="H4203" s="235"/>
      <c r="I4203" s="79"/>
      <c r="J4203" s="185"/>
      <c r="K4203" s="216"/>
      <c r="L4203" s="7"/>
    </row>
    <row r="4204" spans="1:12">
      <c r="A4204" s="36"/>
      <c r="B4204" s="37"/>
      <c r="C4204" s="179"/>
      <c r="D4204" s="179"/>
      <c r="E4204" s="179"/>
      <c r="F4204" s="235"/>
      <c r="G4204" s="235"/>
      <c r="H4204" s="235"/>
      <c r="I4204" s="79"/>
      <c r="J4204" s="185"/>
      <c r="K4204" s="216"/>
      <c r="L4204" s="7"/>
    </row>
    <row r="4205" spans="1:12">
      <c r="A4205" s="36"/>
      <c r="B4205" s="37"/>
      <c r="C4205" s="179"/>
      <c r="D4205" s="179"/>
      <c r="E4205" s="179"/>
      <c r="F4205" s="235"/>
      <c r="G4205" s="235"/>
      <c r="H4205" s="235"/>
      <c r="I4205" s="79"/>
      <c r="J4205" s="185"/>
      <c r="K4205" s="216"/>
      <c r="L4205" s="7"/>
    </row>
    <row r="4206" spans="1:12">
      <c r="A4206" s="36"/>
      <c r="B4206" s="37"/>
      <c r="C4206" s="179"/>
      <c r="D4206" s="179"/>
      <c r="E4206" s="179"/>
      <c r="F4206" s="235"/>
      <c r="G4206" s="235"/>
      <c r="H4206" s="235"/>
      <c r="I4206" s="79"/>
      <c r="J4206" s="185"/>
      <c r="K4206" s="216"/>
      <c r="L4206" s="7"/>
    </row>
    <row r="4207" spans="1:12">
      <c r="A4207" s="36"/>
      <c r="B4207" s="37"/>
      <c r="C4207" s="179"/>
      <c r="D4207" s="179"/>
      <c r="E4207" s="179"/>
      <c r="F4207" s="235"/>
      <c r="G4207" s="235"/>
      <c r="H4207" s="235"/>
      <c r="I4207" s="79"/>
      <c r="J4207" s="185"/>
      <c r="K4207" s="216"/>
      <c r="L4207" s="7"/>
    </row>
    <row r="4208" spans="1:12">
      <c r="A4208" s="36"/>
      <c r="B4208" s="37"/>
      <c r="C4208" s="179"/>
      <c r="D4208" s="179"/>
      <c r="E4208" s="179"/>
      <c r="F4208" s="235"/>
      <c r="G4208" s="235"/>
      <c r="H4208" s="235"/>
      <c r="I4208" s="79"/>
      <c r="J4208" s="185"/>
      <c r="K4208" s="216"/>
      <c r="L4208" s="7"/>
    </row>
    <row r="4209" spans="1:12">
      <c r="A4209" s="36"/>
      <c r="B4209" s="37"/>
      <c r="C4209" s="179"/>
      <c r="D4209" s="179"/>
      <c r="E4209" s="179"/>
      <c r="F4209" s="235"/>
      <c r="G4209" s="235"/>
      <c r="H4209" s="235"/>
      <c r="I4209" s="79"/>
      <c r="J4209" s="185"/>
      <c r="K4209" s="216"/>
      <c r="L4209" s="7"/>
    </row>
    <row r="4210" spans="1:12">
      <c r="A4210" s="36"/>
      <c r="B4210" s="37"/>
      <c r="C4210" s="179"/>
      <c r="D4210" s="179"/>
      <c r="E4210" s="179"/>
      <c r="F4210" s="235"/>
      <c r="G4210" s="235"/>
      <c r="H4210" s="235"/>
      <c r="I4210" s="79"/>
      <c r="J4210" s="185"/>
      <c r="K4210" s="216"/>
      <c r="L4210" s="7"/>
    </row>
    <row r="4211" spans="1:12">
      <c r="A4211" s="36"/>
      <c r="B4211" s="37"/>
      <c r="C4211" s="179"/>
      <c r="D4211" s="179"/>
      <c r="E4211" s="179"/>
      <c r="F4211" s="235"/>
      <c r="G4211" s="235"/>
      <c r="H4211" s="235"/>
      <c r="I4211" s="79"/>
      <c r="J4211" s="185"/>
      <c r="K4211" s="216"/>
      <c r="L4211" s="7"/>
    </row>
    <row r="4212" spans="1:12">
      <c r="A4212" s="36"/>
      <c r="B4212" s="37"/>
      <c r="C4212" s="179"/>
      <c r="D4212" s="179"/>
      <c r="E4212" s="179"/>
      <c r="F4212" s="235"/>
      <c r="G4212" s="235"/>
      <c r="H4212" s="235"/>
      <c r="I4212" s="79"/>
      <c r="J4212" s="185"/>
      <c r="K4212" s="216"/>
      <c r="L4212" s="7"/>
    </row>
    <row r="4213" spans="1:12">
      <c r="A4213" s="36"/>
      <c r="B4213" s="37"/>
      <c r="C4213" s="179"/>
      <c r="D4213" s="179"/>
      <c r="E4213" s="179"/>
      <c r="F4213" s="235"/>
      <c r="G4213" s="235"/>
      <c r="H4213" s="235"/>
      <c r="I4213" s="79"/>
      <c r="J4213" s="185"/>
      <c r="K4213" s="216"/>
      <c r="L4213" s="7"/>
    </row>
    <row r="4214" spans="1:12">
      <c r="A4214" s="36"/>
      <c r="B4214" s="37"/>
      <c r="C4214" s="179"/>
      <c r="D4214" s="179"/>
      <c r="E4214" s="179"/>
      <c r="F4214" s="235"/>
      <c r="G4214" s="235"/>
      <c r="H4214" s="235"/>
      <c r="I4214" s="79"/>
      <c r="J4214" s="185"/>
      <c r="K4214" s="216"/>
      <c r="L4214" s="7"/>
    </row>
    <row r="4215" spans="1:12">
      <c r="A4215" s="36"/>
      <c r="B4215" s="37"/>
      <c r="C4215" s="179"/>
      <c r="D4215" s="179"/>
      <c r="E4215" s="179"/>
      <c r="F4215" s="235"/>
      <c r="G4215" s="235"/>
      <c r="H4215" s="235"/>
      <c r="I4215" s="79"/>
      <c r="J4215" s="185"/>
      <c r="K4215" s="216"/>
      <c r="L4215" s="7"/>
    </row>
    <row r="4216" spans="1:12">
      <c r="A4216" s="21"/>
      <c r="B4216" s="21"/>
      <c r="C4216" s="175"/>
      <c r="D4216" s="175"/>
      <c r="E4216" s="175"/>
      <c r="F4216" s="234"/>
      <c r="G4216" s="234"/>
      <c r="H4216" s="234"/>
      <c r="I4216" s="63"/>
      <c r="J4216" s="190"/>
      <c r="K4216" s="208"/>
      <c r="L4216" s="7"/>
    </row>
    <row r="4217" spans="1:12">
      <c r="A4217" s="21"/>
      <c r="B4217" s="21"/>
      <c r="C4217" s="175"/>
      <c r="D4217" s="175"/>
      <c r="E4217" s="175"/>
      <c r="F4217" s="234"/>
      <c r="G4217" s="234"/>
      <c r="H4217" s="234"/>
      <c r="I4217" s="63"/>
      <c r="J4217" s="190"/>
      <c r="K4217" s="208"/>
      <c r="L4217" s="7"/>
    </row>
    <row r="4218" spans="1:12">
      <c r="A4218" s="36"/>
      <c r="B4218" s="37"/>
      <c r="C4218" s="179"/>
      <c r="D4218" s="179"/>
      <c r="E4218" s="179"/>
      <c r="F4218" s="235"/>
      <c r="G4218" s="235"/>
      <c r="H4218" s="235"/>
      <c r="I4218" s="79"/>
      <c r="J4218" s="185"/>
      <c r="K4218" s="216"/>
      <c r="L4218" s="7"/>
    </row>
    <row r="4219" spans="1:12" s="6" customFormat="1">
      <c r="A4219" s="21"/>
      <c r="B4219" s="21"/>
      <c r="C4219" s="175"/>
      <c r="D4219" s="175"/>
      <c r="E4219" s="175"/>
      <c r="F4219" s="234"/>
      <c r="G4219" s="234"/>
      <c r="H4219" s="234"/>
      <c r="I4219" s="63"/>
      <c r="J4219" s="190"/>
      <c r="K4219" s="208"/>
      <c r="L4219" s="7"/>
    </row>
    <row r="4220" spans="1:12">
      <c r="A4220" s="21"/>
      <c r="B4220" s="21"/>
      <c r="C4220" s="175"/>
      <c r="D4220" s="175"/>
      <c r="E4220" s="175"/>
      <c r="F4220" s="234"/>
      <c r="G4220" s="234"/>
      <c r="H4220" s="234"/>
      <c r="I4220" s="63"/>
      <c r="J4220" s="190"/>
      <c r="K4220" s="208"/>
      <c r="L4220" s="7"/>
    </row>
    <row r="4221" spans="1:12">
      <c r="A4221" s="21"/>
      <c r="B4221" s="21"/>
      <c r="C4221" s="175"/>
      <c r="D4221" s="175"/>
      <c r="E4221" s="175"/>
      <c r="F4221" s="234"/>
      <c r="G4221" s="234"/>
      <c r="H4221" s="234"/>
      <c r="I4221" s="63"/>
      <c r="J4221" s="190"/>
      <c r="K4221" s="208"/>
      <c r="L4221" s="7"/>
    </row>
    <row r="4222" spans="1:12">
      <c r="A4222" s="36"/>
      <c r="B4222" s="37"/>
      <c r="C4222" s="179"/>
      <c r="D4222" s="179"/>
      <c r="E4222" s="179"/>
      <c r="F4222" s="235"/>
      <c r="G4222" s="235"/>
      <c r="H4222" s="235"/>
      <c r="I4222" s="79"/>
      <c r="J4222" s="185"/>
      <c r="K4222" s="216"/>
      <c r="L4222" s="7"/>
    </row>
    <row r="4223" spans="1:12">
      <c r="A4223" s="36"/>
      <c r="B4223" s="37"/>
      <c r="C4223" s="179"/>
      <c r="D4223" s="179"/>
      <c r="E4223" s="179"/>
      <c r="F4223" s="235"/>
      <c r="G4223" s="235"/>
      <c r="H4223" s="235"/>
      <c r="I4223" s="79"/>
      <c r="J4223" s="185"/>
      <c r="K4223" s="216"/>
      <c r="L4223" s="7"/>
    </row>
    <row r="4224" spans="1:12">
      <c r="A4224" s="36"/>
      <c r="B4224" s="37"/>
      <c r="C4224" s="179"/>
      <c r="D4224" s="179"/>
      <c r="E4224" s="179"/>
      <c r="F4224" s="235"/>
      <c r="G4224" s="235"/>
      <c r="H4224" s="235"/>
      <c r="I4224" s="79"/>
      <c r="J4224" s="185"/>
      <c r="K4224" s="216"/>
      <c r="L4224" s="7"/>
    </row>
    <row r="4225" spans="1:12">
      <c r="A4225" s="36"/>
      <c r="B4225" s="37"/>
      <c r="C4225" s="179"/>
      <c r="D4225" s="179"/>
      <c r="E4225" s="179"/>
      <c r="F4225" s="235"/>
      <c r="G4225" s="235"/>
      <c r="H4225" s="235"/>
      <c r="I4225" s="79"/>
      <c r="J4225" s="185"/>
      <c r="K4225" s="216"/>
      <c r="L4225" s="7"/>
    </row>
    <row r="4226" spans="1:12">
      <c r="A4226" s="36"/>
      <c r="B4226" s="37"/>
      <c r="C4226" s="179"/>
      <c r="D4226" s="179"/>
      <c r="E4226" s="179"/>
      <c r="F4226" s="235"/>
      <c r="G4226" s="235"/>
      <c r="H4226" s="235"/>
      <c r="I4226" s="79"/>
      <c r="J4226" s="185"/>
      <c r="K4226" s="216"/>
      <c r="L4226" s="7"/>
    </row>
    <row r="4227" spans="1:12">
      <c r="A4227" s="36"/>
      <c r="B4227" s="37"/>
      <c r="C4227" s="179"/>
      <c r="D4227" s="179"/>
      <c r="E4227" s="179"/>
      <c r="F4227" s="235"/>
      <c r="G4227" s="235"/>
      <c r="H4227" s="235"/>
      <c r="I4227" s="79"/>
      <c r="J4227" s="185"/>
      <c r="K4227" s="216"/>
      <c r="L4227" s="7"/>
    </row>
    <row r="4228" spans="1:12">
      <c r="A4228" s="36"/>
      <c r="B4228" s="37"/>
      <c r="C4228" s="179"/>
      <c r="D4228" s="179"/>
      <c r="E4228" s="179"/>
      <c r="F4228" s="235"/>
      <c r="G4228" s="235"/>
      <c r="H4228" s="235"/>
      <c r="I4228" s="79"/>
      <c r="J4228" s="185"/>
      <c r="K4228" s="216"/>
      <c r="L4228" s="7"/>
    </row>
    <row r="4229" spans="1:12">
      <c r="A4229" s="36"/>
      <c r="B4229" s="37"/>
      <c r="C4229" s="179"/>
      <c r="D4229" s="179"/>
      <c r="E4229" s="179"/>
      <c r="F4229" s="235"/>
      <c r="G4229" s="235"/>
      <c r="H4229" s="235"/>
      <c r="I4229" s="79"/>
      <c r="J4229" s="185"/>
      <c r="K4229" s="216"/>
      <c r="L4229" s="7"/>
    </row>
    <row r="4230" spans="1:12">
      <c r="A4230" s="36"/>
      <c r="B4230" s="37"/>
      <c r="C4230" s="179"/>
      <c r="D4230" s="179"/>
      <c r="E4230" s="179"/>
      <c r="F4230" s="235"/>
      <c r="G4230" s="235"/>
      <c r="H4230" s="235"/>
      <c r="I4230" s="79"/>
      <c r="J4230" s="185"/>
      <c r="K4230" s="216"/>
      <c r="L4230" s="7"/>
    </row>
    <row r="4231" spans="1:12">
      <c r="A4231" s="36"/>
      <c r="B4231" s="37"/>
      <c r="C4231" s="179"/>
      <c r="D4231" s="179"/>
      <c r="E4231" s="179"/>
      <c r="F4231" s="235"/>
      <c r="G4231" s="235"/>
      <c r="H4231" s="235"/>
      <c r="I4231" s="79"/>
      <c r="J4231" s="185"/>
      <c r="K4231" s="216"/>
      <c r="L4231" s="7"/>
    </row>
    <row r="4232" spans="1:12">
      <c r="A4232" s="36"/>
      <c r="B4232" s="37"/>
      <c r="C4232" s="179"/>
      <c r="D4232" s="179"/>
      <c r="E4232" s="179"/>
      <c r="F4232" s="235"/>
      <c r="G4232" s="235"/>
      <c r="H4232" s="235"/>
      <c r="I4232" s="79"/>
      <c r="J4232" s="185"/>
      <c r="K4232" s="216"/>
      <c r="L4232" s="7"/>
    </row>
    <row r="4233" spans="1:12">
      <c r="A4233" s="36"/>
      <c r="B4233" s="37"/>
      <c r="C4233" s="179"/>
      <c r="D4233" s="179"/>
      <c r="E4233" s="179"/>
      <c r="F4233" s="235"/>
      <c r="G4233" s="235"/>
      <c r="H4233" s="235"/>
      <c r="I4233" s="79"/>
      <c r="J4233" s="185"/>
      <c r="K4233" s="216"/>
      <c r="L4233" s="7"/>
    </row>
    <row r="4234" spans="1:12">
      <c r="A4234" s="36"/>
      <c r="B4234" s="37"/>
      <c r="C4234" s="179"/>
      <c r="D4234" s="179"/>
      <c r="E4234" s="179"/>
      <c r="F4234" s="235"/>
      <c r="G4234" s="235"/>
      <c r="H4234" s="235"/>
      <c r="I4234" s="79"/>
      <c r="J4234" s="185"/>
      <c r="K4234" s="216"/>
      <c r="L4234" s="7"/>
    </row>
    <row r="4235" spans="1:12">
      <c r="A4235" s="36"/>
      <c r="B4235" s="37"/>
      <c r="C4235" s="179"/>
      <c r="D4235" s="179"/>
      <c r="E4235" s="179"/>
      <c r="F4235" s="235"/>
      <c r="G4235" s="235"/>
      <c r="H4235" s="235"/>
      <c r="I4235" s="79"/>
      <c r="J4235" s="185"/>
      <c r="K4235" s="216"/>
      <c r="L4235" s="7"/>
    </row>
    <row r="4236" spans="1:12">
      <c r="A4236" s="36"/>
      <c r="B4236" s="37"/>
      <c r="C4236" s="179"/>
      <c r="D4236" s="179"/>
      <c r="E4236" s="179"/>
      <c r="F4236" s="235"/>
      <c r="G4236" s="235"/>
      <c r="H4236" s="235"/>
      <c r="I4236" s="79"/>
      <c r="J4236" s="185"/>
      <c r="K4236" s="216"/>
      <c r="L4236" s="7"/>
    </row>
    <row r="4237" spans="1:12">
      <c r="A4237" s="36"/>
      <c r="B4237" s="37"/>
      <c r="C4237" s="179"/>
      <c r="D4237" s="179"/>
      <c r="E4237" s="179"/>
      <c r="F4237" s="235"/>
      <c r="G4237" s="235"/>
      <c r="H4237" s="235"/>
      <c r="I4237" s="79"/>
      <c r="J4237" s="185"/>
      <c r="K4237" s="216"/>
      <c r="L4237" s="7"/>
    </row>
    <row r="4238" spans="1:12" s="6" customFormat="1">
      <c r="A4238" s="36"/>
      <c r="B4238" s="37"/>
      <c r="C4238" s="179"/>
      <c r="D4238" s="179"/>
      <c r="E4238" s="179"/>
      <c r="F4238" s="235"/>
      <c r="G4238" s="235"/>
      <c r="H4238" s="235"/>
      <c r="I4238" s="79"/>
      <c r="J4238" s="185"/>
      <c r="K4238" s="216"/>
      <c r="L4238" s="7"/>
    </row>
    <row r="4239" spans="1:12">
      <c r="A4239" s="36"/>
      <c r="B4239" s="37"/>
      <c r="C4239" s="179"/>
      <c r="D4239" s="179"/>
      <c r="E4239" s="179"/>
      <c r="F4239" s="235"/>
      <c r="G4239" s="235"/>
      <c r="H4239" s="235"/>
      <c r="I4239" s="79"/>
      <c r="J4239" s="185"/>
      <c r="K4239" s="216"/>
      <c r="L4239" s="7"/>
    </row>
    <row r="4240" spans="1:12">
      <c r="A4240" s="36"/>
      <c r="B4240" s="37"/>
      <c r="C4240" s="179"/>
      <c r="D4240" s="179"/>
      <c r="E4240" s="179"/>
      <c r="F4240" s="235"/>
      <c r="G4240" s="235"/>
      <c r="H4240" s="235"/>
      <c r="I4240" s="79"/>
      <c r="J4240" s="185"/>
      <c r="K4240" s="216"/>
      <c r="L4240" s="7"/>
    </row>
    <row r="4241" spans="1:12">
      <c r="A4241" s="36"/>
      <c r="B4241" s="37"/>
      <c r="C4241" s="179"/>
      <c r="D4241" s="179"/>
      <c r="E4241" s="179"/>
      <c r="F4241" s="235"/>
      <c r="G4241" s="235"/>
      <c r="H4241" s="235"/>
      <c r="I4241" s="79"/>
      <c r="J4241" s="185"/>
      <c r="K4241" s="216"/>
      <c r="L4241" s="7"/>
    </row>
    <row r="4242" spans="1:12">
      <c r="A4242" s="36"/>
      <c r="B4242" s="37"/>
      <c r="C4242" s="179"/>
      <c r="D4242" s="179"/>
      <c r="E4242" s="179"/>
      <c r="F4242" s="235"/>
      <c r="G4242" s="235"/>
      <c r="H4242" s="235"/>
      <c r="I4242" s="79"/>
      <c r="J4242" s="185"/>
      <c r="K4242" s="216"/>
      <c r="L4242" s="7"/>
    </row>
    <row r="4243" spans="1:12">
      <c r="A4243" s="36"/>
      <c r="B4243" s="37"/>
      <c r="C4243" s="179"/>
      <c r="D4243" s="179"/>
      <c r="E4243" s="179"/>
      <c r="F4243" s="235"/>
      <c r="G4243" s="235"/>
      <c r="H4243" s="235"/>
      <c r="I4243" s="79"/>
      <c r="J4243" s="185"/>
      <c r="K4243" s="216"/>
      <c r="L4243" s="7"/>
    </row>
    <row r="4244" spans="1:12">
      <c r="A4244" s="36"/>
      <c r="B4244" s="37"/>
      <c r="C4244" s="179"/>
      <c r="D4244" s="179"/>
      <c r="E4244" s="179"/>
      <c r="F4244" s="235"/>
      <c r="G4244" s="235"/>
      <c r="H4244" s="235"/>
      <c r="I4244" s="79"/>
      <c r="J4244" s="185"/>
      <c r="K4244" s="216"/>
      <c r="L4244" s="7"/>
    </row>
    <row r="4245" spans="1:12">
      <c r="A4245" s="36"/>
      <c r="B4245" s="37"/>
      <c r="C4245" s="179"/>
      <c r="D4245" s="179"/>
      <c r="E4245" s="179"/>
      <c r="F4245" s="235"/>
      <c r="G4245" s="235"/>
      <c r="H4245" s="235"/>
      <c r="I4245" s="79"/>
      <c r="J4245" s="185"/>
      <c r="K4245" s="216"/>
      <c r="L4245" s="7"/>
    </row>
    <row r="4246" spans="1:12">
      <c r="A4246" s="36"/>
      <c r="B4246" s="37"/>
      <c r="C4246" s="179"/>
      <c r="D4246" s="179"/>
      <c r="E4246" s="179"/>
      <c r="F4246" s="235"/>
      <c r="G4246" s="235"/>
      <c r="H4246" s="235"/>
      <c r="I4246" s="79"/>
      <c r="J4246" s="185"/>
      <c r="K4246" s="216"/>
      <c r="L4246" s="7"/>
    </row>
    <row r="4247" spans="1:12">
      <c r="A4247" s="36"/>
      <c r="B4247" s="37"/>
      <c r="C4247" s="179"/>
      <c r="D4247" s="179"/>
      <c r="E4247" s="179"/>
      <c r="F4247" s="235"/>
      <c r="G4247" s="235"/>
      <c r="H4247" s="235"/>
      <c r="I4247" s="79"/>
      <c r="J4247" s="185"/>
      <c r="K4247" s="216"/>
      <c r="L4247" s="7"/>
    </row>
    <row r="4248" spans="1:12">
      <c r="A4248" s="21"/>
      <c r="B4248" s="21"/>
      <c r="C4248" s="175"/>
      <c r="D4248" s="175"/>
      <c r="E4248" s="175"/>
      <c r="F4248" s="234"/>
      <c r="G4248" s="234"/>
      <c r="H4248" s="234"/>
      <c r="I4248" s="63"/>
      <c r="J4248" s="190"/>
      <c r="K4248" s="208"/>
      <c r="L4248" s="7"/>
    </row>
    <row r="4249" spans="1:12">
      <c r="A4249" s="23"/>
      <c r="B4249" s="14"/>
      <c r="C4249" s="180"/>
      <c r="D4249" s="180"/>
      <c r="E4249" s="180"/>
      <c r="F4249" s="236"/>
      <c r="G4249" s="236"/>
      <c r="H4249" s="236"/>
      <c r="I4249" s="73"/>
      <c r="J4249" s="191"/>
      <c r="K4249" s="207"/>
      <c r="L4249" s="7"/>
    </row>
    <row r="4250" spans="1:12" s="6" customFormat="1">
      <c r="A4250" s="23"/>
      <c r="B4250" s="14"/>
      <c r="C4250" s="180"/>
      <c r="D4250" s="180"/>
      <c r="E4250" s="180"/>
      <c r="F4250" s="236"/>
      <c r="G4250" s="236"/>
      <c r="H4250" s="236"/>
      <c r="I4250" s="73"/>
      <c r="J4250" s="191"/>
      <c r="K4250" s="207"/>
      <c r="L4250" s="7"/>
    </row>
    <row r="4251" spans="1:12">
      <c r="A4251" s="23"/>
      <c r="B4251" s="14"/>
      <c r="C4251" s="180"/>
      <c r="D4251" s="180"/>
      <c r="E4251" s="180"/>
      <c r="F4251" s="236"/>
      <c r="G4251" s="236"/>
      <c r="H4251" s="236"/>
      <c r="I4251" s="73"/>
      <c r="J4251" s="191"/>
      <c r="K4251" s="207"/>
      <c r="L4251" s="7"/>
    </row>
    <row r="4252" spans="1:12">
      <c r="A4252" s="23"/>
      <c r="B4252" s="14"/>
      <c r="C4252" s="180"/>
      <c r="D4252" s="180"/>
      <c r="E4252" s="180"/>
      <c r="F4252" s="236"/>
      <c r="G4252" s="236"/>
      <c r="H4252" s="236"/>
      <c r="I4252" s="73"/>
      <c r="J4252" s="191"/>
      <c r="K4252" s="207"/>
      <c r="L4252" s="7"/>
    </row>
    <row r="4253" spans="1:12">
      <c r="A4253" s="23"/>
      <c r="B4253" s="14"/>
      <c r="C4253" s="180"/>
      <c r="D4253" s="180"/>
      <c r="E4253" s="180"/>
      <c r="F4253" s="236"/>
      <c r="G4253" s="236"/>
      <c r="H4253" s="236"/>
      <c r="I4253" s="73"/>
      <c r="J4253" s="191"/>
      <c r="K4253" s="207"/>
      <c r="L4253" s="7"/>
    </row>
    <row r="4254" spans="1:12">
      <c r="A4254" s="23"/>
      <c r="B4254" s="14"/>
      <c r="C4254" s="180"/>
      <c r="D4254" s="180"/>
      <c r="E4254" s="180"/>
      <c r="F4254" s="236"/>
      <c r="G4254" s="236"/>
      <c r="H4254" s="236"/>
      <c r="I4254" s="73"/>
      <c r="J4254" s="191"/>
      <c r="K4254" s="207"/>
      <c r="L4254" s="7"/>
    </row>
    <row r="4255" spans="1:12">
      <c r="A4255" s="23"/>
      <c r="B4255" s="14"/>
      <c r="C4255" s="180"/>
      <c r="D4255" s="180"/>
      <c r="E4255" s="180"/>
      <c r="F4255" s="236"/>
      <c r="G4255" s="236"/>
      <c r="H4255" s="236"/>
      <c r="I4255" s="73"/>
      <c r="J4255" s="191"/>
      <c r="K4255" s="207"/>
      <c r="L4255" s="7"/>
    </row>
    <row r="4256" spans="1:12">
      <c r="A4256" s="23"/>
      <c r="B4256" s="14"/>
      <c r="C4256" s="180"/>
      <c r="D4256" s="180"/>
      <c r="E4256" s="180"/>
      <c r="F4256" s="236"/>
      <c r="G4256" s="236"/>
      <c r="H4256" s="236"/>
      <c r="I4256" s="73"/>
      <c r="J4256" s="191"/>
      <c r="K4256" s="207"/>
      <c r="L4256" s="7"/>
    </row>
    <row r="4257" spans="1:12">
      <c r="A4257" s="36"/>
      <c r="B4257" s="37"/>
      <c r="C4257" s="179"/>
      <c r="D4257" s="179"/>
      <c r="E4257" s="179"/>
      <c r="F4257" s="235"/>
      <c r="G4257" s="235"/>
      <c r="H4257" s="235"/>
      <c r="I4257" s="79"/>
      <c r="J4257" s="195"/>
      <c r="K4257" s="216"/>
      <c r="L4257" s="7"/>
    </row>
    <row r="4258" spans="1:12">
      <c r="A4258" s="36"/>
      <c r="B4258" s="37"/>
      <c r="C4258" s="179"/>
      <c r="D4258" s="179"/>
      <c r="E4258" s="179"/>
      <c r="F4258" s="235"/>
      <c r="G4258" s="235"/>
      <c r="H4258" s="235"/>
      <c r="I4258" s="79"/>
      <c r="J4258" s="195"/>
      <c r="K4258" s="216"/>
      <c r="L4258" s="7"/>
    </row>
    <row r="4259" spans="1:12">
      <c r="A4259" s="36"/>
      <c r="B4259" s="37"/>
      <c r="C4259" s="179"/>
      <c r="D4259" s="179"/>
      <c r="E4259" s="179"/>
      <c r="F4259" s="235"/>
      <c r="G4259" s="235"/>
      <c r="H4259" s="235"/>
      <c r="I4259" s="79"/>
      <c r="J4259" s="195"/>
      <c r="K4259" s="216"/>
      <c r="L4259" s="7"/>
    </row>
    <row r="4260" spans="1:12">
      <c r="A4260" s="36"/>
      <c r="B4260" s="37"/>
      <c r="C4260" s="179"/>
      <c r="D4260" s="179"/>
      <c r="E4260" s="179"/>
      <c r="F4260" s="235"/>
      <c r="G4260" s="235"/>
      <c r="H4260" s="235"/>
      <c r="I4260" s="79"/>
      <c r="J4260" s="195"/>
      <c r="K4260" s="216"/>
      <c r="L4260" s="7"/>
    </row>
    <row r="4261" spans="1:12">
      <c r="A4261" s="36"/>
      <c r="B4261" s="37"/>
      <c r="C4261" s="179"/>
      <c r="D4261" s="179"/>
      <c r="E4261" s="179"/>
      <c r="F4261" s="235"/>
      <c r="G4261" s="235"/>
      <c r="H4261" s="235"/>
      <c r="I4261" s="79"/>
      <c r="J4261" s="195"/>
      <c r="K4261" s="216"/>
      <c r="L4261" s="7"/>
    </row>
    <row r="4262" spans="1:12" s="6" customFormat="1">
      <c r="A4262" s="36"/>
      <c r="B4262" s="37"/>
      <c r="C4262" s="179"/>
      <c r="D4262" s="179"/>
      <c r="E4262" s="179"/>
      <c r="F4262" s="235"/>
      <c r="G4262" s="235"/>
      <c r="H4262" s="235"/>
      <c r="I4262" s="79"/>
      <c r="J4262" s="195"/>
      <c r="K4262" s="216"/>
      <c r="L4262" s="7"/>
    </row>
    <row r="4263" spans="1:12">
      <c r="A4263" s="36"/>
      <c r="B4263" s="37"/>
      <c r="C4263" s="179"/>
      <c r="D4263" s="179"/>
      <c r="E4263" s="179"/>
      <c r="F4263" s="235"/>
      <c r="G4263" s="235"/>
      <c r="H4263" s="235"/>
      <c r="I4263" s="79"/>
      <c r="J4263" s="195"/>
      <c r="K4263" s="216"/>
      <c r="L4263" s="7"/>
    </row>
    <row r="4264" spans="1:12">
      <c r="A4264" s="36"/>
      <c r="B4264" s="37"/>
      <c r="C4264" s="179"/>
      <c r="D4264" s="179"/>
      <c r="E4264" s="179"/>
      <c r="F4264" s="235"/>
      <c r="G4264" s="235"/>
      <c r="H4264" s="235"/>
      <c r="I4264" s="79"/>
      <c r="J4264" s="195"/>
      <c r="K4264" s="216"/>
      <c r="L4264" s="7"/>
    </row>
    <row r="4265" spans="1:12">
      <c r="A4265" s="36"/>
      <c r="B4265" s="37"/>
      <c r="C4265" s="179"/>
      <c r="D4265" s="179"/>
      <c r="E4265" s="179"/>
      <c r="F4265" s="235"/>
      <c r="G4265" s="235"/>
      <c r="H4265" s="235"/>
      <c r="I4265" s="79"/>
      <c r="J4265" s="195"/>
      <c r="K4265" s="216"/>
      <c r="L4265" s="7"/>
    </row>
    <row r="4266" spans="1:12">
      <c r="A4266" s="36"/>
      <c r="B4266" s="37"/>
      <c r="C4266" s="179"/>
      <c r="D4266" s="179"/>
      <c r="E4266" s="179"/>
      <c r="F4266" s="235"/>
      <c r="G4266" s="235"/>
      <c r="H4266" s="235"/>
      <c r="I4266" s="79"/>
      <c r="J4266" s="195"/>
      <c r="K4266" s="216"/>
      <c r="L4266" s="7"/>
    </row>
    <row r="4267" spans="1:12">
      <c r="A4267" s="36"/>
      <c r="B4267" s="37"/>
      <c r="C4267" s="179"/>
      <c r="D4267" s="179"/>
      <c r="E4267" s="179"/>
      <c r="F4267" s="235"/>
      <c r="G4267" s="235"/>
      <c r="H4267" s="235"/>
      <c r="I4267" s="79"/>
      <c r="J4267" s="195"/>
      <c r="K4267" s="216"/>
      <c r="L4267" s="7"/>
    </row>
    <row r="4268" spans="1:12">
      <c r="A4268" s="36"/>
      <c r="B4268" s="37"/>
      <c r="C4268" s="179"/>
      <c r="D4268" s="179"/>
      <c r="E4268" s="179"/>
      <c r="F4268" s="235"/>
      <c r="G4268" s="235"/>
      <c r="H4268" s="235"/>
      <c r="I4268" s="79"/>
      <c r="J4268" s="195"/>
      <c r="K4268" s="216"/>
      <c r="L4268" s="7"/>
    </row>
    <row r="4269" spans="1:12">
      <c r="A4269" s="21"/>
      <c r="B4269" s="21"/>
      <c r="C4269" s="175"/>
      <c r="D4269" s="175"/>
      <c r="E4269" s="175"/>
      <c r="F4269" s="234"/>
      <c r="G4269" s="234"/>
      <c r="H4269" s="234"/>
      <c r="I4269" s="63"/>
      <c r="J4269" s="190"/>
      <c r="K4269" s="208"/>
      <c r="L4269" s="7"/>
    </row>
    <row r="4270" spans="1:12">
      <c r="A4270" s="21"/>
      <c r="B4270" s="21"/>
      <c r="C4270" s="175"/>
      <c r="D4270" s="175"/>
      <c r="E4270" s="175"/>
      <c r="F4270" s="234"/>
      <c r="G4270" s="234"/>
      <c r="H4270" s="234"/>
      <c r="I4270" s="63"/>
      <c r="J4270" s="190"/>
      <c r="K4270" s="208"/>
      <c r="L4270" s="7"/>
    </row>
    <row r="4271" spans="1:12">
      <c r="A4271" s="21"/>
      <c r="B4271" s="21"/>
      <c r="C4271" s="175"/>
      <c r="D4271" s="175"/>
      <c r="E4271" s="175"/>
      <c r="F4271" s="234"/>
      <c r="G4271" s="234"/>
      <c r="H4271" s="234"/>
      <c r="I4271" s="63"/>
      <c r="J4271" s="190"/>
      <c r="K4271" s="208"/>
      <c r="L4271" s="7"/>
    </row>
    <row r="4272" spans="1:12">
      <c r="A4272" s="42"/>
      <c r="B4272" s="42"/>
      <c r="C4272" s="175"/>
      <c r="D4272" s="175"/>
      <c r="E4272" s="175"/>
      <c r="F4272" s="237"/>
      <c r="G4272" s="237"/>
      <c r="H4272" s="237"/>
      <c r="I4272" s="66"/>
      <c r="J4272" s="190"/>
      <c r="K4272" s="219"/>
      <c r="L4272" s="7"/>
    </row>
    <row r="4273" spans="1:12">
      <c r="A4273" s="42"/>
      <c r="B4273" s="42"/>
      <c r="C4273" s="175"/>
      <c r="D4273" s="175"/>
      <c r="E4273" s="175"/>
      <c r="F4273" s="237"/>
      <c r="G4273" s="237"/>
      <c r="H4273" s="237"/>
      <c r="I4273" s="66"/>
      <c r="J4273" s="190"/>
      <c r="K4273" s="219"/>
      <c r="L4273" s="7"/>
    </row>
    <row r="4274" spans="1:12">
      <c r="A4274" s="36"/>
      <c r="B4274" s="37"/>
      <c r="C4274" s="179"/>
      <c r="D4274" s="179"/>
      <c r="E4274" s="179"/>
      <c r="F4274" s="235"/>
      <c r="G4274" s="235"/>
      <c r="H4274" s="235"/>
      <c r="I4274" s="79"/>
      <c r="J4274" s="195"/>
      <c r="K4274" s="216"/>
      <c r="L4274" s="7"/>
    </row>
    <row r="4275" spans="1:12">
      <c r="A4275" s="36"/>
      <c r="B4275" s="37"/>
      <c r="C4275" s="179"/>
      <c r="D4275" s="179"/>
      <c r="E4275" s="179"/>
      <c r="F4275" s="235"/>
      <c r="G4275" s="235"/>
      <c r="H4275" s="235"/>
      <c r="I4275" s="79"/>
      <c r="J4275" s="191"/>
      <c r="K4275" s="216"/>
      <c r="L4275" s="7"/>
    </row>
    <row r="4276" spans="1:12">
      <c r="A4276" s="36"/>
      <c r="B4276" s="37"/>
      <c r="C4276" s="179"/>
      <c r="D4276" s="179"/>
      <c r="E4276" s="179"/>
      <c r="F4276" s="235"/>
      <c r="G4276" s="235"/>
      <c r="H4276" s="235"/>
      <c r="I4276" s="79"/>
      <c r="J4276" s="185"/>
      <c r="K4276" s="216"/>
      <c r="L4276" s="7"/>
    </row>
    <row r="4277" spans="1:12">
      <c r="A4277" s="36"/>
      <c r="B4277" s="37"/>
      <c r="C4277" s="179"/>
      <c r="D4277" s="179"/>
      <c r="E4277" s="179"/>
      <c r="F4277" s="235"/>
      <c r="G4277" s="235"/>
      <c r="H4277" s="235"/>
      <c r="I4277" s="79"/>
      <c r="J4277" s="185"/>
      <c r="K4277" s="216"/>
      <c r="L4277" s="7"/>
    </row>
    <row r="4278" spans="1:12">
      <c r="A4278" s="36"/>
      <c r="B4278" s="37"/>
      <c r="C4278" s="179"/>
      <c r="D4278" s="179"/>
      <c r="E4278" s="179"/>
      <c r="F4278" s="235"/>
      <c r="G4278" s="235"/>
      <c r="H4278" s="235"/>
      <c r="I4278" s="79"/>
      <c r="J4278" s="185"/>
      <c r="K4278" s="216"/>
      <c r="L4278" s="7"/>
    </row>
    <row r="4279" spans="1:12">
      <c r="A4279" s="36"/>
      <c r="B4279" s="37"/>
      <c r="C4279" s="179"/>
      <c r="D4279" s="179"/>
      <c r="E4279" s="179"/>
      <c r="F4279" s="235"/>
      <c r="G4279" s="235"/>
      <c r="H4279" s="235"/>
      <c r="I4279" s="79"/>
      <c r="J4279" s="185"/>
      <c r="K4279" s="216"/>
      <c r="L4279" s="7"/>
    </row>
    <row r="4280" spans="1:12">
      <c r="A4280" s="36"/>
      <c r="B4280" s="37"/>
      <c r="C4280" s="179"/>
      <c r="D4280" s="179"/>
      <c r="E4280" s="179"/>
      <c r="F4280" s="235"/>
      <c r="G4280" s="235"/>
      <c r="H4280" s="235"/>
      <c r="I4280" s="79"/>
      <c r="J4280" s="185"/>
      <c r="K4280" s="216"/>
      <c r="L4280" s="7"/>
    </row>
    <row r="4281" spans="1:12">
      <c r="A4281" s="36"/>
      <c r="B4281" s="37"/>
      <c r="C4281" s="179"/>
      <c r="D4281" s="179"/>
      <c r="E4281" s="179"/>
      <c r="F4281" s="235"/>
      <c r="G4281" s="235"/>
      <c r="H4281" s="235"/>
      <c r="I4281" s="79"/>
      <c r="J4281" s="185"/>
      <c r="K4281" s="216"/>
      <c r="L4281" s="7"/>
    </row>
    <row r="4282" spans="1:12">
      <c r="A4282" s="36"/>
      <c r="B4282" s="37"/>
      <c r="C4282" s="179"/>
      <c r="D4282" s="179"/>
      <c r="E4282" s="179"/>
      <c r="F4282" s="235"/>
      <c r="G4282" s="235"/>
      <c r="H4282" s="235"/>
      <c r="I4282" s="79"/>
      <c r="J4282" s="195"/>
      <c r="K4282" s="216"/>
      <c r="L4282" s="7"/>
    </row>
    <row r="4283" spans="1:12">
      <c r="A4283" s="36"/>
      <c r="B4283" s="37"/>
      <c r="C4283" s="179"/>
      <c r="D4283" s="179"/>
      <c r="E4283" s="179"/>
      <c r="F4283" s="235"/>
      <c r="G4283" s="235"/>
      <c r="H4283" s="235"/>
      <c r="I4283" s="79"/>
      <c r="J4283" s="195"/>
      <c r="K4283" s="216"/>
      <c r="L4283" s="7"/>
    </row>
    <row r="4284" spans="1:12">
      <c r="A4284" s="36"/>
      <c r="B4284" s="37"/>
      <c r="C4284" s="179"/>
      <c r="D4284" s="179"/>
      <c r="E4284" s="179"/>
      <c r="F4284" s="235"/>
      <c r="G4284" s="235"/>
      <c r="H4284" s="235"/>
      <c r="I4284" s="79"/>
      <c r="J4284" s="195"/>
      <c r="K4284" s="216"/>
      <c r="L4284" s="7"/>
    </row>
    <row r="4285" spans="1:12">
      <c r="A4285" s="36"/>
      <c r="B4285" s="37"/>
      <c r="C4285" s="179"/>
      <c r="D4285" s="179"/>
      <c r="E4285" s="179"/>
      <c r="F4285" s="235"/>
      <c r="G4285" s="235"/>
      <c r="H4285" s="235"/>
      <c r="I4285" s="79"/>
      <c r="J4285" s="195"/>
      <c r="K4285" s="216"/>
      <c r="L4285" s="7"/>
    </row>
    <row r="4286" spans="1:12">
      <c r="A4286" s="36"/>
      <c r="B4286" s="37"/>
      <c r="C4286" s="179"/>
      <c r="D4286" s="179"/>
      <c r="E4286" s="179"/>
      <c r="F4286" s="235"/>
      <c r="G4286" s="235"/>
      <c r="H4286" s="235"/>
      <c r="I4286" s="79"/>
      <c r="J4286" s="195"/>
      <c r="K4286" s="216"/>
      <c r="L4286" s="7"/>
    </row>
    <row r="4287" spans="1:12">
      <c r="A4287" s="36"/>
      <c r="B4287" s="37"/>
      <c r="C4287" s="179"/>
      <c r="D4287" s="179"/>
      <c r="E4287" s="179"/>
      <c r="F4287" s="235"/>
      <c r="G4287" s="235"/>
      <c r="H4287" s="235"/>
      <c r="I4287" s="79"/>
      <c r="J4287" s="195"/>
      <c r="K4287" s="216"/>
      <c r="L4287" s="7"/>
    </row>
    <row r="4288" spans="1:12">
      <c r="A4288" s="36"/>
      <c r="B4288" s="37"/>
      <c r="C4288" s="179"/>
      <c r="D4288" s="179"/>
      <c r="E4288" s="179"/>
      <c r="F4288" s="235"/>
      <c r="G4288" s="235"/>
      <c r="H4288" s="235"/>
      <c r="I4288" s="79"/>
      <c r="J4288" s="195"/>
      <c r="K4288" s="216"/>
      <c r="L4288" s="7"/>
    </row>
    <row r="4289" spans="1:12">
      <c r="A4289" s="36"/>
      <c r="B4289" s="37"/>
      <c r="C4289" s="179"/>
      <c r="D4289" s="179"/>
      <c r="E4289" s="179"/>
      <c r="F4289" s="235"/>
      <c r="G4289" s="235"/>
      <c r="H4289" s="235"/>
      <c r="I4289" s="79"/>
      <c r="J4289" s="195"/>
      <c r="K4289" s="216"/>
      <c r="L4289" s="7"/>
    </row>
    <row r="4290" spans="1:12">
      <c r="A4290" s="36"/>
      <c r="B4290" s="37"/>
      <c r="C4290" s="179"/>
      <c r="D4290" s="179"/>
      <c r="E4290" s="179"/>
      <c r="F4290" s="235"/>
      <c r="G4290" s="235"/>
      <c r="H4290" s="235"/>
      <c r="I4290" s="79"/>
      <c r="J4290" s="195"/>
      <c r="K4290" s="216"/>
      <c r="L4290" s="7"/>
    </row>
    <row r="4291" spans="1:12">
      <c r="A4291" s="36"/>
      <c r="B4291" s="37"/>
      <c r="C4291" s="179"/>
      <c r="D4291" s="179"/>
      <c r="E4291" s="179"/>
      <c r="F4291" s="235"/>
      <c r="G4291" s="235"/>
      <c r="H4291" s="235"/>
      <c r="I4291" s="79"/>
      <c r="J4291" s="195"/>
      <c r="K4291" s="216"/>
      <c r="L4291" s="7"/>
    </row>
    <row r="4292" spans="1:12">
      <c r="A4292" s="36"/>
      <c r="B4292" s="37"/>
      <c r="C4292" s="179"/>
      <c r="D4292" s="179"/>
      <c r="E4292" s="179"/>
      <c r="F4292" s="235"/>
      <c r="G4292" s="235"/>
      <c r="H4292" s="235"/>
      <c r="I4292" s="79"/>
      <c r="J4292" s="195"/>
      <c r="K4292" s="216"/>
      <c r="L4292" s="7"/>
    </row>
    <row r="4293" spans="1:12">
      <c r="A4293" s="36"/>
      <c r="B4293" s="37"/>
      <c r="C4293" s="179"/>
      <c r="D4293" s="179"/>
      <c r="E4293" s="179"/>
      <c r="F4293" s="235"/>
      <c r="G4293" s="235"/>
      <c r="H4293" s="235"/>
      <c r="I4293" s="79"/>
      <c r="J4293" s="195"/>
      <c r="K4293" s="216"/>
      <c r="L4293" s="7"/>
    </row>
    <row r="4294" spans="1:12">
      <c r="A4294" s="36"/>
      <c r="B4294" s="37"/>
      <c r="C4294" s="179"/>
      <c r="D4294" s="179"/>
      <c r="E4294" s="179"/>
      <c r="F4294" s="235"/>
      <c r="G4294" s="235"/>
      <c r="H4294" s="235"/>
      <c r="I4294" s="79"/>
      <c r="J4294" s="195"/>
      <c r="K4294" s="216"/>
      <c r="L4294" s="7"/>
    </row>
    <row r="4295" spans="1:12">
      <c r="A4295" s="36"/>
      <c r="B4295" s="37"/>
      <c r="C4295" s="179"/>
      <c r="D4295" s="179"/>
      <c r="E4295" s="179"/>
      <c r="F4295" s="235"/>
      <c r="G4295" s="235"/>
      <c r="H4295" s="235"/>
      <c r="I4295" s="79"/>
      <c r="J4295" s="195"/>
      <c r="K4295" s="216"/>
      <c r="L4295" s="7"/>
    </row>
    <row r="4296" spans="1:12">
      <c r="A4296" s="36"/>
      <c r="B4296" s="37"/>
      <c r="C4296" s="179"/>
      <c r="D4296" s="179"/>
      <c r="E4296" s="179"/>
      <c r="F4296" s="235"/>
      <c r="G4296" s="235"/>
      <c r="H4296" s="235"/>
      <c r="I4296" s="79"/>
      <c r="J4296" s="195"/>
      <c r="K4296" s="216"/>
      <c r="L4296" s="7"/>
    </row>
    <row r="4297" spans="1:12">
      <c r="A4297" s="36"/>
      <c r="B4297" s="37"/>
      <c r="C4297" s="179"/>
      <c r="D4297" s="179"/>
      <c r="E4297" s="179"/>
      <c r="F4297" s="235"/>
      <c r="G4297" s="235"/>
      <c r="H4297" s="235"/>
      <c r="I4297" s="79"/>
      <c r="J4297" s="185"/>
      <c r="K4297" s="216"/>
      <c r="L4297" s="7"/>
    </row>
    <row r="4298" spans="1:12">
      <c r="A4298" s="42"/>
      <c r="B4298" s="42"/>
      <c r="C4298" s="175"/>
      <c r="D4298" s="175"/>
      <c r="E4298" s="175"/>
      <c r="F4298" s="237"/>
      <c r="G4298" s="237"/>
      <c r="H4298" s="237"/>
      <c r="I4298" s="66"/>
      <c r="J4298" s="190"/>
      <c r="K4298" s="219"/>
      <c r="L4298" s="7"/>
    </row>
    <row r="4299" spans="1:12">
      <c r="A4299" s="36"/>
      <c r="B4299" s="37"/>
      <c r="C4299" s="179"/>
      <c r="D4299" s="179"/>
      <c r="E4299" s="179"/>
      <c r="F4299" s="235"/>
      <c r="G4299" s="235"/>
      <c r="H4299" s="235"/>
      <c r="I4299" s="79"/>
      <c r="J4299" s="185"/>
      <c r="K4299" s="216"/>
      <c r="L4299" s="7"/>
    </row>
    <row r="4300" spans="1:12">
      <c r="A4300" s="36"/>
      <c r="B4300" s="37"/>
      <c r="C4300" s="179"/>
      <c r="D4300" s="179"/>
      <c r="E4300" s="179"/>
      <c r="F4300" s="235"/>
      <c r="G4300" s="235"/>
      <c r="H4300" s="235"/>
      <c r="I4300" s="79"/>
      <c r="J4300" s="195"/>
      <c r="K4300" s="216"/>
      <c r="L4300" s="7"/>
    </row>
    <row r="4301" spans="1:12">
      <c r="A4301" s="36"/>
      <c r="B4301" s="37"/>
      <c r="C4301" s="179"/>
      <c r="D4301" s="179"/>
      <c r="E4301" s="179"/>
      <c r="F4301" s="235"/>
      <c r="G4301" s="235"/>
      <c r="H4301" s="235"/>
      <c r="I4301" s="79"/>
      <c r="J4301" s="195"/>
      <c r="K4301" s="216"/>
      <c r="L4301" s="7"/>
    </row>
    <row r="4302" spans="1:12">
      <c r="A4302" s="23"/>
      <c r="B4302" s="14"/>
      <c r="C4302" s="180"/>
      <c r="D4302" s="180"/>
      <c r="E4302" s="180"/>
      <c r="F4302" s="236"/>
      <c r="G4302" s="236"/>
      <c r="H4302" s="236"/>
      <c r="I4302" s="73"/>
      <c r="J4302" s="191"/>
      <c r="K4302" s="207"/>
      <c r="L4302" s="7"/>
    </row>
    <row r="4303" spans="1:12">
      <c r="A4303" s="36"/>
      <c r="B4303" s="37"/>
      <c r="C4303" s="179"/>
      <c r="D4303" s="179"/>
      <c r="E4303" s="179"/>
      <c r="F4303" s="235"/>
      <c r="G4303" s="235"/>
      <c r="H4303" s="235"/>
      <c r="I4303" s="79"/>
      <c r="J4303" s="195"/>
      <c r="K4303" s="216"/>
      <c r="L4303" s="7"/>
    </row>
    <row r="4304" spans="1:12">
      <c r="A4304" s="36"/>
      <c r="B4304" s="37"/>
      <c r="C4304" s="179"/>
      <c r="D4304" s="179"/>
      <c r="E4304" s="179"/>
      <c r="F4304" s="235"/>
      <c r="G4304" s="235"/>
      <c r="H4304" s="235"/>
      <c r="I4304" s="79"/>
      <c r="J4304" s="195"/>
      <c r="K4304" s="216"/>
      <c r="L4304" s="7"/>
    </row>
    <row r="4305" spans="1:12">
      <c r="A4305" s="23"/>
      <c r="B4305" s="14"/>
      <c r="C4305" s="180"/>
      <c r="D4305" s="180"/>
      <c r="E4305" s="180"/>
      <c r="F4305" s="236"/>
      <c r="G4305" s="236"/>
      <c r="H4305" s="236"/>
      <c r="I4305" s="73"/>
      <c r="J4305" s="191"/>
      <c r="K4305" s="207"/>
      <c r="L4305" s="7"/>
    </row>
    <row r="4306" spans="1:12">
      <c r="A4306" s="36"/>
      <c r="B4306" s="37"/>
      <c r="C4306" s="179"/>
      <c r="D4306" s="179"/>
      <c r="E4306" s="179"/>
      <c r="F4306" s="235"/>
      <c r="G4306" s="235"/>
      <c r="H4306" s="235"/>
      <c r="I4306" s="79"/>
      <c r="J4306" s="195"/>
      <c r="K4306" s="216"/>
      <c r="L4306" s="7"/>
    </row>
    <row r="4307" spans="1:12">
      <c r="A4307" s="36"/>
      <c r="B4307" s="37"/>
      <c r="C4307" s="179"/>
      <c r="D4307" s="179"/>
      <c r="E4307" s="179"/>
      <c r="F4307" s="235"/>
      <c r="G4307" s="235"/>
      <c r="H4307" s="235"/>
      <c r="I4307" s="79"/>
      <c r="J4307" s="195"/>
      <c r="K4307" s="216"/>
      <c r="L4307" s="7"/>
    </row>
    <row r="4308" spans="1:12">
      <c r="A4308" s="36"/>
      <c r="B4308" s="37"/>
      <c r="C4308" s="179"/>
      <c r="D4308" s="179"/>
      <c r="E4308" s="179"/>
      <c r="F4308" s="235"/>
      <c r="G4308" s="235"/>
      <c r="H4308" s="235"/>
      <c r="I4308" s="79"/>
      <c r="J4308" s="195"/>
      <c r="K4308" s="216"/>
      <c r="L4308" s="7"/>
    </row>
    <row r="4309" spans="1:12">
      <c r="A4309" s="36"/>
      <c r="B4309" s="37"/>
      <c r="C4309" s="179"/>
      <c r="D4309" s="179"/>
      <c r="E4309" s="179"/>
      <c r="F4309" s="235"/>
      <c r="G4309" s="235"/>
      <c r="H4309" s="235"/>
      <c r="I4309" s="79"/>
      <c r="J4309" s="195"/>
      <c r="K4309" s="216"/>
      <c r="L4309" s="7"/>
    </row>
    <row r="4310" spans="1:12">
      <c r="A4310" s="36"/>
      <c r="B4310" s="37"/>
      <c r="C4310" s="179"/>
      <c r="D4310" s="179"/>
      <c r="E4310" s="179"/>
      <c r="F4310" s="235"/>
      <c r="G4310" s="235"/>
      <c r="H4310" s="235"/>
      <c r="I4310" s="79"/>
      <c r="J4310" s="195"/>
      <c r="K4310" s="216"/>
      <c r="L4310" s="7"/>
    </row>
    <row r="4311" spans="1:12">
      <c r="A4311" s="36"/>
      <c r="B4311" s="37"/>
      <c r="C4311" s="179"/>
      <c r="D4311" s="179"/>
      <c r="E4311" s="179"/>
      <c r="F4311" s="235"/>
      <c r="G4311" s="235"/>
      <c r="H4311" s="235"/>
      <c r="I4311" s="79"/>
      <c r="J4311" s="195"/>
      <c r="K4311" s="216"/>
      <c r="L4311" s="7"/>
    </row>
    <row r="4312" spans="1:12">
      <c r="A4312" s="36"/>
      <c r="B4312" s="37"/>
      <c r="C4312" s="179"/>
      <c r="D4312" s="179"/>
      <c r="E4312" s="179"/>
      <c r="F4312" s="235"/>
      <c r="G4312" s="235"/>
      <c r="H4312" s="235"/>
      <c r="I4312" s="79"/>
      <c r="J4312" s="195"/>
      <c r="K4312" s="216"/>
      <c r="L4312" s="7"/>
    </row>
    <row r="4313" spans="1:12">
      <c r="A4313" s="36"/>
      <c r="B4313" s="37"/>
      <c r="C4313" s="179"/>
      <c r="D4313" s="179"/>
      <c r="E4313" s="179"/>
      <c r="F4313" s="235"/>
      <c r="G4313" s="235"/>
      <c r="H4313" s="235"/>
      <c r="I4313" s="79"/>
      <c r="J4313" s="195"/>
      <c r="K4313" s="216"/>
      <c r="L4313" s="7"/>
    </row>
    <row r="4314" spans="1:12">
      <c r="A4314" s="42"/>
      <c r="B4314" s="42"/>
      <c r="C4314" s="175"/>
      <c r="D4314" s="175"/>
      <c r="E4314" s="175"/>
      <c r="F4314" s="237"/>
      <c r="G4314" s="237"/>
      <c r="H4314" s="237"/>
      <c r="I4314" s="66"/>
      <c r="J4314" s="190"/>
      <c r="K4314" s="219"/>
      <c r="L4314" s="7"/>
    </row>
    <row r="4315" spans="1:12">
      <c r="A4315" s="42"/>
      <c r="B4315" s="42"/>
      <c r="C4315" s="175"/>
      <c r="D4315" s="175"/>
      <c r="E4315" s="175"/>
      <c r="F4315" s="237"/>
      <c r="G4315" s="237"/>
      <c r="H4315" s="237"/>
      <c r="I4315" s="66"/>
      <c r="J4315" s="190"/>
      <c r="K4315" s="219"/>
      <c r="L4315" s="7"/>
    </row>
    <row r="4316" spans="1:12">
      <c r="A4316" s="21"/>
      <c r="B4316" s="21"/>
      <c r="C4316" s="175"/>
      <c r="D4316" s="175"/>
      <c r="E4316" s="175"/>
      <c r="F4316" s="234"/>
      <c r="G4316" s="234"/>
      <c r="H4316" s="234"/>
      <c r="I4316" s="63"/>
      <c r="J4316" s="190"/>
      <c r="K4316" s="208"/>
      <c r="L4316" s="7"/>
    </row>
    <row r="4317" spans="1:12">
      <c r="A4317" s="36"/>
      <c r="B4317" s="37"/>
      <c r="C4317" s="179"/>
      <c r="D4317" s="179"/>
      <c r="E4317" s="179"/>
      <c r="F4317" s="235"/>
      <c r="G4317" s="235"/>
      <c r="H4317" s="235"/>
      <c r="I4317" s="79"/>
      <c r="J4317" s="195"/>
      <c r="K4317" s="216"/>
      <c r="L4317" s="7"/>
    </row>
    <row r="4318" spans="1:12">
      <c r="A4318" s="36"/>
      <c r="B4318" s="37"/>
      <c r="C4318" s="179"/>
      <c r="D4318" s="179"/>
      <c r="E4318" s="179"/>
      <c r="F4318" s="235"/>
      <c r="G4318" s="235"/>
      <c r="H4318" s="235"/>
      <c r="I4318" s="79"/>
      <c r="J4318" s="195"/>
      <c r="K4318" s="216"/>
      <c r="L4318" s="7"/>
    </row>
    <row r="4319" spans="1:12">
      <c r="A4319" s="36"/>
      <c r="B4319" s="37"/>
      <c r="C4319" s="179"/>
      <c r="D4319" s="179"/>
      <c r="E4319" s="179"/>
      <c r="F4319" s="235"/>
      <c r="G4319" s="235"/>
      <c r="H4319" s="235"/>
      <c r="I4319" s="79"/>
      <c r="J4319" s="191"/>
      <c r="K4319" s="216"/>
      <c r="L4319" s="7"/>
    </row>
    <row r="4320" spans="1:12">
      <c r="A4320" s="36"/>
      <c r="B4320" s="37"/>
      <c r="C4320" s="179"/>
      <c r="D4320" s="179"/>
      <c r="E4320" s="179"/>
      <c r="F4320" s="235"/>
      <c r="G4320" s="235"/>
      <c r="H4320" s="235"/>
      <c r="I4320" s="79"/>
      <c r="J4320" s="195"/>
      <c r="K4320" s="216"/>
      <c r="L4320" s="7"/>
    </row>
    <row r="4321" spans="1:12">
      <c r="A4321" s="36"/>
      <c r="B4321" s="37"/>
      <c r="C4321" s="179"/>
      <c r="D4321" s="179"/>
      <c r="E4321" s="179"/>
      <c r="F4321" s="235"/>
      <c r="G4321" s="235"/>
      <c r="H4321" s="235"/>
      <c r="I4321" s="79"/>
      <c r="J4321" s="195"/>
      <c r="K4321" s="216"/>
      <c r="L4321" s="7"/>
    </row>
    <row r="4322" spans="1:12">
      <c r="A4322" s="36"/>
      <c r="B4322" s="37"/>
      <c r="C4322" s="179"/>
      <c r="D4322" s="179"/>
      <c r="E4322" s="179"/>
      <c r="F4322" s="235"/>
      <c r="G4322" s="235"/>
      <c r="H4322" s="235"/>
      <c r="I4322" s="79"/>
      <c r="J4322" s="195"/>
      <c r="K4322" s="216"/>
      <c r="L4322" s="7"/>
    </row>
    <row r="4323" spans="1:12">
      <c r="A4323" s="36"/>
      <c r="B4323" s="37"/>
      <c r="C4323" s="179"/>
      <c r="D4323" s="179"/>
      <c r="E4323" s="179"/>
      <c r="F4323" s="235"/>
      <c r="G4323" s="235"/>
      <c r="H4323" s="235"/>
      <c r="I4323" s="79"/>
      <c r="J4323" s="195"/>
      <c r="K4323" s="216"/>
      <c r="L4323" s="7"/>
    </row>
    <row r="4324" spans="1:12">
      <c r="A4324" s="36"/>
      <c r="B4324" s="37"/>
      <c r="C4324" s="179"/>
      <c r="D4324" s="179"/>
      <c r="E4324" s="179"/>
      <c r="F4324" s="235"/>
      <c r="G4324" s="235"/>
      <c r="H4324" s="235"/>
      <c r="I4324" s="79"/>
      <c r="J4324" s="195"/>
      <c r="K4324" s="216"/>
      <c r="L4324" s="7"/>
    </row>
    <row r="4325" spans="1:12">
      <c r="A4325" s="36"/>
      <c r="B4325" s="37"/>
      <c r="C4325" s="179"/>
      <c r="D4325" s="179"/>
      <c r="E4325" s="179"/>
      <c r="F4325" s="235"/>
      <c r="G4325" s="235"/>
      <c r="H4325" s="235"/>
      <c r="I4325" s="79"/>
      <c r="J4325" s="195"/>
      <c r="K4325" s="216"/>
      <c r="L4325" s="7"/>
    </row>
    <row r="4326" spans="1:12">
      <c r="A4326" s="36"/>
      <c r="B4326" s="37"/>
      <c r="C4326" s="179"/>
      <c r="D4326" s="179"/>
      <c r="E4326" s="179"/>
      <c r="F4326" s="235"/>
      <c r="G4326" s="235"/>
      <c r="H4326" s="235"/>
      <c r="I4326" s="79"/>
      <c r="J4326" s="195"/>
      <c r="K4326" s="216"/>
      <c r="L4326" s="7"/>
    </row>
    <row r="4327" spans="1:12">
      <c r="A4327" s="36"/>
      <c r="B4327" s="37"/>
      <c r="C4327" s="179"/>
      <c r="D4327" s="179"/>
      <c r="E4327" s="179"/>
      <c r="F4327" s="235"/>
      <c r="G4327" s="235"/>
      <c r="H4327" s="235"/>
      <c r="I4327" s="79"/>
      <c r="J4327" s="195"/>
      <c r="K4327" s="216"/>
      <c r="L4327" s="7"/>
    </row>
    <row r="4328" spans="1:12">
      <c r="A4328" s="36"/>
      <c r="B4328" s="37"/>
      <c r="C4328" s="179"/>
      <c r="D4328" s="179"/>
      <c r="E4328" s="179"/>
      <c r="F4328" s="235"/>
      <c r="G4328" s="235"/>
      <c r="H4328" s="235"/>
      <c r="I4328" s="79"/>
      <c r="J4328" s="185"/>
      <c r="K4328" s="216"/>
      <c r="L4328" s="7"/>
    </row>
    <row r="4329" spans="1:12">
      <c r="A4329" s="36"/>
      <c r="B4329" s="37"/>
      <c r="C4329" s="179"/>
      <c r="D4329" s="179"/>
      <c r="E4329" s="179"/>
      <c r="F4329" s="235"/>
      <c r="G4329" s="235"/>
      <c r="H4329" s="235"/>
      <c r="I4329" s="79"/>
      <c r="J4329" s="185"/>
      <c r="K4329" s="216"/>
      <c r="L4329" s="7"/>
    </row>
    <row r="4330" spans="1:12">
      <c r="A4330" s="36"/>
      <c r="B4330" s="37"/>
      <c r="C4330" s="179"/>
      <c r="D4330" s="179"/>
      <c r="E4330" s="179"/>
      <c r="F4330" s="235"/>
      <c r="G4330" s="235"/>
      <c r="H4330" s="235"/>
      <c r="I4330" s="79"/>
      <c r="J4330" s="185"/>
      <c r="K4330" s="216"/>
      <c r="L4330" s="82"/>
    </row>
    <row r="4331" spans="1:12">
      <c r="A4331" s="36"/>
      <c r="B4331" s="37"/>
      <c r="C4331" s="179"/>
      <c r="D4331" s="179"/>
      <c r="E4331" s="179"/>
      <c r="F4331" s="235"/>
      <c r="G4331" s="235"/>
      <c r="H4331" s="235"/>
      <c r="I4331" s="79"/>
      <c r="J4331" s="185"/>
      <c r="K4331" s="216"/>
      <c r="L4331" s="7"/>
    </row>
    <row r="4332" spans="1:12">
      <c r="A4332" s="36"/>
      <c r="B4332" s="37"/>
      <c r="C4332" s="179"/>
      <c r="D4332" s="179"/>
      <c r="E4332" s="179"/>
      <c r="F4332" s="235"/>
      <c r="G4332" s="235"/>
      <c r="H4332" s="235"/>
      <c r="I4332" s="79"/>
      <c r="J4332" s="185"/>
      <c r="K4332" s="216"/>
      <c r="L4332" s="7"/>
    </row>
    <row r="4333" spans="1:12">
      <c r="A4333" s="21"/>
      <c r="B4333" s="21"/>
      <c r="C4333" s="175"/>
      <c r="D4333" s="175"/>
      <c r="E4333" s="175"/>
      <c r="F4333" s="234"/>
      <c r="G4333" s="234"/>
      <c r="H4333" s="234"/>
      <c r="I4333" s="63"/>
      <c r="J4333" s="190"/>
      <c r="K4333" s="208"/>
      <c r="L4333" s="7"/>
    </row>
    <row r="4334" spans="1:12">
      <c r="A4334" s="21"/>
      <c r="B4334" s="21"/>
      <c r="C4334" s="175"/>
      <c r="D4334" s="175"/>
      <c r="E4334" s="175"/>
      <c r="F4334" s="234"/>
      <c r="G4334" s="234"/>
      <c r="H4334" s="234"/>
      <c r="I4334" s="63"/>
      <c r="J4334" s="190"/>
      <c r="K4334" s="208"/>
      <c r="L4334" s="7"/>
    </row>
    <row r="4335" spans="1:12">
      <c r="A4335" s="36"/>
      <c r="B4335" s="37"/>
      <c r="C4335" s="179"/>
      <c r="D4335" s="179"/>
      <c r="E4335" s="179"/>
      <c r="F4335" s="235"/>
      <c r="G4335" s="235"/>
      <c r="H4335" s="235"/>
      <c r="I4335" s="79"/>
      <c r="J4335" s="185"/>
      <c r="K4335" s="216"/>
      <c r="L4335" s="7"/>
    </row>
    <row r="4336" spans="1:12">
      <c r="A4336" s="36"/>
      <c r="B4336" s="37"/>
      <c r="C4336" s="179"/>
      <c r="D4336" s="179"/>
      <c r="E4336" s="179"/>
      <c r="F4336" s="235"/>
      <c r="G4336" s="235"/>
      <c r="H4336" s="235"/>
      <c r="I4336" s="79"/>
      <c r="J4336" s="185"/>
      <c r="K4336" s="216"/>
      <c r="L4336" s="7"/>
    </row>
    <row r="4337" spans="1:12">
      <c r="A4337" s="36"/>
      <c r="B4337" s="37"/>
      <c r="C4337" s="179"/>
      <c r="D4337" s="179"/>
      <c r="E4337" s="179"/>
      <c r="F4337" s="235"/>
      <c r="G4337" s="235"/>
      <c r="H4337" s="235"/>
      <c r="I4337" s="79"/>
      <c r="J4337" s="185"/>
      <c r="K4337" s="216"/>
      <c r="L4337" s="7"/>
    </row>
    <row r="4338" spans="1:12">
      <c r="A4338" s="36"/>
      <c r="B4338" s="37"/>
      <c r="C4338" s="179"/>
      <c r="D4338" s="179"/>
      <c r="E4338" s="179"/>
      <c r="F4338" s="235"/>
      <c r="G4338" s="235"/>
      <c r="H4338" s="235"/>
      <c r="I4338" s="79"/>
      <c r="J4338" s="185"/>
      <c r="K4338" s="216"/>
      <c r="L4338" s="7"/>
    </row>
    <row r="4339" spans="1:12">
      <c r="A4339" s="36"/>
      <c r="B4339" s="37"/>
      <c r="C4339" s="179"/>
      <c r="D4339" s="179"/>
      <c r="E4339" s="179"/>
      <c r="F4339" s="235"/>
      <c r="G4339" s="235"/>
      <c r="H4339" s="235"/>
      <c r="I4339" s="79"/>
      <c r="J4339" s="185"/>
      <c r="K4339" s="216"/>
      <c r="L4339" s="7"/>
    </row>
    <row r="4340" spans="1:12">
      <c r="A4340" s="21"/>
      <c r="B4340" s="21"/>
      <c r="C4340" s="175"/>
      <c r="D4340" s="175"/>
      <c r="E4340" s="175"/>
      <c r="F4340" s="234"/>
      <c r="G4340" s="234"/>
      <c r="H4340" s="234"/>
      <c r="I4340" s="63"/>
      <c r="J4340" s="190"/>
      <c r="K4340" s="208"/>
      <c r="L4340" s="7"/>
    </row>
    <row r="4341" spans="1:12">
      <c r="A4341" s="21"/>
      <c r="B4341" s="21"/>
      <c r="C4341" s="175"/>
      <c r="D4341" s="175"/>
      <c r="E4341" s="175"/>
      <c r="F4341" s="234"/>
      <c r="G4341" s="234"/>
      <c r="H4341" s="234"/>
      <c r="I4341" s="63"/>
      <c r="J4341" s="190"/>
      <c r="K4341" s="208"/>
      <c r="L4341" s="7"/>
    </row>
    <row r="4342" spans="1:12">
      <c r="A4342" s="21"/>
      <c r="B4342" s="21"/>
      <c r="C4342" s="175"/>
      <c r="D4342" s="175"/>
      <c r="E4342" s="175"/>
      <c r="F4342" s="234"/>
      <c r="G4342" s="234"/>
      <c r="H4342" s="234"/>
      <c r="I4342" s="63"/>
      <c r="J4342" s="190"/>
      <c r="K4342" s="208"/>
      <c r="L4342" s="7"/>
    </row>
    <row r="4343" spans="1:12">
      <c r="A4343" s="36"/>
      <c r="B4343" s="37"/>
      <c r="C4343" s="179"/>
      <c r="D4343" s="179"/>
      <c r="E4343" s="179"/>
      <c r="F4343" s="235"/>
      <c r="G4343" s="235"/>
      <c r="H4343" s="235"/>
      <c r="I4343" s="79"/>
      <c r="J4343" s="185"/>
      <c r="K4343" s="216"/>
      <c r="L4343" s="7"/>
    </row>
    <row r="4344" spans="1:12">
      <c r="A4344" s="21"/>
      <c r="B4344" s="21"/>
      <c r="C4344" s="175"/>
      <c r="D4344" s="175"/>
      <c r="E4344" s="175"/>
      <c r="F4344" s="234"/>
      <c r="G4344" s="234"/>
      <c r="H4344" s="234"/>
      <c r="I4344" s="63"/>
      <c r="J4344" s="190"/>
      <c r="K4344" s="208"/>
      <c r="L4344" s="7"/>
    </row>
    <row r="4345" spans="1:12">
      <c r="A4345" s="21"/>
      <c r="B4345" s="21"/>
      <c r="C4345" s="175"/>
      <c r="D4345" s="175"/>
      <c r="E4345" s="175"/>
      <c r="F4345" s="234"/>
      <c r="G4345" s="234"/>
      <c r="H4345" s="234"/>
      <c r="I4345" s="63"/>
      <c r="J4345" s="190"/>
      <c r="K4345" s="208"/>
      <c r="L4345" s="7"/>
    </row>
    <row r="4346" spans="1:12">
      <c r="A4346" s="21"/>
      <c r="B4346" s="21"/>
      <c r="C4346" s="175"/>
      <c r="D4346" s="175"/>
      <c r="E4346" s="175"/>
      <c r="F4346" s="234"/>
      <c r="G4346" s="234"/>
      <c r="H4346" s="234"/>
      <c r="I4346" s="63"/>
      <c r="J4346" s="190"/>
      <c r="K4346" s="208"/>
      <c r="L4346" s="59"/>
    </row>
    <row r="4347" spans="1:12">
      <c r="A4347" s="36"/>
      <c r="B4347" s="37"/>
      <c r="C4347" s="179"/>
      <c r="D4347" s="179"/>
      <c r="E4347" s="179"/>
      <c r="F4347" s="235"/>
      <c r="G4347" s="235"/>
      <c r="H4347" s="235"/>
      <c r="I4347" s="79"/>
      <c r="J4347" s="185"/>
      <c r="K4347" s="216"/>
      <c r="L4347" s="7"/>
    </row>
    <row r="4348" spans="1:12">
      <c r="A4348" s="36"/>
      <c r="B4348" s="37"/>
      <c r="C4348" s="179"/>
      <c r="D4348" s="179"/>
      <c r="E4348" s="179"/>
      <c r="F4348" s="235"/>
      <c r="G4348" s="235"/>
      <c r="H4348" s="235"/>
      <c r="I4348" s="79"/>
      <c r="J4348" s="185"/>
      <c r="K4348" s="216"/>
      <c r="L4348" s="7"/>
    </row>
    <row r="4349" spans="1:12">
      <c r="A4349" s="36"/>
      <c r="B4349" s="37"/>
      <c r="C4349" s="179"/>
      <c r="D4349" s="179"/>
      <c r="E4349" s="179"/>
      <c r="F4349" s="235"/>
      <c r="G4349" s="235"/>
      <c r="H4349" s="235"/>
      <c r="I4349" s="79"/>
      <c r="J4349" s="185"/>
      <c r="K4349" s="216"/>
      <c r="L4349" s="7"/>
    </row>
    <row r="4350" spans="1:12">
      <c r="A4350" s="36"/>
      <c r="B4350" s="37"/>
      <c r="C4350" s="179"/>
      <c r="D4350" s="179"/>
      <c r="E4350" s="179"/>
      <c r="F4350" s="235"/>
      <c r="G4350" s="235"/>
      <c r="H4350" s="235"/>
      <c r="I4350" s="79"/>
      <c r="J4350" s="185"/>
      <c r="K4350" s="216"/>
      <c r="L4350" s="7"/>
    </row>
    <row r="4351" spans="1:12">
      <c r="A4351" s="36"/>
      <c r="B4351" s="37"/>
      <c r="C4351" s="179"/>
      <c r="D4351" s="179"/>
      <c r="E4351" s="179"/>
      <c r="F4351" s="235"/>
      <c r="G4351" s="235"/>
      <c r="H4351" s="235"/>
      <c r="I4351" s="79"/>
      <c r="J4351" s="191"/>
      <c r="K4351" s="216"/>
      <c r="L4351" s="83"/>
    </row>
    <row r="4352" spans="1:12">
      <c r="A4352" s="36"/>
      <c r="B4352" s="37"/>
      <c r="C4352" s="179"/>
      <c r="D4352" s="179"/>
      <c r="E4352" s="179"/>
      <c r="F4352" s="235"/>
      <c r="G4352" s="235"/>
      <c r="H4352" s="235"/>
      <c r="I4352" s="79"/>
      <c r="J4352" s="185"/>
      <c r="K4352" s="216"/>
      <c r="L4352" s="84"/>
    </row>
    <row r="4353" spans="1:12">
      <c r="A4353" s="36"/>
      <c r="B4353" s="37"/>
      <c r="C4353" s="179"/>
      <c r="D4353" s="179"/>
      <c r="E4353" s="179"/>
      <c r="F4353" s="235"/>
      <c r="G4353" s="235"/>
      <c r="H4353" s="235"/>
      <c r="I4353" s="79"/>
      <c r="J4353" s="185"/>
      <c r="K4353" s="216"/>
      <c r="L4353" s="59"/>
    </row>
    <row r="4354" spans="1:12">
      <c r="A4354" s="36"/>
      <c r="B4354" s="37"/>
      <c r="C4354" s="179"/>
      <c r="D4354" s="179"/>
      <c r="E4354" s="179"/>
      <c r="F4354" s="235"/>
      <c r="G4354" s="235"/>
      <c r="H4354" s="235"/>
      <c r="I4354" s="79"/>
      <c r="J4354" s="185"/>
      <c r="K4354" s="216"/>
      <c r="L4354" s="59"/>
    </row>
    <row r="4355" spans="1:12">
      <c r="A4355" s="36"/>
      <c r="B4355" s="37"/>
      <c r="C4355" s="179"/>
      <c r="D4355" s="179"/>
      <c r="E4355" s="179"/>
      <c r="F4355" s="235"/>
      <c r="G4355" s="235"/>
      <c r="H4355" s="235"/>
      <c r="I4355" s="79"/>
      <c r="J4355" s="185"/>
      <c r="K4355" s="216"/>
      <c r="L4355" s="59"/>
    </row>
    <row r="4356" spans="1:12">
      <c r="A4356" s="36"/>
      <c r="B4356" s="37"/>
      <c r="C4356" s="179"/>
      <c r="D4356" s="179"/>
      <c r="E4356" s="179"/>
      <c r="F4356" s="235"/>
      <c r="G4356" s="235"/>
      <c r="H4356" s="235"/>
      <c r="I4356" s="79"/>
      <c r="J4356" s="185"/>
      <c r="K4356" s="216"/>
      <c r="L4356" s="59"/>
    </row>
    <row r="4357" spans="1:12">
      <c r="A4357" s="36"/>
      <c r="B4357" s="37"/>
      <c r="C4357" s="179"/>
      <c r="D4357" s="179"/>
      <c r="E4357" s="179"/>
      <c r="F4357" s="235"/>
      <c r="G4357" s="235"/>
      <c r="H4357" s="235"/>
      <c r="I4357" s="79"/>
      <c r="J4357" s="185"/>
      <c r="K4357" s="216"/>
      <c r="L4357" s="59"/>
    </row>
    <row r="4358" spans="1:12">
      <c r="A4358" s="36"/>
      <c r="B4358" s="37"/>
      <c r="C4358" s="179"/>
      <c r="D4358" s="179"/>
      <c r="E4358" s="179"/>
      <c r="F4358" s="235"/>
      <c r="G4358" s="235"/>
      <c r="H4358" s="235"/>
      <c r="I4358" s="79"/>
      <c r="J4358" s="185"/>
      <c r="K4358" s="216"/>
      <c r="L4358" s="59"/>
    </row>
    <row r="4359" spans="1:12">
      <c r="A4359" s="36"/>
      <c r="B4359" s="37"/>
      <c r="C4359" s="179"/>
      <c r="D4359" s="179"/>
      <c r="E4359" s="179"/>
      <c r="F4359" s="235"/>
      <c r="G4359" s="235"/>
      <c r="H4359" s="235"/>
      <c r="I4359" s="79"/>
      <c r="J4359" s="185"/>
      <c r="K4359" s="216"/>
      <c r="L4359" s="59"/>
    </row>
    <row r="4360" spans="1:12">
      <c r="A4360" s="36"/>
      <c r="B4360" s="37"/>
      <c r="C4360" s="179"/>
      <c r="D4360" s="179"/>
      <c r="E4360" s="179"/>
      <c r="F4360" s="235"/>
      <c r="G4360" s="235"/>
      <c r="H4360" s="235"/>
      <c r="I4360" s="79"/>
      <c r="J4360" s="185"/>
      <c r="K4360" s="216"/>
      <c r="L4360" s="59"/>
    </row>
    <row r="4361" spans="1:12">
      <c r="A4361" s="36"/>
      <c r="B4361" s="37"/>
      <c r="C4361" s="179"/>
      <c r="D4361" s="179"/>
      <c r="E4361" s="179"/>
      <c r="F4361" s="235"/>
      <c r="G4361" s="235"/>
      <c r="H4361" s="235"/>
      <c r="I4361" s="79"/>
      <c r="J4361" s="185"/>
      <c r="K4361" s="216"/>
      <c r="L4361" s="59"/>
    </row>
    <row r="4362" spans="1:12">
      <c r="A4362" s="36"/>
      <c r="B4362" s="37"/>
      <c r="C4362" s="179"/>
      <c r="D4362" s="179"/>
      <c r="E4362" s="179"/>
      <c r="F4362" s="235"/>
      <c r="G4362" s="235"/>
      <c r="H4362" s="235"/>
      <c r="I4362" s="79"/>
      <c r="J4362" s="185"/>
      <c r="K4362" s="216"/>
      <c r="L4362" s="59"/>
    </row>
    <row r="4363" spans="1:12">
      <c r="A4363" s="36"/>
      <c r="B4363" s="37"/>
      <c r="C4363" s="179"/>
      <c r="D4363" s="179"/>
      <c r="E4363" s="179"/>
      <c r="F4363" s="235"/>
      <c r="G4363" s="235"/>
      <c r="H4363" s="235"/>
      <c r="I4363" s="79"/>
      <c r="J4363" s="185"/>
      <c r="K4363" s="216"/>
      <c r="L4363" s="59"/>
    </row>
    <row r="4364" spans="1:12">
      <c r="A4364" s="36"/>
      <c r="B4364" s="37"/>
      <c r="C4364" s="179"/>
      <c r="D4364" s="179"/>
      <c r="E4364" s="179"/>
      <c r="F4364" s="235"/>
      <c r="G4364" s="235"/>
      <c r="H4364" s="235"/>
      <c r="I4364" s="79"/>
      <c r="J4364" s="185"/>
      <c r="K4364" s="216"/>
      <c r="L4364" s="59"/>
    </row>
    <row r="4365" spans="1:12">
      <c r="A4365" s="36"/>
      <c r="B4365" s="37"/>
      <c r="C4365" s="179"/>
      <c r="D4365" s="179"/>
      <c r="E4365" s="179"/>
      <c r="F4365" s="235"/>
      <c r="G4365" s="235"/>
      <c r="H4365" s="235"/>
      <c r="I4365" s="79"/>
      <c r="J4365" s="185"/>
      <c r="K4365" s="216"/>
      <c r="L4365" s="59"/>
    </row>
    <row r="4366" spans="1:12">
      <c r="A4366" s="36"/>
      <c r="B4366" s="37"/>
      <c r="C4366" s="179"/>
      <c r="D4366" s="179"/>
      <c r="E4366" s="179"/>
      <c r="F4366" s="235"/>
      <c r="G4366" s="235"/>
      <c r="H4366" s="235"/>
      <c r="I4366" s="79"/>
      <c r="J4366" s="185"/>
      <c r="K4366" s="216"/>
      <c r="L4366" s="59"/>
    </row>
    <row r="4367" spans="1:12">
      <c r="A4367" s="36"/>
      <c r="B4367" s="37"/>
      <c r="C4367" s="179"/>
      <c r="D4367" s="179"/>
      <c r="E4367" s="179"/>
      <c r="F4367" s="235"/>
      <c r="G4367" s="235"/>
      <c r="H4367" s="235"/>
      <c r="I4367" s="79"/>
      <c r="J4367" s="185"/>
      <c r="K4367" s="216"/>
      <c r="L4367" s="59"/>
    </row>
    <row r="4368" spans="1:12">
      <c r="A4368" s="36"/>
      <c r="B4368" s="37"/>
      <c r="C4368" s="179"/>
      <c r="D4368" s="179"/>
      <c r="E4368" s="179"/>
      <c r="F4368" s="235"/>
      <c r="G4368" s="235"/>
      <c r="H4368" s="235"/>
      <c r="I4368" s="79"/>
      <c r="J4368" s="185"/>
      <c r="K4368" s="216"/>
      <c r="L4368" s="59"/>
    </row>
    <row r="4369" spans="1:12">
      <c r="A4369" s="36"/>
      <c r="B4369" s="37"/>
      <c r="C4369" s="179"/>
      <c r="D4369" s="179"/>
      <c r="E4369" s="179"/>
      <c r="F4369" s="235"/>
      <c r="G4369" s="235"/>
      <c r="H4369" s="235"/>
      <c r="I4369" s="79"/>
      <c r="J4369" s="185"/>
      <c r="K4369" s="216"/>
      <c r="L4369" s="59"/>
    </row>
    <row r="4370" spans="1:12">
      <c r="A4370" s="36"/>
      <c r="B4370" s="37"/>
      <c r="C4370" s="179"/>
      <c r="D4370" s="179"/>
      <c r="E4370" s="179"/>
      <c r="F4370" s="235"/>
      <c r="G4370" s="235"/>
      <c r="H4370" s="235"/>
      <c r="I4370" s="79"/>
      <c r="J4370" s="185"/>
      <c r="K4370" s="216"/>
      <c r="L4370" s="59"/>
    </row>
    <row r="4371" spans="1:12">
      <c r="A4371" s="36"/>
      <c r="B4371" s="37"/>
      <c r="C4371" s="179"/>
      <c r="D4371" s="179"/>
      <c r="E4371" s="179"/>
      <c r="F4371" s="235"/>
      <c r="G4371" s="235"/>
      <c r="H4371" s="235"/>
      <c r="I4371" s="79"/>
      <c r="J4371" s="185"/>
      <c r="K4371" s="216"/>
      <c r="L4371" s="59"/>
    </row>
    <row r="4372" spans="1:12">
      <c r="A4372" s="36"/>
      <c r="B4372" s="37"/>
      <c r="C4372" s="179"/>
      <c r="D4372" s="179"/>
      <c r="E4372" s="179"/>
      <c r="F4372" s="235"/>
      <c r="G4372" s="235"/>
      <c r="H4372" s="235"/>
      <c r="I4372" s="79"/>
      <c r="J4372" s="185"/>
      <c r="K4372" s="216"/>
      <c r="L4372" s="83"/>
    </row>
    <row r="4373" spans="1:12">
      <c r="A4373" s="36"/>
      <c r="B4373" s="37"/>
      <c r="C4373" s="179"/>
      <c r="D4373" s="179"/>
      <c r="E4373" s="179"/>
      <c r="F4373" s="235"/>
      <c r="G4373" s="235"/>
      <c r="H4373" s="235"/>
      <c r="I4373" s="79"/>
      <c r="J4373" s="185"/>
      <c r="K4373" s="216"/>
      <c r="L4373" s="83"/>
    </row>
    <row r="4374" spans="1:12">
      <c r="A4374" s="36"/>
      <c r="B4374" s="37"/>
      <c r="C4374" s="179"/>
      <c r="D4374" s="179"/>
      <c r="E4374" s="179"/>
      <c r="F4374" s="235"/>
      <c r="G4374" s="235"/>
      <c r="H4374" s="235"/>
      <c r="I4374" s="79"/>
      <c r="J4374" s="185"/>
      <c r="K4374" s="216"/>
      <c r="L4374" s="59"/>
    </row>
    <row r="4375" spans="1:12">
      <c r="A4375" s="21"/>
      <c r="B4375" s="21"/>
      <c r="C4375" s="175"/>
      <c r="D4375" s="175"/>
      <c r="E4375" s="175"/>
      <c r="F4375" s="234"/>
      <c r="G4375" s="234"/>
      <c r="H4375" s="234"/>
      <c r="I4375" s="63"/>
      <c r="J4375" s="190"/>
      <c r="K4375" s="208"/>
      <c r="L4375" s="59"/>
    </row>
    <row r="4376" spans="1:12">
      <c r="A4376" s="36"/>
      <c r="B4376" s="37"/>
      <c r="C4376" s="179"/>
      <c r="D4376" s="179"/>
      <c r="E4376" s="179"/>
      <c r="F4376" s="235"/>
      <c r="G4376" s="235"/>
      <c r="H4376" s="235"/>
      <c r="I4376" s="79"/>
      <c r="J4376" s="185"/>
      <c r="K4376" s="216"/>
      <c r="L4376" s="4"/>
    </row>
    <row r="4377" spans="1:12">
      <c r="A4377" s="36"/>
      <c r="B4377" s="37"/>
      <c r="C4377" s="179"/>
      <c r="D4377" s="179"/>
      <c r="E4377" s="179"/>
      <c r="F4377" s="235"/>
      <c r="G4377" s="235"/>
      <c r="H4377" s="235"/>
      <c r="I4377" s="79"/>
      <c r="J4377" s="185"/>
      <c r="K4377" s="216"/>
      <c r="L4377" s="2"/>
    </row>
    <row r="4378" spans="1:12">
      <c r="A4378" s="36"/>
      <c r="B4378" s="37"/>
      <c r="C4378" s="179"/>
      <c r="D4378" s="179"/>
      <c r="E4378" s="179"/>
      <c r="F4378" s="235"/>
      <c r="G4378" s="235"/>
      <c r="H4378" s="235"/>
      <c r="I4378" s="79"/>
      <c r="J4378" s="185"/>
      <c r="K4378" s="216"/>
      <c r="L4378" s="59"/>
    </row>
    <row r="4379" spans="1:12">
      <c r="A4379" s="36"/>
      <c r="B4379" s="37"/>
      <c r="C4379" s="179"/>
      <c r="D4379" s="179"/>
      <c r="E4379" s="179"/>
      <c r="F4379" s="235"/>
      <c r="G4379" s="235"/>
      <c r="H4379" s="235"/>
      <c r="I4379" s="79"/>
      <c r="J4379" s="185"/>
      <c r="K4379" s="216"/>
      <c r="L4379" s="59"/>
    </row>
    <row r="4380" spans="1:12">
      <c r="A4380" s="36"/>
      <c r="B4380" s="37"/>
      <c r="C4380" s="179"/>
      <c r="D4380" s="179"/>
      <c r="E4380" s="179"/>
      <c r="F4380" s="235"/>
      <c r="G4380" s="235"/>
      <c r="H4380" s="235"/>
      <c r="I4380" s="79"/>
      <c r="J4380" s="185"/>
      <c r="K4380" s="216"/>
      <c r="L4380" s="59"/>
    </row>
    <row r="4381" spans="1:12">
      <c r="A4381" s="36"/>
      <c r="B4381" s="37"/>
      <c r="C4381" s="179"/>
      <c r="D4381" s="179"/>
      <c r="E4381" s="179"/>
      <c r="F4381" s="235"/>
      <c r="G4381" s="235"/>
      <c r="H4381" s="235"/>
      <c r="I4381" s="79"/>
      <c r="J4381" s="185"/>
      <c r="K4381" s="216"/>
      <c r="L4381" s="59"/>
    </row>
    <row r="4382" spans="1:12">
      <c r="A4382" s="36"/>
      <c r="B4382" s="37"/>
      <c r="C4382" s="179"/>
      <c r="D4382" s="179"/>
      <c r="E4382" s="179"/>
      <c r="F4382" s="235"/>
      <c r="G4382" s="235"/>
      <c r="H4382" s="235"/>
      <c r="I4382" s="79"/>
      <c r="J4382" s="185"/>
      <c r="K4382" s="216"/>
      <c r="L4382" s="59"/>
    </row>
    <row r="4383" spans="1:12">
      <c r="A4383" s="36"/>
      <c r="B4383" s="37"/>
      <c r="C4383" s="179"/>
      <c r="D4383" s="179"/>
      <c r="E4383" s="179"/>
      <c r="F4383" s="235"/>
      <c r="G4383" s="235"/>
      <c r="H4383" s="235"/>
      <c r="I4383" s="79"/>
      <c r="J4383" s="185"/>
      <c r="K4383" s="216"/>
      <c r="L4383" s="59"/>
    </row>
    <row r="4384" spans="1:12">
      <c r="A4384" s="36"/>
      <c r="B4384" s="37"/>
      <c r="C4384" s="179"/>
      <c r="D4384" s="179"/>
      <c r="E4384" s="179"/>
      <c r="F4384" s="235"/>
      <c r="G4384" s="235"/>
      <c r="H4384" s="235"/>
      <c r="I4384" s="79"/>
      <c r="J4384" s="185"/>
      <c r="K4384" s="216"/>
      <c r="L4384" s="59"/>
    </row>
    <row r="4385" spans="1:12">
      <c r="A4385" s="36"/>
      <c r="B4385" s="37"/>
      <c r="C4385" s="179"/>
      <c r="D4385" s="179"/>
      <c r="E4385" s="179"/>
      <c r="F4385" s="235"/>
      <c r="G4385" s="235"/>
      <c r="H4385" s="235"/>
      <c r="I4385" s="79"/>
      <c r="J4385" s="185"/>
      <c r="K4385" s="216"/>
      <c r="L4385" s="59"/>
    </row>
    <row r="4386" spans="1:12">
      <c r="A4386" s="36"/>
      <c r="B4386" s="37"/>
      <c r="C4386" s="179"/>
      <c r="D4386" s="179"/>
      <c r="E4386" s="179"/>
      <c r="F4386" s="235"/>
      <c r="G4386" s="235"/>
      <c r="H4386" s="235"/>
      <c r="I4386" s="79"/>
      <c r="J4386" s="185"/>
      <c r="K4386" s="216"/>
      <c r="L4386" s="59"/>
    </row>
    <row r="4387" spans="1:12">
      <c r="A4387" s="36"/>
      <c r="B4387" s="37"/>
      <c r="C4387" s="179"/>
      <c r="D4387" s="179"/>
      <c r="E4387" s="179"/>
      <c r="F4387" s="235"/>
      <c r="G4387" s="235"/>
      <c r="H4387" s="235"/>
      <c r="I4387" s="79"/>
      <c r="J4387" s="185"/>
      <c r="K4387" s="216"/>
      <c r="L4387" s="59"/>
    </row>
    <row r="4388" spans="1:12">
      <c r="A4388" s="36"/>
      <c r="B4388" s="37"/>
      <c r="C4388" s="179"/>
      <c r="D4388" s="179"/>
      <c r="E4388" s="179"/>
      <c r="F4388" s="235"/>
      <c r="G4388" s="235"/>
      <c r="H4388" s="235"/>
      <c r="I4388" s="79"/>
      <c r="J4388" s="185"/>
      <c r="K4388" s="216"/>
      <c r="L4388" s="59"/>
    </row>
    <row r="4389" spans="1:12">
      <c r="A4389" s="36"/>
      <c r="B4389" s="37"/>
      <c r="C4389" s="179"/>
      <c r="D4389" s="179"/>
      <c r="E4389" s="179"/>
      <c r="F4389" s="235"/>
      <c r="G4389" s="235"/>
      <c r="H4389" s="235"/>
      <c r="I4389" s="79"/>
      <c r="J4389" s="185"/>
      <c r="K4389" s="216"/>
      <c r="L4389" s="59"/>
    </row>
    <row r="4390" spans="1:12">
      <c r="A4390" s="36"/>
      <c r="B4390" s="37"/>
      <c r="C4390" s="179"/>
      <c r="D4390" s="179"/>
      <c r="E4390" s="179"/>
      <c r="F4390" s="235"/>
      <c r="G4390" s="235"/>
      <c r="H4390" s="235"/>
      <c r="I4390" s="79"/>
      <c r="J4390" s="185"/>
      <c r="K4390" s="216"/>
      <c r="L4390" s="59"/>
    </row>
    <row r="4391" spans="1:12">
      <c r="A4391" s="36"/>
      <c r="B4391" s="37"/>
      <c r="C4391" s="179"/>
      <c r="D4391" s="179"/>
      <c r="E4391" s="179"/>
      <c r="F4391" s="235"/>
      <c r="G4391" s="235"/>
      <c r="H4391" s="235"/>
      <c r="I4391" s="79"/>
      <c r="J4391" s="185"/>
      <c r="K4391" s="216"/>
      <c r="L4391" s="59"/>
    </row>
    <row r="4392" spans="1:12">
      <c r="A4392" s="36"/>
      <c r="B4392" s="37"/>
      <c r="C4392" s="179"/>
      <c r="D4392" s="179"/>
      <c r="E4392" s="179"/>
      <c r="F4392" s="235"/>
      <c r="G4392" s="235"/>
      <c r="H4392" s="235"/>
      <c r="I4392" s="79"/>
      <c r="J4392" s="185"/>
      <c r="K4392" s="216"/>
      <c r="L4392" s="59"/>
    </row>
    <row r="4393" spans="1:12">
      <c r="A4393" s="21"/>
      <c r="B4393" s="21"/>
      <c r="C4393" s="175"/>
      <c r="D4393" s="175"/>
      <c r="E4393" s="175"/>
      <c r="F4393" s="234"/>
      <c r="G4393" s="234"/>
      <c r="H4393" s="234"/>
      <c r="I4393" s="63"/>
      <c r="J4393" s="190"/>
      <c r="K4393" s="208"/>
      <c r="L4393" s="59"/>
    </row>
    <row r="4394" spans="1:12">
      <c r="A4394" s="36"/>
      <c r="B4394" s="37"/>
      <c r="C4394" s="179"/>
      <c r="D4394" s="179"/>
      <c r="E4394" s="179"/>
      <c r="F4394" s="235"/>
      <c r="G4394" s="235"/>
      <c r="H4394" s="235"/>
      <c r="I4394" s="79"/>
      <c r="J4394" s="185"/>
      <c r="K4394" s="216"/>
      <c r="L4394" s="59"/>
    </row>
    <row r="4395" spans="1:12">
      <c r="A4395" s="21"/>
      <c r="B4395" s="21"/>
      <c r="C4395" s="175"/>
      <c r="D4395" s="175"/>
      <c r="E4395" s="175"/>
      <c r="F4395" s="234"/>
      <c r="G4395" s="234"/>
      <c r="H4395" s="234"/>
      <c r="I4395" s="63"/>
      <c r="J4395" s="190"/>
      <c r="K4395" s="208"/>
      <c r="L4395" s="59"/>
    </row>
    <row r="4396" spans="1:12">
      <c r="A4396" s="21"/>
      <c r="B4396" s="21"/>
      <c r="C4396" s="175"/>
      <c r="D4396" s="175"/>
      <c r="E4396" s="175"/>
      <c r="F4396" s="234"/>
      <c r="G4396" s="234"/>
      <c r="H4396" s="234"/>
      <c r="I4396" s="63"/>
      <c r="J4396" s="189"/>
      <c r="K4396" s="208"/>
      <c r="L4396" s="59"/>
    </row>
    <row r="4397" spans="1:12">
      <c r="A4397" s="36"/>
      <c r="B4397" s="37"/>
      <c r="C4397" s="179"/>
      <c r="D4397" s="179"/>
      <c r="E4397" s="179"/>
      <c r="F4397" s="235"/>
      <c r="G4397" s="235"/>
      <c r="H4397" s="235"/>
      <c r="I4397" s="79"/>
      <c r="J4397" s="185"/>
      <c r="K4397" s="216"/>
      <c r="L4397" s="59"/>
    </row>
    <row r="4398" spans="1:12">
      <c r="A4398" s="23"/>
      <c r="B4398" s="14"/>
      <c r="C4398" s="180"/>
      <c r="D4398" s="180"/>
      <c r="E4398" s="180"/>
      <c r="F4398" s="236"/>
      <c r="G4398" s="236"/>
      <c r="H4398" s="236"/>
      <c r="I4398" s="73"/>
      <c r="J4398" s="191"/>
      <c r="K4398" s="207"/>
      <c r="L4398" s="59"/>
    </row>
    <row r="4399" spans="1:12">
      <c r="A4399" s="36"/>
      <c r="B4399" s="37"/>
      <c r="C4399" s="179"/>
      <c r="D4399" s="179"/>
      <c r="E4399" s="179"/>
      <c r="F4399" s="235"/>
      <c r="G4399" s="235"/>
      <c r="H4399" s="235"/>
      <c r="I4399" s="79"/>
      <c r="J4399" s="185"/>
      <c r="K4399" s="216"/>
      <c r="L4399" s="59"/>
    </row>
    <row r="4400" spans="1:12">
      <c r="A4400" s="23"/>
      <c r="B4400" s="14"/>
      <c r="C4400" s="180"/>
      <c r="D4400" s="180"/>
      <c r="E4400" s="180"/>
      <c r="F4400" s="236"/>
      <c r="G4400" s="236"/>
      <c r="H4400" s="236"/>
      <c r="I4400" s="73"/>
      <c r="J4400" s="191"/>
      <c r="K4400" s="207"/>
      <c r="L4400" s="59"/>
    </row>
    <row r="4401" spans="1:12">
      <c r="A4401" s="36"/>
      <c r="B4401" s="37"/>
      <c r="C4401" s="179"/>
      <c r="D4401" s="179"/>
      <c r="E4401" s="179"/>
      <c r="F4401" s="235"/>
      <c r="G4401" s="235"/>
      <c r="H4401" s="235"/>
      <c r="I4401" s="79"/>
      <c r="J4401" s="185"/>
      <c r="K4401" s="216"/>
      <c r="L4401" s="59"/>
    </row>
    <row r="4402" spans="1:12">
      <c r="A4402" s="23"/>
      <c r="B4402" s="14"/>
      <c r="C4402" s="180"/>
      <c r="D4402" s="180"/>
      <c r="E4402" s="180"/>
      <c r="F4402" s="236"/>
      <c r="G4402" s="236"/>
      <c r="H4402" s="236"/>
      <c r="I4402" s="73"/>
      <c r="J4402" s="191"/>
      <c r="K4402" s="207"/>
      <c r="L4402" s="59"/>
    </row>
    <row r="4403" spans="1:12">
      <c r="A4403" s="36"/>
      <c r="B4403" s="37"/>
      <c r="C4403" s="179"/>
      <c r="D4403" s="179"/>
      <c r="E4403" s="179"/>
      <c r="F4403" s="235"/>
      <c r="G4403" s="235"/>
      <c r="H4403" s="235"/>
      <c r="I4403" s="79"/>
      <c r="J4403" s="185"/>
      <c r="K4403" s="216"/>
      <c r="L4403" s="59"/>
    </row>
    <row r="4404" spans="1:12">
      <c r="A4404" s="36"/>
      <c r="B4404" s="37"/>
      <c r="C4404" s="179"/>
      <c r="D4404" s="179"/>
      <c r="E4404" s="179"/>
      <c r="F4404" s="235"/>
      <c r="G4404" s="235"/>
      <c r="H4404" s="235"/>
      <c r="I4404" s="79"/>
      <c r="J4404" s="185"/>
      <c r="K4404" s="216"/>
      <c r="L4404" s="59"/>
    </row>
    <row r="4405" spans="1:12">
      <c r="A4405" s="36"/>
      <c r="B4405" s="37"/>
      <c r="C4405" s="179"/>
      <c r="D4405" s="179"/>
      <c r="E4405" s="179"/>
      <c r="F4405" s="235"/>
      <c r="G4405" s="235"/>
      <c r="H4405" s="235"/>
      <c r="I4405" s="79"/>
      <c r="J4405" s="185"/>
      <c r="K4405" s="216"/>
      <c r="L4405" s="59"/>
    </row>
    <row r="4406" spans="1:12">
      <c r="A4406" s="23"/>
      <c r="B4406" s="14"/>
      <c r="C4406" s="180"/>
      <c r="D4406" s="180"/>
      <c r="E4406" s="180"/>
      <c r="F4406" s="236"/>
      <c r="G4406" s="236"/>
      <c r="H4406" s="236"/>
      <c r="I4406" s="73"/>
      <c r="J4406" s="191"/>
      <c r="K4406" s="207"/>
      <c r="L4406" s="59"/>
    </row>
    <row r="4407" spans="1:12">
      <c r="A4407" s="36"/>
      <c r="B4407" s="37"/>
      <c r="C4407" s="179"/>
      <c r="D4407" s="179"/>
      <c r="E4407" s="179"/>
      <c r="F4407" s="235"/>
      <c r="G4407" s="235"/>
      <c r="H4407" s="235"/>
      <c r="I4407" s="79"/>
      <c r="J4407" s="185"/>
      <c r="K4407" s="216"/>
      <c r="L4407" s="59"/>
    </row>
    <row r="4408" spans="1:12">
      <c r="A4408" s="23"/>
      <c r="B4408" s="14"/>
      <c r="C4408" s="180"/>
      <c r="D4408" s="180"/>
      <c r="E4408" s="180"/>
      <c r="F4408" s="236"/>
      <c r="G4408" s="236"/>
      <c r="H4408" s="236"/>
      <c r="I4408" s="73"/>
      <c r="J4408" s="191"/>
      <c r="K4408" s="207"/>
      <c r="L4408" s="59"/>
    </row>
    <row r="4409" spans="1:12">
      <c r="A4409" s="36"/>
      <c r="B4409" s="37"/>
      <c r="C4409" s="179"/>
      <c r="D4409" s="179"/>
      <c r="E4409" s="179"/>
      <c r="F4409" s="235"/>
      <c r="G4409" s="235"/>
      <c r="H4409" s="235"/>
      <c r="I4409" s="79"/>
      <c r="J4409" s="185"/>
      <c r="K4409" s="216"/>
      <c r="L4409" s="59"/>
    </row>
    <row r="4410" spans="1:12">
      <c r="A4410" s="36"/>
      <c r="B4410" s="37"/>
      <c r="C4410" s="179"/>
      <c r="D4410" s="179"/>
      <c r="E4410" s="179"/>
      <c r="F4410" s="235"/>
      <c r="G4410" s="235"/>
      <c r="H4410" s="235"/>
      <c r="I4410" s="79"/>
      <c r="J4410" s="185"/>
      <c r="K4410" s="216"/>
      <c r="L4410" s="59"/>
    </row>
    <row r="4411" spans="1:12">
      <c r="A4411" s="36"/>
      <c r="B4411" s="37"/>
      <c r="C4411" s="179"/>
      <c r="D4411" s="179"/>
      <c r="E4411" s="179"/>
      <c r="F4411" s="235"/>
      <c r="G4411" s="235"/>
      <c r="H4411" s="235"/>
      <c r="I4411" s="79"/>
      <c r="J4411" s="185"/>
      <c r="K4411" s="216"/>
      <c r="L4411" s="59"/>
    </row>
    <row r="4412" spans="1:12">
      <c r="A4412" s="36"/>
      <c r="B4412" s="37"/>
      <c r="C4412" s="179"/>
      <c r="D4412" s="179"/>
      <c r="E4412" s="179"/>
      <c r="F4412" s="235"/>
      <c r="G4412" s="235"/>
      <c r="H4412" s="235"/>
      <c r="I4412" s="79"/>
      <c r="J4412" s="185"/>
      <c r="K4412" s="216"/>
      <c r="L4412" s="59"/>
    </row>
    <row r="4413" spans="1:12">
      <c r="A4413" s="36"/>
      <c r="B4413" s="37"/>
      <c r="C4413" s="179"/>
      <c r="D4413" s="179"/>
      <c r="E4413" s="179"/>
      <c r="F4413" s="235"/>
      <c r="G4413" s="235"/>
      <c r="H4413" s="235"/>
      <c r="I4413" s="79"/>
      <c r="J4413" s="185"/>
      <c r="K4413" s="216"/>
      <c r="L4413" s="59"/>
    </row>
    <row r="4414" spans="1:12">
      <c r="A4414" s="36"/>
      <c r="B4414" s="37"/>
      <c r="C4414" s="179"/>
      <c r="D4414" s="179"/>
      <c r="E4414" s="179"/>
      <c r="F4414" s="235"/>
      <c r="G4414" s="235"/>
      <c r="H4414" s="235"/>
      <c r="I4414" s="79"/>
      <c r="J4414" s="185"/>
      <c r="K4414" s="216"/>
      <c r="L4414" s="59"/>
    </row>
    <row r="4415" spans="1:12">
      <c r="A4415" s="36"/>
      <c r="B4415" s="37"/>
      <c r="C4415" s="179"/>
      <c r="D4415" s="179"/>
      <c r="E4415" s="179"/>
      <c r="F4415" s="235"/>
      <c r="G4415" s="235"/>
      <c r="H4415" s="235"/>
      <c r="I4415" s="79"/>
      <c r="J4415" s="185"/>
      <c r="K4415" s="216"/>
      <c r="L4415" s="59"/>
    </row>
    <row r="4416" spans="1:12">
      <c r="A4416" s="36"/>
      <c r="B4416" s="37"/>
      <c r="C4416" s="179"/>
      <c r="D4416" s="179"/>
      <c r="E4416" s="179"/>
      <c r="F4416" s="235"/>
      <c r="G4416" s="235"/>
      <c r="H4416" s="235"/>
      <c r="I4416" s="79"/>
      <c r="J4416" s="185"/>
      <c r="K4416" s="216"/>
      <c r="L4416" s="59"/>
    </row>
    <row r="4417" spans="1:12">
      <c r="A4417" s="36"/>
      <c r="B4417" s="37"/>
      <c r="C4417" s="179"/>
      <c r="D4417" s="179"/>
      <c r="E4417" s="179"/>
      <c r="F4417" s="235"/>
      <c r="G4417" s="235"/>
      <c r="H4417" s="235"/>
      <c r="I4417" s="79"/>
      <c r="J4417" s="185"/>
      <c r="K4417" s="216"/>
      <c r="L4417" s="59"/>
    </row>
    <row r="4418" spans="1:12">
      <c r="A4418" s="36"/>
      <c r="B4418" s="37"/>
      <c r="C4418" s="179"/>
      <c r="D4418" s="179"/>
      <c r="E4418" s="179"/>
      <c r="F4418" s="235"/>
      <c r="G4418" s="235"/>
      <c r="H4418" s="235"/>
      <c r="I4418" s="79"/>
      <c r="J4418" s="185"/>
      <c r="K4418" s="216"/>
      <c r="L4418" s="59"/>
    </row>
    <row r="4419" spans="1:12">
      <c r="A4419" s="36"/>
      <c r="B4419" s="37"/>
      <c r="C4419" s="179"/>
      <c r="D4419" s="179"/>
      <c r="E4419" s="179"/>
      <c r="F4419" s="235"/>
      <c r="G4419" s="235"/>
      <c r="H4419" s="235"/>
      <c r="I4419" s="79"/>
      <c r="J4419" s="191"/>
      <c r="K4419" s="216"/>
      <c r="L4419" s="59"/>
    </row>
    <row r="4420" spans="1:12">
      <c r="A4420" s="36"/>
      <c r="B4420" s="37"/>
      <c r="C4420" s="179"/>
      <c r="D4420" s="179"/>
      <c r="E4420" s="179"/>
      <c r="F4420" s="235"/>
      <c r="G4420" s="235"/>
      <c r="H4420" s="235"/>
      <c r="I4420" s="79"/>
      <c r="J4420" s="185"/>
      <c r="K4420" s="216"/>
      <c r="L4420" s="59"/>
    </row>
    <row r="4421" spans="1:12">
      <c r="A4421" s="36"/>
      <c r="B4421" s="37"/>
      <c r="C4421" s="179"/>
      <c r="D4421" s="179"/>
      <c r="E4421" s="179"/>
      <c r="F4421" s="235"/>
      <c r="G4421" s="235"/>
      <c r="H4421" s="235"/>
      <c r="I4421" s="79"/>
      <c r="J4421" s="185"/>
      <c r="K4421" s="216"/>
      <c r="L4421" s="59"/>
    </row>
    <row r="4422" spans="1:12">
      <c r="A4422" s="36"/>
      <c r="B4422" s="37"/>
      <c r="C4422" s="179"/>
      <c r="D4422" s="179"/>
      <c r="E4422" s="179"/>
      <c r="F4422" s="235"/>
      <c r="G4422" s="235"/>
      <c r="H4422" s="235"/>
      <c r="I4422" s="79"/>
      <c r="J4422" s="185"/>
      <c r="K4422" s="216"/>
      <c r="L4422" s="59"/>
    </row>
    <row r="4423" spans="1:12">
      <c r="A4423" s="36"/>
      <c r="B4423" s="37"/>
      <c r="C4423" s="179"/>
      <c r="D4423" s="179"/>
      <c r="E4423" s="179"/>
      <c r="F4423" s="235"/>
      <c r="G4423" s="235"/>
      <c r="H4423" s="235"/>
      <c r="I4423" s="79"/>
      <c r="J4423" s="185"/>
      <c r="K4423" s="216"/>
      <c r="L4423" s="59"/>
    </row>
    <row r="4424" spans="1:12">
      <c r="A4424" s="36"/>
      <c r="B4424" s="37"/>
      <c r="C4424" s="179"/>
      <c r="D4424" s="179"/>
      <c r="E4424" s="179"/>
      <c r="F4424" s="235"/>
      <c r="G4424" s="235"/>
      <c r="H4424" s="235"/>
      <c r="I4424" s="79"/>
      <c r="J4424" s="185"/>
      <c r="K4424" s="216"/>
      <c r="L4424" s="59"/>
    </row>
    <row r="4425" spans="1:12">
      <c r="A4425" s="36"/>
      <c r="B4425" s="37"/>
      <c r="C4425" s="179"/>
      <c r="D4425" s="179"/>
      <c r="E4425" s="179"/>
      <c r="F4425" s="235"/>
      <c r="G4425" s="235"/>
      <c r="H4425" s="235"/>
      <c r="I4425" s="79"/>
      <c r="J4425" s="185"/>
      <c r="K4425" s="216"/>
      <c r="L4425" s="59"/>
    </row>
    <row r="4426" spans="1:12">
      <c r="A4426" s="36"/>
      <c r="B4426" s="37"/>
      <c r="C4426" s="179"/>
      <c r="D4426" s="179"/>
      <c r="E4426" s="179"/>
      <c r="F4426" s="235"/>
      <c r="G4426" s="235"/>
      <c r="H4426" s="235"/>
      <c r="I4426" s="79"/>
      <c r="J4426" s="185"/>
      <c r="K4426" s="216"/>
      <c r="L4426" s="59"/>
    </row>
    <row r="4427" spans="1:12">
      <c r="A4427" s="36"/>
      <c r="B4427" s="37"/>
      <c r="C4427" s="179"/>
      <c r="D4427" s="179"/>
      <c r="E4427" s="179"/>
      <c r="F4427" s="235"/>
      <c r="G4427" s="235"/>
      <c r="H4427" s="235"/>
      <c r="I4427" s="79"/>
      <c r="J4427" s="185"/>
      <c r="K4427" s="216"/>
      <c r="L4427" s="59"/>
    </row>
    <row r="4428" spans="1:12">
      <c r="A4428" s="36"/>
      <c r="B4428" s="37"/>
      <c r="C4428" s="179"/>
      <c r="D4428" s="179"/>
      <c r="E4428" s="179"/>
      <c r="F4428" s="235"/>
      <c r="G4428" s="235"/>
      <c r="H4428" s="235"/>
      <c r="I4428" s="79"/>
      <c r="J4428" s="185"/>
      <c r="K4428" s="216"/>
      <c r="L4428" s="59"/>
    </row>
    <row r="4429" spans="1:12">
      <c r="A4429" s="36"/>
      <c r="B4429" s="37"/>
      <c r="C4429" s="179"/>
      <c r="D4429" s="179"/>
      <c r="E4429" s="179"/>
      <c r="F4429" s="235"/>
      <c r="G4429" s="235"/>
      <c r="H4429" s="235"/>
      <c r="I4429" s="79"/>
      <c r="J4429" s="185"/>
      <c r="K4429" s="216"/>
      <c r="L4429" s="59"/>
    </row>
    <row r="4430" spans="1:12">
      <c r="A4430" s="36"/>
      <c r="B4430" s="37"/>
      <c r="C4430" s="179"/>
      <c r="D4430" s="179"/>
      <c r="E4430" s="179"/>
      <c r="F4430" s="235"/>
      <c r="G4430" s="235"/>
      <c r="H4430" s="235"/>
      <c r="I4430" s="79"/>
      <c r="J4430" s="185"/>
      <c r="K4430" s="216"/>
      <c r="L4430" s="59"/>
    </row>
    <row r="4431" spans="1:12">
      <c r="A4431" s="36"/>
      <c r="B4431" s="37"/>
      <c r="C4431" s="179"/>
      <c r="D4431" s="179"/>
      <c r="E4431" s="179"/>
      <c r="F4431" s="235"/>
      <c r="G4431" s="235"/>
      <c r="H4431" s="235"/>
      <c r="I4431" s="79"/>
      <c r="J4431" s="185"/>
      <c r="K4431" s="216"/>
      <c r="L4431" s="59"/>
    </row>
    <row r="4432" spans="1:12">
      <c r="A4432" s="36"/>
      <c r="B4432" s="37"/>
      <c r="C4432" s="179"/>
      <c r="D4432" s="179"/>
      <c r="E4432" s="179"/>
      <c r="F4432" s="235"/>
      <c r="G4432" s="235"/>
      <c r="H4432" s="235"/>
      <c r="I4432" s="79"/>
      <c r="J4432" s="185"/>
      <c r="K4432" s="216"/>
      <c r="L4432" s="59"/>
    </row>
    <row r="4433" spans="1:12">
      <c r="A4433" s="36"/>
      <c r="B4433" s="37"/>
      <c r="C4433" s="179"/>
      <c r="D4433" s="179"/>
      <c r="E4433" s="179"/>
      <c r="F4433" s="235"/>
      <c r="G4433" s="235"/>
      <c r="H4433" s="235"/>
      <c r="I4433" s="79"/>
      <c r="J4433" s="185"/>
      <c r="K4433" s="216"/>
      <c r="L4433" s="59"/>
    </row>
    <row r="4434" spans="1:12">
      <c r="A4434" s="36"/>
      <c r="B4434" s="37"/>
      <c r="C4434" s="179"/>
      <c r="D4434" s="179"/>
      <c r="E4434" s="179"/>
      <c r="F4434" s="235"/>
      <c r="G4434" s="235"/>
      <c r="H4434" s="235"/>
      <c r="I4434" s="79"/>
      <c r="J4434" s="185"/>
      <c r="K4434" s="216"/>
      <c r="L4434" s="4"/>
    </row>
    <row r="4435" spans="1:12">
      <c r="A4435" s="21"/>
      <c r="B4435" s="21"/>
      <c r="C4435" s="175"/>
      <c r="D4435" s="175"/>
      <c r="E4435" s="175"/>
      <c r="F4435" s="234"/>
      <c r="G4435" s="234"/>
      <c r="H4435" s="234"/>
      <c r="I4435" s="63"/>
      <c r="J4435" s="189"/>
      <c r="K4435" s="208"/>
      <c r="L4435" s="59"/>
    </row>
    <row r="4436" spans="1:12">
      <c r="A4436" s="36"/>
      <c r="B4436" s="37"/>
      <c r="C4436" s="179"/>
      <c r="D4436" s="179"/>
      <c r="E4436" s="179"/>
      <c r="F4436" s="235"/>
      <c r="G4436" s="235"/>
      <c r="H4436" s="235"/>
      <c r="I4436" s="79"/>
      <c r="J4436" s="185"/>
      <c r="K4436" s="216"/>
      <c r="L4436" s="2"/>
    </row>
    <row r="4437" spans="1:12">
      <c r="A4437" s="36"/>
      <c r="B4437" s="37"/>
      <c r="C4437" s="179"/>
      <c r="D4437" s="179"/>
      <c r="E4437" s="179"/>
      <c r="F4437" s="235"/>
      <c r="G4437" s="235"/>
      <c r="H4437" s="235"/>
      <c r="I4437" s="79"/>
      <c r="J4437" s="185"/>
      <c r="K4437" s="216"/>
      <c r="L4437" s="59"/>
    </row>
    <row r="4438" spans="1:12">
      <c r="A4438" s="36"/>
      <c r="B4438" s="37"/>
      <c r="C4438" s="179"/>
      <c r="D4438" s="179"/>
      <c r="E4438" s="179"/>
      <c r="F4438" s="235"/>
      <c r="G4438" s="235"/>
      <c r="H4438" s="235"/>
      <c r="I4438" s="79"/>
      <c r="J4438" s="185"/>
      <c r="K4438" s="216"/>
      <c r="L4438" s="59"/>
    </row>
    <row r="4439" spans="1:12">
      <c r="A4439" s="36"/>
      <c r="B4439" s="37"/>
      <c r="C4439" s="179"/>
      <c r="D4439" s="179"/>
      <c r="E4439" s="179"/>
      <c r="F4439" s="235"/>
      <c r="G4439" s="235"/>
      <c r="H4439" s="235"/>
      <c r="I4439" s="79"/>
      <c r="J4439" s="185"/>
      <c r="K4439" s="216"/>
      <c r="L4439" s="59"/>
    </row>
    <row r="4440" spans="1:12">
      <c r="A4440" s="36"/>
      <c r="B4440" s="37"/>
      <c r="C4440" s="179"/>
      <c r="D4440" s="179"/>
      <c r="E4440" s="179"/>
      <c r="F4440" s="235"/>
      <c r="G4440" s="235"/>
      <c r="H4440" s="235"/>
      <c r="I4440" s="79"/>
      <c r="J4440" s="185"/>
      <c r="K4440" s="216"/>
      <c r="L4440" s="59"/>
    </row>
    <row r="4441" spans="1:12">
      <c r="A4441" s="36"/>
      <c r="B4441" s="37"/>
      <c r="C4441" s="179"/>
      <c r="D4441" s="179"/>
      <c r="E4441" s="179"/>
      <c r="F4441" s="235"/>
      <c r="G4441" s="235"/>
      <c r="H4441" s="235"/>
      <c r="I4441" s="79"/>
      <c r="J4441" s="185"/>
      <c r="K4441" s="216"/>
      <c r="L4441" s="59"/>
    </row>
    <row r="4442" spans="1:12">
      <c r="A4442" s="36"/>
      <c r="B4442" s="37"/>
      <c r="C4442" s="179"/>
      <c r="D4442" s="179"/>
      <c r="E4442" s="179"/>
      <c r="F4442" s="235"/>
      <c r="G4442" s="235"/>
      <c r="H4442" s="235"/>
      <c r="I4442" s="79"/>
      <c r="J4442" s="185"/>
      <c r="K4442" s="216"/>
      <c r="L4442" s="59"/>
    </row>
    <row r="4443" spans="1:12">
      <c r="A4443" s="36"/>
      <c r="B4443" s="37"/>
      <c r="C4443" s="179"/>
      <c r="D4443" s="179"/>
      <c r="E4443" s="179"/>
      <c r="F4443" s="235"/>
      <c r="G4443" s="235"/>
      <c r="H4443" s="235"/>
      <c r="I4443" s="79"/>
      <c r="J4443" s="185"/>
      <c r="K4443" s="216"/>
      <c r="L4443" s="59"/>
    </row>
    <row r="4444" spans="1:12">
      <c r="A4444" s="36"/>
      <c r="B4444" s="37"/>
      <c r="C4444" s="179"/>
      <c r="D4444" s="179"/>
      <c r="E4444" s="179"/>
      <c r="F4444" s="235"/>
      <c r="G4444" s="235"/>
      <c r="H4444" s="235"/>
      <c r="I4444" s="79"/>
      <c r="J4444" s="185"/>
      <c r="K4444" s="216"/>
      <c r="L4444" s="59"/>
    </row>
    <row r="4445" spans="1:12">
      <c r="A4445" s="36"/>
      <c r="B4445" s="37"/>
      <c r="C4445" s="179"/>
      <c r="D4445" s="179"/>
      <c r="E4445" s="179"/>
      <c r="F4445" s="235"/>
      <c r="G4445" s="235"/>
      <c r="H4445" s="235"/>
      <c r="I4445" s="79"/>
      <c r="J4445" s="185"/>
      <c r="K4445" s="216"/>
      <c r="L4445" s="59"/>
    </row>
    <row r="4446" spans="1:12">
      <c r="A4446" s="36"/>
      <c r="B4446" s="37"/>
      <c r="C4446" s="179"/>
      <c r="D4446" s="179"/>
      <c r="E4446" s="179"/>
      <c r="F4446" s="235"/>
      <c r="G4446" s="235"/>
      <c r="H4446" s="235"/>
      <c r="I4446" s="79"/>
      <c r="J4446" s="185"/>
      <c r="K4446" s="216"/>
      <c r="L4446" s="59"/>
    </row>
    <row r="4447" spans="1:12">
      <c r="A4447" s="36"/>
      <c r="B4447" s="37"/>
      <c r="C4447" s="179"/>
      <c r="D4447" s="179"/>
      <c r="E4447" s="179"/>
      <c r="F4447" s="235"/>
      <c r="G4447" s="235"/>
      <c r="H4447" s="235"/>
      <c r="I4447" s="79"/>
      <c r="J4447" s="185"/>
      <c r="K4447" s="216"/>
      <c r="L4447" s="59"/>
    </row>
    <row r="4448" spans="1:12">
      <c r="A4448" s="36"/>
      <c r="B4448" s="37"/>
      <c r="C4448" s="179"/>
      <c r="D4448" s="179"/>
      <c r="E4448" s="179"/>
      <c r="F4448" s="235"/>
      <c r="G4448" s="235"/>
      <c r="H4448" s="235"/>
      <c r="I4448" s="79"/>
      <c r="J4448" s="185"/>
      <c r="K4448" s="216"/>
      <c r="L4448" s="59"/>
    </row>
    <row r="4449" spans="1:12">
      <c r="A4449" s="36"/>
      <c r="B4449" s="37"/>
      <c r="C4449" s="179"/>
      <c r="D4449" s="179"/>
      <c r="E4449" s="179"/>
      <c r="F4449" s="235"/>
      <c r="G4449" s="235"/>
      <c r="H4449" s="235"/>
      <c r="I4449" s="79"/>
      <c r="J4449" s="185"/>
      <c r="K4449" s="216"/>
      <c r="L4449" s="59"/>
    </row>
    <row r="4450" spans="1:12">
      <c r="A4450" s="36"/>
      <c r="B4450" s="37"/>
      <c r="C4450" s="179"/>
      <c r="D4450" s="179"/>
      <c r="E4450" s="179"/>
      <c r="F4450" s="235"/>
      <c r="G4450" s="235"/>
      <c r="H4450" s="235"/>
      <c r="I4450" s="79"/>
      <c r="J4450" s="185"/>
      <c r="K4450" s="216"/>
      <c r="L4450" s="59"/>
    </row>
    <row r="4451" spans="1:12">
      <c r="A4451" s="36"/>
      <c r="B4451" s="37"/>
      <c r="C4451" s="179"/>
      <c r="D4451" s="179"/>
      <c r="E4451" s="179"/>
      <c r="F4451" s="235"/>
      <c r="G4451" s="235"/>
      <c r="H4451" s="235"/>
      <c r="I4451" s="79"/>
      <c r="J4451" s="185"/>
      <c r="K4451" s="216"/>
      <c r="L4451" s="59"/>
    </row>
    <row r="4452" spans="1:12">
      <c r="A4452" s="21"/>
      <c r="B4452" s="21"/>
      <c r="C4452" s="175"/>
      <c r="D4452" s="175"/>
      <c r="E4452" s="175"/>
      <c r="F4452" s="234"/>
      <c r="G4452" s="234"/>
      <c r="H4452" s="234"/>
      <c r="I4452" s="63"/>
      <c r="J4452" s="190"/>
      <c r="K4452" s="208"/>
      <c r="L4452" s="59"/>
    </row>
    <row r="4453" spans="1:12">
      <c r="A4453" s="21"/>
      <c r="B4453" s="21"/>
      <c r="C4453" s="175"/>
      <c r="D4453" s="175"/>
      <c r="E4453" s="175"/>
      <c r="F4453" s="234"/>
      <c r="G4453" s="234"/>
      <c r="H4453" s="234"/>
      <c r="I4453" s="63"/>
      <c r="J4453" s="190"/>
      <c r="K4453" s="208"/>
      <c r="L4453" s="59"/>
    </row>
    <row r="4454" spans="1:12">
      <c r="A4454" s="21"/>
      <c r="B4454" s="21"/>
      <c r="C4454" s="175"/>
      <c r="D4454" s="175"/>
      <c r="E4454" s="175"/>
      <c r="F4454" s="234"/>
      <c r="G4454" s="234"/>
      <c r="H4454" s="234"/>
      <c r="I4454" s="63"/>
      <c r="J4454" s="190"/>
      <c r="K4454" s="208"/>
      <c r="L4454" s="59"/>
    </row>
    <row r="4455" spans="1:12">
      <c r="A4455" s="21"/>
      <c r="B4455" s="21"/>
      <c r="C4455" s="175"/>
      <c r="D4455" s="175"/>
      <c r="E4455" s="175"/>
      <c r="F4455" s="234"/>
      <c r="G4455" s="234"/>
      <c r="H4455" s="234"/>
      <c r="I4455" s="63"/>
      <c r="J4455" s="190"/>
      <c r="K4455" s="208"/>
      <c r="L4455" s="59"/>
    </row>
    <row r="4456" spans="1:12">
      <c r="A4456" s="36"/>
      <c r="B4456" s="37"/>
      <c r="C4456" s="179"/>
      <c r="D4456" s="179"/>
      <c r="E4456" s="179"/>
      <c r="F4456" s="235"/>
      <c r="G4456" s="235"/>
      <c r="H4456" s="235"/>
      <c r="I4456" s="79"/>
      <c r="J4456" s="185"/>
      <c r="K4456" s="216"/>
      <c r="L4456" s="59"/>
    </row>
    <row r="4457" spans="1:12">
      <c r="A4457" s="21"/>
      <c r="B4457" s="21"/>
      <c r="C4457" s="175"/>
      <c r="D4457" s="175"/>
      <c r="E4457" s="175"/>
      <c r="F4457" s="234"/>
      <c r="G4457" s="234"/>
      <c r="H4457" s="234"/>
      <c r="I4457" s="63"/>
      <c r="J4457" s="190"/>
      <c r="K4457" s="208"/>
      <c r="L4457" s="59"/>
    </row>
    <row r="4458" spans="1:12">
      <c r="A4458" s="36"/>
      <c r="B4458" s="37"/>
      <c r="C4458" s="179"/>
      <c r="D4458" s="179"/>
      <c r="E4458" s="179"/>
      <c r="F4458" s="235"/>
      <c r="G4458" s="235"/>
      <c r="H4458" s="235"/>
      <c r="I4458" s="79"/>
      <c r="J4458" s="185"/>
      <c r="K4458" s="216"/>
      <c r="L4458" s="59"/>
    </row>
    <row r="4459" spans="1:12">
      <c r="A4459" s="36"/>
      <c r="B4459" s="37"/>
      <c r="C4459" s="179"/>
      <c r="D4459" s="179"/>
      <c r="E4459" s="179"/>
      <c r="F4459" s="235"/>
      <c r="G4459" s="235"/>
      <c r="H4459" s="235"/>
      <c r="I4459" s="79"/>
      <c r="J4459" s="185"/>
      <c r="K4459" s="216"/>
      <c r="L4459" s="59"/>
    </row>
    <row r="4460" spans="1:12">
      <c r="A4460" s="36"/>
      <c r="B4460" s="37"/>
      <c r="C4460" s="179"/>
      <c r="D4460" s="179"/>
      <c r="E4460" s="179"/>
      <c r="F4460" s="235"/>
      <c r="G4460" s="235"/>
      <c r="H4460" s="235"/>
      <c r="I4460" s="79"/>
      <c r="J4460" s="185"/>
      <c r="K4460" s="216"/>
      <c r="L4460" s="59"/>
    </row>
    <row r="4461" spans="1:12">
      <c r="A4461" s="36"/>
      <c r="B4461" s="37"/>
      <c r="C4461" s="179"/>
      <c r="D4461" s="179"/>
      <c r="E4461" s="179"/>
      <c r="F4461" s="235"/>
      <c r="G4461" s="235"/>
      <c r="H4461" s="235"/>
      <c r="I4461" s="79"/>
      <c r="J4461" s="185"/>
      <c r="K4461" s="216"/>
      <c r="L4461" s="59"/>
    </row>
    <row r="4462" spans="1:12">
      <c r="A4462" s="36"/>
      <c r="B4462" s="37"/>
      <c r="C4462" s="179"/>
      <c r="D4462" s="179"/>
      <c r="E4462" s="179"/>
      <c r="F4462" s="235"/>
      <c r="G4462" s="235"/>
      <c r="H4462" s="235"/>
      <c r="I4462" s="79"/>
      <c r="J4462" s="185"/>
      <c r="K4462" s="216"/>
      <c r="L4462" s="59"/>
    </row>
    <row r="4463" spans="1:12">
      <c r="A4463" s="36"/>
      <c r="B4463" s="37"/>
      <c r="C4463" s="179"/>
      <c r="D4463" s="179"/>
      <c r="E4463" s="179"/>
      <c r="F4463" s="235"/>
      <c r="G4463" s="235"/>
      <c r="H4463" s="235"/>
      <c r="I4463" s="79"/>
      <c r="J4463" s="185"/>
      <c r="K4463" s="216"/>
      <c r="L4463" s="59"/>
    </row>
    <row r="4464" spans="1:12">
      <c r="A4464" s="36"/>
      <c r="B4464" s="37"/>
      <c r="C4464" s="179"/>
      <c r="D4464" s="179"/>
      <c r="E4464" s="179"/>
      <c r="F4464" s="235"/>
      <c r="G4464" s="235"/>
      <c r="H4464" s="235"/>
      <c r="I4464" s="79"/>
      <c r="J4464" s="185"/>
      <c r="K4464" s="216"/>
      <c r="L4464" s="59"/>
    </row>
    <row r="4465" spans="1:12">
      <c r="A4465" s="36"/>
      <c r="B4465" s="37"/>
      <c r="C4465" s="179"/>
      <c r="D4465" s="179"/>
      <c r="E4465" s="179"/>
      <c r="F4465" s="235"/>
      <c r="G4465" s="235"/>
      <c r="H4465" s="235"/>
      <c r="I4465" s="79"/>
      <c r="J4465" s="185"/>
      <c r="K4465" s="216"/>
      <c r="L4465" s="59"/>
    </row>
    <row r="4466" spans="1:12">
      <c r="A4466" s="36"/>
      <c r="B4466" s="37"/>
      <c r="C4466" s="179"/>
      <c r="D4466" s="179"/>
      <c r="E4466" s="179"/>
      <c r="F4466" s="235"/>
      <c r="G4466" s="235"/>
      <c r="H4466" s="235"/>
      <c r="I4466" s="79"/>
      <c r="J4466" s="185"/>
      <c r="K4466" s="216"/>
      <c r="L4466" s="59"/>
    </row>
    <row r="4467" spans="1:12">
      <c r="A4467" s="36"/>
      <c r="B4467" s="37"/>
      <c r="C4467" s="179"/>
      <c r="D4467" s="179"/>
      <c r="E4467" s="179"/>
      <c r="F4467" s="235"/>
      <c r="G4467" s="235"/>
      <c r="H4467" s="235"/>
      <c r="I4467" s="79"/>
      <c r="J4467" s="185"/>
      <c r="K4467" s="216"/>
      <c r="L4467" s="59"/>
    </row>
    <row r="4468" spans="1:12">
      <c r="A4468" s="36"/>
      <c r="B4468" s="37"/>
      <c r="C4468" s="179"/>
      <c r="D4468" s="179"/>
      <c r="E4468" s="179"/>
      <c r="F4468" s="235"/>
      <c r="G4468" s="235"/>
      <c r="H4468" s="235"/>
      <c r="I4468" s="79"/>
      <c r="J4468" s="185"/>
      <c r="K4468" s="216"/>
      <c r="L4468" s="59"/>
    </row>
    <row r="4469" spans="1:12">
      <c r="A4469" s="36"/>
      <c r="B4469" s="37"/>
      <c r="C4469" s="179"/>
      <c r="D4469" s="179"/>
      <c r="E4469" s="179"/>
      <c r="F4469" s="235"/>
      <c r="G4469" s="235"/>
      <c r="H4469" s="235"/>
      <c r="I4469" s="79"/>
      <c r="J4469" s="185"/>
      <c r="K4469" s="216"/>
      <c r="L4469" s="59"/>
    </row>
    <row r="4470" spans="1:12">
      <c r="A4470" s="36"/>
      <c r="B4470" s="37"/>
      <c r="C4470" s="179"/>
      <c r="D4470" s="179"/>
      <c r="E4470" s="179"/>
      <c r="F4470" s="235"/>
      <c r="G4470" s="235"/>
      <c r="H4470" s="235"/>
      <c r="I4470" s="79"/>
      <c r="J4470" s="185"/>
      <c r="K4470" s="216"/>
      <c r="L4470" s="59"/>
    </row>
    <row r="4471" spans="1:12">
      <c r="A4471" s="36"/>
      <c r="B4471" s="37"/>
      <c r="C4471" s="179"/>
      <c r="D4471" s="179"/>
      <c r="E4471" s="179"/>
      <c r="F4471" s="235"/>
      <c r="G4471" s="235"/>
      <c r="H4471" s="235"/>
      <c r="I4471" s="79"/>
      <c r="J4471" s="185"/>
      <c r="K4471" s="216"/>
      <c r="L4471" s="59"/>
    </row>
    <row r="4472" spans="1:12">
      <c r="A4472" s="36"/>
      <c r="B4472" s="37"/>
      <c r="C4472" s="179"/>
      <c r="D4472" s="179"/>
      <c r="E4472" s="179"/>
      <c r="F4472" s="235"/>
      <c r="G4472" s="235"/>
      <c r="H4472" s="235"/>
      <c r="I4472" s="79"/>
      <c r="J4472" s="185"/>
      <c r="K4472" s="216"/>
      <c r="L4472" s="59"/>
    </row>
    <row r="4473" spans="1:12">
      <c r="A4473" s="36"/>
      <c r="B4473" s="37"/>
      <c r="C4473" s="179"/>
      <c r="D4473" s="179"/>
      <c r="E4473" s="179"/>
      <c r="F4473" s="235"/>
      <c r="G4473" s="235"/>
      <c r="H4473" s="235"/>
      <c r="I4473" s="79"/>
      <c r="J4473" s="185"/>
      <c r="K4473" s="216"/>
      <c r="L4473" s="59"/>
    </row>
    <row r="4474" spans="1:12">
      <c r="A4474" s="36"/>
      <c r="B4474" s="37"/>
      <c r="C4474" s="179"/>
      <c r="D4474" s="179"/>
      <c r="E4474" s="179"/>
      <c r="F4474" s="235"/>
      <c r="G4474" s="235"/>
      <c r="H4474" s="235"/>
      <c r="I4474" s="79"/>
      <c r="J4474" s="185"/>
      <c r="K4474" s="216"/>
      <c r="L4474" s="59"/>
    </row>
    <row r="4475" spans="1:12">
      <c r="A4475" s="36"/>
      <c r="B4475" s="37"/>
      <c r="C4475" s="179"/>
      <c r="D4475" s="179"/>
      <c r="E4475" s="179"/>
      <c r="F4475" s="235"/>
      <c r="G4475" s="235"/>
      <c r="H4475" s="235"/>
      <c r="I4475" s="79"/>
      <c r="J4475" s="185"/>
      <c r="K4475" s="216"/>
      <c r="L4475" s="59"/>
    </row>
    <row r="4476" spans="1:12">
      <c r="A4476" s="36"/>
      <c r="B4476" s="37"/>
      <c r="C4476" s="179"/>
      <c r="D4476" s="179"/>
      <c r="E4476" s="179"/>
      <c r="F4476" s="235"/>
      <c r="G4476" s="235"/>
      <c r="H4476" s="235"/>
      <c r="I4476" s="79"/>
      <c r="J4476" s="185"/>
      <c r="K4476" s="216"/>
      <c r="L4476" s="59"/>
    </row>
    <row r="4477" spans="1:12">
      <c r="A4477" s="36"/>
      <c r="B4477" s="37"/>
      <c r="C4477" s="179"/>
      <c r="D4477" s="179"/>
      <c r="E4477" s="179"/>
      <c r="F4477" s="235"/>
      <c r="G4477" s="235"/>
      <c r="H4477" s="235"/>
      <c r="I4477" s="79"/>
      <c r="J4477" s="185"/>
      <c r="K4477" s="216"/>
      <c r="L4477" s="59"/>
    </row>
    <row r="4478" spans="1:12">
      <c r="A4478" s="36"/>
      <c r="B4478" s="37"/>
      <c r="C4478" s="179"/>
      <c r="D4478" s="179"/>
      <c r="E4478" s="179"/>
      <c r="F4478" s="235"/>
      <c r="G4478" s="235"/>
      <c r="H4478" s="235"/>
      <c r="I4478" s="79"/>
      <c r="J4478" s="185"/>
      <c r="K4478" s="216"/>
      <c r="L4478" s="59"/>
    </row>
    <row r="4479" spans="1:12">
      <c r="A4479" s="36"/>
      <c r="B4479" s="37"/>
      <c r="C4479" s="179"/>
      <c r="D4479" s="179"/>
      <c r="E4479" s="179"/>
      <c r="F4479" s="235"/>
      <c r="G4479" s="235"/>
      <c r="H4479" s="235"/>
      <c r="I4479" s="79"/>
      <c r="J4479" s="185"/>
      <c r="K4479" s="216"/>
      <c r="L4479" s="59"/>
    </row>
    <row r="4480" spans="1:12">
      <c r="A4480" s="36"/>
      <c r="B4480" s="37"/>
      <c r="C4480" s="179"/>
      <c r="D4480" s="179"/>
      <c r="E4480" s="179"/>
      <c r="F4480" s="235"/>
      <c r="G4480" s="235"/>
      <c r="H4480" s="235"/>
      <c r="I4480" s="79"/>
      <c r="J4480" s="185"/>
      <c r="K4480" s="216"/>
      <c r="L4480" s="59"/>
    </row>
    <row r="4481" spans="1:12">
      <c r="A4481" s="36"/>
      <c r="B4481" s="37"/>
      <c r="C4481" s="179"/>
      <c r="D4481" s="179"/>
      <c r="E4481" s="179"/>
      <c r="F4481" s="235"/>
      <c r="G4481" s="235"/>
      <c r="H4481" s="235"/>
      <c r="I4481" s="79"/>
      <c r="J4481" s="185"/>
      <c r="K4481" s="216"/>
      <c r="L4481" s="59"/>
    </row>
    <row r="4482" spans="1:12">
      <c r="A4482" s="36"/>
      <c r="B4482" s="37"/>
      <c r="C4482" s="179"/>
      <c r="D4482" s="179"/>
      <c r="E4482" s="179"/>
      <c r="F4482" s="235"/>
      <c r="G4482" s="235"/>
      <c r="H4482" s="235"/>
      <c r="I4482" s="79"/>
      <c r="J4482" s="185"/>
      <c r="K4482" s="216"/>
      <c r="L4482" s="59"/>
    </row>
    <row r="4483" spans="1:12">
      <c r="A4483" s="36"/>
      <c r="B4483" s="37"/>
      <c r="C4483" s="179"/>
      <c r="D4483" s="179"/>
      <c r="E4483" s="179"/>
      <c r="F4483" s="235"/>
      <c r="G4483" s="235"/>
      <c r="H4483" s="235"/>
      <c r="I4483" s="79"/>
      <c r="J4483" s="185"/>
      <c r="K4483" s="216"/>
      <c r="L4483" s="59"/>
    </row>
    <row r="4484" spans="1:12">
      <c r="A4484" s="36"/>
      <c r="B4484" s="37"/>
      <c r="C4484" s="179"/>
      <c r="D4484" s="179"/>
      <c r="E4484" s="179"/>
      <c r="F4484" s="235"/>
      <c r="G4484" s="235"/>
      <c r="H4484" s="235"/>
      <c r="I4484" s="79"/>
      <c r="J4484" s="185"/>
      <c r="K4484" s="216"/>
      <c r="L4484" s="59"/>
    </row>
    <row r="4485" spans="1:12">
      <c r="A4485" s="36"/>
      <c r="B4485" s="37"/>
      <c r="C4485" s="179"/>
      <c r="D4485" s="179"/>
      <c r="E4485" s="179"/>
      <c r="F4485" s="235"/>
      <c r="G4485" s="235"/>
      <c r="H4485" s="235"/>
      <c r="I4485" s="79"/>
      <c r="J4485" s="185"/>
      <c r="K4485" s="216"/>
      <c r="L4485" s="59"/>
    </row>
    <row r="4486" spans="1:12">
      <c r="A4486" s="36"/>
      <c r="B4486" s="37"/>
      <c r="C4486" s="179"/>
      <c r="D4486" s="179"/>
      <c r="E4486" s="179"/>
      <c r="F4486" s="235"/>
      <c r="G4486" s="235"/>
      <c r="H4486" s="235"/>
      <c r="I4486" s="79"/>
      <c r="J4486" s="185"/>
      <c r="K4486" s="216"/>
      <c r="L4486" s="59"/>
    </row>
    <row r="4487" spans="1:12">
      <c r="A4487" s="21"/>
      <c r="B4487" s="21"/>
      <c r="C4487" s="175"/>
      <c r="D4487" s="175"/>
      <c r="E4487" s="175"/>
      <c r="F4487" s="234"/>
      <c r="G4487" s="234"/>
      <c r="H4487" s="234"/>
      <c r="I4487" s="63"/>
      <c r="J4487" s="190"/>
      <c r="K4487" s="208"/>
      <c r="L4487" s="59"/>
    </row>
    <row r="4488" spans="1:12">
      <c r="A4488" s="21"/>
      <c r="B4488" s="21"/>
      <c r="C4488" s="175"/>
      <c r="D4488" s="175"/>
      <c r="E4488" s="175"/>
      <c r="F4488" s="234"/>
      <c r="G4488" s="234"/>
      <c r="H4488" s="234"/>
      <c r="I4488" s="63"/>
      <c r="J4488" s="190"/>
      <c r="K4488" s="208"/>
      <c r="L4488" s="59"/>
    </row>
    <row r="4489" spans="1:12">
      <c r="A4489" s="36"/>
      <c r="B4489" s="37"/>
      <c r="C4489" s="179"/>
      <c r="D4489" s="179"/>
      <c r="E4489" s="179"/>
      <c r="F4489" s="235"/>
      <c r="G4489" s="235"/>
      <c r="H4489" s="235"/>
      <c r="I4489" s="79"/>
      <c r="J4489" s="185"/>
      <c r="K4489" s="216"/>
      <c r="L4489" s="59"/>
    </row>
    <row r="4490" spans="1:12">
      <c r="A4490" s="36"/>
      <c r="B4490" s="37"/>
      <c r="C4490" s="179"/>
      <c r="D4490" s="179"/>
      <c r="E4490" s="179"/>
      <c r="F4490" s="235"/>
      <c r="G4490" s="235"/>
      <c r="H4490" s="235"/>
      <c r="I4490" s="79"/>
      <c r="J4490" s="185"/>
      <c r="K4490" s="216"/>
      <c r="L4490" s="59"/>
    </row>
    <row r="4491" spans="1:12">
      <c r="A4491" s="36"/>
      <c r="B4491" s="37"/>
      <c r="C4491" s="179"/>
      <c r="D4491" s="179"/>
      <c r="E4491" s="179"/>
      <c r="F4491" s="235"/>
      <c r="G4491" s="235"/>
      <c r="H4491" s="235"/>
      <c r="I4491" s="79"/>
      <c r="J4491" s="185"/>
      <c r="K4491" s="216"/>
      <c r="L4491" s="59"/>
    </row>
    <row r="4492" spans="1:12">
      <c r="A4492" s="36"/>
      <c r="B4492" s="37"/>
      <c r="C4492" s="179"/>
      <c r="D4492" s="179"/>
      <c r="E4492" s="179"/>
      <c r="F4492" s="235"/>
      <c r="G4492" s="235"/>
      <c r="H4492" s="235"/>
      <c r="I4492" s="79"/>
      <c r="J4492" s="185"/>
      <c r="K4492" s="216"/>
      <c r="L4492" s="59"/>
    </row>
    <row r="4493" spans="1:12">
      <c r="A4493" s="36"/>
      <c r="B4493" s="37"/>
      <c r="C4493" s="179"/>
      <c r="D4493" s="179"/>
      <c r="E4493" s="179"/>
      <c r="F4493" s="235"/>
      <c r="G4493" s="235"/>
      <c r="H4493" s="235"/>
      <c r="I4493" s="79"/>
      <c r="J4493" s="185"/>
      <c r="K4493" s="216"/>
      <c r="L4493" s="59"/>
    </row>
    <row r="4494" spans="1:12">
      <c r="A4494" s="36"/>
      <c r="B4494" s="37"/>
      <c r="C4494" s="179"/>
      <c r="D4494" s="179"/>
      <c r="E4494" s="179"/>
      <c r="F4494" s="235"/>
      <c r="G4494" s="235"/>
      <c r="H4494" s="235"/>
      <c r="I4494" s="79"/>
      <c r="J4494" s="185"/>
      <c r="K4494" s="216"/>
      <c r="L4494" s="59"/>
    </row>
    <row r="4495" spans="1:12">
      <c r="A4495" s="36"/>
      <c r="B4495" s="37"/>
      <c r="C4495" s="179"/>
      <c r="D4495" s="179"/>
      <c r="E4495" s="179"/>
      <c r="F4495" s="235"/>
      <c r="G4495" s="235"/>
      <c r="H4495" s="235"/>
      <c r="I4495" s="79"/>
      <c r="J4495" s="185"/>
      <c r="K4495" s="216"/>
      <c r="L4495" s="59"/>
    </row>
    <row r="4496" spans="1:12">
      <c r="A4496" s="36"/>
      <c r="B4496" s="37"/>
      <c r="C4496" s="179"/>
      <c r="D4496" s="179"/>
      <c r="E4496" s="179"/>
      <c r="F4496" s="235"/>
      <c r="G4496" s="235"/>
      <c r="H4496" s="235"/>
      <c r="I4496" s="79"/>
      <c r="J4496" s="185"/>
      <c r="K4496" s="216"/>
      <c r="L4496" s="59"/>
    </row>
    <row r="4497" spans="1:12">
      <c r="A4497" s="36"/>
      <c r="B4497" s="37"/>
      <c r="C4497" s="179"/>
      <c r="D4497" s="179"/>
      <c r="E4497" s="179"/>
      <c r="F4497" s="235"/>
      <c r="G4497" s="235"/>
      <c r="H4497" s="235"/>
      <c r="I4497" s="79"/>
      <c r="J4497" s="185"/>
      <c r="K4497" s="216"/>
      <c r="L4497" s="59"/>
    </row>
    <row r="4498" spans="1:12">
      <c r="A4498" s="36"/>
      <c r="B4498" s="37"/>
      <c r="C4498" s="179"/>
      <c r="D4498" s="179"/>
      <c r="E4498" s="179"/>
      <c r="F4498" s="235"/>
      <c r="G4498" s="235"/>
      <c r="H4498" s="235"/>
      <c r="I4498" s="79"/>
      <c r="J4498" s="185"/>
      <c r="K4498" s="216"/>
      <c r="L4498" s="59"/>
    </row>
    <row r="4499" spans="1:12">
      <c r="A4499" s="36"/>
      <c r="B4499" s="37"/>
      <c r="C4499" s="179"/>
      <c r="D4499" s="179"/>
      <c r="E4499" s="179"/>
      <c r="F4499" s="235"/>
      <c r="G4499" s="235"/>
      <c r="H4499" s="235"/>
      <c r="I4499" s="79"/>
      <c r="J4499" s="185"/>
      <c r="K4499" s="216"/>
      <c r="L4499" s="59"/>
    </row>
    <row r="4500" spans="1:12">
      <c r="A4500" s="36"/>
      <c r="B4500" s="37"/>
      <c r="C4500" s="179"/>
      <c r="D4500" s="179"/>
      <c r="E4500" s="179"/>
      <c r="F4500" s="235"/>
      <c r="G4500" s="235"/>
      <c r="H4500" s="235"/>
      <c r="I4500" s="79"/>
      <c r="J4500" s="185"/>
      <c r="K4500" s="216"/>
      <c r="L4500" s="59"/>
    </row>
    <row r="4501" spans="1:12">
      <c r="A4501" s="36"/>
      <c r="B4501" s="37"/>
      <c r="C4501" s="179"/>
      <c r="D4501" s="179"/>
      <c r="E4501" s="179"/>
      <c r="F4501" s="235"/>
      <c r="G4501" s="235"/>
      <c r="H4501" s="235"/>
      <c r="I4501" s="79"/>
      <c r="J4501" s="185"/>
      <c r="K4501" s="216"/>
      <c r="L4501" s="59"/>
    </row>
    <row r="4502" spans="1:12">
      <c r="A4502" s="36"/>
      <c r="B4502" s="37"/>
      <c r="C4502" s="179"/>
      <c r="D4502" s="179"/>
      <c r="E4502" s="179"/>
      <c r="F4502" s="235"/>
      <c r="G4502" s="235"/>
      <c r="H4502" s="235"/>
      <c r="I4502" s="79"/>
      <c r="J4502" s="185"/>
      <c r="K4502" s="216"/>
      <c r="L4502" s="59"/>
    </row>
    <row r="4503" spans="1:12">
      <c r="A4503" s="36"/>
      <c r="B4503" s="37"/>
      <c r="C4503" s="179"/>
      <c r="D4503" s="179"/>
      <c r="E4503" s="179"/>
      <c r="F4503" s="235"/>
      <c r="G4503" s="235"/>
      <c r="H4503" s="235"/>
      <c r="I4503" s="79"/>
      <c r="J4503" s="185"/>
      <c r="K4503" s="216"/>
      <c r="L4503" s="4"/>
    </row>
    <row r="4504" spans="1:12">
      <c r="A4504" s="36"/>
      <c r="B4504" s="37"/>
      <c r="C4504" s="179"/>
      <c r="D4504" s="179"/>
      <c r="E4504" s="179"/>
      <c r="F4504" s="235"/>
      <c r="G4504" s="235"/>
      <c r="H4504" s="235"/>
      <c r="I4504" s="79"/>
      <c r="J4504" s="185"/>
      <c r="K4504" s="216"/>
      <c r="L4504" s="2"/>
    </row>
    <row r="4505" spans="1:12">
      <c r="A4505" s="36"/>
      <c r="B4505" s="37"/>
      <c r="C4505" s="179"/>
      <c r="D4505" s="179"/>
      <c r="E4505" s="179"/>
      <c r="F4505" s="235"/>
      <c r="G4505" s="235"/>
      <c r="H4505" s="235"/>
      <c r="I4505" s="79"/>
      <c r="J4505" s="185"/>
      <c r="K4505" s="216"/>
      <c r="L4505" s="59"/>
    </row>
    <row r="4506" spans="1:12">
      <c r="A4506" s="36"/>
      <c r="B4506" s="37"/>
      <c r="C4506" s="179"/>
      <c r="D4506" s="179"/>
      <c r="E4506" s="179"/>
      <c r="F4506" s="235"/>
      <c r="G4506" s="235"/>
      <c r="H4506" s="235"/>
      <c r="I4506" s="79"/>
      <c r="J4506" s="185"/>
      <c r="K4506" s="216"/>
      <c r="L4506" s="59"/>
    </row>
    <row r="4507" spans="1:12">
      <c r="A4507" s="21"/>
      <c r="B4507" s="21"/>
      <c r="C4507" s="175"/>
      <c r="D4507" s="175"/>
      <c r="E4507" s="175"/>
      <c r="F4507" s="234"/>
      <c r="G4507" s="234"/>
      <c r="H4507" s="234"/>
      <c r="I4507" s="63"/>
      <c r="J4507" s="190"/>
      <c r="K4507" s="208"/>
      <c r="L4507" s="59"/>
    </row>
    <row r="4508" spans="1:12">
      <c r="A4508" s="21"/>
      <c r="B4508" s="21"/>
      <c r="C4508" s="175"/>
      <c r="D4508" s="175"/>
      <c r="E4508" s="175"/>
      <c r="F4508" s="234"/>
      <c r="G4508" s="234"/>
      <c r="H4508" s="234"/>
      <c r="I4508" s="63"/>
      <c r="J4508" s="190"/>
      <c r="K4508" s="208"/>
      <c r="L4508" s="59"/>
    </row>
    <row r="4509" spans="1:12">
      <c r="A4509" s="36"/>
      <c r="B4509" s="37"/>
      <c r="C4509" s="179"/>
      <c r="D4509" s="179"/>
      <c r="E4509" s="179"/>
      <c r="F4509" s="235"/>
      <c r="G4509" s="235"/>
      <c r="H4509" s="235"/>
      <c r="I4509" s="79"/>
      <c r="J4509" s="185"/>
      <c r="K4509" s="216"/>
      <c r="L4509" s="59"/>
    </row>
    <row r="4510" spans="1:12">
      <c r="A4510" s="36"/>
      <c r="B4510" s="37"/>
      <c r="C4510" s="179"/>
      <c r="D4510" s="179"/>
      <c r="E4510" s="179"/>
      <c r="F4510" s="235"/>
      <c r="G4510" s="235"/>
      <c r="H4510" s="235"/>
      <c r="I4510" s="79"/>
      <c r="J4510" s="185"/>
      <c r="K4510" s="216"/>
      <c r="L4510" s="59"/>
    </row>
    <row r="4511" spans="1:12">
      <c r="A4511" s="36"/>
      <c r="B4511" s="37"/>
      <c r="C4511" s="179"/>
      <c r="D4511" s="179"/>
      <c r="E4511" s="179"/>
      <c r="F4511" s="235"/>
      <c r="G4511" s="235"/>
      <c r="H4511" s="235"/>
      <c r="I4511" s="79"/>
      <c r="J4511" s="185"/>
      <c r="K4511" s="216"/>
      <c r="L4511" s="59"/>
    </row>
    <row r="4512" spans="1:12">
      <c r="A4512" s="36"/>
      <c r="B4512" s="37"/>
      <c r="C4512" s="179"/>
      <c r="D4512" s="179"/>
      <c r="E4512" s="179"/>
      <c r="F4512" s="235"/>
      <c r="G4512" s="235"/>
      <c r="H4512" s="235"/>
      <c r="I4512" s="79"/>
      <c r="J4512" s="185"/>
      <c r="K4512" s="216"/>
      <c r="L4512" s="59"/>
    </row>
    <row r="4513" spans="1:12">
      <c r="A4513" s="36"/>
      <c r="B4513" s="37"/>
      <c r="C4513" s="179"/>
      <c r="D4513" s="179"/>
      <c r="E4513" s="179"/>
      <c r="F4513" s="235"/>
      <c r="G4513" s="235"/>
      <c r="H4513" s="235"/>
      <c r="I4513" s="79"/>
      <c r="J4513" s="185"/>
      <c r="K4513" s="216"/>
      <c r="L4513" s="59"/>
    </row>
    <row r="4514" spans="1:12">
      <c r="A4514" s="36"/>
      <c r="B4514" s="37"/>
      <c r="C4514" s="179"/>
      <c r="D4514" s="179"/>
      <c r="E4514" s="179"/>
      <c r="F4514" s="235"/>
      <c r="G4514" s="235"/>
      <c r="H4514" s="235"/>
      <c r="I4514" s="79"/>
      <c r="J4514" s="185"/>
      <c r="K4514" s="216"/>
      <c r="L4514" s="59"/>
    </row>
    <row r="4515" spans="1:12">
      <c r="A4515" s="36"/>
      <c r="B4515" s="37"/>
      <c r="C4515" s="179"/>
      <c r="D4515" s="179"/>
      <c r="E4515" s="179"/>
      <c r="F4515" s="235"/>
      <c r="G4515" s="235"/>
      <c r="H4515" s="235"/>
      <c r="I4515" s="79"/>
      <c r="J4515" s="185"/>
      <c r="K4515" s="216"/>
      <c r="L4515" s="59"/>
    </row>
    <row r="4516" spans="1:12">
      <c r="A4516" s="23"/>
      <c r="B4516" s="14"/>
      <c r="C4516" s="180"/>
      <c r="D4516" s="180"/>
      <c r="E4516" s="180"/>
      <c r="F4516" s="236"/>
      <c r="G4516" s="236"/>
      <c r="H4516" s="236"/>
      <c r="I4516" s="73"/>
      <c r="J4516" s="191"/>
      <c r="K4516" s="207"/>
      <c r="L4516" s="59"/>
    </row>
    <row r="4517" spans="1:12">
      <c r="A4517" s="36"/>
      <c r="B4517" s="37"/>
      <c r="C4517" s="179"/>
      <c r="D4517" s="179"/>
      <c r="E4517" s="179"/>
      <c r="F4517" s="235"/>
      <c r="G4517" s="235"/>
      <c r="H4517" s="235"/>
      <c r="I4517" s="79"/>
      <c r="J4517" s="185"/>
      <c r="K4517" s="216"/>
      <c r="L4517" s="59"/>
    </row>
    <row r="4518" spans="1:12">
      <c r="A4518" s="23"/>
      <c r="B4518" s="14"/>
      <c r="C4518" s="180"/>
      <c r="D4518" s="180"/>
      <c r="E4518" s="180"/>
      <c r="F4518" s="236"/>
      <c r="G4518" s="236"/>
      <c r="H4518" s="236"/>
      <c r="I4518" s="73"/>
      <c r="J4518" s="191"/>
      <c r="K4518" s="207"/>
      <c r="L4518" s="59"/>
    </row>
    <row r="4519" spans="1:12">
      <c r="A4519" s="36"/>
      <c r="B4519" s="37"/>
      <c r="C4519" s="179"/>
      <c r="D4519" s="179"/>
      <c r="E4519" s="179"/>
      <c r="F4519" s="235"/>
      <c r="G4519" s="235"/>
      <c r="H4519" s="235"/>
      <c r="I4519" s="79"/>
      <c r="J4519" s="185"/>
      <c r="K4519" s="216"/>
      <c r="L4519" s="59"/>
    </row>
    <row r="4520" spans="1:12">
      <c r="A4520" s="36"/>
      <c r="B4520" s="37"/>
      <c r="C4520" s="179"/>
      <c r="D4520" s="179"/>
      <c r="E4520" s="179"/>
      <c r="F4520" s="235"/>
      <c r="G4520" s="235"/>
      <c r="H4520" s="235"/>
      <c r="I4520" s="79"/>
      <c r="J4520" s="185"/>
      <c r="K4520" s="216"/>
      <c r="L4520" s="59"/>
    </row>
    <row r="4521" spans="1:12">
      <c r="A4521" s="36"/>
      <c r="B4521" s="37"/>
      <c r="C4521" s="179"/>
      <c r="D4521" s="179"/>
      <c r="E4521" s="179"/>
      <c r="F4521" s="235"/>
      <c r="G4521" s="235"/>
      <c r="H4521" s="235"/>
      <c r="I4521" s="79"/>
      <c r="J4521" s="185"/>
      <c r="K4521" s="216"/>
      <c r="L4521" s="59"/>
    </row>
    <row r="4522" spans="1:12">
      <c r="A4522" s="36"/>
      <c r="B4522" s="37"/>
      <c r="C4522" s="179"/>
      <c r="D4522" s="179"/>
      <c r="E4522" s="179"/>
      <c r="F4522" s="235"/>
      <c r="G4522" s="235"/>
      <c r="H4522" s="235"/>
      <c r="I4522" s="79"/>
      <c r="J4522" s="185"/>
      <c r="K4522" s="216"/>
      <c r="L4522" s="59"/>
    </row>
    <row r="4523" spans="1:12">
      <c r="A4523" s="36"/>
      <c r="B4523" s="37"/>
      <c r="C4523" s="179"/>
      <c r="D4523" s="179"/>
      <c r="E4523" s="179"/>
      <c r="F4523" s="235"/>
      <c r="G4523" s="235"/>
      <c r="H4523" s="235"/>
      <c r="I4523" s="79"/>
      <c r="J4523" s="185"/>
      <c r="K4523" s="216"/>
      <c r="L4523" s="59"/>
    </row>
    <row r="4524" spans="1:12">
      <c r="A4524" s="36"/>
      <c r="B4524" s="37"/>
      <c r="C4524" s="179"/>
      <c r="D4524" s="179"/>
      <c r="E4524" s="179"/>
      <c r="F4524" s="235"/>
      <c r="G4524" s="235"/>
      <c r="H4524" s="235"/>
      <c r="I4524" s="79"/>
      <c r="J4524" s="185"/>
      <c r="K4524" s="216"/>
      <c r="L4524" s="59"/>
    </row>
    <row r="4525" spans="1:12">
      <c r="A4525" s="36"/>
      <c r="B4525" s="37"/>
      <c r="C4525" s="179"/>
      <c r="D4525" s="179"/>
      <c r="E4525" s="179"/>
      <c r="F4525" s="235"/>
      <c r="G4525" s="235"/>
      <c r="H4525" s="235"/>
      <c r="I4525" s="79"/>
      <c r="J4525" s="185"/>
      <c r="K4525" s="216"/>
      <c r="L4525" s="59"/>
    </row>
    <row r="4526" spans="1:12">
      <c r="A4526" s="36"/>
      <c r="B4526" s="37"/>
      <c r="C4526" s="179"/>
      <c r="D4526" s="179"/>
      <c r="E4526" s="179"/>
      <c r="F4526" s="235"/>
      <c r="G4526" s="235"/>
      <c r="H4526" s="235"/>
      <c r="I4526" s="79"/>
      <c r="J4526" s="185"/>
      <c r="K4526" s="216"/>
      <c r="L4526" s="59"/>
    </row>
    <row r="4527" spans="1:12">
      <c r="A4527" s="23"/>
      <c r="B4527" s="14"/>
      <c r="C4527" s="180"/>
      <c r="D4527" s="180"/>
      <c r="E4527" s="180"/>
      <c r="F4527" s="236"/>
      <c r="G4527" s="236"/>
      <c r="H4527" s="236"/>
      <c r="I4527" s="73"/>
      <c r="J4527" s="191"/>
      <c r="K4527" s="207"/>
      <c r="L4527" s="59"/>
    </row>
    <row r="4528" spans="1:12">
      <c r="A4528" s="36"/>
      <c r="B4528" s="37"/>
      <c r="C4528" s="179"/>
      <c r="D4528" s="179"/>
      <c r="E4528" s="179"/>
      <c r="F4528" s="235"/>
      <c r="G4528" s="235"/>
      <c r="H4528" s="235"/>
      <c r="I4528" s="79"/>
      <c r="J4528" s="185"/>
      <c r="K4528" s="216"/>
      <c r="L4528" s="59"/>
    </row>
    <row r="4529" spans="1:12">
      <c r="A4529" s="36"/>
      <c r="B4529" s="37"/>
      <c r="C4529" s="179"/>
      <c r="D4529" s="179"/>
      <c r="E4529" s="179"/>
      <c r="F4529" s="235"/>
      <c r="G4529" s="235"/>
      <c r="H4529" s="235"/>
      <c r="I4529" s="79"/>
      <c r="J4529" s="185"/>
      <c r="K4529" s="216"/>
      <c r="L4529" s="59"/>
    </row>
    <row r="4530" spans="1:12">
      <c r="A4530" s="36"/>
      <c r="B4530" s="37"/>
      <c r="C4530" s="179"/>
      <c r="D4530" s="179"/>
      <c r="E4530" s="179"/>
      <c r="F4530" s="235"/>
      <c r="G4530" s="235"/>
      <c r="H4530" s="235"/>
      <c r="I4530" s="79"/>
      <c r="J4530" s="185"/>
      <c r="K4530" s="216"/>
      <c r="L4530" s="59"/>
    </row>
    <row r="4531" spans="1:12">
      <c r="A4531" s="23"/>
      <c r="B4531" s="14"/>
      <c r="C4531" s="180"/>
      <c r="D4531" s="180"/>
      <c r="E4531" s="180"/>
      <c r="F4531" s="236"/>
      <c r="G4531" s="236"/>
      <c r="H4531" s="236"/>
      <c r="I4531" s="73"/>
      <c r="J4531" s="191"/>
      <c r="K4531" s="207"/>
      <c r="L4531" s="59"/>
    </row>
    <row r="4532" spans="1:12">
      <c r="A4532" s="36"/>
      <c r="B4532" s="37"/>
      <c r="C4532" s="179"/>
      <c r="D4532" s="179"/>
      <c r="E4532" s="179"/>
      <c r="F4532" s="235"/>
      <c r="G4532" s="235"/>
      <c r="H4532" s="235"/>
      <c r="I4532" s="79"/>
      <c r="J4532" s="185"/>
      <c r="K4532" s="216"/>
      <c r="L4532" s="59"/>
    </row>
    <row r="4533" spans="1:12">
      <c r="A4533" s="36"/>
      <c r="B4533" s="37"/>
      <c r="C4533" s="179"/>
      <c r="D4533" s="179"/>
      <c r="E4533" s="179"/>
      <c r="F4533" s="235"/>
      <c r="G4533" s="235"/>
      <c r="H4533" s="235"/>
      <c r="I4533" s="79"/>
      <c r="J4533" s="185"/>
      <c r="K4533" s="216"/>
      <c r="L4533" s="59"/>
    </row>
    <row r="4534" spans="1:12">
      <c r="A4534" s="21"/>
      <c r="B4534" s="21"/>
      <c r="C4534" s="175"/>
      <c r="D4534" s="175"/>
      <c r="E4534" s="175"/>
      <c r="F4534" s="234"/>
      <c r="G4534" s="234"/>
      <c r="H4534" s="234"/>
      <c r="I4534" s="63"/>
      <c r="J4534" s="190"/>
      <c r="K4534" s="208"/>
      <c r="L4534" s="59"/>
    </row>
    <row r="4535" spans="1:12">
      <c r="A4535" s="36"/>
      <c r="B4535" s="37"/>
      <c r="C4535" s="179"/>
      <c r="D4535" s="179"/>
      <c r="E4535" s="179"/>
      <c r="F4535" s="235"/>
      <c r="G4535" s="235"/>
      <c r="H4535" s="235"/>
      <c r="I4535" s="79"/>
      <c r="J4535" s="185"/>
      <c r="K4535" s="216"/>
      <c r="L4535" s="59"/>
    </row>
    <row r="4536" spans="1:12">
      <c r="A4536" s="36"/>
      <c r="B4536" s="37"/>
      <c r="C4536" s="179"/>
      <c r="D4536" s="179"/>
      <c r="E4536" s="179"/>
      <c r="F4536" s="235"/>
      <c r="G4536" s="235"/>
      <c r="H4536" s="235"/>
      <c r="I4536" s="79"/>
      <c r="J4536" s="185"/>
      <c r="K4536" s="216"/>
      <c r="L4536" s="59"/>
    </row>
    <row r="4537" spans="1:12">
      <c r="A4537" s="36"/>
      <c r="B4537" s="37"/>
      <c r="C4537" s="179"/>
      <c r="D4537" s="179"/>
      <c r="E4537" s="179"/>
      <c r="F4537" s="235"/>
      <c r="G4537" s="235"/>
      <c r="H4537" s="235"/>
      <c r="I4537" s="79"/>
      <c r="J4537" s="185"/>
      <c r="K4537" s="216"/>
      <c r="L4537" s="59"/>
    </row>
    <row r="4538" spans="1:12">
      <c r="A4538" s="36"/>
      <c r="B4538" s="37"/>
      <c r="C4538" s="179"/>
      <c r="D4538" s="179"/>
      <c r="E4538" s="179"/>
      <c r="F4538" s="235"/>
      <c r="G4538" s="235"/>
      <c r="H4538" s="235"/>
      <c r="I4538" s="79"/>
      <c r="J4538" s="185"/>
      <c r="K4538" s="216"/>
      <c r="L4538" s="59"/>
    </row>
    <row r="4539" spans="1:12">
      <c r="A4539" s="36"/>
      <c r="B4539" s="37"/>
      <c r="C4539" s="179"/>
      <c r="D4539" s="179"/>
      <c r="E4539" s="179"/>
      <c r="F4539" s="235"/>
      <c r="G4539" s="235"/>
      <c r="H4539" s="235"/>
      <c r="I4539" s="79"/>
      <c r="J4539" s="185"/>
      <c r="K4539" s="216"/>
      <c r="L4539" s="59"/>
    </row>
    <row r="4540" spans="1:12">
      <c r="A4540" s="36"/>
      <c r="B4540" s="37"/>
      <c r="C4540" s="179"/>
      <c r="D4540" s="179"/>
      <c r="E4540" s="179"/>
      <c r="F4540" s="235"/>
      <c r="G4540" s="235"/>
      <c r="H4540" s="235"/>
      <c r="I4540" s="79"/>
      <c r="J4540" s="185"/>
      <c r="K4540" s="216"/>
      <c r="L4540" s="59"/>
    </row>
    <row r="4541" spans="1:12">
      <c r="A4541" s="36"/>
      <c r="B4541" s="37"/>
      <c r="C4541" s="179"/>
      <c r="D4541" s="179"/>
      <c r="E4541" s="179"/>
      <c r="F4541" s="235"/>
      <c r="G4541" s="235"/>
      <c r="H4541" s="235"/>
      <c r="I4541" s="79"/>
      <c r="J4541" s="185"/>
      <c r="K4541" s="216"/>
      <c r="L4541" s="59"/>
    </row>
    <row r="4542" spans="1:12">
      <c r="A4542" s="21"/>
      <c r="B4542" s="21"/>
      <c r="C4542" s="175"/>
      <c r="D4542" s="175"/>
      <c r="E4542" s="175"/>
      <c r="F4542" s="234"/>
      <c r="G4542" s="234"/>
      <c r="H4542" s="234"/>
      <c r="I4542" s="63"/>
      <c r="J4542" s="190"/>
      <c r="K4542" s="208"/>
      <c r="L4542" s="59"/>
    </row>
    <row r="4543" spans="1:12">
      <c r="A4543" s="36"/>
      <c r="B4543" s="37"/>
      <c r="C4543" s="179"/>
      <c r="D4543" s="179"/>
      <c r="E4543" s="179"/>
      <c r="F4543" s="235"/>
      <c r="G4543" s="235"/>
      <c r="H4543" s="235"/>
      <c r="I4543" s="79"/>
      <c r="J4543" s="185"/>
      <c r="K4543" s="216"/>
      <c r="L4543" s="59"/>
    </row>
    <row r="4544" spans="1:12">
      <c r="A4544" s="21"/>
      <c r="B4544" s="21"/>
      <c r="C4544" s="175"/>
      <c r="D4544" s="175"/>
      <c r="E4544" s="175"/>
      <c r="F4544" s="234"/>
      <c r="G4544" s="234"/>
      <c r="H4544" s="234"/>
      <c r="I4544" s="63"/>
      <c r="J4544" s="190"/>
      <c r="K4544" s="208"/>
      <c r="L4544" s="59"/>
    </row>
    <row r="4545" spans="1:12">
      <c r="A4545" s="36"/>
      <c r="B4545" s="37"/>
      <c r="C4545" s="179"/>
      <c r="D4545" s="179"/>
      <c r="E4545" s="179"/>
      <c r="F4545" s="235"/>
      <c r="G4545" s="235"/>
      <c r="H4545" s="235"/>
      <c r="I4545" s="79"/>
      <c r="J4545" s="185"/>
      <c r="K4545" s="216"/>
      <c r="L4545" s="59"/>
    </row>
    <row r="4546" spans="1:12">
      <c r="A4546" s="36"/>
      <c r="B4546" s="37"/>
      <c r="C4546" s="179"/>
      <c r="D4546" s="179"/>
      <c r="E4546" s="179"/>
      <c r="F4546" s="235"/>
      <c r="G4546" s="235"/>
      <c r="H4546" s="235"/>
      <c r="I4546" s="79"/>
      <c r="J4546" s="185"/>
      <c r="K4546" s="216"/>
      <c r="L4546" s="59"/>
    </row>
    <row r="4547" spans="1:12">
      <c r="A4547" s="36"/>
      <c r="B4547" s="37"/>
      <c r="C4547" s="181"/>
      <c r="D4547" s="181"/>
      <c r="E4547" s="181"/>
      <c r="F4547" s="238"/>
      <c r="G4547" s="238"/>
      <c r="H4547" s="238"/>
      <c r="I4547" s="79"/>
      <c r="J4547" s="185"/>
      <c r="K4547" s="216"/>
      <c r="L4547" s="59"/>
    </row>
    <row r="4548" spans="1:12">
      <c r="A4548" s="36"/>
      <c r="B4548" s="37"/>
      <c r="C4548" s="179"/>
      <c r="D4548" s="179"/>
      <c r="E4548" s="179"/>
      <c r="F4548" s="235"/>
      <c r="G4548" s="235"/>
      <c r="H4548" s="235"/>
      <c r="I4548" s="79"/>
      <c r="J4548" s="185"/>
      <c r="K4548" s="216"/>
      <c r="L4548" s="59"/>
    </row>
    <row r="4549" spans="1:12">
      <c r="A4549" s="36"/>
      <c r="B4549" s="37"/>
      <c r="C4549" s="179"/>
      <c r="D4549" s="179"/>
      <c r="E4549" s="179"/>
      <c r="F4549" s="235"/>
      <c r="G4549" s="235"/>
      <c r="H4549" s="235"/>
      <c r="I4549" s="79"/>
      <c r="J4549" s="185"/>
      <c r="K4549" s="216"/>
      <c r="L4549" s="59"/>
    </row>
    <row r="4550" spans="1:12">
      <c r="A4550" s="36"/>
      <c r="B4550" s="37"/>
      <c r="C4550" s="179"/>
      <c r="D4550" s="179"/>
      <c r="E4550" s="179"/>
      <c r="F4550" s="235"/>
      <c r="G4550" s="235"/>
      <c r="H4550" s="235"/>
      <c r="I4550" s="79"/>
      <c r="J4550" s="185"/>
      <c r="K4550" s="216"/>
      <c r="L4550" s="59"/>
    </row>
    <row r="4551" spans="1:12">
      <c r="A4551" s="36"/>
      <c r="B4551" s="37"/>
      <c r="C4551" s="179"/>
      <c r="D4551" s="179"/>
      <c r="E4551" s="179"/>
      <c r="F4551" s="235"/>
      <c r="G4551" s="235"/>
      <c r="H4551" s="235"/>
      <c r="I4551" s="79"/>
      <c r="J4551" s="185"/>
      <c r="K4551" s="216"/>
      <c r="L4551" s="59"/>
    </row>
    <row r="4552" spans="1:12">
      <c r="A4552" s="36"/>
      <c r="B4552" s="37"/>
      <c r="C4552" s="179"/>
      <c r="D4552" s="179"/>
      <c r="E4552" s="179"/>
      <c r="F4552" s="235"/>
      <c r="G4552" s="235"/>
      <c r="H4552" s="235"/>
      <c r="I4552" s="79"/>
      <c r="J4552" s="185"/>
      <c r="K4552" s="216"/>
      <c r="L4552" s="59"/>
    </row>
    <row r="4553" spans="1:12">
      <c r="A4553" s="36"/>
      <c r="B4553" s="37"/>
      <c r="C4553" s="179"/>
      <c r="D4553" s="179"/>
      <c r="E4553" s="179"/>
      <c r="F4553" s="235"/>
      <c r="G4553" s="235"/>
      <c r="H4553" s="235"/>
      <c r="I4553" s="79"/>
      <c r="J4553" s="185"/>
      <c r="K4553" s="216"/>
      <c r="L4553" s="59"/>
    </row>
    <row r="4554" spans="1:12">
      <c r="A4554" s="36"/>
      <c r="B4554" s="37"/>
      <c r="C4554" s="179"/>
      <c r="D4554" s="179"/>
      <c r="E4554" s="179"/>
      <c r="F4554" s="235"/>
      <c r="G4554" s="235"/>
      <c r="H4554" s="235"/>
      <c r="I4554" s="79"/>
      <c r="J4554" s="185"/>
      <c r="K4554" s="216"/>
      <c r="L4554" s="59"/>
    </row>
    <row r="4555" spans="1:12">
      <c r="A4555" s="36"/>
      <c r="B4555" s="37"/>
      <c r="C4555" s="179"/>
      <c r="D4555" s="179"/>
      <c r="E4555" s="179"/>
      <c r="F4555" s="235"/>
      <c r="G4555" s="235"/>
      <c r="H4555" s="235"/>
      <c r="I4555" s="79"/>
      <c r="J4555" s="185"/>
      <c r="K4555" s="216"/>
      <c r="L4555" s="59"/>
    </row>
    <row r="4556" spans="1:12">
      <c r="A4556" s="36"/>
      <c r="B4556" s="37"/>
      <c r="C4556" s="179"/>
      <c r="D4556" s="179"/>
      <c r="E4556" s="179"/>
      <c r="F4556" s="235"/>
      <c r="G4556" s="235"/>
      <c r="H4556" s="235"/>
      <c r="I4556" s="79"/>
      <c r="J4556" s="185"/>
      <c r="K4556" s="216"/>
      <c r="L4556" s="59"/>
    </row>
    <row r="4557" spans="1:12">
      <c r="A4557" s="36"/>
      <c r="B4557" s="37"/>
      <c r="C4557" s="179"/>
      <c r="D4557" s="179"/>
      <c r="E4557" s="179"/>
      <c r="F4557" s="235"/>
      <c r="G4557" s="235"/>
      <c r="H4557" s="235"/>
      <c r="I4557" s="79"/>
      <c r="J4557" s="185"/>
      <c r="K4557" s="216"/>
      <c r="L4557" s="59"/>
    </row>
    <row r="4558" spans="1:12">
      <c r="A4558" s="36"/>
      <c r="B4558" s="37"/>
      <c r="C4558" s="179"/>
      <c r="D4558" s="179"/>
      <c r="E4558" s="179"/>
      <c r="F4558" s="235"/>
      <c r="G4558" s="235"/>
      <c r="H4558" s="235"/>
      <c r="I4558" s="79"/>
      <c r="J4558" s="185"/>
      <c r="K4558" s="216"/>
      <c r="L4558" s="59"/>
    </row>
    <row r="4559" spans="1:12">
      <c r="A4559" s="36"/>
      <c r="B4559" s="37"/>
      <c r="C4559" s="179"/>
      <c r="D4559" s="179"/>
      <c r="E4559" s="179"/>
      <c r="F4559" s="235"/>
      <c r="G4559" s="235"/>
      <c r="H4559" s="235"/>
      <c r="I4559" s="79"/>
      <c r="J4559" s="185"/>
      <c r="K4559" s="216"/>
      <c r="L4559" s="59"/>
    </row>
    <row r="4560" spans="1:12">
      <c r="A4560" s="36"/>
      <c r="B4560" s="37"/>
      <c r="C4560" s="179"/>
      <c r="D4560" s="179"/>
      <c r="E4560" s="179"/>
      <c r="F4560" s="235"/>
      <c r="G4560" s="235"/>
      <c r="H4560" s="235"/>
      <c r="I4560" s="79"/>
      <c r="J4560" s="185"/>
      <c r="K4560" s="216"/>
      <c r="L4560" s="59"/>
    </row>
    <row r="4561" spans="1:12">
      <c r="A4561" s="36"/>
      <c r="B4561" s="37"/>
      <c r="C4561" s="179"/>
      <c r="D4561" s="179"/>
      <c r="E4561" s="179"/>
      <c r="F4561" s="235"/>
      <c r="G4561" s="235"/>
      <c r="H4561" s="235"/>
      <c r="I4561" s="79"/>
      <c r="J4561" s="185"/>
      <c r="K4561" s="216"/>
      <c r="L4561" s="59"/>
    </row>
    <row r="4562" spans="1:12">
      <c r="A4562" s="36"/>
      <c r="B4562" s="37"/>
      <c r="C4562" s="179"/>
      <c r="D4562" s="179"/>
      <c r="E4562" s="179"/>
      <c r="F4562" s="235"/>
      <c r="G4562" s="235"/>
      <c r="H4562" s="235"/>
      <c r="I4562" s="79"/>
      <c r="J4562" s="185"/>
      <c r="K4562" s="216"/>
      <c r="L4562" s="59"/>
    </row>
    <row r="4563" spans="1:12">
      <c r="A4563" s="36"/>
      <c r="B4563" s="37"/>
      <c r="C4563" s="179"/>
      <c r="D4563" s="179"/>
      <c r="E4563" s="179"/>
      <c r="F4563" s="235"/>
      <c r="G4563" s="235"/>
      <c r="H4563" s="235"/>
      <c r="I4563" s="79"/>
      <c r="J4563" s="185"/>
      <c r="K4563" s="216"/>
      <c r="L4563" s="59"/>
    </row>
    <row r="4564" spans="1:12">
      <c r="A4564" s="36"/>
      <c r="B4564" s="37"/>
      <c r="C4564" s="179"/>
      <c r="D4564" s="179"/>
      <c r="E4564" s="179"/>
      <c r="F4564" s="235"/>
      <c r="G4564" s="235"/>
      <c r="H4564" s="235"/>
      <c r="I4564" s="79"/>
      <c r="J4564" s="185"/>
      <c r="K4564" s="216"/>
      <c r="L4564" s="59"/>
    </row>
    <row r="4565" spans="1:12">
      <c r="A4565" s="36"/>
      <c r="B4565" s="37"/>
      <c r="C4565" s="179"/>
      <c r="D4565" s="179"/>
      <c r="E4565" s="179"/>
      <c r="F4565" s="235"/>
      <c r="G4565" s="235"/>
      <c r="H4565" s="235"/>
      <c r="I4565" s="79"/>
      <c r="J4565" s="185"/>
      <c r="K4565" s="216"/>
      <c r="L4565" s="59"/>
    </row>
    <row r="4566" spans="1:12">
      <c r="A4566" s="36"/>
      <c r="B4566" s="37"/>
      <c r="C4566" s="179"/>
      <c r="D4566" s="179"/>
      <c r="E4566" s="179"/>
      <c r="F4566" s="235"/>
      <c r="G4566" s="235"/>
      <c r="H4566" s="235"/>
      <c r="I4566" s="79"/>
      <c r="J4566" s="185"/>
      <c r="K4566" s="216"/>
      <c r="L4566" s="59"/>
    </row>
    <row r="4567" spans="1:12">
      <c r="A4567" s="36"/>
      <c r="B4567" s="37"/>
      <c r="C4567" s="179"/>
      <c r="D4567" s="179"/>
      <c r="E4567" s="179"/>
      <c r="F4567" s="235"/>
      <c r="G4567" s="235"/>
      <c r="H4567" s="235"/>
      <c r="I4567" s="79"/>
      <c r="J4567" s="185"/>
      <c r="K4567" s="216"/>
      <c r="L4567" s="59"/>
    </row>
    <row r="4568" spans="1:12">
      <c r="A4568" s="36"/>
      <c r="B4568" s="37"/>
      <c r="C4568" s="179"/>
      <c r="D4568" s="179"/>
      <c r="E4568" s="179"/>
      <c r="F4568" s="235"/>
      <c r="G4568" s="235"/>
      <c r="H4568" s="235"/>
      <c r="I4568" s="79"/>
      <c r="J4568" s="185"/>
      <c r="K4568" s="216"/>
      <c r="L4568" s="59"/>
    </row>
    <row r="4569" spans="1:12">
      <c r="A4569" s="36"/>
      <c r="B4569" s="37"/>
      <c r="C4569" s="179"/>
      <c r="D4569" s="179"/>
      <c r="E4569" s="179"/>
      <c r="F4569" s="235"/>
      <c r="G4569" s="235"/>
      <c r="H4569" s="235"/>
      <c r="I4569" s="79"/>
      <c r="J4569" s="185"/>
      <c r="K4569" s="216"/>
      <c r="L4569" s="59"/>
    </row>
    <row r="4570" spans="1:12">
      <c r="A4570" s="36"/>
      <c r="B4570" s="37"/>
      <c r="C4570" s="179"/>
      <c r="D4570" s="179"/>
      <c r="E4570" s="179"/>
      <c r="F4570" s="235"/>
      <c r="G4570" s="235"/>
      <c r="H4570" s="235"/>
      <c r="I4570" s="79"/>
      <c r="J4570" s="185"/>
      <c r="K4570" s="216"/>
      <c r="L4570" s="59"/>
    </row>
    <row r="4571" spans="1:12">
      <c r="A4571" s="36"/>
      <c r="B4571" s="37"/>
      <c r="C4571" s="179"/>
      <c r="D4571" s="179"/>
      <c r="E4571" s="179"/>
      <c r="F4571" s="235"/>
      <c r="G4571" s="235"/>
      <c r="H4571" s="235"/>
      <c r="I4571" s="79"/>
      <c r="J4571" s="185"/>
      <c r="K4571" s="216"/>
      <c r="L4571" s="59"/>
    </row>
    <row r="4572" spans="1:12">
      <c r="A4572" s="36"/>
      <c r="B4572" s="37"/>
      <c r="C4572" s="179"/>
      <c r="D4572" s="179"/>
      <c r="E4572" s="179"/>
      <c r="F4572" s="235"/>
      <c r="G4572" s="235"/>
      <c r="H4572" s="235"/>
      <c r="I4572" s="79"/>
      <c r="J4572" s="185"/>
      <c r="K4572" s="216"/>
      <c r="L4572" s="59"/>
    </row>
    <row r="4573" spans="1:12">
      <c r="A4573" s="36"/>
      <c r="B4573" s="37"/>
      <c r="C4573" s="179"/>
      <c r="D4573" s="179"/>
      <c r="E4573" s="179"/>
      <c r="F4573" s="235"/>
      <c r="G4573" s="235"/>
      <c r="H4573" s="235"/>
      <c r="I4573" s="79"/>
      <c r="J4573" s="185"/>
      <c r="K4573" s="216"/>
      <c r="L4573" s="59"/>
    </row>
    <row r="4574" spans="1:12">
      <c r="A4574" s="36"/>
      <c r="B4574" s="37"/>
      <c r="C4574" s="179"/>
      <c r="D4574" s="179"/>
      <c r="E4574" s="179"/>
      <c r="F4574" s="235"/>
      <c r="G4574" s="235"/>
      <c r="H4574" s="235"/>
      <c r="I4574" s="79"/>
      <c r="J4574" s="185"/>
      <c r="K4574" s="216"/>
      <c r="L4574" s="4"/>
    </row>
    <row r="4575" spans="1:12">
      <c r="A4575" s="21"/>
      <c r="B4575" s="21"/>
      <c r="C4575" s="175"/>
      <c r="D4575" s="175"/>
      <c r="E4575" s="175"/>
      <c r="F4575" s="234"/>
      <c r="G4575" s="234"/>
      <c r="H4575" s="234"/>
      <c r="I4575" s="63"/>
      <c r="J4575" s="190"/>
      <c r="K4575" s="208"/>
      <c r="L4575" s="59"/>
    </row>
    <row r="4576" spans="1:12">
      <c r="A4576" s="36"/>
      <c r="B4576" s="37"/>
      <c r="C4576" s="179"/>
      <c r="D4576" s="179"/>
      <c r="E4576" s="179"/>
      <c r="F4576" s="235"/>
      <c r="G4576" s="235"/>
      <c r="H4576" s="235"/>
      <c r="I4576" s="79"/>
      <c r="J4576" s="196"/>
      <c r="K4576" s="216"/>
      <c r="L4576" s="2"/>
    </row>
    <row r="4577" spans="1:12">
      <c r="A4577" s="36"/>
      <c r="B4577" s="37"/>
      <c r="C4577" s="179"/>
      <c r="D4577" s="179"/>
      <c r="E4577" s="179"/>
      <c r="F4577" s="235"/>
      <c r="G4577" s="235"/>
      <c r="H4577" s="235"/>
      <c r="I4577" s="79"/>
      <c r="J4577" s="185"/>
      <c r="K4577" s="216"/>
      <c r="L4577" s="59"/>
    </row>
    <row r="4578" spans="1:12">
      <c r="A4578" s="36"/>
      <c r="B4578" s="37"/>
      <c r="C4578" s="179"/>
      <c r="D4578" s="179"/>
      <c r="E4578" s="179"/>
      <c r="F4578" s="235"/>
      <c r="G4578" s="235"/>
      <c r="H4578" s="235"/>
      <c r="I4578" s="79"/>
      <c r="J4578" s="185"/>
      <c r="K4578" s="216"/>
      <c r="L4578" s="59"/>
    </row>
    <row r="4579" spans="1:12">
      <c r="A4579" s="36"/>
      <c r="B4579" s="37"/>
      <c r="C4579" s="179"/>
      <c r="D4579" s="179"/>
      <c r="E4579" s="179"/>
      <c r="F4579" s="235"/>
      <c r="G4579" s="235"/>
      <c r="H4579" s="235"/>
      <c r="I4579" s="79"/>
      <c r="J4579" s="185"/>
      <c r="K4579" s="216"/>
      <c r="L4579" s="59"/>
    </row>
    <row r="4580" spans="1:12">
      <c r="A4580" s="23"/>
      <c r="B4580" s="14"/>
      <c r="C4580" s="180"/>
      <c r="D4580" s="180"/>
      <c r="E4580" s="180"/>
      <c r="F4580" s="236"/>
      <c r="G4580" s="236"/>
      <c r="H4580" s="236"/>
      <c r="I4580" s="73"/>
      <c r="J4580" s="191"/>
      <c r="K4580" s="207"/>
      <c r="L4580" s="59"/>
    </row>
    <row r="4581" spans="1:12">
      <c r="A4581" s="23"/>
      <c r="B4581" s="14"/>
      <c r="C4581" s="180"/>
      <c r="D4581" s="180"/>
      <c r="E4581" s="180"/>
      <c r="F4581" s="236"/>
      <c r="G4581" s="236"/>
      <c r="H4581" s="236"/>
      <c r="I4581" s="73"/>
      <c r="J4581" s="191"/>
      <c r="K4581" s="207"/>
      <c r="L4581" s="59"/>
    </row>
    <row r="4582" spans="1:12">
      <c r="A4582" s="36"/>
      <c r="B4582" s="37"/>
      <c r="C4582" s="179"/>
      <c r="D4582" s="179"/>
      <c r="E4582" s="179"/>
      <c r="F4582" s="235"/>
      <c r="G4582" s="235"/>
      <c r="H4582" s="235"/>
      <c r="I4582" s="79"/>
      <c r="J4582" s="185"/>
      <c r="K4582" s="216"/>
      <c r="L4582" s="59"/>
    </row>
    <row r="4583" spans="1:12">
      <c r="A4583" s="21"/>
      <c r="B4583" s="21"/>
      <c r="C4583" s="175"/>
      <c r="D4583" s="175"/>
      <c r="E4583" s="175"/>
      <c r="F4583" s="234"/>
      <c r="G4583" s="234"/>
      <c r="H4583" s="234"/>
      <c r="I4583" s="63"/>
      <c r="J4583" s="190"/>
      <c r="K4583" s="208"/>
      <c r="L4583" s="59"/>
    </row>
    <row r="4584" spans="1:12">
      <c r="A4584" s="21"/>
      <c r="B4584" s="21"/>
      <c r="C4584" s="175"/>
      <c r="D4584" s="175"/>
      <c r="E4584" s="175"/>
      <c r="F4584" s="234"/>
      <c r="G4584" s="234"/>
      <c r="H4584" s="234"/>
      <c r="I4584" s="63"/>
      <c r="J4584" s="190"/>
      <c r="K4584" s="208"/>
      <c r="L4584" s="59"/>
    </row>
    <row r="4585" spans="1:12">
      <c r="A4585" s="36"/>
      <c r="B4585" s="37"/>
      <c r="C4585" s="179"/>
      <c r="D4585" s="179"/>
      <c r="E4585" s="179"/>
      <c r="F4585" s="235"/>
      <c r="G4585" s="235"/>
      <c r="H4585" s="235"/>
      <c r="I4585" s="79"/>
      <c r="J4585" s="185"/>
      <c r="K4585" s="216"/>
      <c r="L4585" s="59"/>
    </row>
    <row r="4586" spans="1:12">
      <c r="A4586" s="21"/>
      <c r="B4586" s="21"/>
      <c r="C4586" s="175"/>
      <c r="D4586" s="175"/>
      <c r="E4586" s="175"/>
      <c r="F4586" s="234"/>
      <c r="G4586" s="234"/>
      <c r="H4586" s="234"/>
      <c r="I4586" s="63"/>
      <c r="J4586" s="190"/>
      <c r="K4586" s="208"/>
      <c r="L4586" s="59"/>
    </row>
    <row r="4587" spans="1:12">
      <c r="A4587" s="21"/>
      <c r="B4587" s="21"/>
      <c r="C4587" s="175"/>
      <c r="D4587" s="175"/>
      <c r="E4587" s="175"/>
      <c r="F4587" s="234"/>
      <c r="G4587" s="234"/>
      <c r="H4587" s="234"/>
      <c r="I4587" s="63"/>
      <c r="J4587" s="190"/>
      <c r="K4587" s="208"/>
      <c r="L4587" s="30"/>
    </row>
    <row r="4588" spans="1:12">
      <c r="A4588" s="21"/>
      <c r="B4588" s="21"/>
      <c r="C4588" s="175"/>
      <c r="D4588" s="175"/>
      <c r="E4588" s="175"/>
      <c r="F4588" s="234"/>
      <c r="G4588" s="234"/>
      <c r="H4588" s="234"/>
      <c r="I4588" s="63"/>
      <c r="J4588" s="190"/>
      <c r="K4588" s="208"/>
      <c r="L4588" s="60"/>
    </row>
    <row r="4589" spans="1:12">
      <c r="A4589" s="21"/>
      <c r="B4589" s="21"/>
      <c r="C4589" s="175"/>
      <c r="D4589" s="175"/>
      <c r="E4589" s="175"/>
      <c r="F4589" s="234"/>
      <c r="G4589" s="234"/>
      <c r="H4589" s="234"/>
      <c r="I4589" s="63"/>
      <c r="J4589" s="190"/>
      <c r="K4589" s="208"/>
      <c r="L4589" s="59"/>
    </row>
    <row r="4590" spans="1:12">
      <c r="A4590" s="21"/>
      <c r="B4590" s="21"/>
      <c r="C4590" s="175"/>
      <c r="D4590" s="175"/>
      <c r="E4590" s="175"/>
      <c r="F4590" s="234"/>
      <c r="G4590" s="234"/>
      <c r="H4590" s="234"/>
      <c r="I4590" s="63"/>
      <c r="J4590" s="190"/>
      <c r="K4590" s="208"/>
      <c r="L4590" s="59"/>
    </row>
    <row r="4591" spans="1:12">
      <c r="A4591" s="21"/>
      <c r="B4591" s="21"/>
      <c r="C4591" s="175"/>
      <c r="D4591" s="175"/>
      <c r="E4591" s="175"/>
      <c r="F4591" s="234"/>
      <c r="G4591" s="234"/>
      <c r="H4591" s="234"/>
      <c r="I4591" s="63"/>
      <c r="J4591" s="190"/>
      <c r="K4591" s="208"/>
      <c r="L4591" s="59"/>
    </row>
    <row r="4592" spans="1:12">
      <c r="A4592" s="21"/>
      <c r="B4592" s="21"/>
      <c r="C4592" s="175"/>
      <c r="D4592" s="175"/>
      <c r="E4592" s="175"/>
      <c r="F4592" s="234"/>
      <c r="G4592" s="234"/>
      <c r="H4592" s="234"/>
      <c r="I4592" s="63"/>
      <c r="J4592" s="190"/>
      <c r="K4592" s="208"/>
      <c r="L4592" s="29"/>
    </row>
    <row r="4593" spans="1:12">
      <c r="A4593" s="36"/>
      <c r="B4593" s="37"/>
      <c r="C4593" s="179"/>
      <c r="D4593" s="179"/>
      <c r="E4593" s="179"/>
      <c r="F4593" s="235"/>
      <c r="G4593" s="235"/>
      <c r="H4593" s="235"/>
      <c r="I4593" s="79"/>
      <c r="J4593" s="195"/>
      <c r="K4593" s="216"/>
      <c r="L4593" s="59"/>
    </row>
    <row r="4594" spans="1:12">
      <c r="A4594" s="36"/>
      <c r="B4594" s="37"/>
      <c r="C4594" s="179"/>
      <c r="D4594" s="179"/>
      <c r="E4594" s="179"/>
      <c r="F4594" s="235"/>
      <c r="G4594" s="235"/>
      <c r="H4594" s="235"/>
      <c r="I4594" s="79"/>
      <c r="J4594" s="185"/>
      <c r="K4594" s="216"/>
      <c r="L4594" s="59"/>
    </row>
    <row r="4595" spans="1:12">
      <c r="A4595" s="36"/>
      <c r="B4595" s="37"/>
      <c r="C4595" s="179"/>
      <c r="D4595" s="179"/>
      <c r="E4595" s="179"/>
      <c r="F4595" s="235"/>
      <c r="G4595" s="235"/>
      <c r="H4595" s="235"/>
      <c r="I4595" s="79"/>
      <c r="J4595" s="185"/>
      <c r="K4595" s="216"/>
      <c r="L4595" s="59"/>
    </row>
    <row r="4596" spans="1:12">
      <c r="A4596" s="36"/>
      <c r="B4596" s="37"/>
      <c r="C4596" s="179"/>
      <c r="D4596" s="179"/>
      <c r="E4596" s="179"/>
      <c r="F4596" s="235"/>
      <c r="G4596" s="235"/>
      <c r="H4596" s="235"/>
      <c r="I4596" s="79"/>
      <c r="J4596" s="185"/>
      <c r="K4596" s="216"/>
      <c r="L4596" s="59"/>
    </row>
    <row r="4597" spans="1:12">
      <c r="A4597" s="36"/>
      <c r="B4597" s="37"/>
      <c r="C4597" s="179"/>
      <c r="D4597" s="179"/>
      <c r="E4597" s="179"/>
      <c r="F4597" s="235"/>
      <c r="G4597" s="235"/>
      <c r="H4597" s="235"/>
      <c r="I4597" s="79"/>
      <c r="J4597" s="185"/>
      <c r="K4597" s="216"/>
      <c r="L4597" s="59"/>
    </row>
    <row r="4598" spans="1:12">
      <c r="A4598" s="36"/>
      <c r="B4598" s="37"/>
      <c r="C4598" s="179"/>
      <c r="D4598" s="179"/>
      <c r="E4598" s="179"/>
      <c r="F4598" s="235"/>
      <c r="G4598" s="235"/>
      <c r="H4598" s="235"/>
      <c r="I4598" s="79"/>
      <c r="J4598" s="195"/>
      <c r="K4598" s="216"/>
      <c r="L4598" s="59"/>
    </row>
    <row r="4599" spans="1:12">
      <c r="A4599" s="36"/>
      <c r="B4599" s="37"/>
      <c r="C4599" s="179"/>
      <c r="D4599" s="179"/>
      <c r="E4599" s="179"/>
      <c r="F4599" s="235"/>
      <c r="G4599" s="235"/>
      <c r="H4599" s="235"/>
      <c r="I4599" s="79"/>
      <c r="J4599" s="195"/>
      <c r="K4599" s="216"/>
      <c r="L4599" s="59"/>
    </row>
    <row r="4600" spans="1:12">
      <c r="A4600" s="36"/>
      <c r="B4600" s="37"/>
      <c r="C4600" s="179"/>
      <c r="D4600" s="179"/>
      <c r="E4600" s="179"/>
      <c r="F4600" s="235"/>
      <c r="G4600" s="235"/>
      <c r="H4600" s="235"/>
      <c r="I4600" s="79"/>
      <c r="J4600" s="195"/>
      <c r="K4600" s="216"/>
      <c r="L4600" s="59"/>
    </row>
    <row r="4601" spans="1:12">
      <c r="A4601" s="36"/>
      <c r="B4601" s="37"/>
      <c r="C4601" s="179"/>
      <c r="D4601" s="179"/>
      <c r="E4601" s="179"/>
      <c r="F4601" s="235"/>
      <c r="G4601" s="235"/>
      <c r="H4601" s="235"/>
      <c r="I4601" s="79"/>
      <c r="J4601" s="195"/>
      <c r="K4601" s="216"/>
      <c r="L4601" s="59"/>
    </row>
    <row r="4602" spans="1:12">
      <c r="A4602" s="36"/>
      <c r="B4602" s="37"/>
      <c r="C4602" s="179"/>
      <c r="D4602" s="179"/>
      <c r="E4602" s="179"/>
      <c r="F4602" s="235"/>
      <c r="G4602" s="235"/>
      <c r="H4602" s="235"/>
      <c r="I4602" s="79"/>
      <c r="J4602" s="195"/>
      <c r="K4602" s="216"/>
      <c r="L4602" s="59"/>
    </row>
    <row r="4603" spans="1:12">
      <c r="A4603" s="36"/>
      <c r="B4603" s="37"/>
      <c r="C4603" s="179"/>
      <c r="D4603" s="179"/>
      <c r="E4603" s="179"/>
      <c r="F4603" s="235"/>
      <c r="G4603" s="235"/>
      <c r="H4603" s="235"/>
      <c r="I4603" s="79"/>
      <c r="J4603" s="195"/>
      <c r="K4603" s="216"/>
      <c r="L4603" s="59"/>
    </row>
    <row r="4604" spans="1:12">
      <c r="A4604" s="36"/>
      <c r="B4604" s="37"/>
      <c r="C4604" s="179"/>
      <c r="D4604" s="179"/>
      <c r="E4604" s="179"/>
      <c r="F4604" s="235"/>
      <c r="G4604" s="235"/>
      <c r="H4604" s="235"/>
      <c r="I4604" s="79"/>
      <c r="J4604" s="195"/>
      <c r="K4604" s="216"/>
      <c r="L4604" s="59"/>
    </row>
    <row r="4605" spans="1:12">
      <c r="A4605" s="36"/>
      <c r="B4605" s="37"/>
      <c r="C4605" s="179"/>
      <c r="D4605" s="179"/>
      <c r="E4605" s="179"/>
      <c r="F4605" s="235"/>
      <c r="G4605" s="235"/>
      <c r="H4605" s="235"/>
      <c r="I4605" s="79"/>
      <c r="J4605" s="195"/>
      <c r="K4605" s="216"/>
      <c r="L4605" s="59"/>
    </row>
    <row r="4606" spans="1:12">
      <c r="A4606" s="36"/>
      <c r="B4606" s="37"/>
      <c r="C4606" s="179"/>
      <c r="D4606" s="179"/>
      <c r="E4606" s="179"/>
      <c r="F4606" s="235"/>
      <c r="G4606" s="235"/>
      <c r="H4606" s="235"/>
      <c r="I4606" s="79"/>
      <c r="J4606" s="195"/>
      <c r="K4606" s="216"/>
      <c r="L4606" s="59"/>
    </row>
    <row r="4607" spans="1:12">
      <c r="A4607" s="36"/>
      <c r="B4607" s="37"/>
      <c r="C4607" s="179"/>
      <c r="D4607" s="179"/>
      <c r="E4607" s="179"/>
      <c r="F4607" s="235"/>
      <c r="G4607" s="235"/>
      <c r="H4607" s="235"/>
      <c r="I4607" s="79"/>
      <c r="J4607" s="195"/>
      <c r="K4607" s="216"/>
      <c r="L4607" s="59"/>
    </row>
    <row r="4608" spans="1:12">
      <c r="A4608" s="36"/>
      <c r="B4608" s="37"/>
      <c r="C4608" s="179"/>
      <c r="D4608" s="179"/>
      <c r="E4608" s="179"/>
      <c r="F4608" s="235"/>
      <c r="G4608" s="235"/>
      <c r="H4608" s="235"/>
      <c r="I4608" s="79"/>
      <c r="J4608" s="195"/>
      <c r="K4608" s="216"/>
      <c r="L4608" s="59"/>
    </row>
    <row r="4609" spans="1:12">
      <c r="A4609" s="36"/>
      <c r="B4609" s="37"/>
      <c r="C4609" s="179"/>
      <c r="D4609" s="179"/>
      <c r="E4609" s="179"/>
      <c r="F4609" s="235"/>
      <c r="G4609" s="235"/>
      <c r="H4609" s="235"/>
      <c r="I4609" s="79"/>
      <c r="J4609" s="195"/>
      <c r="K4609" s="216"/>
      <c r="L4609" s="59"/>
    </row>
    <row r="4610" spans="1:12">
      <c r="A4610" s="36"/>
      <c r="B4610" s="37"/>
      <c r="C4610" s="179"/>
      <c r="D4610" s="179"/>
      <c r="E4610" s="179"/>
      <c r="F4610" s="235"/>
      <c r="G4610" s="235"/>
      <c r="H4610" s="235"/>
      <c r="I4610" s="79"/>
      <c r="J4610" s="185"/>
      <c r="K4610" s="216"/>
      <c r="L4610" s="59"/>
    </row>
    <row r="4611" spans="1:12">
      <c r="A4611" s="36"/>
      <c r="B4611" s="37"/>
      <c r="C4611" s="179"/>
      <c r="D4611" s="179"/>
      <c r="E4611" s="179"/>
      <c r="F4611" s="235"/>
      <c r="G4611" s="235"/>
      <c r="H4611" s="235"/>
      <c r="I4611" s="79"/>
      <c r="J4611" s="185"/>
      <c r="K4611" s="216"/>
      <c r="L4611" s="59"/>
    </row>
    <row r="4612" spans="1:12">
      <c r="A4612" s="36"/>
      <c r="B4612" s="37"/>
      <c r="C4612" s="179"/>
      <c r="D4612" s="179"/>
      <c r="E4612" s="179"/>
      <c r="F4612" s="235"/>
      <c r="G4612" s="235"/>
      <c r="H4612" s="235"/>
      <c r="I4612" s="79"/>
      <c r="J4612" s="185"/>
      <c r="K4612" s="216"/>
      <c r="L4612" s="59"/>
    </row>
    <row r="4613" spans="1:12">
      <c r="A4613" s="23"/>
      <c r="B4613" s="14"/>
      <c r="C4613" s="180"/>
      <c r="D4613" s="180"/>
      <c r="E4613" s="180"/>
      <c r="F4613" s="236"/>
      <c r="G4613" s="236"/>
      <c r="H4613" s="236"/>
      <c r="I4613" s="73"/>
      <c r="J4613" s="191"/>
      <c r="K4613" s="207"/>
      <c r="L4613" s="59"/>
    </row>
    <row r="4614" spans="1:12">
      <c r="A4614" s="36"/>
      <c r="B4614" s="37"/>
      <c r="C4614" s="179"/>
      <c r="D4614" s="179"/>
      <c r="E4614" s="179"/>
      <c r="F4614" s="235"/>
      <c r="G4614" s="235"/>
      <c r="H4614" s="235"/>
      <c r="I4614" s="79"/>
      <c r="J4614" s="185"/>
      <c r="K4614" s="216"/>
      <c r="L4614" s="59"/>
    </row>
    <row r="4615" spans="1:12">
      <c r="A4615" s="23"/>
      <c r="B4615" s="14"/>
      <c r="C4615" s="180"/>
      <c r="D4615" s="180"/>
      <c r="E4615" s="180"/>
      <c r="F4615" s="236"/>
      <c r="G4615" s="236"/>
      <c r="H4615" s="236"/>
      <c r="I4615" s="73"/>
      <c r="J4615" s="191"/>
      <c r="K4615" s="207"/>
      <c r="L4615" s="59"/>
    </row>
    <row r="4616" spans="1:12">
      <c r="A4616" s="36"/>
      <c r="B4616" s="37"/>
      <c r="C4616" s="179"/>
      <c r="D4616" s="179"/>
      <c r="E4616" s="179"/>
      <c r="F4616" s="235"/>
      <c r="G4616" s="235"/>
      <c r="H4616" s="235"/>
      <c r="I4616" s="79"/>
      <c r="J4616" s="185"/>
      <c r="K4616" s="216"/>
      <c r="L4616" s="59"/>
    </row>
    <row r="4617" spans="1:12">
      <c r="A4617" s="36"/>
      <c r="B4617" s="37"/>
      <c r="C4617" s="179"/>
      <c r="D4617" s="179"/>
      <c r="E4617" s="179"/>
      <c r="F4617" s="235"/>
      <c r="G4617" s="235"/>
      <c r="H4617" s="235"/>
      <c r="I4617" s="79"/>
      <c r="J4617" s="185"/>
      <c r="K4617" s="216"/>
      <c r="L4617" s="59"/>
    </row>
    <row r="4618" spans="1:12">
      <c r="A4618" s="23"/>
      <c r="B4618" s="14"/>
      <c r="C4618" s="180"/>
      <c r="D4618" s="180"/>
      <c r="E4618" s="180"/>
      <c r="F4618" s="236"/>
      <c r="G4618" s="236"/>
      <c r="H4618" s="236"/>
      <c r="I4618" s="73"/>
      <c r="J4618" s="191"/>
      <c r="K4618" s="207"/>
      <c r="L4618" s="59"/>
    </row>
    <row r="4619" spans="1:12">
      <c r="A4619" s="36"/>
      <c r="B4619" s="37"/>
      <c r="C4619" s="179"/>
      <c r="D4619" s="179"/>
      <c r="E4619" s="179"/>
      <c r="F4619" s="235"/>
      <c r="G4619" s="235"/>
      <c r="H4619" s="235"/>
      <c r="I4619" s="79"/>
      <c r="J4619" s="185"/>
      <c r="K4619" s="216"/>
      <c r="L4619" s="59"/>
    </row>
    <row r="4620" spans="1:12">
      <c r="A4620" s="36"/>
      <c r="B4620" s="37"/>
      <c r="C4620" s="179"/>
      <c r="D4620" s="179"/>
      <c r="E4620" s="179"/>
      <c r="F4620" s="235"/>
      <c r="G4620" s="235"/>
      <c r="H4620" s="235"/>
      <c r="I4620" s="79"/>
      <c r="J4620" s="185"/>
      <c r="K4620" s="216"/>
      <c r="L4620" s="59"/>
    </row>
    <row r="4621" spans="1:12">
      <c r="A4621" s="36"/>
      <c r="B4621" s="37"/>
      <c r="C4621" s="179"/>
      <c r="D4621" s="179"/>
      <c r="E4621" s="179"/>
      <c r="F4621" s="235"/>
      <c r="G4621" s="235"/>
      <c r="H4621" s="235"/>
      <c r="I4621" s="79"/>
      <c r="J4621" s="185"/>
      <c r="K4621" s="216"/>
      <c r="L4621" s="59"/>
    </row>
    <row r="4622" spans="1:12">
      <c r="A4622" s="23"/>
      <c r="B4622" s="14"/>
      <c r="C4622" s="180"/>
      <c r="D4622" s="180"/>
      <c r="E4622" s="180"/>
      <c r="F4622" s="236"/>
      <c r="G4622" s="236"/>
      <c r="H4622" s="236"/>
      <c r="I4622" s="73"/>
      <c r="J4622" s="191"/>
      <c r="K4622" s="207"/>
      <c r="L4622" s="59"/>
    </row>
    <row r="4623" spans="1:12">
      <c r="A4623" s="36"/>
      <c r="B4623" s="37"/>
      <c r="C4623" s="179"/>
      <c r="D4623" s="179"/>
      <c r="E4623" s="179"/>
      <c r="F4623" s="235"/>
      <c r="G4623" s="235"/>
      <c r="H4623" s="235"/>
      <c r="I4623" s="79"/>
      <c r="J4623" s="185"/>
      <c r="K4623" s="216"/>
      <c r="L4623" s="59"/>
    </row>
    <row r="4624" spans="1:12">
      <c r="A4624" s="36"/>
      <c r="B4624" s="37"/>
      <c r="C4624" s="179"/>
      <c r="D4624" s="179"/>
      <c r="E4624" s="179"/>
      <c r="F4624" s="235"/>
      <c r="G4624" s="235"/>
      <c r="H4624" s="235"/>
      <c r="I4624" s="79"/>
      <c r="J4624" s="185"/>
      <c r="K4624" s="216"/>
      <c r="L4624" s="60"/>
    </row>
    <row r="4625" spans="1:12">
      <c r="A4625" s="36"/>
      <c r="B4625" s="37"/>
      <c r="C4625" s="179"/>
      <c r="D4625" s="179"/>
      <c r="E4625" s="179"/>
      <c r="F4625" s="235"/>
      <c r="G4625" s="235"/>
      <c r="H4625" s="235"/>
      <c r="I4625" s="79"/>
      <c r="J4625" s="195"/>
      <c r="K4625" s="216"/>
      <c r="L4625" s="59"/>
    </row>
    <row r="4626" spans="1:12">
      <c r="A4626" s="36"/>
      <c r="B4626" s="37"/>
      <c r="C4626" s="179"/>
      <c r="D4626" s="179"/>
      <c r="E4626" s="179"/>
      <c r="F4626" s="235"/>
      <c r="G4626" s="235"/>
      <c r="H4626" s="235"/>
      <c r="I4626" s="79"/>
      <c r="J4626" s="185"/>
      <c r="K4626" s="216"/>
      <c r="L4626" s="59"/>
    </row>
    <row r="4627" spans="1:12">
      <c r="A4627" s="36"/>
      <c r="B4627" s="37"/>
      <c r="C4627" s="179"/>
      <c r="D4627" s="179"/>
      <c r="E4627" s="179"/>
      <c r="F4627" s="235"/>
      <c r="G4627" s="235"/>
      <c r="H4627" s="235"/>
      <c r="I4627" s="79"/>
      <c r="J4627" s="185"/>
      <c r="K4627" s="216"/>
      <c r="L4627" s="59"/>
    </row>
    <row r="4628" spans="1:12">
      <c r="A4628" s="36"/>
      <c r="B4628" s="37"/>
      <c r="C4628" s="179"/>
      <c r="D4628" s="179"/>
      <c r="E4628" s="179"/>
      <c r="F4628" s="235"/>
      <c r="G4628" s="235"/>
      <c r="H4628" s="235"/>
      <c r="I4628" s="79"/>
      <c r="J4628" s="185"/>
      <c r="K4628" s="216"/>
      <c r="L4628" s="59"/>
    </row>
    <row r="4629" spans="1:12">
      <c r="A4629" s="36"/>
      <c r="B4629" s="37"/>
      <c r="C4629" s="179"/>
      <c r="D4629" s="179"/>
      <c r="E4629" s="179"/>
      <c r="F4629" s="235"/>
      <c r="G4629" s="235"/>
      <c r="H4629" s="235"/>
      <c r="I4629" s="79"/>
      <c r="J4629" s="185"/>
      <c r="K4629" s="216"/>
      <c r="L4629" s="59"/>
    </row>
    <row r="4630" spans="1:12">
      <c r="A4630" s="21"/>
      <c r="B4630" s="21"/>
      <c r="C4630" s="175"/>
      <c r="D4630" s="175"/>
      <c r="E4630" s="175"/>
      <c r="F4630" s="234"/>
      <c r="G4630" s="234"/>
      <c r="H4630" s="234"/>
      <c r="I4630" s="63"/>
      <c r="J4630" s="190"/>
      <c r="K4630" s="208"/>
      <c r="L4630" s="59"/>
    </row>
    <row r="4631" spans="1:12">
      <c r="A4631" s="36"/>
      <c r="B4631" s="37"/>
      <c r="C4631" s="179"/>
      <c r="D4631" s="179"/>
      <c r="E4631" s="179"/>
      <c r="F4631" s="235"/>
      <c r="G4631" s="235"/>
      <c r="H4631" s="235"/>
      <c r="I4631" s="79"/>
      <c r="J4631" s="185"/>
      <c r="K4631" s="216"/>
      <c r="L4631" s="59"/>
    </row>
    <row r="4632" spans="1:12">
      <c r="A4632" s="36"/>
      <c r="B4632" s="37"/>
      <c r="C4632" s="179"/>
      <c r="D4632" s="179"/>
      <c r="E4632" s="179"/>
      <c r="F4632" s="235"/>
      <c r="G4632" s="235"/>
      <c r="H4632" s="235"/>
      <c r="I4632" s="79"/>
      <c r="J4632" s="185"/>
      <c r="K4632" s="216"/>
      <c r="L4632" s="59"/>
    </row>
    <row r="4633" spans="1:12">
      <c r="A4633" s="36"/>
      <c r="B4633" s="37"/>
      <c r="C4633" s="179"/>
      <c r="D4633" s="179"/>
      <c r="E4633" s="179"/>
      <c r="F4633" s="235"/>
      <c r="G4633" s="235"/>
      <c r="H4633" s="235"/>
      <c r="I4633" s="79"/>
      <c r="J4633" s="185"/>
      <c r="K4633" s="216"/>
      <c r="L4633" s="59"/>
    </row>
    <row r="4634" spans="1:12">
      <c r="A4634" s="36"/>
      <c r="B4634" s="37"/>
      <c r="C4634" s="179"/>
      <c r="D4634" s="179"/>
      <c r="E4634" s="179"/>
      <c r="F4634" s="235"/>
      <c r="G4634" s="235"/>
      <c r="H4634" s="235"/>
      <c r="I4634" s="79"/>
      <c r="J4634" s="185"/>
      <c r="K4634" s="216"/>
      <c r="L4634" s="59"/>
    </row>
    <row r="4635" spans="1:12">
      <c r="A4635" s="36"/>
      <c r="B4635" s="37"/>
      <c r="C4635" s="179"/>
      <c r="D4635" s="179"/>
      <c r="E4635" s="179"/>
      <c r="F4635" s="235"/>
      <c r="G4635" s="235"/>
      <c r="H4635" s="235"/>
      <c r="I4635" s="79"/>
      <c r="J4635" s="185"/>
      <c r="K4635" s="216"/>
      <c r="L4635" s="59"/>
    </row>
    <row r="4636" spans="1:12">
      <c r="A4636" s="36"/>
      <c r="B4636" s="37"/>
      <c r="C4636" s="179"/>
      <c r="D4636" s="179"/>
      <c r="E4636" s="179"/>
      <c r="F4636" s="235"/>
      <c r="G4636" s="235"/>
      <c r="H4636" s="235"/>
      <c r="I4636" s="79"/>
      <c r="J4636" s="185"/>
      <c r="K4636" s="216"/>
      <c r="L4636" s="59"/>
    </row>
    <row r="4637" spans="1:12">
      <c r="A4637" s="36"/>
      <c r="B4637" s="37"/>
      <c r="C4637" s="179"/>
      <c r="D4637" s="179"/>
      <c r="E4637" s="179"/>
      <c r="F4637" s="235"/>
      <c r="G4637" s="235"/>
      <c r="H4637" s="235"/>
      <c r="I4637" s="79"/>
      <c r="J4637" s="185"/>
      <c r="K4637" s="216"/>
      <c r="L4637" s="59"/>
    </row>
    <row r="4638" spans="1:12">
      <c r="A4638" s="36"/>
      <c r="B4638" s="37"/>
      <c r="C4638" s="179"/>
      <c r="D4638" s="179"/>
      <c r="E4638" s="179"/>
      <c r="F4638" s="235"/>
      <c r="G4638" s="235"/>
      <c r="H4638" s="235"/>
      <c r="I4638" s="79"/>
      <c r="J4638" s="185"/>
      <c r="K4638" s="216"/>
      <c r="L4638" s="59"/>
    </row>
    <row r="4639" spans="1:12">
      <c r="A4639" s="36"/>
      <c r="B4639" s="37"/>
      <c r="C4639" s="179"/>
      <c r="D4639" s="179"/>
      <c r="E4639" s="179"/>
      <c r="F4639" s="235"/>
      <c r="G4639" s="235"/>
      <c r="H4639" s="235"/>
      <c r="I4639" s="79"/>
      <c r="J4639" s="185"/>
      <c r="K4639" s="216"/>
      <c r="L4639" s="59"/>
    </row>
    <row r="4640" spans="1:12">
      <c r="A4640" s="36"/>
      <c r="B4640" s="37"/>
      <c r="C4640" s="179"/>
      <c r="D4640" s="179"/>
      <c r="E4640" s="179"/>
      <c r="F4640" s="235"/>
      <c r="G4640" s="235"/>
      <c r="H4640" s="235"/>
      <c r="I4640" s="79"/>
      <c r="J4640" s="185"/>
      <c r="K4640" s="216"/>
      <c r="L4640" s="59"/>
    </row>
    <row r="4641" spans="1:12">
      <c r="A4641" s="36"/>
      <c r="B4641" s="37"/>
      <c r="C4641" s="179"/>
      <c r="D4641" s="179"/>
      <c r="E4641" s="179"/>
      <c r="F4641" s="235"/>
      <c r="G4641" s="235"/>
      <c r="H4641" s="235"/>
      <c r="I4641" s="79"/>
      <c r="J4641" s="185"/>
      <c r="K4641" s="216"/>
      <c r="L4641" s="59"/>
    </row>
    <row r="4642" spans="1:12">
      <c r="A4642" s="36"/>
      <c r="B4642" s="37"/>
      <c r="C4642" s="179"/>
      <c r="D4642" s="179"/>
      <c r="E4642" s="179"/>
      <c r="F4642" s="235"/>
      <c r="G4642" s="235"/>
      <c r="H4642" s="235"/>
      <c r="I4642" s="79"/>
      <c r="J4642" s="185"/>
      <c r="K4642" s="216"/>
      <c r="L4642" s="59"/>
    </row>
    <row r="4643" spans="1:12">
      <c r="A4643" s="36"/>
      <c r="B4643" s="37"/>
      <c r="C4643" s="179"/>
      <c r="D4643" s="179"/>
      <c r="E4643" s="179"/>
      <c r="F4643" s="235"/>
      <c r="G4643" s="235"/>
      <c r="H4643" s="235"/>
      <c r="I4643" s="79"/>
      <c r="J4643" s="185"/>
      <c r="K4643" s="216"/>
      <c r="L4643" s="59"/>
    </row>
    <row r="4644" spans="1:12">
      <c r="A4644" s="36"/>
      <c r="B4644" s="37"/>
      <c r="C4644" s="179"/>
      <c r="D4644" s="179"/>
      <c r="E4644" s="179"/>
      <c r="F4644" s="235"/>
      <c r="G4644" s="235"/>
      <c r="H4644" s="235"/>
      <c r="I4644" s="79"/>
      <c r="J4644" s="185"/>
      <c r="K4644" s="216"/>
      <c r="L4644" s="59"/>
    </row>
    <row r="4645" spans="1:12">
      <c r="A4645" s="36"/>
      <c r="B4645" s="37"/>
      <c r="C4645" s="179"/>
      <c r="D4645" s="179"/>
      <c r="E4645" s="179"/>
      <c r="F4645" s="235"/>
      <c r="G4645" s="235"/>
      <c r="H4645" s="235"/>
      <c r="I4645" s="79"/>
      <c r="J4645" s="185"/>
      <c r="K4645" s="216"/>
      <c r="L4645" s="59"/>
    </row>
    <row r="4646" spans="1:12">
      <c r="A4646" s="36"/>
      <c r="B4646" s="37"/>
      <c r="C4646" s="179"/>
      <c r="D4646" s="179"/>
      <c r="E4646" s="179"/>
      <c r="F4646" s="235"/>
      <c r="G4646" s="235"/>
      <c r="H4646" s="235"/>
      <c r="I4646" s="79"/>
      <c r="J4646" s="185"/>
      <c r="K4646" s="216"/>
      <c r="L4646" s="59"/>
    </row>
    <row r="4647" spans="1:12">
      <c r="A4647" s="36"/>
      <c r="B4647" s="37"/>
      <c r="C4647" s="179"/>
      <c r="D4647" s="179"/>
      <c r="E4647" s="179"/>
      <c r="F4647" s="235"/>
      <c r="G4647" s="235"/>
      <c r="H4647" s="235"/>
      <c r="I4647" s="79"/>
      <c r="J4647" s="185"/>
      <c r="K4647" s="216"/>
      <c r="L4647" s="59"/>
    </row>
    <row r="4648" spans="1:12">
      <c r="A4648" s="36"/>
      <c r="B4648" s="37"/>
      <c r="C4648" s="179"/>
      <c r="D4648" s="179"/>
      <c r="E4648" s="179"/>
      <c r="F4648" s="235"/>
      <c r="G4648" s="235"/>
      <c r="H4648" s="235"/>
      <c r="I4648" s="79"/>
      <c r="J4648" s="185"/>
      <c r="K4648" s="216"/>
      <c r="L4648" s="59"/>
    </row>
    <row r="4649" spans="1:12">
      <c r="A4649" s="36"/>
      <c r="B4649" s="37"/>
      <c r="C4649" s="179"/>
      <c r="D4649" s="179"/>
      <c r="E4649" s="179"/>
      <c r="F4649" s="235"/>
      <c r="G4649" s="235"/>
      <c r="H4649" s="235"/>
      <c r="I4649" s="79"/>
      <c r="J4649" s="185"/>
      <c r="K4649" s="216"/>
      <c r="L4649" s="59"/>
    </row>
    <row r="4650" spans="1:12">
      <c r="A4650" s="36"/>
      <c r="B4650" s="37"/>
      <c r="C4650" s="179"/>
      <c r="D4650" s="179"/>
      <c r="E4650" s="179"/>
      <c r="F4650" s="235"/>
      <c r="G4650" s="235"/>
      <c r="H4650" s="235"/>
      <c r="I4650" s="79"/>
      <c r="J4650" s="185"/>
      <c r="K4650" s="216"/>
      <c r="L4650" s="59"/>
    </row>
    <row r="4651" spans="1:12">
      <c r="A4651" s="21"/>
      <c r="B4651" s="21"/>
      <c r="C4651" s="175"/>
      <c r="D4651" s="175"/>
      <c r="E4651" s="175"/>
      <c r="F4651" s="234"/>
      <c r="G4651" s="234"/>
      <c r="H4651" s="234"/>
      <c r="I4651" s="63"/>
      <c r="J4651" s="190"/>
      <c r="K4651" s="208"/>
      <c r="L4651" s="59"/>
    </row>
    <row r="4652" spans="1:12">
      <c r="A4652" s="36"/>
      <c r="B4652" s="37"/>
      <c r="C4652" s="179"/>
      <c r="D4652" s="179"/>
      <c r="E4652" s="179"/>
      <c r="F4652" s="235"/>
      <c r="G4652" s="235"/>
      <c r="H4652" s="235"/>
      <c r="I4652" s="79"/>
      <c r="J4652" s="185"/>
      <c r="K4652" s="216"/>
      <c r="L4652" s="59"/>
    </row>
    <row r="4653" spans="1:12">
      <c r="A4653" s="36"/>
      <c r="B4653" s="37"/>
      <c r="C4653" s="179"/>
      <c r="D4653" s="179"/>
      <c r="E4653" s="179"/>
      <c r="F4653" s="235"/>
      <c r="G4653" s="235"/>
      <c r="H4653" s="235"/>
      <c r="I4653" s="79"/>
      <c r="J4653" s="185"/>
      <c r="K4653" s="216"/>
      <c r="L4653" s="59"/>
    </row>
    <row r="4654" spans="1:12">
      <c r="A4654" s="21"/>
      <c r="B4654" s="21"/>
      <c r="C4654" s="175"/>
      <c r="D4654" s="175"/>
      <c r="E4654" s="175"/>
      <c r="F4654" s="234"/>
      <c r="G4654" s="234"/>
      <c r="H4654" s="234"/>
      <c r="I4654" s="63"/>
      <c r="J4654" s="190"/>
      <c r="K4654" s="208"/>
      <c r="L4654" s="59"/>
    </row>
    <row r="4655" spans="1:12">
      <c r="A4655" s="36"/>
      <c r="B4655" s="37"/>
      <c r="C4655" s="179"/>
      <c r="D4655" s="179"/>
      <c r="E4655" s="179"/>
      <c r="F4655" s="235"/>
      <c r="G4655" s="235"/>
      <c r="H4655" s="235"/>
      <c r="I4655" s="79"/>
      <c r="J4655" s="185"/>
      <c r="K4655" s="216"/>
      <c r="L4655" s="59"/>
    </row>
    <row r="4656" spans="1:12">
      <c r="A4656" s="36"/>
      <c r="B4656" s="37"/>
      <c r="C4656" s="179"/>
      <c r="D4656" s="179"/>
      <c r="E4656" s="179"/>
      <c r="F4656" s="235"/>
      <c r="G4656" s="235"/>
      <c r="H4656" s="235"/>
      <c r="I4656" s="79"/>
      <c r="J4656" s="185"/>
      <c r="K4656" s="216"/>
      <c r="L4656" s="59"/>
    </row>
    <row r="4657" spans="1:12">
      <c r="A4657" s="36"/>
      <c r="B4657" s="37"/>
      <c r="C4657" s="179"/>
      <c r="D4657" s="179"/>
      <c r="E4657" s="179"/>
      <c r="F4657" s="235"/>
      <c r="G4657" s="235"/>
      <c r="H4657" s="235"/>
      <c r="I4657" s="79"/>
      <c r="J4657" s="185"/>
      <c r="K4657" s="216"/>
      <c r="L4657" s="59"/>
    </row>
    <row r="4658" spans="1:12">
      <c r="A4658" s="36"/>
      <c r="B4658" s="37"/>
      <c r="C4658" s="179"/>
      <c r="D4658" s="179"/>
      <c r="E4658" s="179"/>
      <c r="F4658" s="235"/>
      <c r="G4658" s="235"/>
      <c r="H4658" s="235"/>
      <c r="I4658" s="79"/>
      <c r="J4658" s="185"/>
      <c r="K4658" s="216"/>
      <c r="L4658" s="59"/>
    </row>
    <row r="4659" spans="1:12">
      <c r="A4659" s="36"/>
      <c r="B4659" s="37"/>
      <c r="C4659" s="179"/>
      <c r="D4659" s="179"/>
      <c r="E4659" s="179"/>
      <c r="F4659" s="235"/>
      <c r="G4659" s="235"/>
      <c r="H4659" s="235"/>
      <c r="I4659" s="79"/>
      <c r="J4659" s="185"/>
      <c r="K4659" s="216"/>
      <c r="L4659" s="59"/>
    </row>
    <row r="4660" spans="1:12">
      <c r="A4660" s="23"/>
      <c r="B4660" s="14"/>
      <c r="C4660" s="180"/>
      <c r="D4660" s="180"/>
      <c r="E4660" s="180"/>
      <c r="F4660" s="236"/>
      <c r="G4660" s="236"/>
      <c r="H4660" s="236"/>
      <c r="I4660" s="73"/>
      <c r="J4660" s="191"/>
      <c r="K4660" s="207"/>
      <c r="L4660" s="59"/>
    </row>
    <row r="4661" spans="1:12">
      <c r="A4661" s="36"/>
      <c r="B4661" s="37"/>
      <c r="C4661" s="179"/>
      <c r="D4661" s="179"/>
      <c r="E4661" s="179"/>
      <c r="F4661" s="235"/>
      <c r="G4661" s="235"/>
      <c r="H4661" s="235"/>
      <c r="I4661" s="79"/>
      <c r="J4661" s="185"/>
      <c r="K4661" s="216"/>
      <c r="L4661" s="59"/>
    </row>
    <row r="4662" spans="1:12">
      <c r="A4662" s="23"/>
      <c r="B4662" s="14"/>
      <c r="C4662" s="180"/>
      <c r="D4662" s="180"/>
      <c r="E4662" s="180"/>
      <c r="F4662" s="236"/>
      <c r="G4662" s="236"/>
      <c r="H4662" s="236"/>
      <c r="I4662" s="73"/>
      <c r="J4662" s="191"/>
      <c r="K4662" s="207"/>
      <c r="L4662" s="59"/>
    </row>
    <row r="4663" spans="1:12">
      <c r="A4663" s="36"/>
      <c r="B4663" s="37"/>
      <c r="C4663" s="179"/>
      <c r="D4663" s="179"/>
      <c r="E4663" s="179"/>
      <c r="F4663" s="235"/>
      <c r="G4663" s="235"/>
      <c r="H4663" s="235"/>
      <c r="I4663" s="79"/>
      <c r="J4663" s="195"/>
      <c r="K4663" s="216"/>
      <c r="L4663" s="4"/>
    </row>
    <row r="4664" spans="1:12">
      <c r="A4664" s="23"/>
      <c r="B4664" s="14"/>
      <c r="C4664" s="180"/>
      <c r="D4664" s="180"/>
      <c r="E4664" s="180"/>
      <c r="F4664" s="236"/>
      <c r="G4664" s="236"/>
      <c r="H4664" s="236"/>
      <c r="I4664" s="73"/>
      <c r="J4664" s="191"/>
      <c r="K4664" s="207"/>
      <c r="L4664" s="2"/>
    </row>
    <row r="4665" spans="1:12">
      <c r="A4665" s="36"/>
      <c r="B4665" s="37"/>
      <c r="C4665" s="179"/>
      <c r="D4665" s="179"/>
      <c r="E4665" s="179"/>
      <c r="F4665" s="235"/>
      <c r="G4665" s="235"/>
      <c r="H4665" s="235"/>
      <c r="I4665" s="79"/>
      <c r="J4665" s="195"/>
      <c r="K4665" s="216"/>
      <c r="L4665" s="59"/>
    </row>
    <row r="4666" spans="1:12">
      <c r="A4666" s="36"/>
      <c r="B4666" s="37"/>
      <c r="C4666" s="179"/>
      <c r="D4666" s="179"/>
      <c r="E4666" s="179"/>
      <c r="F4666" s="235"/>
      <c r="G4666" s="235"/>
      <c r="H4666" s="235"/>
      <c r="I4666" s="79"/>
      <c r="J4666" s="197"/>
      <c r="K4666" s="216"/>
      <c r="L4666" s="59"/>
    </row>
    <row r="4667" spans="1:12">
      <c r="A4667" s="36"/>
      <c r="B4667" s="37"/>
      <c r="C4667" s="179"/>
      <c r="D4667" s="179"/>
      <c r="E4667" s="179"/>
      <c r="F4667" s="235"/>
      <c r="G4667" s="235"/>
      <c r="H4667" s="235"/>
      <c r="I4667" s="79"/>
      <c r="J4667" s="195"/>
      <c r="K4667" s="216"/>
      <c r="L4667" s="59"/>
    </row>
    <row r="4668" spans="1:12">
      <c r="A4668" s="36"/>
      <c r="B4668" s="37"/>
      <c r="C4668" s="179"/>
      <c r="D4668" s="179"/>
      <c r="E4668" s="179"/>
      <c r="F4668" s="235"/>
      <c r="G4668" s="235"/>
      <c r="H4668" s="235"/>
      <c r="I4668" s="79"/>
      <c r="J4668" s="195"/>
      <c r="K4668" s="216"/>
      <c r="L4668" s="59"/>
    </row>
    <row r="4669" spans="1:12">
      <c r="A4669" s="36"/>
      <c r="B4669" s="37"/>
      <c r="C4669" s="179"/>
      <c r="D4669" s="179"/>
      <c r="E4669" s="179"/>
      <c r="F4669" s="235"/>
      <c r="G4669" s="235"/>
      <c r="H4669" s="235"/>
      <c r="I4669" s="79"/>
      <c r="J4669" s="195"/>
      <c r="K4669" s="216"/>
      <c r="L4669" s="59"/>
    </row>
    <row r="4670" spans="1:12">
      <c r="A4670" s="36"/>
      <c r="B4670" s="37"/>
      <c r="C4670" s="179"/>
      <c r="D4670" s="179"/>
      <c r="E4670" s="179"/>
      <c r="F4670" s="235"/>
      <c r="G4670" s="235"/>
      <c r="H4670" s="235"/>
      <c r="I4670" s="79"/>
      <c r="J4670" s="195"/>
      <c r="K4670" s="216"/>
      <c r="L4670" s="59"/>
    </row>
    <row r="4671" spans="1:12">
      <c r="A4671" s="36"/>
      <c r="B4671" s="37"/>
      <c r="C4671" s="179"/>
      <c r="D4671" s="179"/>
      <c r="E4671" s="179"/>
      <c r="F4671" s="235"/>
      <c r="G4671" s="235"/>
      <c r="H4671" s="235"/>
      <c r="I4671" s="79"/>
      <c r="J4671" s="195"/>
      <c r="K4671" s="216"/>
      <c r="L4671" s="59"/>
    </row>
    <row r="4672" spans="1:12">
      <c r="A4672" s="36"/>
      <c r="B4672" s="37"/>
      <c r="C4672" s="179"/>
      <c r="D4672" s="179"/>
      <c r="E4672" s="179"/>
      <c r="F4672" s="235"/>
      <c r="G4672" s="235"/>
      <c r="H4672" s="235"/>
      <c r="I4672" s="79"/>
      <c r="J4672" s="195"/>
      <c r="K4672" s="216"/>
      <c r="L4672" s="59"/>
    </row>
    <row r="4673" spans="1:12">
      <c r="A4673" s="23"/>
      <c r="B4673" s="14"/>
      <c r="C4673" s="180"/>
      <c r="D4673" s="180"/>
      <c r="E4673" s="180"/>
      <c r="F4673" s="236"/>
      <c r="G4673" s="236"/>
      <c r="H4673" s="236"/>
      <c r="I4673" s="73"/>
      <c r="J4673" s="191"/>
      <c r="K4673" s="207"/>
      <c r="L4673" s="59"/>
    </row>
    <row r="4674" spans="1:12">
      <c r="A4674" s="36"/>
      <c r="B4674" s="37"/>
      <c r="C4674" s="179"/>
      <c r="D4674" s="179"/>
      <c r="E4674" s="179"/>
      <c r="F4674" s="235"/>
      <c r="G4674" s="235"/>
      <c r="H4674" s="235"/>
      <c r="I4674" s="79"/>
      <c r="J4674" s="197"/>
      <c r="K4674" s="216"/>
      <c r="L4674" s="59"/>
    </row>
    <row r="4675" spans="1:12">
      <c r="A4675" s="36"/>
      <c r="B4675" s="37"/>
      <c r="C4675" s="179"/>
      <c r="D4675" s="179"/>
      <c r="E4675" s="179"/>
      <c r="F4675" s="235"/>
      <c r="G4675" s="235"/>
      <c r="H4675" s="235"/>
      <c r="I4675" s="79"/>
      <c r="J4675" s="197"/>
      <c r="K4675" s="216"/>
      <c r="L4675" s="59"/>
    </row>
    <row r="4676" spans="1:12">
      <c r="A4676" s="36"/>
      <c r="B4676" s="37"/>
      <c r="C4676" s="179"/>
      <c r="D4676" s="179"/>
      <c r="E4676" s="179"/>
      <c r="F4676" s="235"/>
      <c r="G4676" s="235"/>
      <c r="H4676" s="235"/>
      <c r="I4676" s="79"/>
      <c r="J4676" s="197"/>
      <c r="K4676" s="216"/>
      <c r="L4676" s="59"/>
    </row>
    <row r="4677" spans="1:12">
      <c r="A4677" s="36"/>
      <c r="B4677" s="37"/>
      <c r="C4677" s="179"/>
      <c r="D4677" s="179"/>
      <c r="E4677" s="179"/>
      <c r="F4677" s="235"/>
      <c r="G4677" s="235"/>
      <c r="H4677" s="235"/>
      <c r="I4677" s="79"/>
      <c r="J4677" s="197"/>
      <c r="K4677" s="216"/>
      <c r="L4677" s="59"/>
    </row>
    <row r="4678" spans="1:12">
      <c r="A4678" s="36"/>
      <c r="B4678" s="37"/>
      <c r="C4678" s="179"/>
      <c r="D4678" s="179"/>
      <c r="E4678" s="179"/>
      <c r="F4678" s="235"/>
      <c r="G4678" s="235"/>
      <c r="H4678" s="235"/>
      <c r="I4678" s="79"/>
      <c r="J4678" s="197"/>
      <c r="K4678" s="216"/>
      <c r="L4678" s="59"/>
    </row>
    <row r="4679" spans="1:12">
      <c r="A4679" s="36"/>
      <c r="B4679" s="37"/>
      <c r="C4679" s="179"/>
      <c r="D4679" s="179"/>
      <c r="E4679" s="179"/>
      <c r="F4679" s="235"/>
      <c r="G4679" s="235"/>
      <c r="H4679" s="235"/>
      <c r="I4679" s="79"/>
      <c r="J4679" s="197"/>
      <c r="K4679" s="216"/>
      <c r="L4679" s="59"/>
    </row>
    <row r="4680" spans="1:12">
      <c r="A4680" s="36"/>
      <c r="B4680" s="37"/>
      <c r="C4680" s="179"/>
      <c r="D4680" s="179"/>
      <c r="E4680" s="179"/>
      <c r="F4680" s="235"/>
      <c r="G4680" s="235"/>
      <c r="H4680" s="235"/>
      <c r="I4680" s="79"/>
      <c r="J4680" s="197"/>
      <c r="K4680" s="216"/>
      <c r="L4680" s="59"/>
    </row>
    <row r="4681" spans="1:12">
      <c r="A4681" s="43"/>
      <c r="B4681" s="44"/>
      <c r="C4681" s="179"/>
      <c r="D4681" s="179"/>
      <c r="E4681" s="179"/>
      <c r="F4681" s="235"/>
      <c r="G4681" s="235"/>
      <c r="H4681" s="235"/>
      <c r="I4681" s="85"/>
      <c r="J4681" s="197"/>
      <c r="K4681" s="220"/>
      <c r="L4681" s="59"/>
    </row>
    <row r="4682" spans="1:12">
      <c r="A4682" s="43"/>
      <c r="B4682" s="44"/>
      <c r="C4682" s="179"/>
      <c r="D4682" s="179"/>
      <c r="E4682" s="179"/>
      <c r="F4682" s="235"/>
      <c r="G4682" s="235"/>
      <c r="H4682" s="235"/>
      <c r="I4682" s="85"/>
      <c r="J4682" s="197"/>
      <c r="K4682" s="220"/>
      <c r="L4682" s="59"/>
    </row>
    <row r="4683" spans="1:12">
      <c r="A4683" s="43"/>
      <c r="B4683" s="44"/>
      <c r="C4683" s="179"/>
      <c r="D4683" s="179"/>
      <c r="E4683" s="179"/>
      <c r="F4683" s="235"/>
      <c r="G4683" s="235"/>
      <c r="H4683" s="235"/>
      <c r="I4683" s="85"/>
      <c r="J4683" s="197"/>
      <c r="K4683" s="220"/>
      <c r="L4683" s="59"/>
    </row>
    <row r="4684" spans="1:12">
      <c r="A4684" s="43"/>
      <c r="B4684" s="44"/>
      <c r="C4684" s="179"/>
      <c r="D4684" s="179"/>
      <c r="E4684" s="179"/>
      <c r="F4684" s="235"/>
      <c r="G4684" s="235"/>
      <c r="H4684" s="235"/>
      <c r="I4684" s="85"/>
      <c r="J4684" s="197"/>
      <c r="K4684" s="220"/>
      <c r="L4684" s="59"/>
    </row>
    <row r="4685" spans="1:12">
      <c r="A4685" s="43"/>
      <c r="B4685" s="44"/>
      <c r="C4685" s="179"/>
      <c r="D4685" s="179"/>
      <c r="E4685" s="179"/>
      <c r="F4685" s="235"/>
      <c r="G4685" s="235"/>
      <c r="H4685" s="235"/>
      <c r="I4685" s="85"/>
      <c r="J4685" s="197"/>
      <c r="K4685" s="220"/>
      <c r="L4685" s="59"/>
    </row>
    <row r="4686" spans="1:12">
      <c r="A4686" s="43"/>
      <c r="B4686" s="44"/>
      <c r="C4686" s="179"/>
      <c r="D4686" s="179"/>
      <c r="E4686" s="179"/>
      <c r="F4686" s="235"/>
      <c r="G4686" s="235"/>
      <c r="H4686" s="235"/>
      <c r="I4686" s="85"/>
      <c r="J4686" s="197"/>
      <c r="K4686" s="220"/>
      <c r="L4686" s="59"/>
    </row>
    <row r="4687" spans="1:12">
      <c r="A4687" s="36"/>
      <c r="B4687" s="37"/>
      <c r="C4687" s="179"/>
      <c r="D4687" s="179"/>
      <c r="E4687" s="179"/>
      <c r="F4687" s="235"/>
      <c r="G4687" s="235"/>
      <c r="H4687" s="235"/>
      <c r="I4687" s="79"/>
      <c r="J4687" s="195"/>
      <c r="K4687" s="216"/>
      <c r="L4687" s="59"/>
    </row>
    <row r="4688" spans="1:12">
      <c r="A4688" s="36"/>
      <c r="B4688" s="37"/>
      <c r="C4688" s="179"/>
      <c r="D4688" s="179"/>
      <c r="E4688" s="179"/>
      <c r="F4688" s="235"/>
      <c r="G4688" s="235"/>
      <c r="H4688" s="235"/>
      <c r="I4688" s="79"/>
      <c r="J4688" s="195"/>
      <c r="K4688" s="216"/>
      <c r="L4688" s="59"/>
    </row>
    <row r="4689" spans="1:12">
      <c r="A4689" s="21"/>
      <c r="B4689" s="21"/>
      <c r="C4689" s="175"/>
      <c r="D4689" s="175"/>
      <c r="E4689" s="175"/>
      <c r="F4689" s="234"/>
      <c r="G4689" s="234"/>
      <c r="H4689" s="234"/>
      <c r="I4689" s="63"/>
      <c r="J4689" s="190"/>
      <c r="K4689" s="208"/>
      <c r="L4689" s="59"/>
    </row>
    <row r="4690" spans="1:12">
      <c r="A4690" s="36"/>
      <c r="B4690" s="37"/>
      <c r="C4690" s="179"/>
      <c r="D4690" s="179"/>
      <c r="E4690" s="179"/>
      <c r="F4690" s="235"/>
      <c r="G4690" s="235"/>
      <c r="H4690" s="235"/>
      <c r="I4690" s="79"/>
      <c r="J4690" s="195"/>
      <c r="K4690" s="216"/>
      <c r="L4690" s="59"/>
    </row>
    <row r="4691" spans="1:12">
      <c r="A4691" s="36"/>
      <c r="B4691" s="37"/>
      <c r="C4691" s="179"/>
      <c r="D4691" s="179"/>
      <c r="E4691" s="179"/>
      <c r="F4691" s="235"/>
      <c r="G4691" s="235"/>
      <c r="H4691" s="235"/>
      <c r="I4691" s="79"/>
      <c r="J4691" s="195"/>
      <c r="K4691" s="216"/>
      <c r="L4691" s="59"/>
    </row>
    <row r="4692" spans="1:12">
      <c r="A4692" s="36"/>
      <c r="B4692" s="37"/>
      <c r="C4692" s="179"/>
      <c r="D4692" s="179"/>
      <c r="E4692" s="179"/>
      <c r="F4692" s="235"/>
      <c r="G4692" s="235"/>
      <c r="H4692" s="235"/>
      <c r="I4692" s="79"/>
      <c r="J4692" s="195"/>
      <c r="K4692" s="216"/>
      <c r="L4692" s="59"/>
    </row>
    <row r="4693" spans="1:12">
      <c r="A4693" s="36"/>
      <c r="B4693" s="37"/>
      <c r="C4693" s="179"/>
      <c r="D4693" s="179"/>
      <c r="E4693" s="179"/>
      <c r="F4693" s="235"/>
      <c r="G4693" s="235"/>
      <c r="H4693" s="235"/>
      <c r="I4693" s="79"/>
      <c r="J4693" s="195"/>
      <c r="K4693" s="216"/>
      <c r="L4693" s="59"/>
    </row>
    <row r="4694" spans="1:12">
      <c r="A4694" s="36"/>
      <c r="B4694" s="37"/>
      <c r="C4694" s="179"/>
      <c r="D4694" s="179"/>
      <c r="E4694" s="179"/>
      <c r="F4694" s="235"/>
      <c r="G4694" s="235"/>
      <c r="H4694" s="235"/>
      <c r="I4694" s="79"/>
      <c r="J4694" s="195"/>
      <c r="K4694" s="216"/>
      <c r="L4694" s="59"/>
    </row>
    <row r="4695" spans="1:12">
      <c r="A4695" s="36"/>
      <c r="B4695" s="37"/>
      <c r="C4695" s="179"/>
      <c r="D4695" s="179"/>
      <c r="E4695" s="179"/>
      <c r="F4695" s="235"/>
      <c r="G4695" s="235"/>
      <c r="H4695" s="235"/>
      <c r="I4695" s="79"/>
      <c r="J4695" s="195"/>
      <c r="K4695" s="216"/>
      <c r="L4695" s="59"/>
    </row>
    <row r="4696" spans="1:12">
      <c r="A4696" s="36"/>
      <c r="B4696" s="37"/>
      <c r="C4696" s="179"/>
      <c r="D4696" s="179"/>
      <c r="E4696" s="179"/>
      <c r="F4696" s="235"/>
      <c r="G4696" s="235"/>
      <c r="H4696" s="235"/>
      <c r="I4696" s="79"/>
      <c r="J4696" s="195"/>
      <c r="K4696" s="216"/>
      <c r="L4696" s="59"/>
    </row>
    <row r="4697" spans="1:12">
      <c r="A4697" s="36"/>
      <c r="B4697" s="37"/>
      <c r="C4697" s="179"/>
      <c r="D4697" s="179"/>
      <c r="E4697" s="179"/>
      <c r="F4697" s="235"/>
      <c r="G4697" s="235"/>
      <c r="H4697" s="235"/>
      <c r="I4697" s="79"/>
      <c r="J4697" s="195"/>
      <c r="K4697" s="216"/>
      <c r="L4697" s="59"/>
    </row>
    <row r="4698" spans="1:12">
      <c r="A4698" s="36"/>
      <c r="B4698" s="37"/>
      <c r="C4698" s="179"/>
      <c r="D4698" s="179"/>
      <c r="E4698" s="179"/>
      <c r="F4698" s="235"/>
      <c r="G4698" s="235"/>
      <c r="H4698" s="235"/>
      <c r="I4698" s="79"/>
      <c r="J4698" s="195"/>
      <c r="K4698" s="216"/>
      <c r="L4698" s="59"/>
    </row>
    <row r="4699" spans="1:12">
      <c r="A4699" s="36"/>
      <c r="B4699" s="37"/>
      <c r="C4699" s="179"/>
      <c r="D4699" s="179"/>
      <c r="E4699" s="179"/>
      <c r="F4699" s="235"/>
      <c r="G4699" s="235"/>
      <c r="H4699" s="235"/>
      <c r="I4699" s="79"/>
      <c r="J4699" s="195"/>
      <c r="K4699" s="216"/>
      <c r="L4699" s="59"/>
    </row>
    <row r="4700" spans="1:12">
      <c r="A4700" s="36"/>
      <c r="B4700" s="37"/>
      <c r="C4700" s="179"/>
      <c r="D4700" s="179"/>
      <c r="E4700" s="179"/>
      <c r="F4700" s="235"/>
      <c r="G4700" s="235"/>
      <c r="H4700" s="235"/>
      <c r="I4700" s="79"/>
      <c r="J4700" s="195"/>
      <c r="K4700" s="216"/>
      <c r="L4700" s="59"/>
    </row>
    <row r="4701" spans="1:12">
      <c r="A4701" s="36"/>
      <c r="B4701" s="37"/>
      <c r="C4701" s="179"/>
      <c r="D4701" s="179"/>
      <c r="E4701" s="179"/>
      <c r="F4701" s="235"/>
      <c r="G4701" s="235"/>
      <c r="H4701" s="235"/>
      <c r="I4701" s="79"/>
      <c r="J4701" s="195"/>
      <c r="K4701" s="216"/>
      <c r="L4701" s="59"/>
    </row>
    <row r="4702" spans="1:12">
      <c r="A4702" s="36"/>
      <c r="B4702" s="37"/>
      <c r="C4702" s="179"/>
      <c r="D4702" s="179"/>
      <c r="E4702" s="179"/>
      <c r="F4702" s="235"/>
      <c r="G4702" s="235"/>
      <c r="H4702" s="235"/>
      <c r="I4702" s="79"/>
      <c r="J4702" s="195"/>
      <c r="K4702" s="216"/>
      <c r="L4702" s="59"/>
    </row>
    <row r="4703" spans="1:12">
      <c r="A4703" s="36"/>
      <c r="B4703" s="37"/>
      <c r="C4703" s="179"/>
      <c r="D4703" s="179"/>
      <c r="E4703" s="179"/>
      <c r="F4703" s="235"/>
      <c r="G4703" s="235"/>
      <c r="H4703" s="235"/>
      <c r="I4703" s="79"/>
      <c r="J4703" s="195"/>
      <c r="K4703" s="216"/>
      <c r="L4703" s="59"/>
    </row>
    <row r="4704" spans="1:12">
      <c r="A4704" s="36"/>
      <c r="B4704" s="37"/>
      <c r="C4704" s="179"/>
      <c r="D4704" s="179"/>
      <c r="E4704" s="179"/>
      <c r="F4704" s="235"/>
      <c r="G4704" s="235"/>
      <c r="H4704" s="235"/>
      <c r="I4704" s="79"/>
      <c r="J4704" s="195"/>
      <c r="K4704" s="216"/>
      <c r="L4704" s="59"/>
    </row>
    <row r="4705" spans="1:12">
      <c r="A4705" s="21"/>
      <c r="B4705" s="21"/>
      <c r="C4705" s="175"/>
      <c r="D4705" s="175"/>
      <c r="E4705" s="175"/>
      <c r="F4705" s="234"/>
      <c r="G4705" s="234"/>
      <c r="H4705" s="234"/>
      <c r="I4705" s="63"/>
      <c r="J4705" s="190"/>
      <c r="K4705" s="208"/>
      <c r="L4705" s="59"/>
    </row>
    <row r="4706" spans="1:12">
      <c r="A4706" s="36"/>
      <c r="B4706" s="37"/>
      <c r="C4706" s="179"/>
      <c r="D4706" s="179"/>
      <c r="E4706" s="179"/>
      <c r="F4706" s="235"/>
      <c r="G4706" s="235"/>
      <c r="H4706" s="235"/>
      <c r="I4706" s="79"/>
      <c r="J4706" s="195"/>
      <c r="K4706" s="216"/>
      <c r="L4706" s="59"/>
    </row>
    <row r="4707" spans="1:12">
      <c r="A4707" s="36"/>
      <c r="B4707" s="37"/>
      <c r="C4707" s="179"/>
      <c r="D4707" s="179"/>
      <c r="E4707" s="179"/>
      <c r="F4707" s="235"/>
      <c r="G4707" s="235"/>
      <c r="H4707" s="235"/>
      <c r="I4707" s="79"/>
      <c r="J4707" s="185"/>
      <c r="K4707" s="216"/>
      <c r="L4707" s="59"/>
    </row>
    <row r="4708" spans="1:12">
      <c r="A4708" s="23"/>
      <c r="B4708" s="14"/>
      <c r="C4708" s="180"/>
      <c r="D4708" s="180"/>
      <c r="E4708" s="180"/>
      <c r="F4708" s="236"/>
      <c r="G4708" s="236"/>
      <c r="H4708" s="236"/>
      <c r="I4708" s="73"/>
      <c r="J4708" s="191"/>
      <c r="K4708" s="207"/>
      <c r="L4708" s="59"/>
    </row>
    <row r="4709" spans="1:12">
      <c r="A4709" s="36"/>
      <c r="B4709" s="37"/>
      <c r="C4709" s="179"/>
      <c r="D4709" s="179"/>
      <c r="E4709" s="179"/>
      <c r="F4709" s="235"/>
      <c r="G4709" s="235"/>
      <c r="H4709" s="235"/>
      <c r="I4709" s="79"/>
      <c r="J4709" s="185"/>
      <c r="K4709" s="216"/>
      <c r="L4709" s="59"/>
    </row>
    <row r="4710" spans="1:12">
      <c r="A4710" s="36"/>
      <c r="B4710" s="37"/>
      <c r="C4710" s="179"/>
      <c r="D4710" s="179"/>
      <c r="E4710" s="179"/>
      <c r="F4710" s="235"/>
      <c r="G4710" s="235"/>
      <c r="H4710" s="235"/>
      <c r="I4710" s="79"/>
      <c r="J4710" s="185"/>
      <c r="K4710" s="216"/>
      <c r="L4710" s="59"/>
    </row>
    <row r="4711" spans="1:12">
      <c r="A4711" s="36"/>
      <c r="B4711" s="37"/>
      <c r="C4711" s="179"/>
      <c r="D4711" s="179"/>
      <c r="E4711" s="179"/>
      <c r="F4711" s="235"/>
      <c r="G4711" s="235"/>
      <c r="H4711" s="235"/>
      <c r="I4711" s="79"/>
      <c r="J4711" s="191"/>
      <c r="K4711" s="216"/>
      <c r="L4711" s="59"/>
    </row>
    <row r="4712" spans="1:12">
      <c r="A4712" s="36"/>
      <c r="B4712" s="37"/>
      <c r="C4712" s="179"/>
      <c r="D4712" s="179"/>
      <c r="E4712" s="179"/>
      <c r="F4712" s="235"/>
      <c r="G4712" s="235"/>
      <c r="H4712" s="235"/>
      <c r="I4712" s="79"/>
      <c r="J4712" s="185"/>
      <c r="K4712" s="216"/>
      <c r="L4712" s="59"/>
    </row>
    <row r="4713" spans="1:12">
      <c r="A4713" s="36"/>
      <c r="B4713" s="37"/>
      <c r="C4713" s="179"/>
      <c r="D4713" s="179"/>
      <c r="E4713" s="179"/>
      <c r="F4713" s="235"/>
      <c r="G4713" s="235"/>
      <c r="H4713" s="235"/>
      <c r="I4713" s="79"/>
      <c r="J4713" s="185"/>
      <c r="K4713" s="216"/>
      <c r="L4713" s="59"/>
    </row>
    <row r="4714" spans="1:12">
      <c r="A4714" s="36"/>
      <c r="B4714" s="37"/>
      <c r="C4714" s="179"/>
      <c r="D4714" s="179"/>
      <c r="E4714" s="179"/>
      <c r="F4714" s="235"/>
      <c r="G4714" s="235"/>
      <c r="H4714" s="235"/>
      <c r="I4714" s="79"/>
      <c r="J4714" s="185"/>
      <c r="K4714" s="216"/>
      <c r="L4714" s="59"/>
    </row>
    <row r="4715" spans="1:12">
      <c r="A4715" s="36"/>
      <c r="B4715" s="37"/>
      <c r="C4715" s="179"/>
      <c r="D4715" s="179"/>
      <c r="E4715" s="179"/>
      <c r="F4715" s="235"/>
      <c r="G4715" s="235"/>
      <c r="H4715" s="235"/>
      <c r="I4715" s="79"/>
      <c r="J4715" s="185"/>
      <c r="K4715" s="216"/>
      <c r="L4715" s="59"/>
    </row>
    <row r="4716" spans="1:12">
      <c r="A4716" s="36"/>
      <c r="B4716" s="37"/>
      <c r="C4716" s="179"/>
      <c r="D4716" s="179"/>
      <c r="E4716" s="179"/>
      <c r="F4716" s="235"/>
      <c r="G4716" s="235"/>
      <c r="H4716" s="235"/>
      <c r="I4716" s="79"/>
      <c r="J4716" s="185"/>
      <c r="K4716" s="216"/>
      <c r="L4716" s="59"/>
    </row>
    <row r="4717" spans="1:12">
      <c r="A4717" s="36"/>
      <c r="B4717" s="37"/>
      <c r="C4717" s="179"/>
      <c r="D4717" s="179"/>
      <c r="E4717" s="179"/>
      <c r="F4717" s="235"/>
      <c r="G4717" s="235"/>
      <c r="H4717" s="235"/>
      <c r="I4717" s="79"/>
      <c r="J4717" s="185"/>
      <c r="K4717" s="216"/>
      <c r="L4717" s="59"/>
    </row>
    <row r="4718" spans="1:12">
      <c r="A4718" s="36"/>
      <c r="B4718" s="37"/>
      <c r="C4718" s="179"/>
      <c r="D4718" s="179"/>
      <c r="E4718" s="179"/>
      <c r="F4718" s="235"/>
      <c r="G4718" s="235"/>
      <c r="H4718" s="235"/>
      <c r="I4718" s="79"/>
      <c r="J4718" s="185"/>
      <c r="K4718" s="216"/>
      <c r="L4718" s="59"/>
    </row>
    <row r="4719" spans="1:12">
      <c r="A4719" s="36"/>
      <c r="B4719" s="37"/>
      <c r="C4719" s="179"/>
      <c r="D4719" s="179"/>
      <c r="E4719" s="179"/>
      <c r="F4719" s="235"/>
      <c r="G4719" s="235"/>
      <c r="H4719" s="235"/>
      <c r="I4719" s="79"/>
      <c r="J4719" s="185"/>
      <c r="K4719" s="216"/>
      <c r="L4719" s="59"/>
    </row>
    <row r="4720" spans="1:12">
      <c r="A4720" s="36"/>
      <c r="B4720" s="37"/>
      <c r="C4720" s="179"/>
      <c r="D4720" s="179"/>
      <c r="E4720" s="179"/>
      <c r="F4720" s="235"/>
      <c r="G4720" s="235"/>
      <c r="H4720" s="235"/>
      <c r="I4720" s="79"/>
      <c r="J4720" s="185"/>
      <c r="K4720" s="216"/>
      <c r="L4720" s="59"/>
    </row>
    <row r="4721" spans="1:12">
      <c r="A4721" s="36"/>
      <c r="B4721" s="37"/>
      <c r="C4721" s="179"/>
      <c r="D4721" s="179"/>
      <c r="E4721" s="179"/>
      <c r="F4721" s="235"/>
      <c r="G4721" s="235"/>
      <c r="H4721" s="235"/>
      <c r="I4721" s="79"/>
      <c r="J4721" s="185"/>
      <c r="K4721" s="216"/>
      <c r="L4721" s="59"/>
    </row>
    <row r="4722" spans="1:12">
      <c r="A4722" s="36"/>
      <c r="B4722" s="37"/>
      <c r="C4722" s="179"/>
      <c r="D4722" s="179"/>
      <c r="E4722" s="179"/>
      <c r="F4722" s="235"/>
      <c r="G4722" s="235"/>
      <c r="H4722" s="235"/>
      <c r="I4722" s="79"/>
      <c r="J4722" s="185"/>
      <c r="K4722" s="216"/>
      <c r="L4722" s="59"/>
    </row>
    <row r="4723" spans="1:12">
      <c r="A4723" s="36"/>
      <c r="B4723" s="37"/>
      <c r="C4723" s="179"/>
      <c r="D4723" s="179"/>
      <c r="E4723" s="179"/>
      <c r="F4723" s="235"/>
      <c r="G4723" s="235"/>
      <c r="H4723" s="235"/>
      <c r="I4723" s="79"/>
      <c r="J4723" s="185"/>
      <c r="K4723" s="216"/>
      <c r="L4723" s="59"/>
    </row>
    <row r="4724" spans="1:12">
      <c r="A4724" s="36"/>
      <c r="B4724" s="37"/>
      <c r="C4724" s="179"/>
      <c r="D4724" s="179"/>
      <c r="E4724" s="179"/>
      <c r="F4724" s="235"/>
      <c r="G4724" s="235"/>
      <c r="H4724" s="235"/>
      <c r="I4724" s="79"/>
      <c r="J4724" s="185"/>
      <c r="K4724" s="216"/>
      <c r="L4724" s="59"/>
    </row>
    <row r="4725" spans="1:12">
      <c r="A4725" s="36"/>
      <c r="B4725" s="37"/>
      <c r="C4725" s="179"/>
      <c r="D4725" s="179"/>
      <c r="E4725" s="179"/>
      <c r="F4725" s="235"/>
      <c r="G4725" s="235"/>
      <c r="H4725" s="235"/>
      <c r="I4725" s="79"/>
      <c r="J4725" s="185"/>
      <c r="K4725" s="216"/>
      <c r="L4725" s="59"/>
    </row>
    <row r="4726" spans="1:12">
      <c r="A4726" s="36"/>
      <c r="B4726" s="37"/>
      <c r="C4726" s="179"/>
      <c r="D4726" s="179"/>
      <c r="E4726" s="179"/>
      <c r="F4726" s="235"/>
      <c r="G4726" s="235"/>
      <c r="H4726" s="235"/>
      <c r="I4726" s="79"/>
      <c r="J4726" s="185"/>
      <c r="K4726" s="216"/>
      <c r="L4726" s="59"/>
    </row>
    <row r="4727" spans="1:12">
      <c r="A4727" s="36"/>
      <c r="B4727" s="37"/>
      <c r="C4727" s="179"/>
      <c r="D4727" s="179"/>
      <c r="E4727" s="179"/>
      <c r="F4727" s="235"/>
      <c r="G4727" s="235"/>
      <c r="H4727" s="235"/>
      <c r="I4727" s="79"/>
      <c r="J4727" s="185"/>
      <c r="K4727" s="216"/>
      <c r="L4727" s="59"/>
    </row>
    <row r="4728" spans="1:12">
      <c r="A4728" s="36"/>
      <c r="B4728" s="37"/>
      <c r="C4728" s="179"/>
      <c r="D4728" s="179"/>
      <c r="E4728" s="179"/>
      <c r="F4728" s="235"/>
      <c r="G4728" s="235"/>
      <c r="H4728" s="235"/>
      <c r="I4728" s="79"/>
      <c r="J4728" s="185"/>
      <c r="K4728" s="216"/>
      <c r="L4728" s="59"/>
    </row>
    <row r="4729" spans="1:12">
      <c r="A4729" s="36"/>
      <c r="B4729" s="37"/>
      <c r="C4729" s="179"/>
      <c r="D4729" s="179"/>
      <c r="E4729" s="179"/>
      <c r="F4729" s="235"/>
      <c r="G4729" s="235"/>
      <c r="H4729" s="235"/>
      <c r="I4729" s="79"/>
      <c r="J4729" s="185"/>
      <c r="K4729" s="216"/>
      <c r="L4729" s="59"/>
    </row>
    <row r="4730" spans="1:12">
      <c r="A4730" s="23"/>
      <c r="B4730" s="14"/>
      <c r="C4730" s="180"/>
      <c r="D4730" s="180"/>
      <c r="E4730" s="180"/>
      <c r="F4730" s="236"/>
      <c r="G4730" s="236"/>
      <c r="H4730" s="236"/>
      <c r="I4730" s="73"/>
      <c r="J4730" s="191"/>
      <c r="K4730" s="207"/>
      <c r="L4730" s="59"/>
    </row>
    <row r="4731" spans="1:12">
      <c r="A4731" s="36"/>
      <c r="B4731" s="37"/>
      <c r="C4731" s="179"/>
      <c r="D4731" s="179"/>
      <c r="E4731" s="179"/>
      <c r="F4731" s="235"/>
      <c r="G4731" s="235"/>
      <c r="H4731" s="235"/>
      <c r="I4731" s="79"/>
      <c r="J4731" s="185"/>
      <c r="K4731" s="216"/>
      <c r="L4731" s="59"/>
    </row>
    <row r="4732" spans="1:12">
      <c r="A4732" s="36"/>
      <c r="B4732" s="37"/>
      <c r="C4732" s="179"/>
      <c r="D4732" s="179"/>
      <c r="E4732" s="179"/>
      <c r="F4732" s="235"/>
      <c r="G4732" s="235"/>
      <c r="H4732" s="235"/>
      <c r="I4732" s="79"/>
      <c r="J4732" s="185"/>
      <c r="K4732" s="216"/>
      <c r="L4732" s="59"/>
    </row>
    <row r="4733" spans="1:12">
      <c r="A4733" s="36"/>
      <c r="B4733" s="37"/>
      <c r="C4733" s="179"/>
      <c r="D4733" s="179"/>
      <c r="E4733" s="179"/>
      <c r="F4733" s="235"/>
      <c r="G4733" s="235"/>
      <c r="H4733" s="235"/>
      <c r="I4733" s="79"/>
      <c r="J4733" s="185"/>
      <c r="K4733" s="216"/>
      <c r="L4733" s="59"/>
    </row>
    <row r="4734" spans="1:12">
      <c r="A4734" s="36"/>
      <c r="B4734" s="37"/>
      <c r="C4734" s="179"/>
      <c r="D4734" s="179"/>
      <c r="E4734" s="179"/>
      <c r="F4734" s="235"/>
      <c r="G4734" s="235"/>
      <c r="H4734" s="235"/>
      <c r="I4734" s="79"/>
      <c r="J4734" s="185"/>
      <c r="K4734" s="216"/>
      <c r="L4734" s="59"/>
    </row>
    <row r="4735" spans="1:12">
      <c r="A4735" s="36"/>
      <c r="B4735" s="37"/>
      <c r="C4735" s="179"/>
      <c r="D4735" s="179"/>
      <c r="E4735" s="179"/>
      <c r="F4735" s="235"/>
      <c r="G4735" s="235"/>
      <c r="H4735" s="235"/>
      <c r="I4735" s="79"/>
      <c r="J4735" s="185"/>
      <c r="K4735" s="216"/>
      <c r="L4735" s="59"/>
    </row>
    <row r="4736" spans="1:12">
      <c r="A4736" s="36"/>
      <c r="B4736" s="37"/>
      <c r="C4736" s="179"/>
      <c r="D4736" s="179"/>
      <c r="E4736" s="179"/>
      <c r="F4736" s="235"/>
      <c r="G4736" s="235"/>
      <c r="H4736" s="235"/>
      <c r="I4736" s="79"/>
      <c r="J4736" s="185"/>
      <c r="K4736" s="216"/>
      <c r="L4736" s="59"/>
    </row>
    <row r="4737" spans="1:12">
      <c r="A4737" s="36"/>
      <c r="B4737" s="37"/>
      <c r="C4737" s="179"/>
      <c r="D4737" s="179"/>
      <c r="E4737" s="179"/>
      <c r="F4737" s="235"/>
      <c r="G4737" s="235"/>
      <c r="H4737" s="235"/>
      <c r="I4737" s="79"/>
      <c r="J4737" s="185"/>
      <c r="K4737" s="216"/>
      <c r="L4737" s="59"/>
    </row>
    <row r="4738" spans="1:12">
      <c r="A4738" s="36"/>
      <c r="B4738" s="37"/>
      <c r="C4738" s="179"/>
      <c r="D4738" s="179"/>
      <c r="E4738" s="179"/>
      <c r="F4738" s="235"/>
      <c r="G4738" s="235"/>
      <c r="H4738" s="235"/>
      <c r="I4738" s="79"/>
      <c r="J4738" s="185"/>
      <c r="K4738" s="216"/>
      <c r="L4738" s="59"/>
    </row>
    <row r="4739" spans="1:12">
      <c r="A4739" s="36"/>
      <c r="B4739" s="37"/>
      <c r="C4739" s="179"/>
      <c r="D4739" s="179"/>
      <c r="E4739" s="179"/>
      <c r="F4739" s="235"/>
      <c r="G4739" s="235"/>
      <c r="H4739" s="235"/>
      <c r="I4739" s="79"/>
      <c r="J4739" s="185"/>
      <c r="K4739" s="216"/>
      <c r="L4739" s="59"/>
    </row>
    <row r="4740" spans="1:12">
      <c r="A4740" s="36"/>
      <c r="B4740" s="37"/>
      <c r="C4740" s="179"/>
      <c r="D4740" s="179"/>
      <c r="E4740" s="179"/>
      <c r="F4740" s="235"/>
      <c r="G4740" s="235"/>
      <c r="H4740" s="235"/>
      <c r="I4740" s="79"/>
      <c r="J4740" s="185"/>
      <c r="K4740" s="216"/>
      <c r="L4740" s="59"/>
    </row>
    <row r="4741" spans="1:12">
      <c r="A4741" s="21"/>
      <c r="B4741" s="21"/>
      <c r="C4741" s="175"/>
      <c r="D4741" s="175"/>
      <c r="E4741" s="175"/>
      <c r="F4741" s="234"/>
      <c r="G4741" s="234"/>
      <c r="H4741" s="234"/>
      <c r="I4741" s="63"/>
      <c r="J4741" s="190"/>
      <c r="K4741" s="208"/>
      <c r="L4741" s="59"/>
    </row>
    <row r="4742" spans="1:12">
      <c r="A4742" s="36"/>
      <c r="B4742" s="37"/>
      <c r="C4742" s="179"/>
      <c r="D4742" s="179"/>
      <c r="E4742" s="179"/>
      <c r="F4742" s="235"/>
      <c r="G4742" s="235"/>
      <c r="H4742" s="235"/>
      <c r="I4742" s="79"/>
      <c r="J4742" s="195"/>
      <c r="K4742" s="216"/>
      <c r="L4742" s="59"/>
    </row>
    <row r="4743" spans="1:12">
      <c r="A4743" s="23"/>
      <c r="B4743" s="14"/>
      <c r="C4743" s="180"/>
      <c r="D4743" s="180"/>
      <c r="E4743" s="180"/>
      <c r="F4743" s="236"/>
      <c r="G4743" s="236"/>
      <c r="H4743" s="236"/>
      <c r="I4743" s="73"/>
      <c r="J4743" s="191"/>
      <c r="K4743" s="207"/>
      <c r="L4743" s="60"/>
    </row>
    <row r="4744" spans="1:12">
      <c r="A4744" s="23"/>
      <c r="B4744" s="14"/>
      <c r="C4744" s="180"/>
      <c r="D4744" s="180"/>
      <c r="E4744" s="180"/>
      <c r="F4744" s="236"/>
      <c r="G4744" s="236"/>
      <c r="H4744" s="236"/>
      <c r="I4744" s="73"/>
      <c r="J4744" s="191"/>
      <c r="K4744" s="207"/>
      <c r="L4744" s="60"/>
    </row>
    <row r="4745" spans="1:12">
      <c r="A4745" s="36"/>
      <c r="B4745" s="37"/>
      <c r="C4745" s="179"/>
      <c r="D4745" s="179"/>
      <c r="E4745" s="179"/>
      <c r="F4745" s="235"/>
      <c r="G4745" s="235"/>
      <c r="H4745" s="235"/>
      <c r="I4745" s="79"/>
      <c r="J4745" s="195"/>
      <c r="K4745" s="216"/>
      <c r="L4745" s="30"/>
    </row>
    <row r="4746" spans="1:12">
      <c r="A4746" s="36"/>
      <c r="B4746" s="37"/>
      <c r="C4746" s="179"/>
      <c r="D4746" s="179"/>
      <c r="E4746" s="179"/>
      <c r="F4746" s="235"/>
      <c r="G4746" s="235"/>
      <c r="H4746" s="235"/>
      <c r="I4746" s="79"/>
      <c r="J4746" s="195"/>
      <c r="K4746" s="216"/>
      <c r="L4746" s="29"/>
    </row>
    <row r="4747" spans="1:12">
      <c r="A4747" s="36"/>
      <c r="B4747" s="37"/>
      <c r="C4747" s="179"/>
      <c r="D4747" s="179"/>
      <c r="E4747" s="179"/>
      <c r="F4747" s="235"/>
      <c r="G4747" s="235"/>
      <c r="H4747" s="235"/>
      <c r="I4747" s="79"/>
      <c r="J4747" s="195"/>
      <c r="K4747" s="216"/>
      <c r="L4747" s="60"/>
    </row>
    <row r="4748" spans="1:12">
      <c r="A4748" s="36"/>
      <c r="B4748" s="37"/>
      <c r="C4748" s="179"/>
      <c r="D4748" s="179"/>
      <c r="E4748" s="179"/>
      <c r="F4748" s="235"/>
      <c r="G4748" s="235"/>
      <c r="H4748" s="235"/>
      <c r="I4748" s="79"/>
      <c r="J4748" s="195"/>
      <c r="K4748" s="216"/>
      <c r="L4748" s="59"/>
    </row>
    <row r="4749" spans="1:12">
      <c r="A4749" s="36"/>
      <c r="B4749" s="37"/>
      <c r="C4749" s="179"/>
      <c r="D4749" s="179"/>
      <c r="E4749" s="179"/>
      <c r="F4749" s="235"/>
      <c r="G4749" s="235"/>
      <c r="H4749" s="235"/>
      <c r="I4749" s="79"/>
      <c r="J4749" s="195"/>
      <c r="K4749" s="216"/>
      <c r="L4749" s="59"/>
    </row>
    <row r="4750" spans="1:12">
      <c r="A4750" s="36"/>
      <c r="B4750" s="37"/>
      <c r="C4750" s="179"/>
      <c r="D4750" s="179"/>
      <c r="E4750" s="179"/>
      <c r="F4750" s="235"/>
      <c r="G4750" s="235"/>
      <c r="H4750" s="235"/>
      <c r="I4750" s="79"/>
      <c r="J4750" s="195"/>
      <c r="K4750" s="216"/>
      <c r="L4750" s="59"/>
    </row>
    <row r="4751" spans="1:12">
      <c r="A4751" s="36"/>
      <c r="B4751" s="37"/>
      <c r="C4751" s="179"/>
      <c r="D4751" s="179"/>
      <c r="E4751" s="179"/>
      <c r="F4751" s="235"/>
      <c r="G4751" s="235"/>
      <c r="H4751" s="235"/>
      <c r="I4751" s="79"/>
      <c r="J4751" s="195"/>
      <c r="K4751" s="216"/>
      <c r="L4751" s="59"/>
    </row>
    <row r="4752" spans="1:12">
      <c r="A4752" s="36"/>
      <c r="B4752" s="37"/>
      <c r="C4752" s="179"/>
      <c r="D4752" s="179"/>
      <c r="E4752" s="179"/>
      <c r="F4752" s="235"/>
      <c r="G4752" s="235"/>
      <c r="H4752" s="235"/>
      <c r="I4752" s="79"/>
      <c r="J4752" s="185"/>
      <c r="K4752" s="216"/>
      <c r="L4752" s="59"/>
    </row>
    <row r="4753" spans="1:12">
      <c r="A4753" s="36"/>
      <c r="B4753" s="37"/>
      <c r="C4753" s="179"/>
      <c r="D4753" s="179"/>
      <c r="E4753" s="179"/>
      <c r="F4753" s="235"/>
      <c r="G4753" s="235"/>
      <c r="H4753" s="235"/>
      <c r="I4753" s="79"/>
      <c r="J4753" s="185"/>
      <c r="K4753" s="216"/>
      <c r="L4753" s="59"/>
    </row>
    <row r="4754" spans="1:12">
      <c r="A4754" s="36"/>
      <c r="B4754" s="37"/>
      <c r="C4754" s="179"/>
      <c r="D4754" s="179"/>
      <c r="E4754" s="179"/>
      <c r="F4754" s="235"/>
      <c r="G4754" s="235"/>
      <c r="H4754" s="235"/>
      <c r="I4754" s="79"/>
      <c r="J4754" s="185"/>
      <c r="K4754" s="216"/>
      <c r="L4754" s="59"/>
    </row>
    <row r="4755" spans="1:12">
      <c r="A4755" s="36"/>
      <c r="B4755" s="37"/>
      <c r="C4755" s="179"/>
      <c r="D4755" s="179"/>
      <c r="E4755" s="179"/>
      <c r="F4755" s="235"/>
      <c r="G4755" s="235"/>
      <c r="H4755" s="235"/>
      <c r="I4755" s="79"/>
      <c r="J4755" s="185"/>
      <c r="K4755" s="216"/>
      <c r="L4755" s="59"/>
    </row>
    <row r="4756" spans="1:12">
      <c r="A4756" s="36"/>
      <c r="B4756" s="37"/>
      <c r="C4756" s="179"/>
      <c r="D4756" s="179"/>
      <c r="E4756" s="179"/>
      <c r="F4756" s="235"/>
      <c r="G4756" s="235"/>
      <c r="H4756" s="235"/>
      <c r="I4756" s="79"/>
      <c r="J4756" s="185"/>
      <c r="K4756" s="216"/>
      <c r="L4756" s="59"/>
    </row>
    <row r="4757" spans="1:12">
      <c r="A4757" s="36"/>
      <c r="B4757" s="37"/>
      <c r="C4757" s="179"/>
      <c r="D4757" s="179"/>
      <c r="E4757" s="179"/>
      <c r="F4757" s="235"/>
      <c r="G4757" s="235"/>
      <c r="H4757" s="235"/>
      <c r="I4757" s="79"/>
      <c r="J4757" s="185"/>
      <c r="K4757" s="216"/>
      <c r="L4757" s="59"/>
    </row>
    <row r="4758" spans="1:12">
      <c r="A4758" s="36"/>
      <c r="B4758" s="37"/>
      <c r="C4758" s="179"/>
      <c r="D4758" s="179"/>
      <c r="E4758" s="179"/>
      <c r="F4758" s="235"/>
      <c r="G4758" s="235"/>
      <c r="H4758" s="235"/>
      <c r="I4758" s="79"/>
      <c r="J4758" s="185"/>
      <c r="K4758" s="216"/>
      <c r="L4758" s="59"/>
    </row>
    <row r="4759" spans="1:12">
      <c r="A4759" s="21"/>
      <c r="B4759" s="21"/>
      <c r="C4759" s="175"/>
      <c r="D4759" s="175"/>
      <c r="E4759" s="175"/>
      <c r="F4759" s="234"/>
      <c r="G4759" s="234"/>
      <c r="H4759" s="234"/>
      <c r="I4759" s="63"/>
      <c r="J4759" s="190"/>
      <c r="K4759" s="208"/>
      <c r="L4759" s="59"/>
    </row>
    <row r="4760" spans="1:12">
      <c r="A4760" s="21"/>
      <c r="B4760" s="21"/>
      <c r="C4760" s="175"/>
      <c r="D4760" s="175"/>
      <c r="E4760" s="175"/>
      <c r="F4760" s="234"/>
      <c r="G4760" s="234"/>
      <c r="H4760" s="234"/>
      <c r="I4760" s="63"/>
      <c r="J4760" s="190"/>
      <c r="K4760" s="208"/>
      <c r="L4760" s="59"/>
    </row>
    <row r="4761" spans="1:12">
      <c r="A4761" s="36"/>
      <c r="B4761" s="37"/>
      <c r="C4761" s="179"/>
      <c r="D4761" s="179"/>
      <c r="E4761" s="179"/>
      <c r="F4761" s="235"/>
      <c r="G4761" s="235"/>
      <c r="H4761" s="235"/>
      <c r="I4761" s="79"/>
      <c r="J4761" s="185"/>
      <c r="K4761" s="216"/>
      <c r="L4761" s="59"/>
    </row>
    <row r="4762" spans="1:12">
      <c r="A4762" s="36"/>
      <c r="B4762" s="37"/>
      <c r="C4762" s="179"/>
      <c r="D4762" s="179"/>
      <c r="E4762" s="179"/>
      <c r="F4762" s="235"/>
      <c r="G4762" s="235"/>
      <c r="H4762" s="235"/>
      <c r="I4762" s="79"/>
      <c r="J4762" s="185"/>
      <c r="K4762" s="216"/>
      <c r="L4762" s="59"/>
    </row>
    <row r="4763" spans="1:12">
      <c r="A4763" s="36"/>
      <c r="B4763" s="37"/>
      <c r="C4763" s="179"/>
      <c r="D4763" s="179"/>
      <c r="E4763" s="179"/>
      <c r="F4763" s="235"/>
      <c r="G4763" s="235"/>
      <c r="H4763" s="235"/>
      <c r="I4763" s="79"/>
      <c r="J4763" s="185"/>
      <c r="K4763" s="216"/>
      <c r="L4763" s="59"/>
    </row>
    <row r="4764" spans="1:12">
      <c r="A4764" s="21"/>
      <c r="B4764" s="21"/>
      <c r="C4764" s="175"/>
      <c r="D4764" s="175"/>
      <c r="E4764" s="175"/>
      <c r="F4764" s="234"/>
      <c r="G4764" s="234"/>
      <c r="H4764" s="234"/>
      <c r="I4764" s="62"/>
      <c r="J4764" s="190"/>
      <c r="K4764" s="208"/>
      <c r="L4764" s="59"/>
    </row>
    <row r="4765" spans="1:12">
      <c r="A4765" s="21"/>
      <c r="B4765" s="21"/>
      <c r="C4765" s="175"/>
      <c r="D4765" s="175"/>
      <c r="E4765" s="175"/>
      <c r="F4765" s="234"/>
      <c r="G4765" s="234"/>
      <c r="H4765" s="234"/>
      <c r="I4765" s="63"/>
      <c r="J4765" s="190"/>
      <c r="K4765" s="208"/>
      <c r="L4765" s="59"/>
    </row>
    <row r="4766" spans="1:12">
      <c r="A4766" s="21"/>
      <c r="B4766" s="21"/>
      <c r="C4766" s="175"/>
      <c r="D4766" s="175"/>
      <c r="E4766" s="175"/>
      <c r="F4766" s="234"/>
      <c r="G4766" s="234"/>
      <c r="H4766" s="234"/>
      <c r="I4766" s="63"/>
      <c r="J4766" s="190"/>
      <c r="K4766" s="208"/>
      <c r="L4766" s="59"/>
    </row>
    <row r="4767" spans="1:12">
      <c r="A4767" s="36"/>
      <c r="B4767" s="37"/>
      <c r="C4767" s="179"/>
      <c r="D4767" s="179"/>
      <c r="E4767" s="179"/>
      <c r="F4767" s="235"/>
      <c r="G4767" s="235"/>
      <c r="H4767" s="235"/>
      <c r="I4767" s="79"/>
      <c r="J4767" s="185"/>
      <c r="K4767" s="216"/>
      <c r="L4767" s="59"/>
    </row>
    <row r="4768" spans="1:12">
      <c r="A4768" s="36"/>
      <c r="B4768" s="37"/>
      <c r="C4768" s="179"/>
      <c r="D4768" s="179"/>
      <c r="E4768" s="179"/>
      <c r="F4768" s="235"/>
      <c r="G4768" s="235"/>
      <c r="H4768" s="235"/>
      <c r="I4768" s="79"/>
      <c r="J4768" s="185"/>
      <c r="K4768" s="216"/>
      <c r="L4768" s="59"/>
    </row>
    <row r="4769" spans="1:12">
      <c r="A4769" s="36"/>
      <c r="B4769" s="37"/>
      <c r="C4769" s="179"/>
      <c r="D4769" s="179"/>
      <c r="E4769" s="179"/>
      <c r="F4769" s="235"/>
      <c r="G4769" s="235"/>
      <c r="H4769" s="235"/>
      <c r="I4769" s="79"/>
      <c r="J4769" s="191"/>
      <c r="K4769" s="216"/>
      <c r="L4769" s="59"/>
    </row>
    <row r="4770" spans="1:12">
      <c r="A4770" s="36"/>
      <c r="B4770" s="37"/>
      <c r="C4770" s="179"/>
      <c r="D4770" s="179"/>
      <c r="E4770" s="179"/>
      <c r="F4770" s="235"/>
      <c r="G4770" s="235"/>
      <c r="H4770" s="235"/>
      <c r="I4770" s="79"/>
      <c r="J4770" s="185"/>
      <c r="K4770" s="216"/>
      <c r="L4770" s="59"/>
    </row>
    <row r="4771" spans="1:12">
      <c r="A4771" s="36"/>
      <c r="B4771" s="37"/>
      <c r="C4771" s="179"/>
      <c r="D4771" s="179"/>
      <c r="E4771" s="179"/>
      <c r="F4771" s="235"/>
      <c r="G4771" s="235"/>
      <c r="H4771" s="235"/>
      <c r="I4771" s="79"/>
      <c r="J4771" s="185"/>
      <c r="K4771" s="216"/>
      <c r="L4771" s="59"/>
    </row>
    <row r="4772" spans="1:12">
      <c r="A4772" s="36"/>
      <c r="B4772" s="37"/>
      <c r="C4772" s="179"/>
      <c r="D4772" s="179"/>
      <c r="E4772" s="179"/>
      <c r="F4772" s="235"/>
      <c r="G4772" s="235"/>
      <c r="H4772" s="235"/>
      <c r="I4772" s="79"/>
      <c r="J4772" s="185"/>
      <c r="K4772" s="216"/>
      <c r="L4772" s="59"/>
    </row>
    <row r="4773" spans="1:12">
      <c r="A4773" s="36"/>
      <c r="B4773" s="37"/>
      <c r="C4773" s="179"/>
      <c r="D4773" s="179"/>
      <c r="E4773" s="179"/>
      <c r="F4773" s="235"/>
      <c r="G4773" s="235"/>
      <c r="H4773" s="235"/>
      <c r="I4773" s="79"/>
      <c r="J4773" s="185"/>
      <c r="K4773" s="216"/>
      <c r="L4773" s="59"/>
    </row>
    <row r="4774" spans="1:12">
      <c r="A4774" s="36"/>
      <c r="B4774" s="37"/>
      <c r="C4774" s="179"/>
      <c r="D4774" s="179"/>
      <c r="E4774" s="179"/>
      <c r="F4774" s="235"/>
      <c r="G4774" s="235"/>
      <c r="H4774" s="235"/>
      <c r="I4774" s="79"/>
      <c r="J4774" s="185"/>
      <c r="K4774" s="216"/>
      <c r="L4774" s="59"/>
    </row>
    <row r="4775" spans="1:12">
      <c r="A4775" s="36"/>
      <c r="B4775" s="37"/>
      <c r="C4775" s="179"/>
      <c r="D4775" s="179"/>
      <c r="E4775" s="179"/>
      <c r="F4775" s="235"/>
      <c r="G4775" s="235"/>
      <c r="H4775" s="235"/>
      <c r="I4775" s="79"/>
      <c r="J4775" s="185"/>
      <c r="K4775" s="216"/>
      <c r="L4775" s="59"/>
    </row>
    <row r="4776" spans="1:12">
      <c r="A4776" s="36"/>
      <c r="B4776" s="37"/>
      <c r="C4776" s="179"/>
      <c r="D4776" s="179"/>
      <c r="E4776" s="179"/>
      <c r="F4776" s="235"/>
      <c r="G4776" s="235"/>
      <c r="H4776" s="235"/>
      <c r="I4776" s="79"/>
      <c r="J4776" s="185"/>
      <c r="K4776" s="216"/>
      <c r="L4776" s="59"/>
    </row>
    <row r="4777" spans="1:12">
      <c r="A4777" s="36"/>
      <c r="B4777" s="37"/>
      <c r="C4777" s="179"/>
      <c r="D4777" s="179"/>
      <c r="E4777" s="179"/>
      <c r="F4777" s="235"/>
      <c r="G4777" s="235"/>
      <c r="H4777" s="235"/>
      <c r="I4777" s="79"/>
      <c r="J4777" s="185"/>
      <c r="K4777" s="216"/>
      <c r="L4777" s="59"/>
    </row>
    <row r="4778" spans="1:12">
      <c r="A4778" s="36"/>
      <c r="B4778" s="37"/>
      <c r="C4778" s="179"/>
      <c r="D4778" s="179"/>
      <c r="E4778" s="179"/>
      <c r="F4778" s="235"/>
      <c r="G4778" s="235"/>
      <c r="H4778" s="235"/>
      <c r="I4778" s="79"/>
      <c r="J4778" s="185"/>
      <c r="K4778" s="216"/>
      <c r="L4778" s="59"/>
    </row>
    <row r="4779" spans="1:12">
      <c r="A4779" s="36"/>
      <c r="B4779" s="37"/>
      <c r="C4779" s="179"/>
      <c r="D4779" s="179"/>
      <c r="E4779" s="179"/>
      <c r="F4779" s="235"/>
      <c r="G4779" s="235"/>
      <c r="H4779" s="235"/>
      <c r="I4779" s="79"/>
      <c r="J4779" s="185"/>
      <c r="K4779" s="216"/>
      <c r="L4779" s="59"/>
    </row>
    <row r="4780" spans="1:12">
      <c r="A4780" s="36"/>
      <c r="B4780" s="37"/>
      <c r="C4780" s="179"/>
      <c r="D4780" s="179"/>
      <c r="E4780" s="179"/>
      <c r="F4780" s="235"/>
      <c r="G4780" s="235"/>
      <c r="H4780" s="235"/>
      <c r="I4780" s="79"/>
      <c r="J4780" s="185"/>
      <c r="K4780" s="216"/>
      <c r="L4780" s="59"/>
    </row>
    <row r="4781" spans="1:12">
      <c r="A4781" s="36"/>
      <c r="B4781" s="37"/>
      <c r="C4781" s="179"/>
      <c r="D4781" s="179"/>
      <c r="E4781" s="179"/>
      <c r="F4781" s="235"/>
      <c r="G4781" s="235"/>
      <c r="H4781" s="235"/>
      <c r="I4781" s="79"/>
      <c r="J4781" s="185"/>
      <c r="K4781" s="216"/>
      <c r="L4781" s="4"/>
    </row>
    <row r="4782" spans="1:12">
      <c r="A4782" s="36"/>
      <c r="B4782" s="37"/>
      <c r="C4782" s="179"/>
      <c r="D4782" s="179"/>
      <c r="E4782" s="179"/>
      <c r="F4782" s="235"/>
      <c r="G4782" s="235"/>
      <c r="H4782" s="235"/>
      <c r="I4782" s="79"/>
      <c r="J4782" s="185"/>
      <c r="K4782" s="216"/>
      <c r="L4782" s="2"/>
    </row>
    <row r="4783" spans="1:12">
      <c r="A4783" s="36"/>
      <c r="B4783" s="37"/>
      <c r="C4783" s="179"/>
      <c r="D4783" s="179"/>
      <c r="E4783" s="179"/>
      <c r="F4783" s="235"/>
      <c r="G4783" s="235"/>
      <c r="H4783" s="235"/>
      <c r="I4783" s="79"/>
      <c r="J4783" s="185"/>
      <c r="K4783" s="216"/>
      <c r="L4783" s="60"/>
    </row>
    <row r="4784" spans="1:12">
      <c r="A4784" s="36"/>
      <c r="B4784" s="37"/>
      <c r="C4784" s="179"/>
      <c r="D4784" s="179"/>
      <c r="E4784" s="179"/>
      <c r="F4784" s="235"/>
      <c r="G4784" s="235"/>
      <c r="H4784" s="235"/>
      <c r="I4784" s="79"/>
      <c r="J4784" s="185"/>
      <c r="K4784" s="216"/>
      <c r="L4784" s="30"/>
    </row>
    <row r="4785" spans="1:12">
      <c r="A4785" s="36"/>
      <c r="B4785" s="37"/>
      <c r="C4785" s="179"/>
      <c r="D4785" s="179"/>
      <c r="E4785" s="179"/>
      <c r="F4785" s="235"/>
      <c r="G4785" s="235"/>
      <c r="H4785" s="235"/>
      <c r="I4785" s="79"/>
      <c r="J4785" s="185"/>
      <c r="K4785" s="216"/>
      <c r="L4785" s="30"/>
    </row>
    <row r="4786" spans="1:12">
      <c r="A4786" s="36"/>
      <c r="B4786" s="37"/>
      <c r="C4786" s="179"/>
      <c r="D4786" s="179"/>
      <c r="E4786" s="179"/>
      <c r="F4786" s="235"/>
      <c r="G4786" s="235"/>
      <c r="H4786" s="235"/>
      <c r="I4786" s="79"/>
      <c r="J4786" s="185"/>
      <c r="K4786" s="216"/>
      <c r="L4786" s="29"/>
    </row>
    <row r="4787" spans="1:12">
      <c r="A4787" s="36"/>
      <c r="B4787" s="37"/>
      <c r="C4787" s="179"/>
      <c r="D4787" s="179"/>
      <c r="E4787" s="179"/>
      <c r="F4787" s="235"/>
      <c r="G4787" s="235"/>
      <c r="H4787" s="235"/>
      <c r="I4787" s="79"/>
      <c r="J4787" s="185"/>
      <c r="K4787" s="216"/>
      <c r="L4787" s="59"/>
    </row>
    <row r="4788" spans="1:12">
      <c r="A4788" s="36"/>
      <c r="B4788" s="37"/>
      <c r="C4788" s="179"/>
      <c r="D4788" s="179"/>
      <c r="E4788" s="179"/>
      <c r="F4788" s="235"/>
      <c r="G4788" s="235"/>
      <c r="H4788" s="235"/>
      <c r="I4788" s="79"/>
      <c r="J4788" s="185"/>
      <c r="K4788" s="216"/>
      <c r="L4788" s="59"/>
    </row>
    <row r="4789" spans="1:12">
      <c r="A4789" s="36"/>
      <c r="B4789" s="37"/>
      <c r="C4789" s="179"/>
      <c r="D4789" s="179"/>
      <c r="E4789" s="179"/>
      <c r="F4789" s="235"/>
      <c r="G4789" s="235"/>
      <c r="H4789" s="235"/>
      <c r="I4789" s="79"/>
      <c r="J4789" s="185"/>
      <c r="K4789" s="216"/>
      <c r="L4789" s="59"/>
    </row>
    <row r="4790" spans="1:12">
      <c r="A4790" s="36"/>
      <c r="B4790" s="37"/>
      <c r="C4790" s="179"/>
      <c r="D4790" s="179"/>
      <c r="E4790" s="179"/>
      <c r="F4790" s="235"/>
      <c r="G4790" s="235"/>
      <c r="H4790" s="235"/>
      <c r="I4790" s="79"/>
      <c r="J4790" s="185"/>
      <c r="K4790" s="216"/>
      <c r="L4790" s="59"/>
    </row>
    <row r="4791" spans="1:12">
      <c r="A4791" s="36"/>
      <c r="B4791" s="37"/>
      <c r="C4791" s="179"/>
      <c r="D4791" s="179"/>
      <c r="E4791" s="179"/>
      <c r="F4791" s="235"/>
      <c r="G4791" s="235"/>
      <c r="H4791" s="235"/>
      <c r="I4791" s="79"/>
      <c r="J4791" s="185"/>
      <c r="K4791" s="216"/>
      <c r="L4791" s="59"/>
    </row>
    <row r="4792" spans="1:12">
      <c r="A4792" s="36"/>
      <c r="B4792" s="37"/>
      <c r="C4792" s="179"/>
      <c r="D4792" s="179"/>
      <c r="E4792" s="179"/>
      <c r="F4792" s="235"/>
      <c r="G4792" s="235"/>
      <c r="H4792" s="235"/>
      <c r="I4792" s="79"/>
      <c r="J4792" s="185"/>
      <c r="K4792" s="216"/>
      <c r="L4792" s="59"/>
    </row>
    <row r="4793" spans="1:12">
      <c r="A4793" s="36"/>
      <c r="B4793" s="37"/>
      <c r="C4793" s="179"/>
      <c r="D4793" s="179"/>
      <c r="E4793" s="179"/>
      <c r="F4793" s="235"/>
      <c r="G4793" s="235"/>
      <c r="H4793" s="235"/>
      <c r="I4793" s="79"/>
      <c r="J4793" s="185"/>
      <c r="K4793" s="216"/>
      <c r="L4793" s="59"/>
    </row>
    <row r="4794" spans="1:12">
      <c r="A4794" s="36"/>
      <c r="B4794" s="37"/>
      <c r="C4794" s="179"/>
      <c r="D4794" s="179"/>
      <c r="E4794" s="179"/>
      <c r="F4794" s="235"/>
      <c r="G4794" s="235"/>
      <c r="H4794" s="235"/>
      <c r="I4794" s="79"/>
      <c r="J4794" s="185"/>
      <c r="K4794" s="216"/>
      <c r="L4794" s="59"/>
    </row>
    <row r="4795" spans="1:12">
      <c r="A4795" s="36"/>
      <c r="B4795" s="37"/>
      <c r="C4795" s="179"/>
      <c r="D4795" s="179"/>
      <c r="E4795" s="179"/>
      <c r="F4795" s="235"/>
      <c r="G4795" s="235"/>
      <c r="H4795" s="235"/>
      <c r="I4795" s="79"/>
      <c r="J4795" s="185"/>
      <c r="K4795" s="216"/>
      <c r="L4795" s="59"/>
    </row>
    <row r="4796" spans="1:12">
      <c r="A4796" s="21"/>
      <c r="B4796" s="21"/>
      <c r="C4796" s="175"/>
      <c r="D4796" s="175"/>
      <c r="E4796" s="175"/>
      <c r="F4796" s="234"/>
      <c r="G4796" s="234"/>
      <c r="H4796" s="234"/>
      <c r="I4796" s="63"/>
      <c r="J4796" s="190"/>
      <c r="K4796" s="208"/>
      <c r="L4796" s="59"/>
    </row>
    <row r="4797" spans="1:12">
      <c r="A4797" s="36"/>
      <c r="B4797" s="37"/>
      <c r="C4797" s="179"/>
      <c r="D4797" s="179"/>
      <c r="E4797" s="179"/>
      <c r="F4797" s="235"/>
      <c r="G4797" s="235"/>
      <c r="H4797" s="235"/>
      <c r="I4797" s="79"/>
      <c r="J4797" s="185"/>
      <c r="K4797" s="216"/>
      <c r="L4797" s="59"/>
    </row>
    <row r="4798" spans="1:12">
      <c r="A4798" s="36"/>
      <c r="B4798" s="37"/>
      <c r="C4798" s="179"/>
      <c r="D4798" s="179"/>
      <c r="E4798" s="179"/>
      <c r="F4798" s="235"/>
      <c r="G4798" s="235"/>
      <c r="H4798" s="235"/>
      <c r="I4798" s="79"/>
      <c r="J4798" s="185"/>
      <c r="K4798" s="216"/>
      <c r="L4798" s="59"/>
    </row>
    <row r="4799" spans="1:12">
      <c r="A4799" s="36"/>
      <c r="B4799" s="37"/>
      <c r="C4799" s="179"/>
      <c r="D4799" s="179"/>
      <c r="E4799" s="179"/>
      <c r="F4799" s="235"/>
      <c r="G4799" s="235"/>
      <c r="H4799" s="235"/>
      <c r="I4799" s="79"/>
      <c r="J4799" s="185"/>
      <c r="K4799" s="216"/>
      <c r="L4799" s="59"/>
    </row>
    <row r="4800" spans="1:12">
      <c r="A4800" s="36"/>
      <c r="B4800" s="37"/>
      <c r="C4800" s="179"/>
      <c r="D4800" s="179"/>
      <c r="E4800" s="179"/>
      <c r="F4800" s="235"/>
      <c r="G4800" s="235"/>
      <c r="H4800" s="235"/>
      <c r="I4800" s="79"/>
      <c r="J4800" s="185"/>
      <c r="K4800" s="216"/>
      <c r="L4800" s="59"/>
    </row>
    <row r="4801" spans="1:12">
      <c r="A4801" s="36"/>
      <c r="B4801" s="37"/>
      <c r="C4801" s="179"/>
      <c r="D4801" s="179"/>
      <c r="E4801" s="179"/>
      <c r="F4801" s="235"/>
      <c r="G4801" s="235"/>
      <c r="H4801" s="235"/>
      <c r="I4801" s="79"/>
      <c r="J4801" s="185"/>
      <c r="K4801" s="216"/>
      <c r="L4801" s="59"/>
    </row>
    <row r="4802" spans="1:12">
      <c r="A4802" s="21"/>
      <c r="B4802" s="21"/>
      <c r="C4802" s="175"/>
      <c r="D4802" s="175"/>
      <c r="E4802" s="175"/>
      <c r="F4802" s="234"/>
      <c r="G4802" s="234"/>
      <c r="H4802" s="234"/>
      <c r="I4802" s="63"/>
      <c r="J4802" s="190"/>
      <c r="K4802" s="208"/>
      <c r="L4802" s="59"/>
    </row>
    <row r="4803" spans="1:12">
      <c r="A4803" s="36"/>
      <c r="B4803" s="37"/>
      <c r="C4803" s="179"/>
      <c r="D4803" s="179"/>
      <c r="E4803" s="179"/>
      <c r="F4803" s="235"/>
      <c r="G4803" s="235"/>
      <c r="H4803" s="235"/>
      <c r="I4803" s="79"/>
      <c r="J4803" s="195"/>
      <c r="K4803" s="216"/>
      <c r="L4803" s="59"/>
    </row>
    <row r="4804" spans="1:12">
      <c r="A4804" s="36"/>
      <c r="B4804" s="37"/>
      <c r="C4804" s="179"/>
      <c r="D4804" s="179"/>
      <c r="E4804" s="179"/>
      <c r="F4804" s="235"/>
      <c r="G4804" s="235"/>
      <c r="H4804" s="235"/>
      <c r="I4804" s="79"/>
      <c r="J4804" s="195"/>
      <c r="K4804" s="216"/>
      <c r="L4804" s="59"/>
    </row>
    <row r="4805" spans="1:12">
      <c r="A4805" s="36"/>
      <c r="B4805" s="37"/>
      <c r="C4805" s="179"/>
      <c r="D4805" s="179"/>
      <c r="E4805" s="179"/>
      <c r="F4805" s="235"/>
      <c r="G4805" s="235"/>
      <c r="H4805" s="235"/>
      <c r="I4805" s="79"/>
      <c r="J4805" s="195"/>
      <c r="K4805" s="216"/>
      <c r="L4805" s="59"/>
    </row>
    <row r="4806" spans="1:12">
      <c r="A4806" s="36"/>
      <c r="B4806" s="37"/>
      <c r="C4806" s="179"/>
      <c r="D4806" s="179"/>
      <c r="E4806" s="179"/>
      <c r="F4806" s="235"/>
      <c r="G4806" s="235"/>
      <c r="H4806" s="235"/>
      <c r="I4806" s="79"/>
      <c r="J4806" s="195"/>
      <c r="K4806" s="216"/>
      <c r="L4806" s="59"/>
    </row>
    <row r="4807" spans="1:12">
      <c r="A4807" s="36"/>
      <c r="B4807" s="37"/>
      <c r="C4807" s="179"/>
      <c r="D4807" s="179"/>
      <c r="E4807" s="179"/>
      <c r="F4807" s="235"/>
      <c r="G4807" s="235"/>
      <c r="H4807" s="235"/>
      <c r="I4807" s="79"/>
      <c r="J4807" s="195"/>
      <c r="K4807" s="216"/>
      <c r="L4807" s="59"/>
    </row>
    <row r="4808" spans="1:12">
      <c r="A4808" s="36"/>
      <c r="B4808" s="37"/>
      <c r="C4808" s="179"/>
      <c r="D4808" s="179"/>
      <c r="E4808" s="179"/>
      <c r="F4808" s="235"/>
      <c r="G4808" s="235"/>
      <c r="H4808" s="235"/>
      <c r="I4808" s="79"/>
      <c r="J4808" s="195"/>
      <c r="K4808" s="216"/>
      <c r="L4808" s="59"/>
    </row>
    <row r="4809" spans="1:12">
      <c r="A4809" s="36"/>
      <c r="B4809" s="37"/>
      <c r="C4809" s="179"/>
      <c r="D4809" s="179"/>
      <c r="E4809" s="179"/>
      <c r="F4809" s="235"/>
      <c r="G4809" s="235"/>
      <c r="H4809" s="235"/>
      <c r="I4809" s="79"/>
      <c r="J4809" s="195"/>
      <c r="K4809" s="216"/>
      <c r="L4809" s="59"/>
    </row>
    <row r="4810" spans="1:12">
      <c r="A4810" s="36"/>
      <c r="B4810" s="37"/>
      <c r="C4810" s="179"/>
      <c r="D4810" s="179"/>
      <c r="E4810" s="179"/>
      <c r="F4810" s="235"/>
      <c r="G4810" s="235"/>
      <c r="H4810" s="235"/>
      <c r="I4810" s="79"/>
      <c r="J4810" s="195"/>
      <c r="K4810" s="216"/>
      <c r="L4810" s="59"/>
    </row>
    <row r="4811" spans="1:12">
      <c r="A4811" s="36"/>
      <c r="B4811" s="37"/>
      <c r="C4811" s="179"/>
      <c r="D4811" s="179"/>
      <c r="E4811" s="179"/>
      <c r="F4811" s="235"/>
      <c r="G4811" s="235"/>
      <c r="H4811" s="235"/>
      <c r="I4811" s="79"/>
      <c r="J4811" s="195"/>
      <c r="K4811" s="216"/>
      <c r="L4811" s="59"/>
    </row>
    <row r="4812" spans="1:12">
      <c r="A4812" s="36"/>
      <c r="B4812" s="37"/>
      <c r="C4812" s="179"/>
      <c r="D4812" s="179"/>
      <c r="E4812" s="179"/>
      <c r="F4812" s="235"/>
      <c r="G4812" s="235"/>
      <c r="H4812" s="235"/>
      <c r="I4812" s="79"/>
      <c r="J4812" s="195"/>
      <c r="K4812" s="216"/>
      <c r="L4812" s="59"/>
    </row>
    <row r="4813" spans="1:12">
      <c r="A4813" s="36"/>
      <c r="B4813" s="37"/>
      <c r="C4813" s="179"/>
      <c r="D4813" s="179"/>
      <c r="E4813" s="179"/>
      <c r="F4813" s="235"/>
      <c r="G4813" s="235"/>
      <c r="H4813" s="235"/>
      <c r="I4813" s="79"/>
      <c r="J4813" s="195"/>
      <c r="K4813" s="216"/>
      <c r="L4813" s="59"/>
    </row>
    <row r="4814" spans="1:12">
      <c r="A4814" s="36"/>
      <c r="B4814" s="37"/>
      <c r="C4814" s="179"/>
      <c r="D4814" s="179"/>
      <c r="E4814" s="179"/>
      <c r="F4814" s="235"/>
      <c r="G4814" s="235"/>
      <c r="H4814" s="235"/>
      <c r="I4814" s="79"/>
      <c r="J4814" s="185"/>
      <c r="K4814" s="216"/>
      <c r="L4814" s="59"/>
    </row>
    <row r="4815" spans="1:12">
      <c r="A4815" s="36"/>
      <c r="B4815" s="37"/>
      <c r="C4815" s="179"/>
      <c r="D4815" s="179"/>
      <c r="E4815" s="179"/>
      <c r="F4815" s="235"/>
      <c r="G4815" s="235"/>
      <c r="H4815" s="235"/>
      <c r="I4815" s="79"/>
      <c r="J4815" s="185"/>
      <c r="K4815" s="216"/>
      <c r="L4815" s="59"/>
    </row>
    <row r="4816" spans="1:12">
      <c r="A4816" s="36"/>
      <c r="B4816" s="37"/>
      <c r="C4816" s="179"/>
      <c r="D4816" s="179"/>
      <c r="E4816" s="179"/>
      <c r="F4816" s="235"/>
      <c r="G4816" s="235"/>
      <c r="H4816" s="235"/>
      <c r="I4816" s="79"/>
      <c r="J4816" s="185"/>
      <c r="K4816" s="216"/>
      <c r="L4816" s="59"/>
    </row>
    <row r="4817" spans="1:12">
      <c r="A4817" s="36"/>
      <c r="B4817" s="37"/>
      <c r="C4817" s="179"/>
      <c r="D4817" s="179"/>
      <c r="E4817" s="179"/>
      <c r="F4817" s="235"/>
      <c r="G4817" s="235"/>
      <c r="H4817" s="235"/>
      <c r="I4817" s="79"/>
      <c r="J4817" s="185"/>
      <c r="K4817" s="216"/>
      <c r="L4817" s="59"/>
    </row>
    <row r="4818" spans="1:12">
      <c r="A4818" s="21"/>
      <c r="B4818" s="21"/>
      <c r="C4818" s="175"/>
      <c r="D4818" s="175"/>
      <c r="E4818" s="175"/>
      <c r="F4818" s="234"/>
      <c r="G4818" s="234"/>
      <c r="H4818" s="234"/>
      <c r="I4818" s="63"/>
      <c r="J4818" s="190"/>
      <c r="K4818" s="208"/>
      <c r="L4818" s="59"/>
    </row>
    <row r="4819" spans="1:12">
      <c r="A4819" s="21"/>
      <c r="B4819" s="21"/>
      <c r="C4819" s="175"/>
      <c r="D4819" s="175"/>
      <c r="E4819" s="175"/>
      <c r="F4819" s="234"/>
      <c r="G4819" s="234"/>
      <c r="H4819" s="234"/>
      <c r="I4819" s="63"/>
      <c r="J4819" s="190"/>
      <c r="K4819" s="208"/>
      <c r="L4819" s="59"/>
    </row>
    <row r="4820" spans="1:12">
      <c r="A4820" s="21"/>
      <c r="B4820" s="21"/>
      <c r="C4820" s="175"/>
      <c r="D4820" s="175"/>
      <c r="E4820" s="175"/>
      <c r="F4820" s="234"/>
      <c r="G4820" s="234"/>
      <c r="H4820" s="234"/>
      <c r="I4820" s="63"/>
      <c r="J4820" s="190"/>
      <c r="K4820" s="208"/>
      <c r="L4820" s="59"/>
    </row>
    <row r="4821" spans="1:12">
      <c r="A4821" s="36"/>
      <c r="B4821" s="37"/>
      <c r="C4821" s="179"/>
      <c r="D4821" s="179"/>
      <c r="E4821" s="179"/>
      <c r="F4821" s="235"/>
      <c r="G4821" s="235"/>
      <c r="H4821" s="235"/>
      <c r="I4821" s="79"/>
      <c r="J4821" s="185"/>
      <c r="K4821" s="216"/>
      <c r="L4821" s="59"/>
    </row>
    <row r="4822" spans="1:12">
      <c r="A4822" s="36"/>
      <c r="B4822" s="37"/>
      <c r="C4822" s="179"/>
      <c r="D4822" s="179"/>
      <c r="E4822" s="179"/>
      <c r="F4822" s="235"/>
      <c r="G4822" s="235"/>
      <c r="H4822" s="235"/>
      <c r="I4822" s="79"/>
      <c r="J4822" s="185"/>
      <c r="K4822" s="216"/>
      <c r="L4822" s="59"/>
    </row>
    <row r="4823" spans="1:12">
      <c r="A4823" s="36"/>
      <c r="B4823" s="37"/>
      <c r="C4823" s="179"/>
      <c r="D4823" s="179"/>
      <c r="E4823" s="179"/>
      <c r="F4823" s="235"/>
      <c r="G4823" s="235"/>
      <c r="H4823" s="235"/>
      <c r="I4823" s="79"/>
      <c r="J4823" s="185"/>
      <c r="K4823" s="216"/>
      <c r="L4823" s="59"/>
    </row>
    <row r="4824" spans="1:12">
      <c r="A4824" s="23"/>
      <c r="B4824" s="14"/>
      <c r="C4824" s="180"/>
      <c r="D4824" s="180"/>
      <c r="E4824" s="180"/>
      <c r="F4824" s="236"/>
      <c r="G4824" s="236"/>
      <c r="H4824" s="236"/>
      <c r="I4824" s="73"/>
      <c r="J4824" s="191"/>
      <c r="K4824" s="207"/>
      <c r="L4824" s="59"/>
    </row>
    <row r="4825" spans="1:12">
      <c r="A4825" s="36"/>
      <c r="B4825" s="37"/>
      <c r="C4825" s="179"/>
      <c r="D4825" s="179"/>
      <c r="E4825" s="179"/>
      <c r="F4825" s="235"/>
      <c r="G4825" s="235"/>
      <c r="H4825" s="235"/>
      <c r="I4825" s="79"/>
      <c r="J4825" s="185"/>
      <c r="K4825" s="216"/>
      <c r="L4825" s="59"/>
    </row>
    <row r="4826" spans="1:12">
      <c r="A4826" s="23"/>
      <c r="B4826" s="14"/>
      <c r="C4826" s="180"/>
      <c r="D4826" s="180"/>
      <c r="E4826" s="180"/>
      <c r="F4826" s="236"/>
      <c r="G4826" s="236"/>
      <c r="H4826" s="236"/>
      <c r="I4826" s="73"/>
      <c r="J4826" s="191"/>
      <c r="K4826" s="207"/>
      <c r="L4826" s="59"/>
    </row>
    <row r="4827" spans="1:12">
      <c r="A4827" s="36"/>
      <c r="B4827" s="37"/>
      <c r="C4827" s="179"/>
      <c r="D4827" s="179"/>
      <c r="E4827" s="179"/>
      <c r="F4827" s="235"/>
      <c r="G4827" s="235"/>
      <c r="H4827" s="235"/>
      <c r="I4827" s="79"/>
      <c r="J4827" s="185"/>
      <c r="K4827" s="216"/>
      <c r="L4827" s="59"/>
    </row>
    <row r="4828" spans="1:12">
      <c r="A4828" s="21"/>
      <c r="B4828" s="21"/>
      <c r="C4828" s="175"/>
      <c r="D4828" s="175"/>
      <c r="E4828" s="175"/>
      <c r="F4828" s="234"/>
      <c r="G4828" s="234"/>
      <c r="H4828" s="234"/>
      <c r="I4828" s="63"/>
      <c r="J4828" s="190"/>
      <c r="K4828" s="208"/>
      <c r="L4828" s="59"/>
    </row>
    <row r="4829" spans="1:12">
      <c r="A4829" s="21"/>
      <c r="B4829" s="21"/>
      <c r="C4829" s="175"/>
      <c r="D4829" s="175"/>
      <c r="E4829" s="175"/>
      <c r="F4829" s="234"/>
      <c r="G4829" s="234"/>
      <c r="H4829" s="234"/>
      <c r="I4829" s="63"/>
      <c r="J4829" s="190"/>
      <c r="K4829" s="208"/>
      <c r="L4829" s="59"/>
    </row>
    <row r="4830" spans="1:12">
      <c r="A4830" s="36"/>
      <c r="B4830" s="37"/>
      <c r="C4830" s="179"/>
      <c r="D4830" s="179"/>
      <c r="E4830" s="179"/>
      <c r="F4830" s="235"/>
      <c r="G4830" s="235"/>
      <c r="H4830" s="235"/>
      <c r="I4830" s="79"/>
      <c r="J4830" s="195"/>
      <c r="K4830" s="216"/>
      <c r="L4830" s="59"/>
    </row>
    <row r="4831" spans="1:12">
      <c r="A4831" s="23"/>
      <c r="B4831" s="14"/>
      <c r="C4831" s="180"/>
      <c r="D4831" s="180"/>
      <c r="E4831" s="180"/>
      <c r="F4831" s="236"/>
      <c r="G4831" s="236"/>
      <c r="H4831" s="236"/>
      <c r="I4831" s="73"/>
      <c r="J4831" s="191"/>
      <c r="K4831" s="207"/>
      <c r="L4831" s="59"/>
    </row>
    <row r="4832" spans="1:12">
      <c r="A4832" s="23"/>
      <c r="B4832" s="14"/>
      <c r="C4832" s="180"/>
      <c r="D4832" s="180"/>
      <c r="E4832" s="180"/>
      <c r="F4832" s="236"/>
      <c r="G4832" s="236"/>
      <c r="H4832" s="236"/>
      <c r="I4832" s="73"/>
      <c r="J4832" s="191"/>
      <c r="K4832" s="207"/>
      <c r="L4832" s="59"/>
    </row>
    <row r="4833" spans="1:12">
      <c r="A4833" s="23"/>
      <c r="B4833" s="14"/>
      <c r="C4833" s="180"/>
      <c r="D4833" s="180"/>
      <c r="E4833" s="180"/>
      <c r="F4833" s="236"/>
      <c r="G4833" s="236"/>
      <c r="H4833" s="236"/>
      <c r="I4833" s="73"/>
      <c r="J4833" s="191"/>
      <c r="K4833" s="207"/>
      <c r="L4833" s="59"/>
    </row>
    <row r="4834" spans="1:12">
      <c r="A4834" s="36"/>
      <c r="B4834" s="37"/>
      <c r="C4834" s="179"/>
      <c r="D4834" s="179"/>
      <c r="E4834" s="179"/>
      <c r="F4834" s="235"/>
      <c r="G4834" s="235"/>
      <c r="H4834" s="235"/>
      <c r="I4834" s="79"/>
      <c r="J4834" s="185"/>
      <c r="K4834" s="216"/>
      <c r="L4834" s="59"/>
    </row>
    <row r="4835" spans="1:12">
      <c r="A4835" s="23"/>
      <c r="B4835" s="14"/>
      <c r="C4835" s="180"/>
      <c r="D4835" s="180"/>
      <c r="E4835" s="180"/>
      <c r="F4835" s="236"/>
      <c r="G4835" s="236"/>
      <c r="H4835" s="236"/>
      <c r="I4835" s="73"/>
      <c r="J4835" s="191"/>
      <c r="K4835" s="207"/>
      <c r="L4835" s="59"/>
    </row>
    <row r="4836" spans="1:12">
      <c r="A4836" s="36"/>
      <c r="B4836" s="37"/>
      <c r="C4836" s="179"/>
      <c r="D4836" s="179"/>
      <c r="E4836" s="179"/>
      <c r="F4836" s="235"/>
      <c r="G4836" s="235"/>
      <c r="H4836" s="235"/>
      <c r="I4836" s="79"/>
      <c r="J4836" s="185"/>
      <c r="K4836" s="216"/>
      <c r="L4836" s="59"/>
    </row>
    <row r="4837" spans="1:12">
      <c r="A4837" s="36"/>
      <c r="B4837" s="37"/>
      <c r="C4837" s="179"/>
      <c r="D4837" s="179"/>
      <c r="E4837" s="179"/>
      <c r="F4837" s="235"/>
      <c r="G4837" s="235"/>
      <c r="H4837" s="235"/>
      <c r="I4837" s="79"/>
      <c r="J4837" s="185"/>
      <c r="K4837" s="216"/>
      <c r="L4837" s="59"/>
    </row>
    <row r="4838" spans="1:12">
      <c r="A4838" s="36"/>
      <c r="B4838" s="37"/>
      <c r="C4838" s="179"/>
      <c r="D4838" s="179"/>
      <c r="E4838" s="179"/>
      <c r="F4838" s="235"/>
      <c r="G4838" s="235"/>
      <c r="H4838" s="235"/>
      <c r="I4838" s="79"/>
      <c r="J4838" s="185"/>
      <c r="K4838" s="216"/>
      <c r="L4838" s="59"/>
    </row>
    <row r="4839" spans="1:12">
      <c r="A4839" s="36"/>
      <c r="B4839" s="37"/>
      <c r="C4839" s="179"/>
      <c r="D4839" s="179"/>
      <c r="E4839" s="179"/>
      <c r="F4839" s="235"/>
      <c r="G4839" s="235"/>
      <c r="H4839" s="235"/>
      <c r="I4839" s="79"/>
      <c r="J4839" s="185"/>
      <c r="K4839" s="216"/>
      <c r="L4839" s="59"/>
    </row>
    <row r="4840" spans="1:12">
      <c r="A4840" s="36"/>
      <c r="B4840" s="37"/>
      <c r="C4840" s="179"/>
      <c r="D4840" s="179"/>
      <c r="E4840" s="179"/>
      <c r="F4840" s="235"/>
      <c r="G4840" s="235"/>
      <c r="H4840" s="235"/>
      <c r="I4840" s="79"/>
      <c r="J4840" s="185"/>
      <c r="K4840" s="216"/>
      <c r="L4840" s="59"/>
    </row>
    <row r="4841" spans="1:12">
      <c r="A4841" s="23"/>
      <c r="B4841" s="14"/>
      <c r="C4841" s="180"/>
      <c r="D4841" s="180"/>
      <c r="E4841" s="180"/>
      <c r="F4841" s="236"/>
      <c r="G4841" s="236"/>
      <c r="H4841" s="236"/>
      <c r="I4841" s="73"/>
      <c r="J4841" s="191"/>
      <c r="K4841" s="207"/>
      <c r="L4841" s="59"/>
    </row>
    <row r="4842" spans="1:12">
      <c r="A4842" s="36"/>
      <c r="B4842" s="37"/>
      <c r="C4842" s="179"/>
      <c r="D4842" s="179"/>
      <c r="E4842" s="179"/>
      <c r="F4842" s="235"/>
      <c r="G4842" s="235"/>
      <c r="H4842" s="235"/>
      <c r="I4842" s="79"/>
      <c r="J4842" s="185"/>
      <c r="K4842" s="216"/>
      <c r="L4842" s="59"/>
    </row>
    <row r="4843" spans="1:12">
      <c r="A4843" s="36"/>
      <c r="B4843" s="37"/>
      <c r="C4843" s="179"/>
      <c r="D4843" s="179"/>
      <c r="E4843" s="179"/>
      <c r="F4843" s="235"/>
      <c r="G4843" s="235"/>
      <c r="H4843" s="235"/>
      <c r="I4843" s="79"/>
      <c r="J4843" s="185"/>
      <c r="K4843" s="216"/>
      <c r="L4843" s="59"/>
    </row>
    <row r="4844" spans="1:12">
      <c r="A4844" s="36"/>
      <c r="B4844" s="37"/>
      <c r="C4844" s="179"/>
      <c r="D4844" s="179"/>
      <c r="E4844" s="179"/>
      <c r="F4844" s="235"/>
      <c r="G4844" s="235"/>
      <c r="H4844" s="235"/>
      <c r="I4844" s="79"/>
      <c r="J4844" s="185"/>
      <c r="K4844" s="216"/>
      <c r="L4844" s="59"/>
    </row>
    <row r="4845" spans="1:12">
      <c r="A4845" s="36"/>
      <c r="B4845" s="37"/>
      <c r="C4845" s="179"/>
      <c r="D4845" s="179"/>
      <c r="E4845" s="179"/>
      <c r="F4845" s="235"/>
      <c r="G4845" s="235"/>
      <c r="H4845" s="235"/>
      <c r="I4845" s="79"/>
      <c r="J4845" s="185"/>
      <c r="K4845" s="216"/>
      <c r="L4845" s="59"/>
    </row>
    <row r="4846" spans="1:12">
      <c r="A4846" s="36"/>
      <c r="B4846" s="37"/>
      <c r="C4846" s="179"/>
      <c r="D4846" s="179"/>
      <c r="E4846" s="179"/>
      <c r="F4846" s="235"/>
      <c r="G4846" s="235"/>
      <c r="H4846" s="235"/>
      <c r="I4846" s="79"/>
      <c r="J4846" s="185"/>
      <c r="K4846" s="216"/>
      <c r="L4846" s="59"/>
    </row>
    <row r="4847" spans="1:12">
      <c r="A4847" s="36"/>
      <c r="B4847" s="37"/>
      <c r="C4847" s="179"/>
      <c r="D4847" s="179"/>
      <c r="E4847" s="179"/>
      <c r="F4847" s="235"/>
      <c r="G4847" s="235"/>
      <c r="H4847" s="235"/>
      <c r="I4847" s="79"/>
      <c r="J4847" s="185"/>
      <c r="K4847" s="216"/>
      <c r="L4847" s="59"/>
    </row>
    <row r="4848" spans="1:12">
      <c r="A4848" s="36"/>
      <c r="B4848" s="37"/>
      <c r="C4848" s="179"/>
      <c r="D4848" s="179"/>
      <c r="E4848" s="179"/>
      <c r="F4848" s="235"/>
      <c r="G4848" s="235"/>
      <c r="H4848" s="235"/>
      <c r="I4848" s="79"/>
      <c r="J4848" s="185"/>
      <c r="K4848" s="216"/>
      <c r="L4848" s="59"/>
    </row>
    <row r="4849" spans="1:12">
      <c r="A4849" s="36"/>
      <c r="B4849" s="37"/>
      <c r="C4849" s="179"/>
      <c r="D4849" s="179"/>
      <c r="E4849" s="179"/>
      <c r="F4849" s="235"/>
      <c r="G4849" s="235"/>
      <c r="H4849" s="235"/>
      <c r="I4849" s="79"/>
      <c r="J4849" s="185"/>
      <c r="K4849" s="216"/>
      <c r="L4849" s="59"/>
    </row>
    <row r="4850" spans="1:12">
      <c r="A4850" s="36"/>
      <c r="B4850" s="37"/>
      <c r="C4850" s="179"/>
      <c r="D4850" s="179"/>
      <c r="E4850" s="179"/>
      <c r="F4850" s="235"/>
      <c r="G4850" s="235"/>
      <c r="H4850" s="235"/>
      <c r="I4850" s="79"/>
      <c r="J4850" s="185"/>
      <c r="K4850" s="216"/>
      <c r="L4850" s="59"/>
    </row>
    <row r="4851" spans="1:12">
      <c r="A4851" s="23"/>
      <c r="B4851" s="14"/>
      <c r="C4851" s="180"/>
      <c r="D4851" s="180"/>
      <c r="E4851" s="180"/>
      <c r="F4851" s="236"/>
      <c r="G4851" s="236"/>
      <c r="H4851" s="236"/>
      <c r="I4851" s="73"/>
      <c r="J4851" s="191"/>
      <c r="K4851" s="207"/>
      <c r="L4851" s="59"/>
    </row>
    <row r="4852" spans="1:12">
      <c r="A4852" s="36"/>
      <c r="B4852" s="37"/>
      <c r="C4852" s="179"/>
      <c r="D4852" s="179"/>
      <c r="E4852" s="179"/>
      <c r="F4852" s="235"/>
      <c r="G4852" s="235"/>
      <c r="H4852" s="235"/>
      <c r="I4852" s="79"/>
      <c r="J4852" s="185"/>
      <c r="K4852" s="216"/>
      <c r="L4852" s="59"/>
    </row>
    <row r="4853" spans="1:12">
      <c r="A4853" s="23"/>
      <c r="B4853" s="14"/>
      <c r="C4853" s="180"/>
      <c r="D4853" s="180"/>
      <c r="E4853" s="180"/>
      <c r="F4853" s="236"/>
      <c r="G4853" s="236"/>
      <c r="H4853" s="236"/>
      <c r="I4853" s="73"/>
      <c r="J4853" s="191"/>
      <c r="K4853" s="207"/>
      <c r="L4853" s="59"/>
    </row>
    <row r="4854" spans="1:12">
      <c r="A4854" s="36"/>
      <c r="B4854" s="37"/>
      <c r="C4854" s="179"/>
      <c r="D4854" s="179"/>
      <c r="E4854" s="179"/>
      <c r="F4854" s="235"/>
      <c r="G4854" s="235"/>
      <c r="H4854" s="235"/>
      <c r="I4854" s="79"/>
      <c r="J4854" s="185"/>
      <c r="K4854" s="216"/>
      <c r="L4854" s="59"/>
    </row>
    <row r="4855" spans="1:12">
      <c r="A4855" s="23"/>
      <c r="B4855" s="14"/>
      <c r="C4855" s="180"/>
      <c r="D4855" s="180"/>
      <c r="E4855" s="180"/>
      <c r="F4855" s="236"/>
      <c r="G4855" s="236"/>
      <c r="H4855" s="236"/>
      <c r="I4855" s="73"/>
      <c r="J4855" s="191"/>
      <c r="K4855" s="207"/>
      <c r="L4855" s="59"/>
    </row>
    <row r="4856" spans="1:12">
      <c r="A4856" s="36"/>
      <c r="B4856" s="37"/>
      <c r="C4856" s="179"/>
      <c r="D4856" s="179"/>
      <c r="E4856" s="179"/>
      <c r="F4856" s="235"/>
      <c r="G4856" s="235"/>
      <c r="H4856" s="235"/>
      <c r="I4856" s="79"/>
      <c r="J4856" s="185"/>
      <c r="K4856" s="216"/>
      <c r="L4856" s="59"/>
    </row>
    <row r="4857" spans="1:12">
      <c r="A4857" s="36"/>
      <c r="B4857" s="37"/>
      <c r="C4857" s="179"/>
      <c r="D4857" s="179"/>
      <c r="E4857" s="179"/>
      <c r="F4857" s="235"/>
      <c r="G4857" s="235"/>
      <c r="H4857" s="235"/>
      <c r="I4857" s="79"/>
      <c r="J4857" s="185"/>
      <c r="K4857" s="216"/>
      <c r="L4857" s="59"/>
    </row>
    <row r="4858" spans="1:12">
      <c r="A4858" s="36"/>
      <c r="B4858" s="37"/>
      <c r="C4858" s="179"/>
      <c r="D4858" s="179"/>
      <c r="E4858" s="179"/>
      <c r="F4858" s="235"/>
      <c r="G4858" s="235"/>
      <c r="H4858" s="235"/>
      <c r="I4858" s="79"/>
      <c r="J4858" s="185"/>
      <c r="K4858" s="216"/>
      <c r="L4858" s="59"/>
    </row>
    <row r="4859" spans="1:12">
      <c r="A4859" s="36"/>
      <c r="B4859" s="37"/>
      <c r="C4859" s="179"/>
      <c r="D4859" s="179"/>
      <c r="E4859" s="179"/>
      <c r="F4859" s="235"/>
      <c r="G4859" s="235"/>
      <c r="H4859" s="235"/>
      <c r="I4859" s="79"/>
      <c r="J4859" s="185"/>
      <c r="K4859" s="216"/>
      <c r="L4859" s="59"/>
    </row>
    <row r="4860" spans="1:12">
      <c r="A4860" s="36"/>
      <c r="B4860" s="37"/>
      <c r="C4860" s="179"/>
      <c r="D4860" s="179"/>
      <c r="E4860" s="179"/>
      <c r="F4860" s="235"/>
      <c r="G4860" s="235"/>
      <c r="H4860" s="235"/>
      <c r="I4860" s="79"/>
      <c r="J4860" s="185"/>
      <c r="K4860" s="216"/>
      <c r="L4860" s="59"/>
    </row>
    <row r="4861" spans="1:12">
      <c r="A4861" s="36"/>
      <c r="B4861" s="37"/>
      <c r="C4861" s="179"/>
      <c r="D4861" s="179"/>
      <c r="E4861" s="179"/>
      <c r="F4861" s="235"/>
      <c r="G4861" s="235"/>
      <c r="H4861" s="235"/>
      <c r="I4861" s="79"/>
      <c r="J4861" s="185"/>
      <c r="K4861" s="216"/>
      <c r="L4861" s="59"/>
    </row>
    <row r="4862" spans="1:12">
      <c r="A4862" s="36"/>
      <c r="B4862" s="37"/>
      <c r="C4862" s="179"/>
      <c r="D4862" s="179"/>
      <c r="E4862" s="179"/>
      <c r="F4862" s="235"/>
      <c r="G4862" s="235"/>
      <c r="H4862" s="235"/>
      <c r="I4862" s="79"/>
      <c r="J4862" s="185"/>
      <c r="K4862" s="216"/>
      <c r="L4862" s="59"/>
    </row>
    <row r="4863" spans="1:12">
      <c r="A4863" s="36"/>
      <c r="B4863" s="37"/>
      <c r="C4863" s="179"/>
      <c r="D4863" s="179"/>
      <c r="E4863" s="179"/>
      <c r="F4863" s="235"/>
      <c r="G4863" s="235"/>
      <c r="H4863" s="235"/>
      <c r="I4863" s="79"/>
      <c r="J4863" s="185"/>
      <c r="K4863" s="216"/>
      <c r="L4863" s="59"/>
    </row>
    <row r="4864" spans="1:12">
      <c r="A4864" s="36"/>
      <c r="B4864" s="37"/>
      <c r="C4864" s="179"/>
      <c r="D4864" s="179"/>
      <c r="E4864" s="179"/>
      <c r="F4864" s="235"/>
      <c r="G4864" s="235"/>
      <c r="H4864" s="235"/>
      <c r="I4864" s="79"/>
      <c r="J4864" s="185"/>
      <c r="K4864" s="216"/>
      <c r="L4864" s="59"/>
    </row>
    <row r="4865" spans="1:12">
      <c r="A4865" s="36"/>
      <c r="B4865" s="37"/>
      <c r="C4865" s="179"/>
      <c r="D4865" s="179"/>
      <c r="E4865" s="179"/>
      <c r="F4865" s="235"/>
      <c r="G4865" s="235"/>
      <c r="H4865" s="235"/>
      <c r="I4865" s="79"/>
      <c r="J4865" s="185"/>
      <c r="K4865" s="216"/>
      <c r="L4865" s="59"/>
    </row>
    <row r="4866" spans="1:12">
      <c r="A4866" s="36"/>
      <c r="B4866" s="37"/>
      <c r="C4866" s="179"/>
      <c r="D4866" s="179"/>
      <c r="E4866" s="179"/>
      <c r="F4866" s="235"/>
      <c r="G4866" s="235"/>
      <c r="H4866" s="235"/>
      <c r="I4866" s="79"/>
      <c r="J4866" s="185"/>
      <c r="K4866" s="216"/>
      <c r="L4866" s="59"/>
    </row>
    <row r="4867" spans="1:12">
      <c r="A4867" s="20"/>
      <c r="B4867" s="21"/>
      <c r="C4867" s="175"/>
      <c r="D4867" s="175"/>
      <c r="E4867" s="175"/>
      <c r="F4867" s="234"/>
      <c r="G4867" s="234"/>
      <c r="H4867" s="234"/>
      <c r="I4867" s="63"/>
      <c r="J4867" s="190"/>
      <c r="K4867" s="206"/>
      <c r="L4867" s="59"/>
    </row>
    <row r="4868" spans="1:12">
      <c r="A4868" s="36"/>
      <c r="B4868" s="37"/>
      <c r="C4868" s="181"/>
      <c r="D4868" s="181"/>
      <c r="E4868" s="181"/>
      <c r="F4868" s="238"/>
      <c r="G4868" s="238"/>
      <c r="H4868" s="238"/>
      <c r="I4868" s="79"/>
      <c r="J4868" s="185"/>
      <c r="K4868" s="216"/>
      <c r="L4868" s="59"/>
    </row>
    <row r="4869" spans="1:12">
      <c r="A4869" s="20"/>
      <c r="B4869" s="21"/>
      <c r="C4869" s="175"/>
      <c r="D4869" s="175"/>
      <c r="E4869" s="175"/>
      <c r="F4869" s="234"/>
      <c r="G4869" s="234"/>
      <c r="H4869" s="234"/>
      <c r="I4869" s="63"/>
      <c r="J4869" s="190"/>
      <c r="K4869" s="206"/>
      <c r="L4869" s="59"/>
    </row>
    <row r="4870" spans="1:12">
      <c r="A4870" s="36"/>
      <c r="B4870" s="37"/>
      <c r="C4870" s="179"/>
      <c r="D4870" s="179"/>
      <c r="E4870" s="179"/>
      <c r="F4870" s="235"/>
      <c r="G4870" s="235"/>
      <c r="H4870" s="235"/>
      <c r="I4870" s="79"/>
      <c r="J4870" s="185"/>
      <c r="K4870" s="216"/>
      <c r="L4870" s="59"/>
    </row>
    <row r="4871" spans="1:12">
      <c r="A4871" s="36"/>
      <c r="B4871" s="37"/>
      <c r="C4871" s="179"/>
      <c r="D4871" s="179"/>
      <c r="E4871" s="179"/>
      <c r="F4871" s="235"/>
      <c r="G4871" s="235"/>
      <c r="H4871" s="235"/>
      <c r="I4871" s="79"/>
      <c r="J4871" s="185"/>
      <c r="K4871" s="216"/>
      <c r="L4871" s="59"/>
    </row>
    <row r="4872" spans="1:12">
      <c r="A4872" s="36"/>
      <c r="B4872" s="37"/>
      <c r="C4872" s="179"/>
      <c r="D4872" s="179"/>
      <c r="E4872" s="179"/>
      <c r="F4872" s="235"/>
      <c r="G4872" s="235"/>
      <c r="H4872" s="235"/>
      <c r="I4872" s="79"/>
      <c r="J4872" s="185"/>
      <c r="K4872" s="216"/>
      <c r="L4872" s="59"/>
    </row>
    <row r="4873" spans="1:12">
      <c r="A4873" s="36"/>
      <c r="B4873" s="37"/>
      <c r="C4873" s="179"/>
      <c r="D4873" s="179"/>
      <c r="E4873" s="179"/>
      <c r="F4873" s="235"/>
      <c r="G4873" s="235"/>
      <c r="H4873" s="235"/>
      <c r="I4873" s="79"/>
      <c r="J4873" s="185"/>
      <c r="K4873" s="216"/>
      <c r="L4873" s="59"/>
    </row>
    <row r="4874" spans="1:12">
      <c r="A4874" s="36"/>
      <c r="B4874" s="37"/>
      <c r="C4874" s="179"/>
      <c r="D4874" s="179"/>
      <c r="E4874" s="179"/>
      <c r="F4874" s="235"/>
      <c r="G4874" s="235"/>
      <c r="H4874" s="235"/>
      <c r="I4874" s="79"/>
      <c r="J4874" s="185"/>
      <c r="K4874" s="216"/>
      <c r="L4874" s="59"/>
    </row>
    <row r="4875" spans="1:12">
      <c r="A4875" s="36"/>
      <c r="B4875" s="37"/>
      <c r="C4875" s="179"/>
      <c r="D4875" s="179"/>
      <c r="E4875" s="179"/>
      <c r="F4875" s="235"/>
      <c r="G4875" s="235"/>
      <c r="H4875" s="235"/>
      <c r="I4875" s="79"/>
      <c r="J4875" s="185"/>
      <c r="K4875" s="216"/>
      <c r="L4875" s="59"/>
    </row>
    <row r="4876" spans="1:12">
      <c r="A4876" s="20"/>
      <c r="B4876" s="21"/>
      <c r="C4876" s="175"/>
      <c r="D4876" s="175"/>
      <c r="E4876" s="175"/>
      <c r="F4876" s="234"/>
      <c r="G4876" s="234"/>
      <c r="H4876" s="234"/>
      <c r="I4876" s="63"/>
      <c r="J4876" s="190"/>
      <c r="K4876" s="206"/>
      <c r="L4876" s="59"/>
    </row>
    <row r="4877" spans="1:12">
      <c r="A4877" s="36"/>
      <c r="B4877" s="37"/>
      <c r="C4877" s="179"/>
      <c r="D4877" s="179"/>
      <c r="E4877" s="179"/>
      <c r="F4877" s="235"/>
      <c r="G4877" s="235"/>
      <c r="H4877" s="235"/>
      <c r="I4877" s="79"/>
      <c r="J4877" s="185"/>
      <c r="K4877" s="216"/>
      <c r="L4877" s="59"/>
    </row>
    <row r="4878" spans="1:12">
      <c r="A4878" s="36"/>
      <c r="B4878" s="37"/>
      <c r="C4878" s="179"/>
      <c r="D4878" s="179"/>
      <c r="E4878" s="179"/>
      <c r="F4878" s="235"/>
      <c r="G4878" s="235"/>
      <c r="H4878" s="235"/>
      <c r="I4878" s="79"/>
      <c r="J4878" s="185"/>
      <c r="K4878" s="216"/>
      <c r="L4878" s="59"/>
    </row>
    <row r="4879" spans="1:12">
      <c r="A4879" s="36"/>
      <c r="B4879" s="37"/>
      <c r="C4879" s="179"/>
      <c r="D4879" s="179"/>
      <c r="E4879" s="179"/>
      <c r="F4879" s="235"/>
      <c r="G4879" s="235"/>
      <c r="H4879" s="235"/>
      <c r="I4879" s="79"/>
      <c r="J4879" s="185"/>
      <c r="K4879" s="216"/>
      <c r="L4879" s="59"/>
    </row>
    <row r="4880" spans="1:12">
      <c r="A4880" s="36"/>
      <c r="B4880" s="37"/>
      <c r="C4880" s="179"/>
      <c r="D4880" s="179"/>
      <c r="E4880" s="179"/>
      <c r="F4880" s="235"/>
      <c r="G4880" s="235"/>
      <c r="H4880" s="235"/>
      <c r="I4880" s="79"/>
      <c r="J4880" s="185"/>
      <c r="K4880" s="216"/>
      <c r="L4880" s="59"/>
    </row>
    <row r="4881" spans="1:12">
      <c r="A4881" s="36"/>
      <c r="B4881" s="37"/>
      <c r="C4881" s="179"/>
      <c r="D4881" s="179"/>
      <c r="E4881" s="179"/>
      <c r="F4881" s="235"/>
      <c r="G4881" s="235"/>
      <c r="H4881" s="235"/>
      <c r="I4881" s="79"/>
      <c r="J4881" s="185"/>
      <c r="K4881" s="216"/>
      <c r="L4881" s="59"/>
    </row>
    <row r="4882" spans="1:12">
      <c r="A4882" s="36"/>
      <c r="B4882" s="37"/>
      <c r="C4882" s="179"/>
      <c r="D4882" s="179"/>
      <c r="E4882" s="179"/>
      <c r="F4882" s="235"/>
      <c r="G4882" s="235"/>
      <c r="H4882" s="235"/>
      <c r="I4882" s="79"/>
      <c r="J4882" s="185"/>
      <c r="K4882" s="216"/>
      <c r="L4882" s="59"/>
    </row>
    <row r="4883" spans="1:12">
      <c r="A4883" s="36"/>
      <c r="B4883" s="37"/>
      <c r="C4883" s="179"/>
      <c r="D4883" s="179"/>
      <c r="E4883" s="179"/>
      <c r="F4883" s="235"/>
      <c r="G4883" s="235"/>
      <c r="H4883" s="235"/>
      <c r="I4883" s="79"/>
      <c r="J4883" s="185"/>
      <c r="K4883" s="216"/>
      <c r="L4883" s="59"/>
    </row>
    <row r="4884" spans="1:12">
      <c r="A4884" s="36"/>
      <c r="B4884" s="37"/>
      <c r="C4884" s="179"/>
      <c r="D4884" s="179"/>
      <c r="E4884" s="179"/>
      <c r="F4884" s="235"/>
      <c r="G4884" s="235"/>
      <c r="H4884" s="235"/>
      <c r="I4884" s="79"/>
      <c r="J4884" s="185"/>
      <c r="K4884" s="216"/>
      <c r="L4884" s="59"/>
    </row>
    <row r="4885" spans="1:12">
      <c r="A4885" s="36"/>
      <c r="B4885" s="37"/>
      <c r="C4885" s="179"/>
      <c r="D4885" s="179"/>
      <c r="E4885" s="179"/>
      <c r="F4885" s="235"/>
      <c r="G4885" s="235"/>
      <c r="H4885" s="235"/>
      <c r="I4885" s="79"/>
      <c r="J4885" s="185"/>
      <c r="K4885" s="216"/>
      <c r="L4885" s="59"/>
    </row>
    <row r="4886" spans="1:12">
      <c r="A4886" s="21"/>
      <c r="B4886" s="21"/>
      <c r="C4886" s="175"/>
      <c r="D4886" s="175"/>
      <c r="E4886" s="175"/>
      <c r="F4886" s="234"/>
      <c r="G4886" s="234"/>
      <c r="H4886" s="234"/>
      <c r="I4886" s="63"/>
      <c r="J4886" s="190"/>
      <c r="K4886" s="208"/>
      <c r="L4886" s="59"/>
    </row>
    <row r="4887" spans="1:12">
      <c r="A4887" s="36"/>
      <c r="B4887" s="37"/>
      <c r="C4887" s="179"/>
      <c r="D4887" s="179"/>
      <c r="E4887" s="179"/>
      <c r="F4887" s="235"/>
      <c r="G4887" s="235"/>
      <c r="H4887" s="235"/>
      <c r="I4887" s="79"/>
      <c r="J4887" s="185"/>
      <c r="K4887" s="216"/>
      <c r="L4887" s="59"/>
    </row>
    <row r="4888" spans="1:12">
      <c r="A4888" s="21"/>
      <c r="B4888" s="21"/>
      <c r="C4888" s="175"/>
      <c r="D4888" s="175"/>
      <c r="E4888" s="175"/>
      <c r="F4888" s="234"/>
      <c r="G4888" s="234"/>
      <c r="H4888" s="234"/>
      <c r="I4888" s="63"/>
      <c r="J4888" s="190"/>
      <c r="K4888" s="208"/>
      <c r="L4888" s="59"/>
    </row>
    <row r="4889" spans="1:12">
      <c r="A4889" s="36"/>
      <c r="B4889" s="37"/>
      <c r="C4889" s="179"/>
      <c r="D4889" s="179"/>
      <c r="E4889" s="179"/>
      <c r="F4889" s="235"/>
      <c r="G4889" s="235"/>
      <c r="H4889" s="235"/>
      <c r="I4889" s="79"/>
      <c r="J4889" s="185"/>
      <c r="K4889" s="216"/>
      <c r="L4889" s="59"/>
    </row>
    <row r="4890" spans="1:12">
      <c r="A4890" s="36"/>
      <c r="B4890" s="37"/>
      <c r="C4890" s="179"/>
      <c r="D4890" s="179"/>
      <c r="E4890" s="179"/>
      <c r="F4890" s="235"/>
      <c r="G4890" s="235"/>
      <c r="H4890" s="235"/>
      <c r="I4890" s="79"/>
      <c r="J4890" s="185"/>
      <c r="K4890" s="216"/>
      <c r="L4890" s="59"/>
    </row>
    <row r="4891" spans="1:12">
      <c r="A4891" s="36"/>
      <c r="B4891" s="37"/>
      <c r="C4891" s="179"/>
      <c r="D4891" s="179"/>
      <c r="E4891" s="179"/>
      <c r="F4891" s="235"/>
      <c r="G4891" s="235"/>
      <c r="H4891" s="235"/>
      <c r="I4891" s="79"/>
      <c r="J4891" s="185"/>
      <c r="K4891" s="216"/>
      <c r="L4891" s="59"/>
    </row>
    <row r="4892" spans="1:12">
      <c r="A4892" s="36"/>
      <c r="B4892" s="37"/>
      <c r="C4892" s="179"/>
      <c r="D4892" s="179"/>
      <c r="E4892" s="179"/>
      <c r="F4892" s="235"/>
      <c r="G4892" s="235"/>
      <c r="H4892" s="235"/>
      <c r="I4892" s="79"/>
      <c r="J4892" s="185"/>
      <c r="K4892" s="216"/>
      <c r="L4892" s="59"/>
    </row>
    <row r="4893" spans="1:12">
      <c r="A4893" s="21"/>
      <c r="B4893" s="21"/>
      <c r="C4893" s="175"/>
      <c r="D4893" s="175"/>
      <c r="E4893" s="175"/>
      <c r="F4893" s="234"/>
      <c r="G4893" s="234"/>
      <c r="H4893" s="234"/>
      <c r="I4893" s="63"/>
      <c r="J4893" s="190"/>
      <c r="K4893" s="208"/>
      <c r="L4893" s="59"/>
    </row>
    <row r="4894" spans="1:12">
      <c r="A4894" s="36"/>
      <c r="B4894" s="37"/>
      <c r="C4894" s="179"/>
      <c r="D4894" s="179"/>
      <c r="E4894" s="179"/>
      <c r="F4894" s="235"/>
      <c r="G4894" s="235"/>
      <c r="H4894" s="235"/>
      <c r="I4894" s="79"/>
      <c r="J4894" s="185"/>
      <c r="K4894" s="216"/>
      <c r="L4894" s="59"/>
    </row>
    <row r="4895" spans="1:12">
      <c r="A4895" s="36"/>
      <c r="B4895" s="37"/>
      <c r="C4895" s="179"/>
      <c r="D4895" s="179"/>
      <c r="E4895" s="179"/>
      <c r="F4895" s="235"/>
      <c r="G4895" s="235"/>
      <c r="H4895" s="235"/>
      <c r="I4895" s="79"/>
      <c r="J4895" s="185"/>
      <c r="K4895" s="216"/>
      <c r="L4895" s="59"/>
    </row>
    <row r="4896" spans="1:12">
      <c r="A4896" s="36"/>
      <c r="B4896" s="37"/>
      <c r="C4896" s="179"/>
      <c r="D4896" s="179"/>
      <c r="E4896" s="179"/>
      <c r="F4896" s="235"/>
      <c r="G4896" s="235"/>
      <c r="H4896" s="235"/>
      <c r="I4896" s="79"/>
      <c r="J4896" s="185"/>
      <c r="K4896" s="216"/>
      <c r="L4896" s="59"/>
    </row>
    <row r="4897" spans="1:12">
      <c r="A4897" s="36"/>
      <c r="B4897" s="37"/>
      <c r="C4897" s="179"/>
      <c r="D4897" s="179"/>
      <c r="E4897" s="179"/>
      <c r="F4897" s="235"/>
      <c r="G4897" s="235"/>
      <c r="H4897" s="235"/>
      <c r="I4897" s="79"/>
      <c r="J4897" s="185"/>
      <c r="K4897" s="216"/>
      <c r="L4897" s="59"/>
    </row>
    <row r="4898" spans="1:12">
      <c r="A4898" s="36"/>
      <c r="B4898" s="37"/>
      <c r="C4898" s="179"/>
      <c r="D4898" s="179"/>
      <c r="E4898" s="179"/>
      <c r="F4898" s="235"/>
      <c r="G4898" s="235"/>
      <c r="H4898" s="235"/>
      <c r="I4898" s="79"/>
      <c r="J4898" s="185"/>
      <c r="K4898" s="216"/>
      <c r="L4898" s="59"/>
    </row>
    <row r="4899" spans="1:12">
      <c r="A4899" s="23"/>
      <c r="B4899" s="14"/>
      <c r="C4899" s="180"/>
      <c r="D4899" s="180"/>
      <c r="E4899" s="180"/>
      <c r="F4899" s="236"/>
      <c r="G4899" s="236"/>
      <c r="H4899" s="236"/>
      <c r="I4899" s="73"/>
      <c r="J4899" s="191"/>
      <c r="K4899" s="207"/>
      <c r="L4899" s="59"/>
    </row>
    <row r="4900" spans="1:12">
      <c r="A4900" s="36"/>
      <c r="B4900" s="37"/>
      <c r="C4900" s="179"/>
      <c r="D4900" s="179"/>
      <c r="E4900" s="179"/>
      <c r="F4900" s="235"/>
      <c r="G4900" s="235"/>
      <c r="H4900" s="235"/>
      <c r="I4900" s="79"/>
      <c r="J4900" s="185"/>
      <c r="K4900" s="216"/>
      <c r="L4900" s="59"/>
    </row>
    <row r="4901" spans="1:12">
      <c r="A4901" s="23"/>
      <c r="B4901" s="14"/>
      <c r="C4901" s="180"/>
      <c r="D4901" s="180"/>
      <c r="E4901" s="180"/>
      <c r="F4901" s="236"/>
      <c r="G4901" s="236"/>
      <c r="H4901" s="236"/>
      <c r="I4901" s="73"/>
      <c r="J4901" s="191"/>
      <c r="K4901" s="207"/>
      <c r="L4901" s="59"/>
    </row>
    <row r="4902" spans="1:12">
      <c r="A4902" s="36"/>
      <c r="B4902" s="37"/>
      <c r="C4902" s="179"/>
      <c r="D4902" s="179"/>
      <c r="E4902" s="179"/>
      <c r="F4902" s="235"/>
      <c r="G4902" s="235"/>
      <c r="H4902" s="235"/>
      <c r="I4902" s="79"/>
      <c r="J4902" s="185"/>
      <c r="K4902" s="216"/>
      <c r="L4902" s="59"/>
    </row>
    <row r="4903" spans="1:12">
      <c r="A4903" s="36"/>
      <c r="B4903" s="37"/>
      <c r="C4903" s="179"/>
      <c r="D4903" s="179"/>
      <c r="E4903" s="179"/>
      <c r="F4903" s="235"/>
      <c r="G4903" s="235"/>
      <c r="H4903" s="235"/>
      <c r="I4903" s="79"/>
      <c r="J4903" s="185"/>
      <c r="K4903" s="216"/>
      <c r="L4903" s="59"/>
    </row>
    <row r="4904" spans="1:12">
      <c r="A4904" s="36"/>
      <c r="B4904" s="37"/>
      <c r="C4904" s="179"/>
      <c r="D4904" s="179"/>
      <c r="E4904" s="179"/>
      <c r="F4904" s="235"/>
      <c r="G4904" s="235"/>
      <c r="H4904" s="235"/>
      <c r="I4904" s="79"/>
      <c r="J4904" s="185"/>
      <c r="K4904" s="216"/>
      <c r="L4904" s="59"/>
    </row>
    <row r="4905" spans="1:12">
      <c r="A4905" s="36"/>
      <c r="B4905" s="37"/>
      <c r="C4905" s="179"/>
      <c r="D4905" s="179"/>
      <c r="E4905" s="179"/>
      <c r="F4905" s="235"/>
      <c r="G4905" s="235"/>
      <c r="H4905" s="235"/>
      <c r="I4905" s="79"/>
      <c r="J4905" s="185"/>
      <c r="K4905" s="216"/>
      <c r="L4905" s="59"/>
    </row>
    <row r="4906" spans="1:12">
      <c r="A4906" s="36"/>
      <c r="B4906" s="37"/>
      <c r="C4906" s="179"/>
      <c r="D4906" s="179"/>
      <c r="E4906" s="179"/>
      <c r="F4906" s="235"/>
      <c r="G4906" s="235"/>
      <c r="H4906" s="235"/>
      <c r="I4906" s="79"/>
      <c r="J4906" s="185"/>
      <c r="K4906" s="216"/>
      <c r="L4906" s="59"/>
    </row>
    <row r="4907" spans="1:12">
      <c r="A4907" s="36"/>
      <c r="B4907" s="37"/>
      <c r="C4907" s="179"/>
      <c r="D4907" s="179"/>
      <c r="E4907" s="179"/>
      <c r="F4907" s="235"/>
      <c r="G4907" s="235"/>
      <c r="H4907" s="235"/>
      <c r="I4907" s="79"/>
      <c r="J4907" s="185"/>
      <c r="K4907" s="216"/>
      <c r="L4907" s="59"/>
    </row>
    <row r="4908" spans="1:12">
      <c r="A4908" s="36"/>
      <c r="B4908" s="37"/>
      <c r="C4908" s="179"/>
      <c r="D4908" s="179"/>
      <c r="E4908" s="179"/>
      <c r="F4908" s="235"/>
      <c r="G4908" s="235"/>
      <c r="H4908" s="235"/>
      <c r="I4908" s="79"/>
      <c r="J4908" s="185"/>
      <c r="K4908" s="216"/>
      <c r="L4908" s="59"/>
    </row>
    <row r="4909" spans="1:12">
      <c r="A4909" s="36"/>
      <c r="B4909" s="37"/>
      <c r="C4909" s="179"/>
      <c r="D4909" s="179"/>
      <c r="E4909" s="179"/>
      <c r="F4909" s="235"/>
      <c r="G4909" s="235"/>
      <c r="H4909" s="235"/>
      <c r="I4909" s="79"/>
      <c r="J4909" s="185"/>
      <c r="K4909" s="216"/>
      <c r="L4909" s="59"/>
    </row>
    <row r="4910" spans="1:12">
      <c r="A4910" s="36"/>
      <c r="B4910" s="37"/>
      <c r="C4910" s="179"/>
      <c r="D4910" s="179"/>
      <c r="E4910" s="179"/>
      <c r="F4910" s="235"/>
      <c r="G4910" s="235"/>
      <c r="H4910" s="235"/>
      <c r="I4910" s="79"/>
      <c r="J4910" s="185"/>
      <c r="K4910" s="216"/>
      <c r="L4910" s="59"/>
    </row>
    <row r="4911" spans="1:12">
      <c r="A4911" s="36"/>
      <c r="B4911" s="37"/>
      <c r="C4911" s="179"/>
      <c r="D4911" s="179"/>
      <c r="E4911" s="179"/>
      <c r="F4911" s="235"/>
      <c r="G4911" s="235"/>
      <c r="H4911" s="235"/>
      <c r="I4911" s="79"/>
      <c r="J4911" s="185"/>
      <c r="K4911" s="216"/>
      <c r="L4911" s="59"/>
    </row>
    <row r="4912" spans="1:12">
      <c r="A4912" s="21"/>
      <c r="B4912" s="21"/>
      <c r="C4912" s="175"/>
      <c r="D4912" s="175"/>
      <c r="E4912" s="175"/>
      <c r="F4912" s="234"/>
      <c r="G4912" s="234"/>
      <c r="H4912" s="234"/>
      <c r="I4912" s="63"/>
      <c r="J4912" s="190"/>
      <c r="K4912" s="208"/>
      <c r="L4912" s="59"/>
    </row>
    <row r="4913" spans="1:12">
      <c r="A4913" s="36"/>
      <c r="B4913" s="37"/>
      <c r="C4913" s="179"/>
      <c r="D4913" s="179"/>
      <c r="E4913" s="179"/>
      <c r="F4913" s="235"/>
      <c r="G4913" s="235"/>
      <c r="H4913" s="235"/>
      <c r="I4913" s="79"/>
      <c r="J4913" s="185"/>
      <c r="K4913" s="216"/>
      <c r="L4913" s="4"/>
    </row>
    <row r="4914" spans="1:12">
      <c r="A4914" s="36"/>
      <c r="B4914" s="37"/>
      <c r="C4914" s="179"/>
      <c r="D4914" s="179"/>
      <c r="E4914" s="179"/>
      <c r="F4914" s="235"/>
      <c r="G4914" s="235"/>
      <c r="H4914" s="235"/>
      <c r="I4914" s="79"/>
      <c r="J4914" s="185"/>
      <c r="K4914" s="216"/>
      <c r="L4914" s="2"/>
    </row>
    <row r="4915" spans="1:12">
      <c r="A4915" s="21"/>
      <c r="B4915" s="21"/>
      <c r="C4915" s="175"/>
      <c r="D4915" s="175"/>
      <c r="E4915" s="175"/>
      <c r="F4915" s="234"/>
      <c r="G4915" s="234"/>
      <c r="H4915" s="234"/>
      <c r="I4915" s="63"/>
      <c r="J4915" s="190"/>
      <c r="K4915" s="208"/>
      <c r="L4915" s="59"/>
    </row>
    <row r="4916" spans="1:12">
      <c r="A4916" s="36"/>
      <c r="B4916" s="37"/>
      <c r="C4916" s="179"/>
      <c r="D4916" s="179"/>
      <c r="E4916" s="179"/>
      <c r="F4916" s="235"/>
      <c r="G4916" s="235"/>
      <c r="H4916" s="235"/>
      <c r="I4916" s="79"/>
      <c r="J4916" s="185"/>
      <c r="K4916" s="216"/>
      <c r="L4916" s="59"/>
    </row>
    <row r="4917" spans="1:12">
      <c r="A4917" s="36"/>
      <c r="B4917" s="37"/>
      <c r="C4917" s="179"/>
      <c r="D4917" s="179"/>
      <c r="E4917" s="179"/>
      <c r="F4917" s="235"/>
      <c r="G4917" s="235"/>
      <c r="H4917" s="235"/>
      <c r="I4917" s="79"/>
      <c r="J4917" s="185"/>
      <c r="K4917" s="216"/>
      <c r="L4917" s="59"/>
    </row>
    <row r="4918" spans="1:12">
      <c r="A4918" s="36"/>
      <c r="B4918" s="37"/>
      <c r="C4918" s="179"/>
      <c r="D4918" s="179"/>
      <c r="E4918" s="179"/>
      <c r="F4918" s="235"/>
      <c r="G4918" s="235"/>
      <c r="H4918" s="235"/>
      <c r="I4918" s="79"/>
      <c r="J4918" s="185"/>
      <c r="K4918" s="216"/>
      <c r="L4918" s="59"/>
    </row>
    <row r="4919" spans="1:12">
      <c r="A4919" s="36"/>
      <c r="B4919" s="37"/>
      <c r="C4919" s="179"/>
      <c r="D4919" s="179"/>
      <c r="E4919" s="179"/>
      <c r="F4919" s="235"/>
      <c r="G4919" s="235"/>
      <c r="H4919" s="235"/>
      <c r="I4919" s="79"/>
      <c r="J4919" s="185"/>
      <c r="K4919" s="216"/>
      <c r="L4919" s="59"/>
    </row>
    <row r="4920" spans="1:12">
      <c r="A4920" s="36"/>
      <c r="B4920" s="37"/>
      <c r="C4920" s="179"/>
      <c r="D4920" s="179"/>
      <c r="E4920" s="179"/>
      <c r="F4920" s="235"/>
      <c r="G4920" s="235"/>
      <c r="H4920" s="235"/>
      <c r="I4920" s="79"/>
      <c r="J4920" s="185"/>
      <c r="K4920" s="216"/>
      <c r="L4920" s="59"/>
    </row>
    <row r="4921" spans="1:12">
      <c r="A4921" s="36"/>
      <c r="B4921" s="37"/>
      <c r="C4921" s="179"/>
      <c r="D4921" s="179"/>
      <c r="E4921" s="179"/>
      <c r="F4921" s="235"/>
      <c r="G4921" s="235"/>
      <c r="H4921" s="235"/>
      <c r="I4921" s="79"/>
      <c r="J4921" s="185"/>
      <c r="K4921" s="216"/>
      <c r="L4921" s="59"/>
    </row>
    <row r="4922" spans="1:12">
      <c r="A4922" s="36"/>
      <c r="B4922" s="37"/>
      <c r="C4922" s="179"/>
      <c r="D4922" s="179"/>
      <c r="E4922" s="179"/>
      <c r="F4922" s="235"/>
      <c r="G4922" s="235"/>
      <c r="H4922" s="235"/>
      <c r="I4922" s="79"/>
      <c r="J4922" s="185"/>
      <c r="K4922" s="216"/>
      <c r="L4922" s="59"/>
    </row>
    <row r="4923" spans="1:12">
      <c r="A4923" s="36"/>
      <c r="B4923" s="37"/>
      <c r="C4923" s="179"/>
      <c r="D4923" s="179"/>
      <c r="E4923" s="179"/>
      <c r="F4923" s="235"/>
      <c r="G4923" s="235"/>
      <c r="H4923" s="235"/>
      <c r="I4923" s="79"/>
      <c r="J4923" s="185"/>
      <c r="K4923" s="216"/>
      <c r="L4923" s="59"/>
    </row>
    <row r="4924" spans="1:12">
      <c r="A4924" s="36"/>
      <c r="B4924" s="37"/>
      <c r="C4924" s="179"/>
      <c r="D4924" s="179"/>
      <c r="E4924" s="179"/>
      <c r="F4924" s="235"/>
      <c r="G4924" s="235"/>
      <c r="H4924" s="235"/>
      <c r="I4924" s="79"/>
      <c r="J4924" s="185"/>
      <c r="K4924" s="216"/>
      <c r="L4924" s="59"/>
    </row>
    <row r="4925" spans="1:12">
      <c r="A4925" s="36"/>
      <c r="B4925" s="37"/>
      <c r="C4925" s="179"/>
      <c r="D4925" s="179"/>
      <c r="E4925" s="179"/>
      <c r="F4925" s="235"/>
      <c r="G4925" s="235"/>
      <c r="H4925" s="235"/>
      <c r="I4925" s="79"/>
      <c r="J4925" s="185"/>
      <c r="K4925" s="216"/>
      <c r="L4925" s="59"/>
    </row>
    <row r="4926" spans="1:12">
      <c r="A4926" s="36"/>
      <c r="B4926" s="37"/>
      <c r="C4926" s="179"/>
      <c r="D4926" s="179"/>
      <c r="E4926" s="179"/>
      <c r="F4926" s="235"/>
      <c r="G4926" s="235"/>
      <c r="H4926" s="235"/>
      <c r="I4926" s="79"/>
      <c r="J4926" s="185"/>
      <c r="K4926" s="216"/>
      <c r="L4926" s="59"/>
    </row>
    <row r="4927" spans="1:12">
      <c r="A4927" s="36"/>
      <c r="B4927" s="37"/>
      <c r="C4927" s="179"/>
      <c r="D4927" s="179"/>
      <c r="E4927" s="179"/>
      <c r="F4927" s="235"/>
      <c r="G4927" s="235"/>
      <c r="H4927" s="235"/>
      <c r="I4927" s="79"/>
      <c r="J4927" s="185"/>
      <c r="K4927" s="216"/>
      <c r="L4927" s="59"/>
    </row>
    <row r="4928" spans="1:12">
      <c r="A4928" s="36"/>
      <c r="B4928" s="37"/>
      <c r="C4928" s="179"/>
      <c r="D4928" s="179"/>
      <c r="E4928" s="179"/>
      <c r="F4928" s="235"/>
      <c r="G4928" s="235"/>
      <c r="H4928" s="235"/>
      <c r="I4928" s="79"/>
      <c r="J4928" s="185"/>
      <c r="K4928" s="216"/>
      <c r="L4928" s="59"/>
    </row>
    <row r="4929" spans="1:12">
      <c r="A4929" s="36"/>
      <c r="B4929" s="37"/>
      <c r="C4929" s="179"/>
      <c r="D4929" s="179"/>
      <c r="E4929" s="179"/>
      <c r="F4929" s="235"/>
      <c r="G4929" s="235"/>
      <c r="H4929" s="235"/>
      <c r="I4929" s="79"/>
      <c r="J4929" s="185"/>
      <c r="K4929" s="216"/>
      <c r="L4929" s="59"/>
    </row>
    <row r="4930" spans="1:12">
      <c r="A4930" s="36"/>
      <c r="B4930" s="37"/>
      <c r="C4930" s="179"/>
      <c r="D4930" s="179"/>
      <c r="E4930" s="179"/>
      <c r="F4930" s="235"/>
      <c r="G4930" s="235"/>
      <c r="H4930" s="235"/>
      <c r="I4930" s="79"/>
      <c r="J4930" s="185"/>
      <c r="K4930" s="216"/>
      <c r="L4930" s="59"/>
    </row>
    <row r="4931" spans="1:12">
      <c r="A4931" s="21"/>
      <c r="B4931" s="21"/>
      <c r="C4931" s="175"/>
      <c r="D4931" s="175"/>
      <c r="E4931" s="175"/>
      <c r="F4931" s="234"/>
      <c r="G4931" s="234"/>
      <c r="H4931" s="234"/>
      <c r="I4931" s="63"/>
      <c r="J4931" s="190"/>
      <c r="K4931" s="208"/>
      <c r="L4931" s="59"/>
    </row>
    <row r="4932" spans="1:12">
      <c r="A4932" s="36"/>
      <c r="B4932" s="37"/>
      <c r="C4932" s="179"/>
      <c r="D4932" s="179"/>
      <c r="E4932" s="179"/>
      <c r="F4932" s="235"/>
      <c r="G4932" s="235"/>
      <c r="H4932" s="235"/>
      <c r="I4932" s="79"/>
      <c r="J4932" s="185"/>
      <c r="K4932" s="216"/>
      <c r="L4932" s="59"/>
    </row>
    <row r="4933" spans="1:12">
      <c r="A4933" s="36"/>
      <c r="B4933" s="37"/>
      <c r="C4933" s="179"/>
      <c r="D4933" s="179"/>
      <c r="E4933" s="179"/>
      <c r="F4933" s="235"/>
      <c r="G4933" s="235"/>
      <c r="H4933" s="235"/>
      <c r="I4933" s="79"/>
      <c r="J4933" s="185"/>
      <c r="K4933" s="216"/>
      <c r="L4933" s="59"/>
    </row>
    <row r="4934" spans="1:12">
      <c r="A4934" s="21"/>
      <c r="B4934" s="21"/>
      <c r="C4934" s="175"/>
      <c r="D4934" s="175"/>
      <c r="E4934" s="175"/>
      <c r="F4934" s="234"/>
      <c r="G4934" s="234"/>
      <c r="H4934" s="234"/>
      <c r="I4934" s="63"/>
      <c r="J4934" s="190"/>
      <c r="K4934" s="208"/>
      <c r="L4934" s="59"/>
    </row>
    <row r="4935" spans="1:12">
      <c r="A4935" s="36"/>
      <c r="B4935" s="37"/>
      <c r="C4935" s="179"/>
      <c r="D4935" s="179"/>
      <c r="E4935" s="179"/>
      <c r="F4935" s="235"/>
      <c r="G4935" s="235"/>
      <c r="H4935" s="235"/>
      <c r="I4935" s="79"/>
      <c r="J4935" s="185"/>
      <c r="K4935" s="216"/>
      <c r="L4935" s="59"/>
    </row>
    <row r="4936" spans="1:12">
      <c r="A4936" s="36"/>
      <c r="B4936" s="37"/>
      <c r="C4936" s="179"/>
      <c r="D4936" s="179"/>
      <c r="E4936" s="179"/>
      <c r="F4936" s="235"/>
      <c r="G4936" s="235"/>
      <c r="H4936" s="235"/>
      <c r="I4936" s="79"/>
      <c r="J4936" s="185"/>
      <c r="K4936" s="216"/>
      <c r="L4936" s="59"/>
    </row>
    <row r="4937" spans="1:12">
      <c r="A4937" s="21"/>
      <c r="B4937" s="21"/>
      <c r="C4937" s="175"/>
      <c r="D4937" s="175"/>
      <c r="E4937" s="175"/>
      <c r="F4937" s="234"/>
      <c r="G4937" s="234"/>
      <c r="H4937" s="234"/>
      <c r="I4937" s="63"/>
      <c r="J4937" s="190"/>
      <c r="K4937" s="208"/>
      <c r="L4937" s="59"/>
    </row>
    <row r="4938" spans="1:12">
      <c r="A4938" s="36"/>
      <c r="B4938" s="37"/>
      <c r="C4938" s="179"/>
      <c r="D4938" s="179"/>
      <c r="E4938" s="179"/>
      <c r="F4938" s="235"/>
      <c r="G4938" s="235"/>
      <c r="H4938" s="235"/>
      <c r="I4938" s="79"/>
      <c r="J4938" s="185"/>
      <c r="K4938" s="216"/>
      <c r="L4938" s="59"/>
    </row>
    <row r="4939" spans="1:12">
      <c r="A4939" s="36"/>
      <c r="B4939" s="37"/>
      <c r="C4939" s="179"/>
      <c r="D4939" s="179"/>
      <c r="E4939" s="179"/>
      <c r="F4939" s="235"/>
      <c r="G4939" s="235"/>
      <c r="H4939" s="235"/>
      <c r="I4939" s="79"/>
      <c r="J4939" s="195"/>
      <c r="K4939" s="216"/>
      <c r="L4939" s="59"/>
    </row>
    <row r="4940" spans="1:12">
      <c r="A4940" s="36"/>
      <c r="B4940" s="37"/>
      <c r="C4940" s="179"/>
      <c r="D4940" s="179"/>
      <c r="E4940" s="179"/>
      <c r="F4940" s="235"/>
      <c r="G4940" s="235"/>
      <c r="H4940" s="235"/>
      <c r="I4940" s="79"/>
      <c r="J4940" s="195"/>
      <c r="K4940" s="216"/>
      <c r="L4940" s="59"/>
    </row>
    <row r="4941" spans="1:12">
      <c r="A4941" s="36"/>
      <c r="B4941" s="37"/>
      <c r="C4941" s="179"/>
      <c r="D4941" s="179"/>
      <c r="E4941" s="179"/>
      <c r="F4941" s="235"/>
      <c r="G4941" s="235"/>
      <c r="H4941" s="235"/>
      <c r="I4941" s="79"/>
      <c r="J4941" s="185"/>
      <c r="K4941" s="216"/>
      <c r="L4941" s="59"/>
    </row>
    <row r="4942" spans="1:12">
      <c r="A4942" s="36"/>
      <c r="B4942" s="37"/>
      <c r="C4942" s="179"/>
      <c r="D4942" s="179"/>
      <c r="E4942" s="179"/>
      <c r="F4942" s="235"/>
      <c r="G4942" s="235"/>
      <c r="H4942" s="235"/>
      <c r="I4942" s="79"/>
      <c r="J4942" s="185"/>
      <c r="K4942" s="216"/>
      <c r="L4942" s="59"/>
    </row>
    <row r="4943" spans="1:12">
      <c r="A4943" s="36"/>
      <c r="B4943" s="37"/>
      <c r="C4943" s="179"/>
      <c r="D4943" s="179"/>
      <c r="E4943" s="179"/>
      <c r="F4943" s="235"/>
      <c r="G4943" s="235"/>
      <c r="H4943" s="235"/>
      <c r="I4943" s="79"/>
      <c r="J4943" s="185"/>
      <c r="K4943" s="216"/>
      <c r="L4943" s="59"/>
    </row>
    <row r="4944" spans="1:12">
      <c r="A4944" s="36"/>
      <c r="B4944" s="37"/>
      <c r="C4944" s="179"/>
      <c r="D4944" s="179"/>
      <c r="E4944" s="179"/>
      <c r="F4944" s="235"/>
      <c r="G4944" s="235"/>
      <c r="H4944" s="235"/>
      <c r="I4944" s="79"/>
      <c r="J4944" s="185"/>
      <c r="K4944" s="216"/>
      <c r="L4944" s="59"/>
    </row>
    <row r="4945" spans="1:12">
      <c r="A4945" s="36"/>
      <c r="B4945" s="37"/>
      <c r="C4945" s="179"/>
      <c r="D4945" s="179"/>
      <c r="E4945" s="179"/>
      <c r="F4945" s="235"/>
      <c r="G4945" s="235"/>
      <c r="H4945" s="235"/>
      <c r="I4945" s="79"/>
      <c r="J4945" s="195"/>
      <c r="K4945" s="216"/>
      <c r="L4945" s="59"/>
    </row>
    <row r="4946" spans="1:12">
      <c r="A4946" s="36"/>
      <c r="B4946" s="37"/>
      <c r="C4946" s="179"/>
      <c r="D4946" s="179"/>
      <c r="E4946" s="179"/>
      <c r="F4946" s="235"/>
      <c r="G4946" s="235"/>
      <c r="H4946" s="235"/>
      <c r="I4946" s="79"/>
      <c r="J4946" s="185"/>
      <c r="K4946" s="216"/>
      <c r="L4946" s="59"/>
    </row>
    <row r="4947" spans="1:12">
      <c r="A4947" s="36"/>
      <c r="B4947" s="37"/>
      <c r="C4947" s="179"/>
      <c r="D4947" s="179"/>
      <c r="E4947" s="179"/>
      <c r="F4947" s="235"/>
      <c r="G4947" s="235"/>
      <c r="H4947" s="235"/>
      <c r="I4947" s="79"/>
      <c r="J4947" s="185"/>
      <c r="K4947" s="216"/>
      <c r="L4947" s="59"/>
    </row>
    <row r="4948" spans="1:12">
      <c r="A4948" s="36"/>
      <c r="B4948" s="37"/>
      <c r="C4948" s="179"/>
      <c r="D4948" s="179"/>
      <c r="E4948" s="179"/>
      <c r="F4948" s="235"/>
      <c r="G4948" s="235"/>
      <c r="H4948" s="235"/>
      <c r="I4948" s="79"/>
      <c r="J4948" s="185"/>
      <c r="K4948" s="216"/>
      <c r="L4948" s="59"/>
    </row>
    <row r="4949" spans="1:12">
      <c r="A4949" s="36"/>
      <c r="B4949" s="37"/>
      <c r="C4949" s="179"/>
      <c r="D4949" s="179"/>
      <c r="E4949" s="179"/>
      <c r="F4949" s="235"/>
      <c r="G4949" s="235"/>
      <c r="H4949" s="235"/>
      <c r="I4949" s="79"/>
      <c r="J4949" s="185"/>
      <c r="K4949" s="216"/>
      <c r="L4949" s="59"/>
    </row>
    <row r="4950" spans="1:12">
      <c r="A4950" s="36"/>
      <c r="B4950" s="37"/>
      <c r="C4950" s="179"/>
      <c r="D4950" s="179"/>
      <c r="E4950" s="179"/>
      <c r="F4950" s="235"/>
      <c r="G4950" s="235"/>
      <c r="H4950" s="235"/>
      <c r="I4950" s="79"/>
      <c r="J4950" s="185"/>
      <c r="K4950" s="216"/>
      <c r="L4950" s="59"/>
    </row>
    <row r="4951" spans="1:12">
      <c r="A4951" s="36"/>
      <c r="B4951" s="37"/>
      <c r="C4951" s="179"/>
      <c r="D4951" s="179"/>
      <c r="E4951" s="179"/>
      <c r="F4951" s="235"/>
      <c r="G4951" s="235"/>
      <c r="H4951" s="235"/>
      <c r="I4951" s="79"/>
      <c r="J4951" s="185"/>
      <c r="K4951" s="216"/>
      <c r="L4951" s="59"/>
    </row>
    <row r="4952" spans="1:12">
      <c r="A4952" s="36"/>
      <c r="B4952" s="37"/>
      <c r="C4952" s="179"/>
      <c r="D4952" s="179"/>
      <c r="E4952" s="179"/>
      <c r="F4952" s="235"/>
      <c r="G4952" s="235"/>
      <c r="H4952" s="235"/>
      <c r="I4952" s="79"/>
      <c r="J4952" s="185"/>
      <c r="K4952" s="216"/>
      <c r="L4952" s="59"/>
    </row>
    <row r="4953" spans="1:12">
      <c r="A4953" s="36"/>
      <c r="B4953" s="37"/>
      <c r="C4953" s="179"/>
      <c r="D4953" s="179"/>
      <c r="E4953" s="179"/>
      <c r="F4953" s="235"/>
      <c r="G4953" s="235"/>
      <c r="H4953" s="235"/>
      <c r="I4953" s="79"/>
      <c r="J4953" s="185"/>
      <c r="K4953" s="216"/>
      <c r="L4953" s="59"/>
    </row>
    <row r="4954" spans="1:12">
      <c r="A4954" s="36"/>
      <c r="B4954" s="37"/>
      <c r="C4954" s="179"/>
      <c r="D4954" s="179"/>
      <c r="E4954" s="179"/>
      <c r="F4954" s="235"/>
      <c r="G4954" s="235"/>
      <c r="H4954" s="235"/>
      <c r="I4954" s="79"/>
      <c r="J4954" s="185"/>
      <c r="K4954" s="216"/>
      <c r="L4954" s="59"/>
    </row>
    <row r="4955" spans="1:12">
      <c r="A4955" s="36"/>
      <c r="B4955" s="37"/>
      <c r="C4955" s="179"/>
      <c r="D4955" s="179"/>
      <c r="E4955" s="179"/>
      <c r="F4955" s="235"/>
      <c r="G4955" s="235"/>
      <c r="H4955" s="235"/>
      <c r="I4955" s="79"/>
      <c r="J4955" s="195"/>
      <c r="K4955" s="216"/>
      <c r="L4955" s="59"/>
    </row>
    <row r="4956" spans="1:12">
      <c r="A4956" s="36"/>
      <c r="B4956" s="37"/>
      <c r="C4956" s="179"/>
      <c r="D4956" s="179"/>
      <c r="E4956" s="179"/>
      <c r="F4956" s="235"/>
      <c r="G4956" s="235"/>
      <c r="H4956" s="235"/>
      <c r="I4956" s="79"/>
      <c r="J4956" s="195"/>
      <c r="K4956" s="216"/>
      <c r="L4956" s="59"/>
    </row>
    <row r="4957" spans="1:12">
      <c r="A4957" s="36"/>
      <c r="B4957" s="37"/>
      <c r="C4957" s="179"/>
      <c r="D4957" s="179"/>
      <c r="E4957" s="179"/>
      <c r="F4957" s="235"/>
      <c r="G4957" s="235"/>
      <c r="H4957" s="235"/>
      <c r="I4957" s="79"/>
      <c r="J4957" s="195"/>
      <c r="K4957" s="216"/>
      <c r="L4957" s="59"/>
    </row>
    <row r="4958" spans="1:12">
      <c r="A4958" s="36"/>
      <c r="B4958" s="37"/>
      <c r="C4958" s="179"/>
      <c r="D4958" s="179"/>
      <c r="E4958" s="179"/>
      <c r="F4958" s="235"/>
      <c r="G4958" s="235"/>
      <c r="H4958" s="235"/>
      <c r="I4958" s="79"/>
      <c r="J4958" s="195"/>
      <c r="K4958" s="216"/>
      <c r="L4958" s="59"/>
    </row>
    <row r="4959" spans="1:12">
      <c r="A4959" s="36"/>
      <c r="B4959" s="37"/>
      <c r="C4959" s="179"/>
      <c r="D4959" s="179"/>
      <c r="E4959" s="179"/>
      <c r="F4959" s="235"/>
      <c r="G4959" s="235"/>
      <c r="H4959" s="235"/>
      <c r="I4959" s="79"/>
      <c r="J4959" s="195"/>
      <c r="K4959" s="216"/>
      <c r="L4959" s="59"/>
    </row>
    <row r="4960" spans="1:12">
      <c r="A4960" s="36"/>
      <c r="B4960" s="37"/>
      <c r="C4960" s="179"/>
      <c r="D4960" s="179"/>
      <c r="E4960" s="179"/>
      <c r="F4960" s="235"/>
      <c r="G4960" s="235"/>
      <c r="H4960" s="235"/>
      <c r="I4960" s="79"/>
      <c r="J4960" s="185"/>
      <c r="K4960" s="216"/>
      <c r="L4960" s="59"/>
    </row>
    <row r="4961" spans="1:12">
      <c r="A4961" s="36"/>
      <c r="B4961" s="37"/>
      <c r="C4961" s="179"/>
      <c r="D4961" s="179"/>
      <c r="E4961" s="179"/>
      <c r="F4961" s="235"/>
      <c r="G4961" s="235"/>
      <c r="H4961" s="235"/>
      <c r="I4961" s="79"/>
      <c r="J4961" s="185"/>
      <c r="K4961" s="216"/>
      <c r="L4961" s="59"/>
    </row>
    <row r="4962" spans="1:12">
      <c r="A4962" s="36"/>
      <c r="B4962" s="37"/>
      <c r="C4962" s="179"/>
      <c r="D4962" s="179"/>
      <c r="E4962" s="179"/>
      <c r="F4962" s="235"/>
      <c r="G4962" s="235"/>
      <c r="H4962" s="235"/>
      <c r="I4962" s="79"/>
      <c r="J4962" s="185"/>
      <c r="K4962" s="216"/>
      <c r="L4962" s="59"/>
    </row>
    <row r="4963" spans="1:12">
      <c r="A4963" s="36"/>
      <c r="B4963" s="37"/>
      <c r="C4963" s="179"/>
      <c r="D4963" s="179"/>
      <c r="E4963" s="179"/>
      <c r="F4963" s="235"/>
      <c r="G4963" s="235"/>
      <c r="H4963" s="235"/>
      <c r="I4963" s="79"/>
      <c r="J4963" s="185"/>
      <c r="K4963" s="216"/>
      <c r="L4963" s="59"/>
    </row>
    <row r="4964" spans="1:12">
      <c r="A4964" s="36"/>
      <c r="B4964" s="37"/>
      <c r="C4964" s="179"/>
      <c r="D4964" s="179"/>
      <c r="E4964" s="179"/>
      <c r="F4964" s="235"/>
      <c r="G4964" s="235"/>
      <c r="H4964" s="235"/>
      <c r="I4964" s="79"/>
      <c r="J4964" s="185"/>
      <c r="K4964" s="216"/>
      <c r="L4964" s="59"/>
    </row>
    <row r="4965" spans="1:12">
      <c r="A4965" s="36"/>
      <c r="B4965" s="37"/>
      <c r="C4965" s="179"/>
      <c r="D4965" s="179"/>
      <c r="E4965" s="179"/>
      <c r="F4965" s="235"/>
      <c r="G4965" s="235"/>
      <c r="H4965" s="235"/>
      <c r="I4965" s="79"/>
      <c r="J4965" s="185"/>
      <c r="K4965" s="216"/>
      <c r="L4965" s="59"/>
    </row>
    <row r="4966" spans="1:12">
      <c r="A4966" s="36"/>
      <c r="B4966" s="37"/>
      <c r="C4966" s="179"/>
      <c r="D4966" s="179"/>
      <c r="E4966" s="179"/>
      <c r="F4966" s="235"/>
      <c r="G4966" s="235"/>
      <c r="H4966" s="235"/>
      <c r="I4966" s="79"/>
      <c r="J4966" s="185"/>
      <c r="K4966" s="216"/>
      <c r="L4966" s="59"/>
    </row>
    <row r="4967" spans="1:12">
      <c r="A4967" s="36"/>
      <c r="B4967" s="37"/>
      <c r="C4967" s="179"/>
      <c r="D4967" s="179"/>
      <c r="E4967" s="179"/>
      <c r="F4967" s="235"/>
      <c r="G4967" s="235"/>
      <c r="H4967" s="235"/>
      <c r="I4967" s="79"/>
      <c r="J4967" s="185"/>
      <c r="K4967" s="216"/>
      <c r="L4967" s="59"/>
    </row>
    <row r="4968" spans="1:12">
      <c r="A4968" s="36"/>
      <c r="B4968" s="37"/>
      <c r="C4968" s="179"/>
      <c r="D4968" s="179"/>
      <c r="E4968" s="179"/>
      <c r="F4968" s="235"/>
      <c r="G4968" s="235"/>
      <c r="H4968" s="235"/>
      <c r="I4968" s="79"/>
      <c r="J4968" s="185"/>
      <c r="K4968" s="216"/>
      <c r="L4968" s="59"/>
    </row>
    <row r="4969" spans="1:12">
      <c r="A4969" s="36"/>
      <c r="B4969" s="37"/>
      <c r="C4969" s="179"/>
      <c r="D4969" s="179"/>
      <c r="E4969" s="179"/>
      <c r="F4969" s="235"/>
      <c r="G4969" s="235"/>
      <c r="H4969" s="235"/>
      <c r="I4969" s="79"/>
      <c r="J4969" s="185"/>
      <c r="K4969" s="216"/>
      <c r="L4969" s="59"/>
    </row>
    <row r="4970" spans="1:12">
      <c r="A4970" s="36"/>
      <c r="B4970" s="37"/>
      <c r="C4970" s="179"/>
      <c r="D4970" s="179"/>
      <c r="E4970" s="179"/>
      <c r="F4970" s="235"/>
      <c r="G4970" s="235"/>
      <c r="H4970" s="235"/>
      <c r="I4970" s="79"/>
      <c r="J4970" s="185"/>
      <c r="K4970" s="216"/>
      <c r="L4970" s="59"/>
    </row>
    <row r="4971" spans="1:12">
      <c r="A4971" s="36"/>
      <c r="B4971" s="37"/>
      <c r="C4971" s="181"/>
      <c r="D4971" s="181"/>
      <c r="E4971" s="181"/>
      <c r="F4971" s="238"/>
      <c r="G4971" s="238"/>
      <c r="H4971" s="238"/>
      <c r="I4971" s="79"/>
      <c r="J4971" s="185"/>
      <c r="K4971" s="216"/>
      <c r="L4971" s="59"/>
    </row>
    <row r="4972" spans="1:12">
      <c r="A4972" s="36"/>
      <c r="B4972" s="37"/>
      <c r="C4972" s="181"/>
      <c r="D4972" s="181"/>
      <c r="E4972" s="181"/>
      <c r="F4972" s="238"/>
      <c r="G4972" s="238"/>
      <c r="H4972" s="238"/>
      <c r="I4972" s="79"/>
      <c r="J4972" s="185"/>
      <c r="K4972" s="216"/>
      <c r="L4972" s="59"/>
    </row>
    <row r="4973" spans="1:12">
      <c r="A4973" s="36"/>
      <c r="B4973" s="37"/>
      <c r="C4973" s="181"/>
      <c r="D4973" s="181"/>
      <c r="E4973" s="181"/>
      <c r="F4973" s="238"/>
      <c r="G4973" s="238"/>
      <c r="H4973" s="238"/>
      <c r="I4973" s="79"/>
      <c r="J4973" s="185"/>
      <c r="K4973" s="216"/>
      <c r="L4973" s="59"/>
    </row>
    <row r="4974" spans="1:12">
      <c r="A4974" s="36"/>
      <c r="B4974" s="37"/>
      <c r="C4974" s="181"/>
      <c r="D4974" s="181"/>
      <c r="E4974" s="181"/>
      <c r="F4974" s="238"/>
      <c r="G4974" s="238"/>
      <c r="H4974" s="238"/>
      <c r="I4974" s="79"/>
      <c r="J4974" s="185"/>
      <c r="K4974" s="216"/>
      <c r="L4974" s="59"/>
    </row>
    <row r="4975" spans="1:12">
      <c r="A4975" s="36"/>
      <c r="B4975" s="37"/>
      <c r="C4975" s="181"/>
      <c r="D4975" s="181"/>
      <c r="E4975" s="181"/>
      <c r="F4975" s="238"/>
      <c r="G4975" s="238"/>
      <c r="H4975" s="238"/>
      <c r="I4975" s="79"/>
      <c r="J4975" s="185"/>
      <c r="K4975" s="216"/>
      <c r="L4975" s="59"/>
    </row>
    <row r="4976" spans="1:12">
      <c r="A4976" s="36"/>
      <c r="B4976" s="37"/>
      <c r="C4976" s="181"/>
      <c r="D4976" s="181"/>
      <c r="E4976" s="181"/>
      <c r="F4976" s="238"/>
      <c r="G4976" s="238"/>
      <c r="H4976" s="238"/>
      <c r="I4976" s="79"/>
      <c r="J4976" s="185"/>
      <c r="K4976" s="216"/>
      <c r="L4976" s="59"/>
    </row>
    <row r="4977" spans="1:12">
      <c r="A4977" s="36"/>
      <c r="B4977" s="37"/>
      <c r="C4977" s="181"/>
      <c r="D4977" s="181"/>
      <c r="E4977" s="181"/>
      <c r="F4977" s="238"/>
      <c r="G4977" s="238"/>
      <c r="H4977" s="238"/>
      <c r="I4977" s="79"/>
      <c r="J4977" s="185"/>
      <c r="K4977" s="216"/>
      <c r="L4977" s="59"/>
    </row>
    <row r="4978" spans="1:12">
      <c r="A4978" s="36"/>
      <c r="B4978" s="37"/>
      <c r="C4978" s="181"/>
      <c r="D4978" s="181"/>
      <c r="E4978" s="181"/>
      <c r="F4978" s="238"/>
      <c r="G4978" s="238"/>
      <c r="H4978" s="238"/>
      <c r="I4978" s="79"/>
      <c r="J4978" s="185"/>
      <c r="K4978" s="216"/>
      <c r="L4978" s="59"/>
    </row>
    <row r="4979" spans="1:12">
      <c r="A4979" s="21"/>
      <c r="B4979" s="21"/>
      <c r="C4979" s="175"/>
      <c r="D4979" s="175"/>
      <c r="E4979" s="175"/>
      <c r="F4979" s="239"/>
      <c r="G4979" s="239"/>
      <c r="H4979" s="239"/>
      <c r="I4979" s="63"/>
      <c r="J4979" s="190"/>
      <c r="K4979" s="208"/>
      <c r="L4979" s="59"/>
    </row>
    <row r="4980" spans="1:12">
      <c r="A4980" s="36"/>
      <c r="B4980" s="37"/>
      <c r="C4980" s="181"/>
      <c r="D4980" s="181"/>
      <c r="E4980" s="181"/>
      <c r="F4980" s="238"/>
      <c r="G4980" s="238"/>
      <c r="H4980" s="238"/>
      <c r="I4980" s="79"/>
      <c r="J4980" s="185"/>
      <c r="K4980" s="216"/>
      <c r="L4980" s="59"/>
    </row>
    <row r="4981" spans="1:12">
      <c r="A4981" s="36"/>
      <c r="B4981" s="37"/>
      <c r="C4981" s="181"/>
      <c r="D4981" s="181"/>
      <c r="E4981" s="181"/>
      <c r="F4981" s="238"/>
      <c r="G4981" s="238"/>
      <c r="H4981" s="238"/>
      <c r="I4981" s="79"/>
      <c r="J4981" s="185"/>
      <c r="K4981" s="216"/>
      <c r="L4981" s="59"/>
    </row>
    <row r="4982" spans="1:12">
      <c r="A4982" s="36"/>
      <c r="B4982" s="37"/>
      <c r="C4982" s="181"/>
      <c r="D4982" s="181"/>
      <c r="E4982" s="181"/>
      <c r="F4982" s="238"/>
      <c r="G4982" s="238"/>
      <c r="H4982" s="238"/>
      <c r="I4982" s="79"/>
      <c r="J4982" s="185"/>
      <c r="K4982" s="216"/>
      <c r="L4982" s="59"/>
    </row>
    <row r="4983" spans="1:12">
      <c r="A4983" s="21"/>
      <c r="B4983" s="21"/>
      <c r="C4983" s="175"/>
      <c r="D4983" s="175"/>
      <c r="E4983" s="175"/>
      <c r="F4983" s="239"/>
      <c r="G4983" s="239"/>
      <c r="H4983" s="239"/>
      <c r="I4983" s="63"/>
      <c r="J4983" s="190"/>
      <c r="K4983" s="208"/>
      <c r="L4983" s="59"/>
    </row>
    <row r="4984" spans="1:12">
      <c r="A4984" s="36"/>
      <c r="B4984" s="37"/>
      <c r="C4984" s="181"/>
      <c r="D4984" s="181"/>
      <c r="E4984" s="181"/>
      <c r="F4984" s="238"/>
      <c r="G4984" s="238"/>
      <c r="H4984" s="238"/>
      <c r="I4984" s="79"/>
      <c r="J4984" s="185"/>
      <c r="K4984" s="216"/>
      <c r="L4984" s="59"/>
    </row>
    <row r="4985" spans="1:12">
      <c r="A4985" s="21"/>
      <c r="B4985" s="21"/>
      <c r="C4985" s="175"/>
      <c r="D4985" s="175"/>
      <c r="E4985" s="175"/>
      <c r="F4985" s="239"/>
      <c r="G4985" s="239"/>
      <c r="H4985" s="239"/>
      <c r="I4985" s="63"/>
      <c r="J4985" s="190"/>
      <c r="K4985" s="208"/>
      <c r="L4985" s="59"/>
    </row>
    <row r="4986" spans="1:12">
      <c r="A4986" s="36"/>
      <c r="B4986" s="37"/>
      <c r="C4986" s="181"/>
      <c r="D4986" s="181"/>
      <c r="E4986" s="181"/>
      <c r="F4986" s="238"/>
      <c r="G4986" s="238"/>
      <c r="H4986" s="238"/>
      <c r="I4986" s="79"/>
      <c r="J4986" s="185"/>
      <c r="K4986" s="216"/>
      <c r="L4986" s="59"/>
    </row>
    <row r="4987" spans="1:12">
      <c r="A4987" s="36"/>
      <c r="B4987" s="37"/>
      <c r="C4987" s="181"/>
      <c r="D4987" s="181"/>
      <c r="E4987" s="181"/>
      <c r="F4987" s="238"/>
      <c r="G4987" s="238"/>
      <c r="H4987" s="238"/>
      <c r="I4987" s="79"/>
      <c r="J4987" s="185"/>
      <c r="K4987" s="216"/>
      <c r="L4987" s="59"/>
    </row>
    <row r="4988" spans="1:12">
      <c r="A4988" s="21"/>
      <c r="B4988" s="21"/>
      <c r="C4988" s="175"/>
      <c r="D4988" s="175"/>
      <c r="E4988" s="175"/>
      <c r="F4988" s="234"/>
      <c r="G4988" s="234"/>
      <c r="H4988" s="234"/>
      <c r="I4988" s="63"/>
      <c r="J4988" s="190"/>
      <c r="K4988" s="208"/>
      <c r="L4988" s="59"/>
    </row>
    <row r="4989" spans="1:12">
      <c r="A4989" s="36"/>
      <c r="B4989" s="37"/>
      <c r="C4989" s="181"/>
      <c r="D4989" s="181"/>
      <c r="E4989" s="181"/>
      <c r="F4989" s="238"/>
      <c r="G4989" s="238"/>
      <c r="H4989" s="238"/>
      <c r="I4989" s="79"/>
      <c r="J4989" s="185"/>
      <c r="K4989" s="216"/>
      <c r="L4989" s="59"/>
    </row>
    <row r="4990" spans="1:12">
      <c r="A4990" s="36"/>
      <c r="B4990" s="37"/>
      <c r="C4990" s="181"/>
      <c r="D4990" s="181"/>
      <c r="E4990" s="181"/>
      <c r="F4990" s="238"/>
      <c r="G4990" s="238"/>
      <c r="H4990" s="238"/>
      <c r="I4990" s="79"/>
      <c r="J4990" s="185"/>
      <c r="K4990" s="216"/>
      <c r="L4990" s="59"/>
    </row>
    <row r="4991" spans="1:12">
      <c r="A4991" s="36"/>
      <c r="B4991" s="37"/>
      <c r="C4991" s="181"/>
      <c r="D4991" s="181"/>
      <c r="E4991" s="181"/>
      <c r="F4991" s="238"/>
      <c r="G4991" s="238"/>
      <c r="H4991" s="238"/>
      <c r="I4991" s="79"/>
      <c r="J4991" s="185"/>
      <c r="K4991" s="216"/>
      <c r="L4991" s="59"/>
    </row>
    <row r="4992" spans="1:12">
      <c r="A4992" s="36"/>
      <c r="B4992" s="37"/>
      <c r="C4992" s="181"/>
      <c r="D4992" s="181"/>
      <c r="E4992" s="181"/>
      <c r="F4992" s="238"/>
      <c r="G4992" s="238"/>
      <c r="H4992" s="238"/>
      <c r="I4992" s="79"/>
      <c r="J4992" s="185"/>
      <c r="K4992" s="216"/>
      <c r="L4992" s="59"/>
    </row>
    <row r="4993" spans="1:12">
      <c r="A4993" s="36"/>
      <c r="B4993" s="37"/>
      <c r="C4993" s="181"/>
      <c r="D4993" s="181"/>
      <c r="E4993" s="181"/>
      <c r="F4993" s="238"/>
      <c r="G4993" s="238"/>
      <c r="H4993" s="238"/>
      <c r="I4993" s="79"/>
      <c r="J4993" s="185"/>
      <c r="K4993" s="216"/>
      <c r="L4993" s="59"/>
    </row>
    <row r="4994" spans="1:12">
      <c r="A4994" s="36"/>
      <c r="B4994" s="37"/>
      <c r="C4994" s="181"/>
      <c r="D4994" s="181"/>
      <c r="E4994" s="181"/>
      <c r="F4994" s="238"/>
      <c r="G4994" s="238"/>
      <c r="H4994" s="238"/>
      <c r="I4994" s="79"/>
      <c r="J4994" s="185"/>
      <c r="K4994" s="216"/>
      <c r="L4994" s="59"/>
    </row>
    <row r="4995" spans="1:12">
      <c r="A4995" s="36"/>
      <c r="B4995" s="37"/>
      <c r="C4995" s="181"/>
      <c r="D4995" s="181"/>
      <c r="E4995" s="181"/>
      <c r="F4995" s="238"/>
      <c r="G4995" s="238"/>
      <c r="H4995" s="238"/>
      <c r="I4995" s="79"/>
      <c r="J4995" s="185"/>
      <c r="K4995" s="216"/>
      <c r="L4995" s="59"/>
    </row>
    <row r="4996" spans="1:12">
      <c r="A4996" s="36"/>
      <c r="B4996" s="37"/>
      <c r="C4996" s="181"/>
      <c r="D4996" s="181"/>
      <c r="E4996" s="181"/>
      <c r="F4996" s="238"/>
      <c r="G4996" s="238"/>
      <c r="H4996" s="238"/>
      <c r="I4996" s="79"/>
      <c r="J4996" s="185"/>
      <c r="K4996" s="216"/>
      <c r="L4996" s="59"/>
    </row>
    <row r="4997" spans="1:12">
      <c r="A4997" s="36"/>
      <c r="B4997" s="37"/>
      <c r="C4997" s="181"/>
      <c r="D4997" s="181"/>
      <c r="E4997" s="181"/>
      <c r="F4997" s="238"/>
      <c r="G4997" s="238"/>
      <c r="H4997" s="238"/>
      <c r="I4997" s="79"/>
      <c r="J4997" s="185"/>
      <c r="K4997" s="216"/>
      <c r="L4997" s="59"/>
    </row>
    <row r="4998" spans="1:12">
      <c r="A4998" s="36"/>
      <c r="B4998" s="37"/>
      <c r="C4998" s="181"/>
      <c r="D4998" s="181"/>
      <c r="E4998" s="181"/>
      <c r="F4998" s="238"/>
      <c r="G4998" s="238"/>
      <c r="H4998" s="238"/>
      <c r="I4998" s="79"/>
      <c r="J4998" s="185"/>
      <c r="K4998" s="216"/>
      <c r="L4998" s="59"/>
    </row>
    <row r="4999" spans="1:12">
      <c r="A4999" s="36"/>
      <c r="B4999" s="37"/>
      <c r="C4999" s="181"/>
      <c r="D4999" s="181"/>
      <c r="E4999" s="181"/>
      <c r="F4999" s="238"/>
      <c r="G4999" s="238"/>
      <c r="H4999" s="238"/>
      <c r="I4999" s="79"/>
      <c r="J4999" s="185"/>
      <c r="K4999" s="216"/>
      <c r="L4999" s="59"/>
    </row>
    <row r="5000" spans="1:12">
      <c r="A5000" s="36"/>
      <c r="B5000" s="37"/>
      <c r="C5000" s="181"/>
      <c r="D5000" s="181"/>
      <c r="E5000" s="181"/>
      <c r="F5000" s="238"/>
      <c r="G5000" s="238"/>
      <c r="H5000" s="238"/>
      <c r="I5000" s="79"/>
      <c r="J5000" s="185"/>
      <c r="K5000" s="216"/>
      <c r="L5000" s="59"/>
    </row>
    <row r="5001" spans="1:12">
      <c r="A5001" s="36"/>
      <c r="B5001" s="37"/>
      <c r="C5001" s="181"/>
      <c r="D5001" s="181"/>
      <c r="E5001" s="181"/>
      <c r="F5001" s="238"/>
      <c r="G5001" s="238"/>
      <c r="H5001" s="238"/>
      <c r="I5001" s="79"/>
      <c r="J5001" s="185"/>
      <c r="K5001" s="216"/>
      <c r="L5001" s="59"/>
    </row>
    <row r="5002" spans="1:12">
      <c r="A5002" s="36"/>
      <c r="B5002" s="37"/>
      <c r="C5002" s="181"/>
      <c r="D5002" s="181"/>
      <c r="E5002" s="181"/>
      <c r="F5002" s="238"/>
      <c r="G5002" s="238"/>
      <c r="H5002" s="238"/>
      <c r="I5002" s="79"/>
      <c r="J5002" s="185"/>
      <c r="K5002" s="216"/>
      <c r="L5002" s="59"/>
    </row>
    <row r="5003" spans="1:12">
      <c r="A5003" s="36"/>
      <c r="B5003" s="37"/>
      <c r="C5003" s="181"/>
      <c r="D5003" s="181"/>
      <c r="E5003" s="181"/>
      <c r="F5003" s="238"/>
      <c r="G5003" s="238"/>
      <c r="H5003" s="238"/>
      <c r="I5003" s="79"/>
      <c r="J5003" s="185"/>
      <c r="K5003" s="216"/>
      <c r="L5003" s="59"/>
    </row>
    <row r="5004" spans="1:12">
      <c r="A5004" s="36"/>
      <c r="B5004" s="37"/>
      <c r="C5004" s="181"/>
      <c r="D5004" s="181"/>
      <c r="E5004" s="181"/>
      <c r="F5004" s="238"/>
      <c r="G5004" s="238"/>
      <c r="H5004" s="238"/>
      <c r="I5004" s="79"/>
      <c r="J5004" s="185"/>
      <c r="K5004" s="216"/>
      <c r="L5004" s="59"/>
    </row>
    <row r="5005" spans="1:12">
      <c r="A5005" s="36"/>
      <c r="B5005" s="37"/>
      <c r="C5005" s="181"/>
      <c r="D5005" s="181"/>
      <c r="E5005" s="181"/>
      <c r="F5005" s="238"/>
      <c r="G5005" s="238"/>
      <c r="H5005" s="238"/>
      <c r="I5005" s="79"/>
      <c r="J5005" s="185"/>
      <c r="K5005" s="216"/>
      <c r="L5005" s="59"/>
    </row>
    <row r="5006" spans="1:12">
      <c r="A5006" s="36"/>
      <c r="B5006" s="37"/>
      <c r="C5006" s="181"/>
      <c r="D5006" s="181"/>
      <c r="E5006" s="181"/>
      <c r="F5006" s="238"/>
      <c r="G5006" s="238"/>
      <c r="H5006" s="238"/>
      <c r="I5006" s="79"/>
      <c r="J5006" s="185"/>
      <c r="K5006" s="216"/>
      <c r="L5006" s="59"/>
    </row>
    <row r="5007" spans="1:12">
      <c r="A5007" s="36"/>
      <c r="B5007" s="37"/>
      <c r="C5007" s="181"/>
      <c r="D5007" s="181"/>
      <c r="E5007" s="181"/>
      <c r="F5007" s="238"/>
      <c r="G5007" s="238"/>
      <c r="H5007" s="238"/>
      <c r="I5007" s="79"/>
      <c r="J5007" s="185"/>
      <c r="K5007" s="216"/>
      <c r="L5007" s="59"/>
    </row>
    <row r="5008" spans="1:12">
      <c r="A5008" s="36"/>
      <c r="B5008" s="37"/>
      <c r="C5008" s="181"/>
      <c r="D5008" s="181"/>
      <c r="E5008" s="181"/>
      <c r="F5008" s="238"/>
      <c r="G5008" s="238"/>
      <c r="H5008" s="238"/>
      <c r="I5008" s="79"/>
      <c r="J5008" s="185"/>
      <c r="K5008" s="216"/>
      <c r="L5008" s="59"/>
    </row>
    <row r="5009" spans="1:12">
      <c r="A5009" s="36"/>
      <c r="B5009" s="37"/>
      <c r="C5009" s="181"/>
      <c r="D5009" s="181"/>
      <c r="E5009" s="181"/>
      <c r="F5009" s="238"/>
      <c r="G5009" s="238"/>
      <c r="H5009" s="238"/>
      <c r="I5009" s="79"/>
      <c r="J5009" s="185"/>
      <c r="K5009" s="216"/>
      <c r="L5009" s="59"/>
    </row>
    <row r="5010" spans="1:12">
      <c r="A5010" s="36"/>
      <c r="B5010" s="37"/>
      <c r="C5010" s="181"/>
      <c r="D5010" s="181"/>
      <c r="E5010" s="181"/>
      <c r="F5010" s="238"/>
      <c r="G5010" s="238"/>
      <c r="H5010" s="238"/>
      <c r="I5010" s="79"/>
      <c r="J5010" s="185"/>
      <c r="K5010" s="216"/>
      <c r="L5010" s="59"/>
    </row>
    <row r="5011" spans="1:12">
      <c r="A5011" s="36"/>
      <c r="B5011" s="37"/>
      <c r="C5011" s="181"/>
      <c r="D5011" s="181"/>
      <c r="E5011" s="181"/>
      <c r="F5011" s="238"/>
      <c r="G5011" s="238"/>
      <c r="H5011" s="238"/>
      <c r="I5011" s="79"/>
      <c r="J5011" s="185"/>
      <c r="K5011" s="216"/>
      <c r="L5011" s="59"/>
    </row>
    <row r="5012" spans="1:12">
      <c r="A5012" s="36"/>
      <c r="B5012" s="37"/>
      <c r="C5012" s="181"/>
      <c r="D5012" s="181"/>
      <c r="E5012" s="181"/>
      <c r="F5012" s="238"/>
      <c r="G5012" s="238"/>
      <c r="H5012" s="238"/>
      <c r="I5012" s="79"/>
      <c r="J5012" s="185"/>
      <c r="K5012" s="216"/>
      <c r="L5012" s="59"/>
    </row>
    <row r="5013" spans="1:12">
      <c r="A5013" s="36"/>
      <c r="B5013" s="37"/>
      <c r="C5013" s="181"/>
      <c r="D5013" s="181"/>
      <c r="E5013" s="181"/>
      <c r="F5013" s="238"/>
      <c r="G5013" s="238"/>
      <c r="H5013" s="238"/>
      <c r="I5013" s="79"/>
      <c r="J5013" s="185"/>
      <c r="K5013" s="216"/>
      <c r="L5013" s="59"/>
    </row>
    <row r="5014" spans="1:12">
      <c r="A5014" s="36"/>
      <c r="B5014" s="37"/>
      <c r="C5014" s="181"/>
      <c r="D5014" s="181"/>
      <c r="E5014" s="181"/>
      <c r="F5014" s="238"/>
      <c r="G5014" s="238"/>
      <c r="H5014" s="238"/>
      <c r="I5014" s="79"/>
      <c r="J5014" s="185"/>
      <c r="K5014" s="216"/>
      <c r="L5014" s="59"/>
    </row>
    <row r="5015" spans="1:12">
      <c r="A5015" s="36"/>
      <c r="B5015" s="37"/>
      <c r="C5015" s="181"/>
      <c r="D5015" s="181"/>
      <c r="E5015" s="181"/>
      <c r="F5015" s="238"/>
      <c r="G5015" s="238"/>
      <c r="H5015" s="238"/>
      <c r="I5015" s="79"/>
      <c r="J5015" s="185"/>
      <c r="K5015" s="216"/>
      <c r="L5015" s="59"/>
    </row>
    <row r="5016" spans="1:12">
      <c r="A5016" s="36"/>
      <c r="B5016" s="37"/>
      <c r="C5016" s="181"/>
      <c r="D5016" s="181"/>
      <c r="E5016" s="181"/>
      <c r="F5016" s="238"/>
      <c r="G5016" s="238"/>
      <c r="H5016" s="238"/>
      <c r="I5016" s="79"/>
      <c r="J5016" s="185"/>
      <c r="K5016" s="216"/>
      <c r="L5016" s="59"/>
    </row>
    <row r="5017" spans="1:12">
      <c r="A5017" s="21"/>
      <c r="B5017" s="21"/>
      <c r="C5017" s="175"/>
      <c r="D5017" s="175"/>
      <c r="E5017" s="175"/>
      <c r="F5017" s="239"/>
      <c r="G5017" s="239"/>
      <c r="H5017" s="239"/>
      <c r="I5017" s="63"/>
      <c r="J5017" s="190"/>
      <c r="K5017" s="208"/>
      <c r="L5017" s="59"/>
    </row>
    <row r="5018" spans="1:12">
      <c r="A5018" s="36"/>
      <c r="B5018" s="37"/>
      <c r="C5018" s="181"/>
      <c r="D5018" s="181"/>
      <c r="E5018" s="181"/>
      <c r="F5018" s="238"/>
      <c r="G5018" s="238"/>
      <c r="H5018" s="238"/>
      <c r="I5018" s="79"/>
      <c r="J5018" s="185"/>
      <c r="K5018" s="216"/>
      <c r="L5018" s="59"/>
    </row>
    <row r="5019" spans="1:12">
      <c r="A5019" s="36"/>
      <c r="B5019" s="37"/>
      <c r="C5019" s="181"/>
      <c r="D5019" s="181"/>
      <c r="E5019" s="181"/>
      <c r="F5019" s="238"/>
      <c r="G5019" s="238"/>
      <c r="H5019" s="238"/>
      <c r="I5019" s="79"/>
      <c r="J5019" s="185"/>
      <c r="K5019" s="216"/>
      <c r="L5019" s="59"/>
    </row>
    <row r="5020" spans="1:12">
      <c r="A5020" s="36"/>
      <c r="B5020" s="37"/>
      <c r="C5020" s="181"/>
      <c r="D5020" s="181"/>
      <c r="E5020" s="181"/>
      <c r="F5020" s="238"/>
      <c r="G5020" s="238"/>
      <c r="H5020" s="238"/>
      <c r="I5020" s="79"/>
      <c r="J5020" s="185"/>
      <c r="K5020" s="216"/>
      <c r="L5020" s="59"/>
    </row>
    <row r="5021" spans="1:12">
      <c r="A5021" s="21"/>
      <c r="B5021" s="21"/>
      <c r="C5021" s="175"/>
      <c r="D5021" s="175"/>
      <c r="E5021" s="175"/>
      <c r="F5021" s="239"/>
      <c r="G5021" s="239"/>
      <c r="H5021" s="239"/>
      <c r="I5021" s="63"/>
      <c r="J5021" s="190"/>
      <c r="K5021" s="208"/>
      <c r="L5021" s="59"/>
    </row>
    <row r="5022" spans="1:12">
      <c r="A5022" s="36"/>
      <c r="B5022" s="37"/>
      <c r="C5022" s="181"/>
      <c r="D5022" s="181"/>
      <c r="E5022" s="181"/>
      <c r="F5022" s="238"/>
      <c r="G5022" s="238"/>
      <c r="H5022" s="238"/>
      <c r="I5022" s="79"/>
      <c r="J5022" s="185"/>
      <c r="K5022" s="216"/>
      <c r="L5022" s="59"/>
    </row>
    <row r="5023" spans="1:12">
      <c r="A5023" s="36"/>
      <c r="B5023" s="37"/>
      <c r="C5023" s="181"/>
      <c r="D5023" s="181"/>
      <c r="E5023" s="181"/>
      <c r="F5023" s="238"/>
      <c r="G5023" s="238"/>
      <c r="H5023" s="238"/>
      <c r="I5023" s="79"/>
      <c r="J5023" s="185"/>
      <c r="K5023" s="216"/>
      <c r="L5023" s="59"/>
    </row>
    <row r="5024" spans="1:12">
      <c r="A5024" s="36"/>
      <c r="B5024" s="37"/>
      <c r="C5024" s="181"/>
      <c r="D5024" s="181"/>
      <c r="E5024" s="181"/>
      <c r="F5024" s="238"/>
      <c r="G5024" s="238"/>
      <c r="H5024" s="238"/>
      <c r="I5024" s="79"/>
      <c r="J5024" s="185"/>
      <c r="K5024" s="216"/>
      <c r="L5024" s="59"/>
    </row>
    <row r="5025" spans="1:12">
      <c r="A5025" s="36"/>
      <c r="B5025" s="37"/>
      <c r="C5025" s="181"/>
      <c r="D5025" s="181"/>
      <c r="E5025" s="181"/>
      <c r="F5025" s="238"/>
      <c r="G5025" s="238"/>
      <c r="H5025" s="238"/>
      <c r="I5025" s="79"/>
      <c r="J5025" s="185"/>
      <c r="K5025" s="216"/>
      <c r="L5025" s="59"/>
    </row>
    <row r="5026" spans="1:12">
      <c r="A5026" s="36"/>
      <c r="B5026" s="37"/>
      <c r="C5026" s="181"/>
      <c r="D5026" s="181"/>
      <c r="E5026" s="181"/>
      <c r="F5026" s="238"/>
      <c r="G5026" s="238"/>
      <c r="H5026" s="238"/>
      <c r="I5026" s="79"/>
      <c r="J5026" s="185"/>
      <c r="K5026" s="216"/>
      <c r="L5026" s="59"/>
    </row>
    <row r="5027" spans="1:12">
      <c r="A5027" s="36"/>
      <c r="B5027" s="37"/>
      <c r="C5027" s="181"/>
      <c r="D5027" s="181"/>
      <c r="E5027" s="181"/>
      <c r="F5027" s="238"/>
      <c r="G5027" s="238"/>
      <c r="H5027" s="238"/>
      <c r="I5027" s="79"/>
      <c r="J5027" s="185"/>
      <c r="K5027" s="216"/>
      <c r="L5027" s="59"/>
    </row>
    <row r="5028" spans="1:12">
      <c r="A5028" s="36"/>
      <c r="B5028" s="37"/>
      <c r="C5028" s="181"/>
      <c r="D5028" s="181"/>
      <c r="E5028" s="181"/>
      <c r="F5028" s="238"/>
      <c r="G5028" s="238"/>
      <c r="H5028" s="238"/>
      <c r="I5028" s="79"/>
      <c r="J5028" s="185"/>
      <c r="K5028" s="216"/>
      <c r="L5028" s="59"/>
    </row>
    <row r="5029" spans="1:12">
      <c r="A5029" s="36"/>
      <c r="B5029" s="37"/>
      <c r="C5029" s="181"/>
      <c r="D5029" s="181"/>
      <c r="E5029" s="181"/>
      <c r="F5029" s="238"/>
      <c r="G5029" s="238"/>
      <c r="H5029" s="238"/>
      <c r="I5029" s="79"/>
      <c r="J5029" s="185"/>
      <c r="K5029" s="216"/>
      <c r="L5029" s="59"/>
    </row>
    <row r="5030" spans="1:12">
      <c r="A5030" s="36"/>
      <c r="B5030" s="37"/>
      <c r="C5030" s="181"/>
      <c r="D5030" s="181"/>
      <c r="E5030" s="181"/>
      <c r="F5030" s="238"/>
      <c r="G5030" s="238"/>
      <c r="H5030" s="238"/>
      <c r="I5030" s="79"/>
      <c r="J5030" s="185"/>
      <c r="K5030" s="216"/>
      <c r="L5030" s="59"/>
    </row>
    <row r="5031" spans="1:12">
      <c r="A5031" s="36"/>
      <c r="B5031" s="37"/>
      <c r="C5031" s="181"/>
      <c r="D5031" s="181"/>
      <c r="E5031" s="181"/>
      <c r="F5031" s="238"/>
      <c r="G5031" s="238"/>
      <c r="H5031" s="238"/>
      <c r="I5031" s="79"/>
      <c r="J5031" s="185"/>
      <c r="K5031" s="216"/>
      <c r="L5031" s="59"/>
    </row>
    <row r="5032" spans="1:12">
      <c r="A5032" s="36"/>
      <c r="B5032" s="37"/>
      <c r="C5032" s="181"/>
      <c r="D5032" s="181"/>
      <c r="E5032" s="181"/>
      <c r="F5032" s="238"/>
      <c r="G5032" s="238"/>
      <c r="H5032" s="238"/>
      <c r="I5032" s="79"/>
      <c r="J5032" s="185"/>
      <c r="K5032" s="216"/>
      <c r="L5032" s="59"/>
    </row>
    <row r="5033" spans="1:12">
      <c r="A5033" s="36"/>
      <c r="B5033" s="37"/>
      <c r="C5033" s="181"/>
      <c r="D5033" s="181"/>
      <c r="E5033" s="181"/>
      <c r="F5033" s="238"/>
      <c r="G5033" s="238"/>
      <c r="H5033" s="238"/>
      <c r="I5033" s="79"/>
      <c r="J5033" s="185"/>
      <c r="K5033" s="216"/>
      <c r="L5033" s="59"/>
    </row>
    <row r="5034" spans="1:12">
      <c r="A5034" s="36"/>
      <c r="B5034" s="37"/>
      <c r="C5034" s="181"/>
      <c r="D5034" s="181"/>
      <c r="E5034" s="181"/>
      <c r="F5034" s="238"/>
      <c r="G5034" s="238"/>
      <c r="H5034" s="238"/>
      <c r="I5034" s="79"/>
      <c r="J5034" s="185"/>
      <c r="K5034" s="216"/>
      <c r="L5034" s="59"/>
    </row>
    <row r="5035" spans="1:12">
      <c r="A5035" s="36"/>
      <c r="B5035" s="37"/>
      <c r="C5035" s="181"/>
      <c r="D5035" s="181"/>
      <c r="E5035" s="181"/>
      <c r="F5035" s="238"/>
      <c r="G5035" s="238"/>
      <c r="H5035" s="238"/>
      <c r="I5035" s="79"/>
      <c r="J5035" s="185"/>
      <c r="K5035" s="216"/>
      <c r="L5035" s="59"/>
    </row>
    <row r="5036" spans="1:12">
      <c r="A5036" s="36"/>
      <c r="B5036" s="37"/>
      <c r="C5036" s="181"/>
      <c r="D5036" s="181"/>
      <c r="E5036" s="181"/>
      <c r="F5036" s="238"/>
      <c r="G5036" s="238"/>
      <c r="H5036" s="238"/>
      <c r="I5036" s="79"/>
      <c r="J5036" s="185"/>
      <c r="K5036" s="216"/>
      <c r="L5036" s="59"/>
    </row>
    <row r="5037" spans="1:12">
      <c r="A5037" s="36"/>
      <c r="B5037" s="37"/>
      <c r="C5037" s="181"/>
      <c r="D5037" s="181"/>
      <c r="E5037" s="181"/>
      <c r="F5037" s="238"/>
      <c r="G5037" s="238"/>
      <c r="H5037" s="238"/>
      <c r="I5037" s="79"/>
      <c r="J5037" s="185"/>
      <c r="K5037" s="216"/>
      <c r="L5037" s="59"/>
    </row>
    <row r="5038" spans="1:12">
      <c r="A5038" s="36"/>
      <c r="B5038" s="37"/>
      <c r="C5038" s="181"/>
      <c r="D5038" s="181"/>
      <c r="E5038" s="181"/>
      <c r="F5038" s="238"/>
      <c r="G5038" s="238"/>
      <c r="H5038" s="238"/>
      <c r="I5038" s="79"/>
      <c r="J5038" s="185"/>
      <c r="K5038" s="216"/>
      <c r="L5038" s="59"/>
    </row>
    <row r="5039" spans="1:12">
      <c r="A5039" s="36"/>
      <c r="B5039" s="37"/>
      <c r="C5039" s="181"/>
      <c r="D5039" s="181"/>
      <c r="E5039" s="181"/>
      <c r="F5039" s="238"/>
      <c r="G5039" s="238"/>
      <c r="H5039" s="238"/>
      <c r="I5039" s="79"/>
      <c r="J5039" s="185"/>
      <c r="K5039" s="216"/>
      <c r="L5039" s="59"/>
    </row>
    <row r="5040" spans="1:12">
      <c r="A5040" s="36"/>
      <c r="B5040" s="37"/>
      <c r="C5040" s="181"/>
      <c r="D5040" s="181"/>
      <c r="E5040" s="181"/>
      <c r="F5040" s="238"/>
      <c r="G5040" s="238"/>
      <c r="H5040" s="238"/>
      <c r="I5040" s="79"/>
      <c r="J5040" s="185"/>
      <c r="K5040" s="216"/>
      <c r="L5040" s="59"/>
    </row>
    <row r="5041" spans="1:12">
      <c r="A5041" s="36"/>
      <c r="B5041" s="37"/>
      <c r="C5041" s="181"/>
      <c r="D5041" s="181"/>
      <c r="E5041" s="181"/>
      <c r="F5041" s="238"/>
      <c r="G5041" s="238"/>
      <c r="H5041" s="238"/>
      <c r="I5041" s="79"/>
      <c r="J5041" s="185"/>
      <c r="K5041" s="216"/>
      <c r="L5041" s="59"/>
    </row>
    <row r="5042" spans="1:12">
      <c r="A5042" s="36"/>
      <c r="B5042" s="37"/>
      <c r="C5042" s="181"/>
      <c r="D5042" s="181"/>
      <c r="E5042" s="181"/>
      <c r="F5042" s="238"/>
      <c r="G5042" s="238"/>
      <c r="H5042" s="238"/>
      <c r="I5042" s="79"/>
      <c r="J5042" s="185"/>
      <c r="K5042" s="216"/>
      <c r="L5042" s="59"/>
    </row>
    <row r="5043" spans="1:12">
      <c r="A5043" s="36"/>
      <c r="B5043" s="37"/>
      <c r="C5043" s="181"/>
      <c r="D5043" s="181"/>
      <c r="E5043" s="181"/>
      <c r="F5043" s="238"/>
      <c r="G5043" s="238"/>
      <c r="H5043" s="238"/>
      <c r="I5043" s="79"/>
      <c r="J5043" s="185"/>
      <c r="K5043" s="216"/>
      <c r="L5043" s="59"/>
    </row>
    <row r="5044" spans="1:12">
      <c r="A5044" s="36"/>
      <c r="B5044" s="37"/>
      <c r="C5044" s="181"/>
      <c r="D5044" s="181"/>
      <c r="E5044" s="181"/>
      <c r="F5044" s="238"/>
      <c r="G5044" s="238"/>
      <c r="H5044" s="238"/>
      <c r="I5044" s="79"/>
      <c r="J5044" s="185"/>
      <c r="K5044" s="216"/>
      <c r="L5044" s="59"/>
    </row>
    <row r="5045" spans="1:12">
      <c r="A5045" s="36"/>
      <c r="B5045" s="37"/>
      <c r="C5045" s="181"/>
      <c r="D5045" s="181"/>
      <c r="E5045" s="181"/>
      <c r="F5045" s="238"/>
      <c r="G5045" s="238"/>
      <c r="H5045" s="238"/>
      <c r="I5045" s="79"/>
      <c r="J5045" s="185"/>
      <c r="K5045" s="216"/>
      <c r="L5045" s="59"/>
    </row>
    <row r="5046" spans="1:12">
      <c r="A5046" s="36"/>
      <c r="B5046" s="37"/>
      <c r="C5046" s="181"/>
      <c r="D5046" s="181"/>
      <c r="E5046" s="181"/>
      <c r="F5046" s="238"/>
      <c r="G5046" s="238"/>
      <c r="H5046" s="238"/>
      <c r="I5046" s="79"/>
      <c r="J5046" s="185"/>
      <c r="K5046" s="216"/>
      <c r="L5046" s="59"/>
    </row>
    <row r="5047" spans="1:12">
      <c r="A5047" s="36"/>
      <c r="B5047" s="37"/>
      <c r="C5047" s="181"/>
      <c r="D5047" s="181"/>
      <c r="E5047" s="181"/>
      <c r="F5047" s="238"/>
      <c r="G5047" s="238"/>
      <c r="H5047" s="238"/>
      <c r="I5047" s="79"/>
      <c r="J5047" s="185"/>
      <c r="K5047" s="216"/>
      <c r="L5047" s="59"/>
    </row>
    <row r="5048" spans="1:12">
      <c r="A5048" s="36"/>
      <c r="B5048" s="37"/>
      <c r="C5048" s="181"/>
      <c r="D5048" s="181"/>
      <c r="E5048" s="181"/>
      <c r="F5048" s="238"/>
      <c r="G5048" s="238"/>
      <c r="H5048" s="238"/>
      <c r="I5048" s="79"/>
      <c r="J5048" s="185"/>
      <c r="K5048" s="216"/>
      <c r="L5048" s="59"/>
    </row>
    <row r="5049" spans="1:12">
      <c r="A5049" s="36"/>
      <c r="B5049" s="37"/>
      <c r="C5049" s="181"/>
      <c r="D5049" s="181"/>
      <c r="E5049" s="181"/>
      <c r="F5049" s="238"/>
      <c r="G5049" s="238"/>
      <c r="H5049" s="238"/>
      <c r="I5049" s="79"/>
      <c r="J5049" s="185"/>
      <c r="K5049" s="216"/>
      <c r="L5049" s="59"/>
    </row>
    <row r="5050" spans="1:12">
      <c r="A5050" s="36"/>
      <c r="B5050" s="37"/>
      <c r="C5050" s="181"/>
      <c r="D5050" s="181"/>
      <c r="E5050" s="181"/>
      <c r="F5050" s="238"/>
      <c r="G5050" s="238"/>
      <c r="H5050" s="238"/>
      <c r="I5050" s="79"/>
      <c r="J5050" s="185"/>
      <c r="K5050" s="216"/>
      <c r="L5050" s="59"/>
    </row>
    <row r="5051" spans="1:12">
      <c r="A5051" s="36"/>
      <c r="B5051" s="37"/>
      <c r="C5051" s="181"/>
      <c r="D5051" s="181"/>
      <c r="E5051" s="181"/>
      <c r="F5051" s="238"/>
      <c r="G5051" s="238"/>
      <c r="H5051" s="238"/>
      <c r="I5051" s="79"/>
      <c r="J5051" s="185"/>
      <c r="K5051" s="216"/>
      <c r="L5051" s="59"/>
    </row>
    <row r="5052" spans="1:12">
      <c r="A5052" s="36"/>
      <c r="B5052" s="37"/>
      <c r="C5052" s="181"/>
      <c r="D5052" s="181"/>
      <c r="E5052" s="181"/>
      <c r="F5052" s="238"/>
      <c r="G5052" s="238"/>
      <c r="H5052" s="238"/>
      <c r="I5052" s="79"/>
      <c r="J5052" s="185"/>
      <c r="K5052" s="216"/>
      <c r="L5052" s="59"/>
    </row>
    <row r="5053" spans="1:12">
      <c r="A5053" s="23"/>
      <c r="B5053" s="14"/>
      <c r="C5053" s="182"/>
      <c r="D5053" s="182"/>
      <c r="E5053" s="182"/>
      <c r="F5053" s="240"/>
      <c r="G5053" s="240"/>
      <c r="H5053" s="240"/>
      <c r="I5053" s="73"/>
      <c r="J5053" s="191"/>
      <c r="K5053" s="207"/>
      <c r="L5053" s="59"/>
    </row>
    <row r="5054" spans="1:12">
      <c r="A5054" s="23"/>
      <c r="B5054" s="14"/>
      <c r="C5054" s="182"/>
      <c r="D5054" s="182"/>
      <c r="E5054" s="182"/>
      <c r="F5054" s="240"/>
      <c r="G5054" s="240"/>
      <c r="H5054" s="240"/>
      <c r="I5054" s="73"/>
      <c r="J5054" s="191"/>
      <c r="K5054" s="207"/>
      <c r="L5054" s="59"/>
    </row>
    <row r="5055" spans="1:12">
      <c r="A5055" s="36"/>
      <c r="B5055" s="37"/>
      <c r="C5055" s="181"/>
      <c r="D5055" s="181"/>
      <c r="E5055" s="181"/>
      <c r="F5055" s="238"/>
      <c r="G5055" s="238"/>
      <c r="H5055" s="238"/>
      <c r="I5055" s="79"/>
      <c r="J5055" s="185"/>
      <c r="K5055" s="216"/>
      <c r="L5055" s="59"/>
    </row>
    <row r="5056" spans="1:12">
      <c r="A5056" s="23"/>
      <c r="B5056" s="14"/>
      <c r="C5056" s="182"/>
      <c r="D5056" s="182"/>
      <c r="E5056" s="182"/>
      <c r="F5056" s="240"/>
      <c r="G5056" s="240"/>
      <c r="H5056" s="240"/>
      <c r="I5056" s="73"/>
      <c r="J5056" s="191"/>
      <c r="K5056" s="207"/>
      <c r="L5056" s="59"/>
    </row>
    <row r="5057" spans="1:12">
      <c r="A5057" s="23"/>
      <c r="B5057" s="14"/>
      <c r="C5057" s="182"/>
      <c r="D5057" s="182"/>
      <c r="E5057" s="182"/>
      <c r="F5057" s="240"/>
      <c r="G5057" s="240"/>
      <c r="H5057" s="240"/>
      <c r="I5057" s="73"/>
      <c r="J5057" s="191"/>
      <c r="K5057" s="207"/>
      <c r="L5057" s="59"/>
    </row>
    <row r="5058" spans="1:12">
      <c r="A5058" s="36"/>
      <c r="B5058" s="37"/>
      <c r="C5058" s="181"/>
      <c r="D5058" s="181"/>
      <c r="E5058" s="181"/>
      <c r="F5058" s="238"/>
      <c r="G5058" s="238"/>
      <c r="H5058" s="238"/>
      <c r="I5058" s="79"/>
      <c r="J5058" s="185"/>
      <c r="K5058" s="216"/>
      <c r="L5058" s="59"/>
    </row>
    <row r="5059" spans="1:12">
      <c r="A5059" s="36"/>
      <c r="B5059" s="37"/>
      <c r="C5059" s="181"/>
      <c r="D5059" s="181"/>
      <c r="E5059" s="181"/>
      <c r="F5059" s="238"/>
      <c r="G5059" s="238"/>
      <c r="H5059" s="238"/>
      <c r="I5059" s="79"/>
      <c r="J5059" s="185"/>
      <c r="K5059" s="216"/>
      <c r="L5059" s="59"/>
    </row>
    <row r="5060" spans="1:12">
      <c r="A5060" s="36"/>
      <c r="B5060" s="37"/>
      <c r="C5060" s="181"/>
      <c r="D5060" s="181"/>
      <c r="E5060" s="181"/>
      <c r="F5060" s="238"/>
      <c r="G5060" s="238"/>
      <c r="H5060" s="238"/>
      <c r="I5060" s="79"/>
      <c r="J5060" s="185"/>
      <c r="K5060" s="216"/>
      <c r="L5060" s="59"/>
    </row>
    <row r="5061" spans="1:12">
      <c r="A5061" s="36"/>
      <c r="B5061" s="37"/>
      <c r="C5061" s="181"/>
      <c r="D5061" s="181"/>
      <c r="E5061" s="181"/>
      <c r="F5061" s="238"/>
      <c r="G5061" s="238"/>
      <c r="H5061" s="238"/>
      <c r="I5061" s="79"/>
      <c r="J5061" s="185"/>
      <c r="K5061" s="216"/>
      <c r="L5061" s="4"/>
    </row>
    <row r="5062" spans="1:12">
      <c r="A5062" s="36"/>
      <c r="B5062" s="37"/>
      <c r="C5062" s="181"/>
      <c r="D5062" s="181"/>
      <c r="E5062" s="181"/>
      <c r="F5062" s="238"/>
      <c r="G5062" s="238"/>
      <c r="H5062" s="238"/>
      <c r="I5062" s="79"/>
      <c r="J5062" s="185"/>
      <c r="K5062" s="216"/>
      <c r="L5062" s="2"/>
    </row>
    <row r="5063" spans="1:12">
      <c r="A5063" s="36"/>
      <c r="B5063" s="37"/>
      <c r="C5063" s="181"/>
      <c r="D5063" s="181"/>
      <c r="E5063" s="181"/>
      <c r="F5063" s="238"/>
      <c r="G5063" s="238"/>
      <c r="H5063" s="238"/>
      <c r="I5063" s="79"/>
      <c r="J5063" s="185"/>
      <c r="K5063" s="216"/>
      <c r="L5063" s="59"/>
    </row>
    <row r="5064" spans="1:12">
      <c r="A5064" s="36"/>
      <c r="B5064" s="37"/>
      <c r="C5064" s="181"/>
      <c r="D5064" s="181"/>
      <c r="E5064" s="181"/>
      <c r="F5064" s="238"/>
      <c r="G5064" s="238"/>
      <c r="H5064" s="238"/>
      <c r="I5064" s="79"/>
      <c r="J5064" s="185"/>
      <c r="K5064" s="216"/>
      <c r="L5064" s="57"/>
    </row>
    <row r="5065" spans="1:12">
      <c r="A5065" s="36"/>
      <c r="B5065" s="37"/>
      <c r="C5065" s="181"/>
      <c r="D5065" s="181"/>
      <c r="E5065" s="181"/>
      <c r="F5065" s="238"/>
      <c r="G5065" s="238"/>
      <c r="H5065" s="238"/>
      <c r="I5065" s="79"/>
      <c r="J5065" s="185"/>
      <c r="K5065" s="216"/>
      <c r="L5065" s="57"/>
    </row>
    <row r="5066" spans="1:12">
      <c r="A5066" s="21"/>
      <c r="B5066" s="21"/>
      <c r="C5066" s="175"/>
      <c r="D5066" s="175"/>
      <c r="E5066" s="175"/>
      <c r="F5066" s="239"/>
      <c r="G5066" s="239"/>
      <c r="H5066" s="239"/>
      <c r="I5066" s="63"/>
      <c r="J5066" s="189"/>
      <c r="K5066" s="208"/>
      <c r="L5066" s="57"/>
    </row>
    <row r="5067" spans="1:12">
      <c r="A5067" s="21"/>
      <c r="B5067" s="21"/>
      <c r="C5067" s="175"/>
      <c r="D5067" s="175"/>
      <c r="E5067" s="175"/>
      <c r="F5067" s="239"/>
      <c r="G5067" s="239"/>
      <c r="H5067" s="239"/>
      <c r="I5067" s="63"/>
      <c r="J5067" s="189"/>
      <c r="K5067" s="208"/>
      <c r="L5067" s="57"/>
    </row>
    <row r="5068" spans="1:12">
      <c r="A5068" s="36"/>
      <c r="B5068" s="37"/>
      <c r="C5068" s="181"/>
      <c r="D5068" s="181"/>
      <c r="E5068" s="181"/>
      <c r="F5068" s="238"/>
      <c r="G5068" s="238"/>
      <c r="H5068" s="238"/>
      <c r="I5068" s="79"/>
      <c r="J5068" s="185"/>
      <c r="K5068" s="216"/>
      <c r="L5068" s="57"/>
    </row>
    <row r="5069" spans="1:12">
      <c r="A5069" s="36"/>
      <c r="B5069" s="37"/>
      <c r="C5069" s="181"/>
      <c r="D5069" s="181"/>
      <c r="E5069" s="181"/>
      <c r="F5069" s="238"/>
      <c r="G5069" s="238"/>
      <c r="H5069" s="238"/>
      <c r="I5069" s="79"/>
      <c r="J5069" s="185"/>
      <c r="K5069" s="216"/>
      <c r="L5069" s="57"/>
    </row>
    <row r="5070" spans="1:12">
      <c r="A5070" s="36"/>
      <c r="B5070" s="37"/>
      <c r="C5070" s="181"/>
      <c r="D5070" s="181"/>
      <c r="E5070" s="181"/>
      <c r="F5070" s="238"/>
      <c r="G5070" s="238"/>
      <c r="H5070" s="238"/>
      <c r="I5070" s="79"/>
      <c r="J5070" s="185"/>
      <c r="K5070" s="216"/>
      <c r="L5070" s="57"/>
    </row>
    <row r="5071" spans="1:12">
      <c r="A5071" s="36"/>
      <c r="B5071" s="37"/>
      <c r="C5071" s="181"/>
      <c r="D5071" s="181"/>
      <c r="E5071" s="181"/>
      <c r="F5071" s="238"/>
      <c r="G5071" s="238"/>
      <c r="H5071" s="238"/>
      <c r="I5071" s="79"/>
      <c r="J5071" s="185"/>
      <c r="K5071" s="216"/>
      <c r="L5071" s="57"/>
    </row>
    <row r="5072" spans="1:12">
      <c r="A5072" s="36"/>
      <c r="B5072" s="37"/>
      <c r="C5072" s="181"/>
      <c r="D5072" s="181"/>
      <c r="E5072" s="181"/>
      <c r="F5072" s="238"/>
      <c r="G5072" s="238"/>
      <c r="H5072" s="238"/>
      <c r="I5072" s="79"/>
      <c r="J5072" s="185"/>
      <c r="K5072" s="216"/>
      <c r="L5072" s="57"/>
    </row>
    <row r="5073" spans="1:12">
      <c r="A5073" s="36"/>
      <c r="B5073" s="37"/>
      <c r="C5073" s="181"/>
      <c r="D5073" s="181"/>
      <c r="E5073" s="181"/>
      <c r="F5073" s="238"/>
      <c r="G5073" s="238"/>
      <c r="H5073" s="238"/>
      <c r="I5073" s="79"/>
      <c r="J5073" s="185"/>
      <c r="K5073" s="216"/>
      <c r="L5073" s="57"/>
    </row>
    <row r="5074" spans="1:12">
      <c r="A5074" s="21"/>
      <c r="B5074" s="21"/>
      <c r="C5074" s="175"/>
      <c r="D5074" s="175"/>
      <c r="E5074" s="175"/>
      <c r="F5074" s="239"/>
      <c r="G5074" s="239"/>
      <c r="H5074" s="239"/>
      <c r="I5074" s="63"/>
      <c r="J5074" s="190"/>
      <c r="K5074" s="208"/>
      <c r="L5074" s="57"/>
    </row>
    <row r="5075" spans="1:12">
      <c r="A5075" s="36"/>
      <c r="B5075" s="37"/>
      <c r="C5075" s="181"/>
      <c r="D5075" s="181"/>
      <c r="E5075" s="181"/>
      <c r="F5075" s="238"/>
      <c r="G5075" s="238"/>
      <c r="H5075" s="238"/>
      <c r="I5075" s="79"/>
      <c r="J5075" s="185"/>
      <c r="K5075" s="216"/>
      <c r="L5075" s="57"/>
    </row>
    <row r="5076" spans="1:12">
      <c r="A5076" s="36"/>
      <c r="B5076" s="37"/>
      <c r="C5076" s="181"/>
      <c r="D5076" s="181"/>
      <c r="E5076" s="181"/>
      <c r="F5076" s="238"/>
      <c r="G5076" s="238"/>
      <c r="H5076" s="238"/>
      <c r="I5076" s="79"/>
      <c r="J5076" s="185"/>
      <c r="K5076" s="216"/>
      <c r="L5076" s="57"/>
    </row>
    <row r="5077" spans="1:12">
      <c r="A5077" s="36"/>
      <c r="B5077" s="37"/>
      <c r="C5077" s="181"/>
      <c r="D5077" s="181"/>
      <c r="E5077" s="181"/>
      <c r="F5077" s="238"/>
      <c r="G5077" s="238"/>
      <c r="H5077" s="238"/>
      <c r="I5077" s="79"/>
      <c r="J5077" s="185"/>
      <c r="K5077" s="216"/>
      <c r="L5077" s="57"/>
    </row>
    <row r="5078" spans="1:12">
      <c r="A5078" s="36"/>
      <c r="B5078" s="37"/>
      <c r="C5078" s="181"/>
      <c r="D5078" s="181"/>
      <c r="E5078" s="181"/>
      <c r="F5078" s="238"/>
      <c r="G5078" s="238"/>
      <c r="H5078" s="238"/>
      <c r="I5078" s="79"/>
      <c r="J5078" s="185"/>
      <c r="K5078" s="216"/>
      <c r="L5078" s="57"/>
    </row>
    <row r="5079" spans="1:12">
      <c r="A5079" s="36"/>
      <c r="B5079" s="37"/>
      <c r="C5079" s="181"/>
      <c r="D5079" s="181"/>
      <c r="E5079" s="181"/>
      <c r="F5079" s="238"/>
      <c r="G5079" s="238"/>
      <c r="H5079" s="238"/>
      <c r="I5079" s="79"/>
      <c r="J5079" s="185"/>
      <c r="K5079" s="216"/>
      <c r="L5079" s="57"/>
    </row>
    <row r="5080" spans="1:12">
      <c r="A5080" s="23"/>
      <c r="B5080" s="14"/>
      <c r="C5080" s="182"/>
      <c r="D5080" s="182"/>
      <c r="E5080" s="182"/>
      <c r="F5080" s="240"/>
      <c r="G5080" s="240"/>
      <c r="H5080" s="240"/>
      <c r="I5080" s="73"/>
      <c r="J5080" s="191"/>
      <c r="K5080" s="207"/>
      <c r="L5080" s="57"/>
    </row>
    <row r="5081" spans="1:12">
      <c r="A5081" s="23"/>
      <c r="B5081" s="14"/>
      <c r="C5081" s="182"/>
      <c r="D5081" s="182"/>
      <c r="E5081" s="182"/>
      <c r="F5081" s="240"/>
      <c r="G5081" s="240"/>
      <c r="H5081" s="240"/>
      <c r="I5081" s="73"/>
      <c r="J5081" s="191"/>
      <c r="K5081" s="207"/>
      <c r="L5081" s="57"/>
    </row>
    <row r="5082" spans="1:12">
      <c r="A5082" s="36"/>
      <c r="B5082" s="37"/>
      <c r="C5082" s="181"/>
      <c r="D5082" s="181"/>
      <c r="E5082" s="181"/>
      <c r="F5082" s="238"/>
      <c r="G5082" s="238"/>
      <c r="H5082" s="238"/>
      <c r="I5082" s="79"/>
      <c r="J5082" s="185"/>
      <c r="K5082" s="216"/>
      <c r="L5082" s="57"/>
    </row>
    <row r="5083" spans="1:12">
      <c r="A5083" s="36"/>
      <c r="B5083" s="37"/>
      <c r="C5083" s="181"/>
      <c r="D5083" s="181"/>
      <c r="E5083" s="181"/>
      <c r="F5083" s="238"/>
      <c r="G5083" s="238"/>
      <c r="H5083" s="238"/>
      <c r="I5083" s="79"/>
      <c r="J5083" s="185"/>
      <c r="K5083" s="216"/>
      <c r="L5083" s="57"/>
    </row>
    <row r="5084" spans="1:12">
      <c r="A5084" s="36"/>
      <c r="B5084" s="37"/>
      <c r="C5084" s="181"/>
      <c r="D5084" s="181"/>
      <c r="E5084" s="181"/>
      <c r="F5084" s="238"/>
      <c r="G5084" s="238"/>
      <c r="H5084" s="238"/>
      <c r="I5084" s="79"/>
      <c r="J5084" s="185"/>
      <c r="K5084" s="216"/>
      <c r="L5084" s="57"/>
    </row>
    <row r="5085" spans="1:12">
      <c r="A5085" s="23"/>
      <c r="B5085" s="14"/>
      <c r="C5085" s="182"/>
      <c r="D5085" s="182"/>
      <c r="E5085" s="182"/>
      <c r="F5085" s="240"/>
      <c r="G5085" s="240"/>
      <c r="H5085" s="240"/>
      <c r="I5085" s="73"/>
      <c r="J5085" s="191"/>
      <c r="K5085" s="207"/>
      <c r="L5085" s="57"/>
    </row>
    <row r="5086" spans="1:12">
      <c r="A5086" s="23"/>
      <c r="B5086" s="14"/>
      <c r="C5086" s="182"/>
      <c r="D5086" s="182"/>
      <c r="E5086" s="182"/>
      <c r="F5086" s="240"/>
      <c r="G5086" s="240"/>
      <c r="H5086" s="240"/>
      <c r="I5086" s="73"/>
      <c r="J5086" s="191"/>
      <c r="K5086" s="207"/>
      <c r="L5086" s="57"/>
    </row>
    <row r="5087" spans="1:12">
      <c r="A5087" s="36"/>
      <c r="B5087" s="37"/>
      <c r="C5087" s="181"/>
      <c r="D5087" s="181"/>
      <c r="E5087" s="181"/>
      <c r="F5087" s="238"/>
      <c r="G5087" s="238"/>
      <c r="H5087" s="238"/>
      <c r="I5087" s="79"/>
      <c r="J5087" s="185"/>
      <c r="K5087" s="216"/>
      <c r="L5087" s="57"/>
    </row>
    <row r="5088" spans="1:12">
      <c r="A5088" s="36"/>
      <c r="B5088" s="37"/>
      <c r="C5088" s="181"/>
      <c r="D5088" s="181"/>
      <c r="E5088" s="181"/>
      <c r="F5088" s="238"/>
      <c r="G5088" s="238"/>
      <c r="H5088" s="238"/>
      <c r="I5088" s="79"/>
      <c r="J5088" s="185"/>
      <c r="K5088" s="216"/>
      <c r="L5088" s="57"/>
    </row>
    <row r="5089" spans="1:12">
      <c r="A5089" s="36"/>
      <c r="B5089" s="37"/>
      <c r="C5089" s="181"/>
      <c r="D5089" s="181"/>
      <c r="E5089" s="181"/>
      <c r="F5089" s="238"/>
      <c r="G5089" s="238"/>
      <c r="H5089" s="238"/>
      <c r="I5089" s="79"/>
      <c r="J5089" s="185"/>
      <c r="K5089" s="216"/>
      <c r="L5089" s="57"/>
    </row>
    <row r="5090" spans="1:12">
      <c r="A5090" s="36"/>
      <c r="B5090" s="37"/>
      <c r="C5090" s="181"/>
      <c r="D5090" s="181"/>
      <c r="E5090" s="181"/>
      <c r="F5090" s="238"/>
      <c r="G5090" s="238"/>
      <c r="H5090" s="238"/>
      <c r="I5090" s="79"/>
      <c r="J5090" s="185"/>
      <c r="K5090" s="216"/>
      <c r="L5090" s="57"/>
    </row>
    <row r="5091" spans="1:12">
      <c r="A5091" s="36"/>
      <c r="B5091" s="37"/>
      <c r="C5091" s="181"/>
      <c r="D5091" s="181"/>
      <c r="E5091" s="181"/>
      <c r="F5091" s="238"/>
      <c r="G5091" s="238"/>
      <c r="H5091" s="238"/>
      <c r="I5091" s="79"/>
      <c r="J5091" s="185"/>
      <c r="K5091" s="216"/>
      <c r="L5091" s="57"/>
    </row>
    <row r="5092" spans="1:12">
      <c r="A5092" s="36"/>
      <c r="B5092" s="37"/>
      <c r="C5092" s="181"/>
      <c r="D5092" s="181"/>
      <c r="E5092" s="181"/>
      <c r="F5092" s="238"/>
      <c r="G5092" s="238"/>
      <c r="H5092" s="238"/>
      <c r="I5092" s="79"/>
      <c r="J5092" s="185"/>
      <c r="K5092" s="216"/>
      <c r="L5092" s="57"/>
    </row>
    <row r="5093" spans="1:12">
      <c r="A5093" s="36"/>
      <c r="B5093" s="37"/>
      <c r="C5093" s="181"/>
      <c r="D5093" s="181"/>
      <c r="E5093" s="181"/>
      <c r="F5093" s="238"/>
      <c r="G5093" s="238"/>
      <c r="H5093" s="238"/>
      <c r="I5093" s="79"/>
      <c r="J5093" s="185"/>
      <c r="K5093" s="216"/>
      <c r="L5093" s="86"/>
    </row>
    <row r="5094" spans="1:12">
      <c r="A5094" s="36"/>
      <c r="B5094" s="37"/>
      <c r="C5094" s="181"/>
      <c r="D5094" s="181"/>
      <c r="E5094" s="181"/>
      <c r="F5094" s="238"/>
      <c r="G5094" s="238"/>
      <c r="H5094" s="238"/>
      <c r="I5094" s="79"/>
      <c r="J5094" s="185"/>
      <c r="K5094" s="216"/>
      <c r="L5094" s="86"/>
    </row>
    <row r="5095" spans="1:12">
      <c r="A5095" s="21"/>
      <c r="B5095" s="21"/>
      <c r="C5095" s="175"/>
      <c r="D5095" s="175"/>
      <c r="E5095" s="175"/>
      <c r="F5095" s="239"/>
      <c r="G5095" s="239"/>
      <c r="H5095" s="239"/>
      <c r="I5095" s="63"/>
      <c r="J5095" s="190"/>
      <c r="K5095" s="208"/>
      <c r="L5095" s="57"/>
    </row>
    <row r="5096" spans="1:12">
      <c r="A5096" s="36"/>
      <c r="B5096" s="37"/>
      <c r="C5096" s="181"/>
      <c r="D5096" s="181"/>
      <c r="E5096" s="181"/>
      <c r="F5096" s="238"/>
      <c r="G5096" s="238"/>
      <c r="H5096" s="238"/>
      <c r="I5096" s="79"/>
      <c r="J5096" s="185"/>
      <c r="K5096" s="216"/>
      <c r="L5096" s="57"/>
    </row>
    <row r="5097" spans="1:12">
      <c r="A5097" s="36"/>
      <c r="B5097" s="37"/>
      <c r="C5097" s="181"/>
      <c r="D5097" s="181"/>
      <c r="E5097" s="181"/>
      <c r="F5097" s="238"/>
      <c r="G5097" s="238"/>
      <c r="H5097" s="238"/>
      <c r="I5097" s="79"/>
      <c r="J5097" s="185"/>
      <c r="K5097" s="216"/>
      <c r="L5097" s="57"/>
    </row>
    <row r="5098" spans="1:12">
      <c r="A5098" s="36"/>
      <c r="B5098" s="37"/>
      <c r="C5098" s="181"/>
      <c r="D5098" s="181"/>
      <c r="E5098" s="181"/>
      <c r="F5098" s="238"/>
      <c r="G5098" s="238"/>
      <c r="H5098" s="238"/>
      <c r="I5098" s="79"/>
      <c r="J5098" s="185"/>
      <c r="K5098" s="216"/>
      <c r="L5098" s="57"/>
    </row>
    <row r="5099" spans="1:12">
      <c r="A5099" s="36"/>
      <c r="B5099" s="37"/>
      <c r="C5099" s="181"/>
      <c r="D5099" s="181"/>
      <c r="E5099" s="181"/>
      <c r="F5099" s="238"/>
      <c r="G5099" s="238"/>
      <c r="H5099" s="238"/>
      <c r="I5099" s="79"/>
      <c r="J5099" s="195"/>
      <c r="K5099" s="216"/>
      <c r="L5099" s="57"/>
    </row>
    <row r="5100" spans="1:12">
      <c r="A5100" s="36"/>
      <c r="B5100" s="37"/>
      <c r="C5100" s="181"/>
      <c r="D5100" s="181"/>
      <c r="E5100" s="181"/>
      <c r="F5100" s="238"/>
      <c r="G5100" s="238"/>
      <c r="H5100" s="238"/>
      <c r="I5100" s="79"/>
      <c r="J5100" s="185"/>
      <c r="K5100" s="216"/>
      <c r="L5100" s="57"/>
    </row>
    <row r="5101" spans="1:12">
      <c r="A5101" s="36"/>
      <c r="B5101" s="37"/>
      <c r="C5101" s="181"/>
      <c r="D5101" s="181"/>
      <c r="E5101" s="181"/>
      <c r="F5101" s="238"/>
      <c r="G5101" s="238"/>
      <c r="H5101" s="238"/>
      <c r="I5101" s="79"/>
      <c r="J5101" s="195"/>
      <c r="K5101" s="216"/>
      <c r="L5101" s="57"/>
    </row>
    <row r="5102" spans="1:12">
      <c r="A5102" s="36"/>
      <c r="B5102" s="37"/>
      <c r="C5102" s="181"/>
      <c r="D5102" s="181"/>
      <c r="E5102" s="181"/>
      <c r="F5102" s="238"/>
      <c r="G5102" s="238"/>
      <c r="H5102" s="238"/>
      <c r="I5102" s="79"/>
      <c r="J5102" s="195"/>
      <c r="K5102" s="216"/>
      <c r="L5102" s="57"/>
    </row>
    <row r="5103" spans="1:12">
      <c r="A5103" s="23"/>
      <c r="B5103" s="14"/>
      <c r="C5103" s="182"/>
      <c r="D5103" s="182"/>
      <c r="E5103" s="182"/>
      <c r="F5103" s="240"/>
      <c r="G5103" s="240"/>
      <c r="H5103" s="240"/>
      <c r="I5103" s="73"/>
      <c r="J5103" s="191"/>
      <c r="K5103" s="207"/>
      <c r="L5103" s="57"/>
    </row>
    <row r="5104" spans="1:12">
      <c r="A5104" s="23"/>
      <c r="B5104" s="14"/>
      <c r="C5104" s="182"/>
      <c r="D5104" s="182"/>
      <c r="E5104" s="182"/>
      <c r="F5104" s="240"/>
      <c r="G5104" s="240"/>
      <c r="H5104" s="240"/>
      <c r="I5104" s="73"/>
      <c r="J5104" s="191"/>
      <c r="K5104" s="207"/>
      <c r="L5104" s="57"/>
    </row>
    <row r="5105" spans="1:12">
      <c r="A5105" s="23"/>
      <c r="B5105" s="14"/>
      <c r="C5105" s="182"/>
      <c r="D5105" s="182"/>
      <c r="E5105" s="182"/>
      <c r="F5105" s="240"/>
      <c r="G5105" s="240"/>
      <c r="H5105" s="240"/>
      <c r="I5105" s="73"/>
      <c r="J5105" s="191"/>
      <c r="K5105" s="207"/>
      <c r="L5105" s="57"/>
    </row>
    <row r="5106" spans="1:12">
      <c r="A5106" s="36"/>
      <c r="B5106" s="37"/>
      <c r="C5106" s="181"/>
      <c r="D5106" s="181"/>
      <c r="E5106" s="181"/>
      <c r="F5106" s="238"/>
      <c r="G5106" s="238"/>
      <c r="H5106" s="238"/>
      <c r="I5106" s="79"/>
      <c r="J5106" s="195"/>
      <c r="K5106" s="216"/>
      <c r="L5106" s="57"/>
    </row>
    <row r="5107" spans="1:12">
      <c r="A5107" s="36"/>
      <c r="B5107" s="37"/>
      <c r="C5107" s="181"/>
      <c r="D5107" s="181"/>
      <c r="E5107" s="181"/>
      <c r="F5107" s="238"/>
      <c r="G5107" s="238"/>
      <c r="H5107" s="238"/>
      <c r="I5107" s="79"/>
      <c r="J5107" s="195"/>
      <c r="K5107" s="216"/>
      <c r="L5107" s="57"/>
    </row>
    <row r="5108" spans="1:12">
      <c r="A5108" s="36"/>
      <c r="B5108" s="37"/>
      <c r="C5108" s="181"/>
      <c r="D5108" s="181"/>
      <c r="E5108" s="181"/>
      <c r="F5108" s="238"/>
      <c r="G5108" s="238"/>
      <c r="H5108" s="238"/>
      <c r="I5108" s="79"/>
      <c r="J5108" s="195"/>
      <c r="K5108" s="216"/>
      <c r="L5108" s="57"/>
    </row>
    <row r="5109" spans="1:12">
      <c r="A5109" s="36"/>
      <c r="B5109" s="37"/>
      <c r="C5109" s="181"/>
      <c r="D5109" s="181"/>
      <c r="E5109" s="181"/>
      <c r="F5109" s="238"/>
      <c r="G5109" s="238"/>
      <c r="H5109" s="238"/>
      <c r="I5109" s="79"/>
      <c r="J5109" s="195"/>
      <c r="K5109" s="216"/>
      <c r="L5109" s="57"/>
    </row>
    <row r="5110" spans="1:12">
      <c r="A5110" s="36"/>
      <c r="B5110" s="37"/>
      <c r="C5110" s="181"/>
      <c r="D5110" s="181"/>
      <c r="E5110" s="181"/>
      <c r="F5110" s="238"/>
      <c r="G5110" s="238"/>
      <c r="H5110" s="238"/>
      <c r="I5110" s="79"/>
      <c r="J5110" s="195"/>
      <c r="K5110" s="216"/>
      <c r="L5110" s="57"/>
    </row>
    <row r="5111" spans="1:12">
      <c r="A5111" s="36"/>
      <c r="B5111" s="37"/>
      <c r="C5111" s="181"/>
      <c r="D5111" s="181"/>
      <c r="E5111" s="181"/>
      <c r="F5111" s="238"/>
      <c r="G5111" s="238"/>
      <c r="H5111" s="238"/>
      <c r="I5111" s="79"/>
      <c r="J5111" s="195"/>
      <c r="K5111" s="216"/>
      <c r="L5111" s="57"/>
    </row>
    <row r="5112" spans="1:12">
      <c r="A5112" s="36"/>
      <c r="B5112" s="37"/>
      <c r="C5112" s="181"/>
      <c r="D5112" s="181"/>
      <c r="E5112" s="181"/>
      <c r="F5112" s="238"/>
      <c r="G5112" s="238"/>
      <c r="H5112" s="238"/>
      <c r="I5112" s="79"/>
      <c r="J5112" s="195"/>
      <c r="K5112" s="216"/>
      <c r="L5112" s="57"/>
    </row>
    <row r="5113" spans="1:12">
      <c r="A5113" s="36"/>
      <c r="B5113" s="37"/>
      <c r="C5113" s="181"/>
      <c r="D5113" s="181"/>
      <c r="E5113" s="181"/>
      <c r="F5113" s="238"/>
      <c r="G5113" s="238"/>
      <c r="H5113" s="238"/>
      <c r="I5113" s="79"/>
      <c r="J5113" s="195"/>
      <c r="K5113" s="216"/>
      <c r="L5113" s="57"/>
    </row>
    <row r="5114" spans="1:12">
      <c r="A5114" s="36"/>
      <c r="B5114" s="37"/>
      <c r="C5114" s="181"/>
      <c r="D5114" s="181"/>
      <c r="E5114" s="181"/>
      <c r="F5114" s="238"/>
      <c r="G5114" s="238"/>
      <c r="H5114" s="238"/>
      <c r="I5114" s="79"/>
      <c r="J5114" s="195"/>
      <c r="K5114" s="216"/>
      <c r="L5114" s="57"/>
    </row>
    <row r="5115" spans="1:12">
      <c r="A5115" s="36"/>
      <c r="B5115" s="37"/>
      <c r="C5115" s="181"/>
      <c r="D5115" s="181"/>
      <c r="E5115" s="181"/>
      <c r="F5115" s="238"/>
      <c r="G5115" s="238"/>
      <c r="H5115" s="238"/>
      <c r="I5115" s="79"/>
      <c r="J5115" s="195"/>
      <c r="K5115" s="216"/>
      <c r="L5115" s="57"/>
    </row>
    <row r="5116" spans="1:12">
      <c r="A5116" s="23"/>
      <c r="B5116" s="14"/>
      <c r="C5116" s="182"/>
      <c r="D5116" s="182"/>
      <c r="E5116" s="182"/>
      <c r="F5116" s="240"/>
      <c r="G5116" s="240"/>
      <c r="H5116" s="240"/>
      <c r="I5116" s="73"/>
      <c r="J5116" s="191"/>
      <c r="K5116" s="207"/>
      <c r="L5116" s="57"/>
    </row>
    <row r="5117" spans="1:12">
      <c r="A5117" s="36"/>
      <c r="B5117" s="37"/>
      <c r="C5117" s="181"/>
      <c r="D5117" s="181"/>
      <c r="E5117" s="181"/>
      <c r="F5117" s="238"/>
      <c r="G5117" s="238"/>
      <c r="H5117" s="238"/>
      <c r="I5117" s="79"/>
      <c r="J5117" s="195"/>
      <c r="K5117" s="216"/>
      <c r="L5117" s="57"/>
    </row>
    <row r="5118" spans="1:12">
      <c r="A5118" s="36"/>
      <c r="B5118" s="37"/>
      <c r="C5118" s="181"/>
      <c r="D5118" s="181"/>
      <c r="E5118" s="181"/>
      <c r="F5118" s="238"/>
      <c r="G5118" s="238"/>
      <c r="H5118" s="238"/>
      <c r="I5118" s="79"/>
      <c r="J5118" s="195"/>
      <c r="K5118" s="216"/>
      <c r="L5118" s="57"/>
    </row>
    <row r="5119" spans="1:12">
      <c r="A5119" s="36"/>
      <c r="B5119" s="37"/>
      <c r="C5119" s="181"/>
      <c r="D5119" s="181"/>
      <c r="E5119" s="181"/>
      <c r="F5119" s="238"/>
      <c r="G5119" s="238"/>
      <c r="H5119" s="238"/>
      <c r="I5119" s="79"/>
      <c r="J5119" s="195"/>
      <c r="K5119" s="216"/>
      <c r="L5119" s="57"/>
    </row>
    <row r="5120" spans="1:12">
      <c r="A5120" s="36"/>
      <c r="B5120" s="37"/>
      <c r="C5120" s="181"/>
      <c r="D5120" s="181"/>
      <c r="E5120" s="181"/>
      <c r="F5120" s="238"/>
      <c r="G5120" s="238"/>
      <c r="H5120" s="238"/>
      <c r="I5120" s="79"/>
      <c r="J5120" s="195"/>
      <c r="K5120" s="216"/>
      <c r="L5120" s="57"/>
    </row>
    <row r="5121" spans="1:12">
      <c r="A5121" s="36"/>
      <c r="B5121" s="37"/>
      <c r="C5121" s="181"/>
      <c r="D5121" s="181"/>
      <c r="E5121" s="181"/>
      <c r="F5121" s="238"/>
      <c r="G5121" s="238"/>
      <c r="H5121" s="238"/>
      <c r="I5121" s="79"/>
      <c r="J5121" s="195"/>
      <c r="K5121" s="216"/>
      <c r="L5121" s="57"/>
    </row>
    <row r="5122" spans="1:12">
      <c r="A5122" s="36"/>
      <c r="B5122" s="37"/>
      <c r="C5122" s="181"/>
      <c r="D5122" s="181"/>
      <c r="E5122" s="181"/>
      <c r="F5122" s="238"/>
      <c r="G5122" s="238"/>
      <c r="H5122" s="238"/>
      <c r="I5122" s="79"/>
      <c r="J5122" s="185"/>
      <c r="K5122" s="216"/>
      <c r="L5122" s="57"/>
    </row>
    <row r="5123" spans="1:12">
      <c r="A5123" s="36"/>
      <c r="B5123" s="37"/>
      <c r="C5123" s="181"/>
      <c r="D5123" s="181"/>
      <c r="E5123" s="181"/>
      <c r="F5123" s="238"/>
      <c r="G5123" s="238"/>
      <c r="H5123" s="238"/>
      <c r="I5123" s="79"/>
      <c r="J5123" s="185"/>
      <c r="K5123" s="216"/>
      <c r="L5123" s="57"/>
    </row>
    <row r="5124" spans="1:12">
      <c r="A5124" s="36"/>
      <c r="B5124" s="37"/>
      <c r="C5124" s="181"/>
      <c r="D5124" s="181"/>
      <c r="E5124" s="181"/>
      <c r="F5124" s="238"/>
      <c r="G5124" s="238"/>
      <c r="H5124" s="238"/>
      <c r="I5124" s="79"/>
      <c r="J5124" s="185"/>
      <c r="K5124" s="216"/>
      <c r="L5124" s="57"/>
    </row>
    <row r="5125" spans="1:12">
      <c r="A5125" s="36"/>
      <c r="B5125" s="37"/>
      <c r="C5125" s="181"/>
      <c r="D5125" s="181"/>
      <c r="E5125" s="181"/>
      <c r="F5125" s="238"/>
      <c r="G5125" s="238"/>
      <c r="H5125" s="238"/>
      <c r="I5125" s="79"/>
      <c r="J5125" s="185"/>
      <c r="K5125" s="216"/>
      <c r="L5125" s="57"/>
    </row>
    <row r="5126" spans="1:12">
      <c r="A5126" s="36"/>
      <c r="B5126" s="37"/>
      <c r="C5126" s="181"/>
      <c r="D5126" s="181"/>
      <c r="E5126" s="181"/>
      <c r="F5126" s="238"/>
      <c r="G5126" s="238"/>
      <c r="H5126" s="238"/>
      <c r="I5126" s="79"/>
      <c r="J5126" s="185"/>
      <c r="K5126" s="216"/>
      <c r="L5126" s="57"/>
    </row>
    <row r="5127" spans="1:12">
      <c r="A5127" s="36"/>
      <c r="B5127" s="37"/>
      <c r="C5127" s="181"/>
      <c r="D5127" s="181"/>
      <c r="E5127" s="181"/>
      <c r="F5127" s="238"/>
      <c r="G5127" s="238"/>
      <c r="H5127" s="238"/>
      <c r="I5127" s="79"/>
      <c r="J5127" s="185"/>
      <c r="K5127" s="216"/>
      <c r="L5127" s="57"/>
    </row>
    <row r="5128" spans="1:12">
      <c r="A5128" s="36"/>
      <c r="B5128" s="37"/>
      <c r="C5128" s="181"/>
      <c r="D5128" s="181"/>
      <c r="E5128" s="181"/>
      <c r="F5128" s="238"/>
      <c r="G5128" s="238"/>
      <c r="H5128" s="238"/>
      <c r="I5128" s="79"/>
      <c r="J5128" s="185"/>
      <c r="K5128" s="216"/>
      <c r="L5128" s="57"/>
    </row>
    <row r="5129" spans="1:12">
      <c r="A5129" s="36"/>
      <c r="B5129" s="37"/>
      <c r="C5129" s="181"/>
      <c r="D5129" s="181"/>
      <c r="E5129" s="181"/>
      <c r="F5129" s="238"/>
      <c r="G5129" s="238"/>
      <c r="H5129" s="238"/>
      <c r="I5129" s="79"/>
      <c r="J5129" s="185"/>
      <c r="K5129" s="216"/>
      <c r="L5129" s="57"/>
    </row>
    <row r="5130" spans="1:12">
      <c r="A5130" s="36"/>
      <c r="B5130" s="37"/>
      <c r="C5130" s="181"/>
      <c r="D5130" s="181"/>
      <c r="E5130" s="181"/>
      <c r="F5130" s="238"/>
      <c r="G5130" s="238"/>
      <c r="H5130" s="238"/>
      <c r="I5130" s="79"/>
      <c r="J5130" s="185"/>
      <c r="K5130" s="216"/>
      <c r="L5130" s="57"/>
    </row>
    <row r="5131" spans="1:12">
      <c r="A5131" s="36"/>
      <c r="B5131" s="37"/>
      <c r="C5131" s="181"/>
      <c r="D5131" s="181"/>
      <c r="E5131" s="181"/>
      <c r="F5131" s="238"/>
      <c r="G5131" s="238"/>
      <c r="H5131" s="238"/>
      <c r="I5131" s="79"/>
      <c r="J5131" s="185"/>
      <c r="K5131" s="216"/>
      <c r="L5131" s="57"/>
    </row>
    <row r="5132" spans="1:12">
      <c r="A5132" s="36"/>
      <c r="B5132" s="37"/>
      <c r="C5132" s="181"/>
      <c r="D5132" s="181"/>
      <c r="E5132" s="181"/>
      <c r="F5132" s="238"/>
      <c r="G5132" s="238"/>
      <c r="H5132" s="238"/>
      <c r="I5132" s="79"/>
      <c r="J5132" s="185"/>
      <c r="K5132" s="216"/>
      <c r="L5132" s="57"/>
    </row>
    <row r="5133" spans="1:12">
      <c r="A5133" s="36"/>
      <c r="B5133" s="37"/>
      <c r="C5133" s="181"/>
      <c r="D5133" s="181"/>
      <c r="E5133" s="181"/>
      <c r="F5133" s="238"/>
      <c r="G5133" s="238"/>
      <c r="H5133" s="238"/>
      <c r="I5133" s="79"/>
      <c r="J5133" s="185"/>
      <c r="K5133" s="216"/>
      <c r="L5133" s="57"/>
    </row>
    <row r="5134" spans="1:12">
      <c r="A5134" s="36"/>
      <c r="B5134" s="37"/>
      <c r="C5134" s="181"/>
      <c r="D5134" s="181"/>
      <c r="E5134" s="181"/>
      <c r="F5134" s="238"/>
      <c r="G5134" s="238"/>
      <c r="H5134" s="238"/>
      <c r="I5134" s="79"/>
      <c r="J5134" s="185"/>
      <c r="K5134" s="216"/>
      <c r="L5134" s="57"/>
    </row>
    <row r="5135" spans="1:12">
      <c r="A5135" s="36"/>
      <c r="B5135" s="37"/>
      <c r="C5135" s="181"/>
      <c r="D5135" s="181"/>
      <c r="E5135" s="181"/>
      <c r="F5135" s="238"/>
      <c r="G5135" s="238"/>
      <c r="H5135" s="238"/>
      <c r="I5135" s="79"/>
      <c r="J5135" s="185"/>
      <c r="K5135" s="216"/>
      <c r="L5135" s="57"/>
    </row>
    <row r="5136" spans="1:12">
      <c r="A5136" s="21"/>
      <c r="B5136" s="21"/>
      <c r="C5136" s="175"/>
      <c r="D5136" s="175"/>
      <c r="E5136" s="175"/>
      <c r="F5136" s="239"/>
      <c r="G5136" s="239"/>
      <c r="H5136" s="239"/>
      <c r="I5136" s="63"/>
      <c r="J5136" s="190"/>
      <c r="K5136" s="208"/>
      <c r="L5136" s="57"/>
    </row>
    <row r="5137" spans="1:12">
      <c r="A5137" s="36"/>
      <c r="B5137" s="37"/>
      <c r="C5137" s="181"/>
      <c r="D5137" s="181"/>
      <c r="E5137" s="181"/>
      <c r="F5137" s="238"/>
      <c r="G5137" s="238"/>
      <c r="H5137" s="238"/>
      <c r="I5137" s="79"/>
      <c r="J5137" s="185"/>
      <c r="K5137" s="216"/>
      <c r="L5137" s="57"/>
    </row>
    <row r="5138" spans="1:12">
      <c r="A5138" s="36"/>
      <c r="B5138" s="37"/>
      <c r="C5138" s="181"/>
      <c r="D5138" s="181"/>
      <c r="E5138" s="181"/>
      <c r="F5138" s="238"/>
      <c r="G5138" s="238"/>
      <c r="H5138" s="238"/>
      <c r="I5138" s="79"/>
      <c r="J5138" s="185"/>
      <c r="K5138" s="216"/>
      <c r="L5138" s="57"/>
    </row>
    <row r="5139" spans="1:12">
      <c r="A5139" s="36"/>
      <c r="B5139" s="37"/>
      <c r="C5139" s="181"/>
      <c r="D5139" s="181"/>
      <c r="E5139" s="181"/>
      <c r="F5139" s="238"/>
      <c r="G5139" s="238"/>
      <c r="H5139" s="238"/>
      <c r="I5139" s="79"/>
      <c r="J5139" s="185"/>
      <c r="K5139" s="216"/>
      <c r="L5139" s="57"/>
    </row>
    <row r="5140" spans="1:12">
      <c r="A5140" s="36"/>
      <c r="B5140" s="37"/>
      <c r="C5140" s="181"/>
      <c r="D5140" s="181"/>
      <c r="E5140" s="181"/>
      <c r="F5140" s="238"/>
      <c r="G5140" s="238"/>
      <c r="H5140" s="238"/>
      <c r="I5140" s="79"/>
      <c r="J5140" s="185"/>
      <c r="K5140" s="216"/>
      <c r="L5140" s="57"/>
    </row>
    <row r="5141" spans="1:12">
      <c r="A5141" s="36"/>
      <c r="B5141" s="37"/>
      <c r="C5141" s="181"/>
      <c r="D5141" s="181"/>
      <c r="E5141" s="181"/>
      <c r="F5141" s="238"/>
      <c r="G5141" s="238"/>
      <c r="H5141" s="238"/>
      <c r="I5141" s="79"/>
      <c r="J5141" s="185"/>
      <c r="K5141" s="216"/>
      <c r="L5141" s="57"/>
    </row>
    <row r="5142" spans="1:12">
      <c r="A5142" s="36"/>
      <c r="B5142" s="37"/>
      <c r="C5142" s="181"/>
      <c r="D5142" s="181"/>
      <c r="E5142" s="181"/>
      <c r="F5142" s="238"/>
      <c r="G5142" s="238"/>
      <c r="H5142" s="238"/>
      <c r="I5142" s="79"/>
      <c r="J5142" s="185"/>
      <c r="K5142" s="216"/>
      <c r="L5142" s="57"/>
    </row>
    <row r="5143" spans="1:12">
      <c r="A5143" s="36"/>
      <c r="B5143" s="37"/>
      <c r="C5143" s="181"/>
      <c r="D5143" s="181"/>
      <c r="E5143" s="181"/>
      <c r="F5143" s="238"/>
      <c r="G5143" s="238"/>
      <c r="H5143" s="238"/>
      <c r="I5143" s="79"/>
      <c r="J5143" s="185"/>
      <c r="K5143" s="216"/>
      <c r="L5143" s="57"/>
    </row>
    <row r="5144" spans="1:12">
      <c r="A5144" s="36"/>
      <c r="B5144" s="37"/>
      <c r="C5144" s="181"/>
      <c r="D5144" s="181"/>
      <c r="E5144" s="181"/>
      <c r="F5144" s="238"/>
      <c r="G5144" s="238"/>
      <c r="H5144" s="238"/>
      <c r="I5144" s="79"/>
      <c r="J5144" s="185"/>
      <c r="K5144" s="216"/>
      <c r="L5144" s="57"/>
    </row>
    <row r="5145" spans="1:12">
      <c r="A5145" s="36"/>
      <c r="B5145" s="37"/>
      <c r="C5145" s="181"/>
      <c r="D5145" s="181"/>
      <c r="E5145" s="181"/>
      <c r="F5145" s="238"/>
      <c r="G5145" s="238"/>
      <c r="H5145" s="238"/>
      <c r="I5145" s="79"/>
      <c r="J5145" s="185"/>
      <c r="K5145" s="216"/>
      <c r="L5145" s="57"/>
    </row>
    <row r="5146" spans="1:12">
      <c r="A5146" s="36"/>
      <c r="B5146" s="37"/>
      <c r="C5146" s="181"/>
      <c r="D5146" s="181"/>
      <c r="E5146" s="181"/>
      <c r="F5146" s="238"/>
      <c r="G5146" s="238"/>
      <c r="H5146" s="238"/>
      <c r="I5146" s="79"/>
      <c r="J5146" s="185"/>
      <c r="K5146" s="216"/>
      <c r="L5146" s="57"/>
    </row>
    <row r="5147" spans="1:12">
      <c r="A5147" s="36"/>
      <c r="B5147" s="37"/>
      <c r="C5147" s="181"/>
      <c r="D5147" s="181"/>
      <c r="E5147" s="181"/>
      <c r="F5147" s="238"/>
      <c r="G5147" s="238"/>
      <c r="H5147" s="238"/>
      <c r="I5147" s="79"/>
      <c r="J5147" s="185"/>
      <c r="K5147" s="216"/>
      <c r="L5147" s="57"/>
    </row>
    <row r="5148" spans="1:12">
      <c r="A5148" s="36"/>
      <c r="B5148" s="37"/>
      <c r="C5148" s="181"/>
      <c r="D5148" s="181"/>
      <c r="E5148" s="181"/>
      <c r="F5148" s="238"/>
      <c r="G5148" s="238"/>
      <c r="H5148" s="238"/>
      <c r="I5148" s="79"/>
      <c r="J5148" s="185"/>
      <c r="K5148" s="216"/>
      <c r="L5148" s="57"/>
    </row>
    <row r="5149" spans="1:12">
      <c r="A5149" s="36"/>
      <c r="B5149" s="37"/>
      <c r="C5149" s="181"/>
      <c r="D5149" s="181"/>
      <c r="E5149" s="181"/>
      <c r="F5149" s="238"/>
      <c r="G5149" s="238"/>
      <c r="H5149" s="238"/>
      <c r="I5149" s="79"/>
      <c r="J5149" s="185"/>
      <c r="K5149" s="216"/>
      <c r="L5149" s="57"/>
    </row>
    <row r="5150" spans="1:12">
      <c r="A5150" s="36"/>
      <c r="B5150" s="37"/>
      <c r="C5150" s="181"/>
      <c r="D5150" s="181"/>
      <c r="E5150" s="181"/>
      <c r="F5150" s="238"/>
      <c r="G5150" s="238"/>
      <c r="H5150" s="238"/>
      <c r="I5150" s="79"/>
      <c r="J5150" s="185"/>
      <c r="K5150" s="216"/>
      <c r="L5150" s="57"/>
    </row>
    <row r="5151" spans="1:12">
      <c r="A5151" s="36"/>
      <c r="B5151" s="37"/>
      <c r="C5151" s="181"/>
      <c r="D5151" s="181"/>
      <c r="E5151" s="181"/>
      <c r="F5151" s="238"/>
      <c r="G5151" s="238"/>
      <c r="H5151" s="238"/>
      <c r="I5151" s="79"/>
      <c r="J5151" s="185"/>
      <c r="K5151" s="216"/>
      <c r="L5151" s="57"/>
    </row>
    <row r="5152" spans="1:12">
      <c r="A5152" s="36"/>
      <c r="B5152" s="37"/>
      <c r="C5152" s="181"/>
      <c r="D5152" s="181"/>
      <c r="E5152" s="181"/>
      <c r="F5152" s="238"/>
      <c r="G5152" s="238"/>
      <c r="H5152" s="238"/>
      <c r="I5152" s="79"/>
      <c r="J5152" s="185"/>
      <c r="K5152" s="216"/>
      <c r="L5152" s="57"/>
    </row>
    <row r="5153" spans="1:12">
      <c r="A5153" s="36"/>
      <c r="B5153" s="37"/>
      <c r="C5153" s="181"/>
      <c r="D5153" s="181"/>
      <c r="E5153" s="181"/>
      <c r="F5153" s="238"/>
      <c r="G5153" s="238"/>
      <c r="H5153" s="238"/>
      <c r="I5153" s="79"/>
      <c r="J5153" s="185"/>
      <c r="K5153" s="216"/>
      <c r="L5153" s="57"/>
    </row>
    <row r="5154" spans="1:12">
      <c r="A5154" s="36"/>
      <c r="B5154" s="37"/>
      <c r="C5154" s="181"/>
      <c r="D5154" s="181"/>
      <c r="E5154" s="181"/>
      <c r="F5154" s="238"/>
      <c r="G5154" s="238"/>
      <c r="H5154" s="238"/>
      <c r="I5154" s="79"/>
      <c r="J5154" s="185"/>
      <c r="K5154" s="216"/>
      <c r="L5154" s="57"/>
    </row>
    <row r="5155" spans="1:12">
      <c r="A5155" s="36"/>
      <c r="B5155" s="37"/>
      <c r="C5155" s="181"/>
      <c r="D5155" s="181"/>
      <c r="E5155" s="181"/>
      <c r="F5155" s="238"/>
      <c r="G5155" s="238"/>
      <c r="H5155" s="238"/>
      <c r="I5155" s="79"/>
      <c r="J5155" s="185"/>
      <c r="K5155" s="216"/>
      <c r="L5155" s="57"/>
    </row>
    <row r="5156" spans="1:12">
      <c r="A5156" s="36"/>
      <c r="B5156" s="37"/>
      <c r="C5156" s="181"/>
      <c r="D5156" s="181"/>
      <c r="E5156" s="181"/>
      <c r="F5156" s="238"/>
      <c r="G5156" s="238"/>
      <c r="H5156" s="238"/>
      <c r="I5156" s="79"/>
      <c r="J5156" s="185"/>
      <c r="K5156" s="216"/>
      <c r="L5156" s="57"/>
    </row>
    <row r="5157" spans="1:12">
      <c r="A5157" s="36"/>
      <c r="B5157" s="37"/>
      <c r="C5157" s="181"/>
      <c r="D5157" s="181"/>
      <c r="E5157" s="181"/>
      <c r="F5157" s="238"/>
      <c r="G5157" s="238"/>
      <c r="H5157" s="238"/>
      <c r="I5157" s="79"/>
      <c r="J5157" s="185"/>
      <c r="K5157" s="216"/>
      <c r="L5157" s="57"/>
    </row>
    <row r="5158" spans="1:12">
      <c r="A5158" s="36"/>
      <c r="B5158" s="37"/>
      <c r="C5158" s="181"/>
      <c r="D5158" s="181"/>
      <c r="E5158" s="181"/>
      <c r="F5158" s="238"/>
      <c r="G5158" s="238"/>
      <c r="H5158" s="238"/>
      <c r="I5158" s="79"/>
      <c r="J5158" s="185"/>
      <c r="K5158" s="216"/>
      <c r="L5158" s="57"/>
    </row>
    <row r="5159" spans="1:12">
      <c r="A5159" s="36"/>
      <c r="B5159" s="37"/>
      <c r="C5159" s="181"/>
      <c r="D5159" s="181"/>
      <c r="E5159" s="181"/>
      <c r="F5159" s="238"/>
      <c r="G5159" s="238"/>
      <c r="H5159" s="238"/>
      <c r="I5159" s="79"/>
      <c r="J5159" s="185"/>
      <c r="K5159" s="216"/>
      <c r="L5159" s="57"/>
    </row>
    <row r="5160" spans="1:12">
      <c r="A5160" s="36"/>
      <c r="B5160" s="37"/>
      <c r="C5160" s="181"/>
      <c r="D5160" s="181"/>
      <c r="E5160" s="181"/>
      <c r="F5160" s="238"/>
      <c r="G5160" s="238"/>
      <c r="H5160" s="238"/>
      <c r="I5160" s="79"/>
      <c r="J5160" s="185"/>
      <c r="K5160" s="216"/>
      <c r="L5160" s="57"/>
    </row>
    <row r="5161" spans="1:12">
      <c r="A5161" s="36"/>
      <c r="B5161" s="37"/>
      <c r="C5161" s="181"/>
      <c r="D5161" s="181"/>
      <c r="E5161" s="181"/>
      <c r="F5161" s="238"/>
      <c r="G5161" s="238"/>
      <c r="H5161" s="238"/>
      <c r="I5161" s="79"/>
      <c r="J5161" s="185"/>
      <c r="K5161" s="216"/>
      <c r="L5161" s="57"/>
    </row>
    <row r="5162" spans="1:12">
      <c r="A5162" s="36"/>
      <c r="B5162" s="37"/>
      <c r="C5162" s="181"/>
      <c r="D5162" s="181"/>
      <c r="E5162" s="181"/>
      <c r="F5162" s="238"/>
      <c r="G5162" s="238"/>
      <c r="H5162" s="238"/>
      <c r="I5162" s="79"/>
      <c r="J5162" s="185"/>
      <c r="K5162" s="216"/>
      <c r="L5162" s="57"/>
    </row>
    <row r="5163" spans="1:12">
      <c r="A5163" s="36"/>
      <c r="B5163" s="37"/>
      <c r="C5163" s="181"/>
      <c r="D5163" s="181"/>
      <c r="E5163" s="181"/>
      <c r="F5163" s="238"/>
      <c r="G5163" s="238"/>
      <c r="H5163" s="238"/>
      <c r="I5163" s="79"/>
      <c r="J5163" s="185"/>
      <c r="K5163" s="216"/>
      <c r="L5163" s="57"/>
    </row>
    <row r="5164" spans="1:12">
      <c r="A5164" s="36"/>
      <c r="B5164" s="37"/>
      <c r="C5164" s="181"/>
      <c r="D5164" s="181"/>
      <c r="E5164" s="181"/>
      <c r="F5164" s="238"/>
      <c r="G5164" s="238"/>
      <c r="H5164" s="238"/>
      <c r="I5164" s="79"/>
      <c r="J5164" s="185"/>
      <c r="K5164" s="216"/>
      <c r="L5164" s="57"/>
    </row>
    <row r="5165" spans="1:12">
      <c r="A5165" s="36"/>
      <c r="B5165" s="37"/>
      <c r="C5165" s="181"/>
      <c r="D5165" s="181"/>
      <c r="E5165" s="181"/>
      <c r="F5165" s="238"/>
      <c r="G5165" s="238"/>
      <c r="H5165" s="238"/>
      <c r="I5165" s="79"/>
      <c r="J5165" s="185"/>
      <c r="K5165" s="216"/>
      <c r="L5165" s="57"/>
    </row>
    <row r="5166" spans="1:12">
      <c r="A5166" s="36"/>
      <c r="B5166" s="37"/>
      <c r="C5166" s="181"/>
      <c r="D5166" s="181"/>
      <c r="E5166" s="181"/>
      <c r="F5166" s="238"/>
      <c r="G5166" s="238"/>
      <c r="H5166" s="238"/>
      <c r="I5166" s="79"/>
      <c r="J5166" s="185"/>
      <c r="K5166" s="216"/>
      <c r="L5166" s="57"/>
    </row>
    <row r="5167" spans="1:12">
      <c r="A5167" s="36"/>
      <c r="B5167" s="37"/>
      <c r="C5167" s="181"/>
      <c r="D5167" s="181"/>
      <c r="E5167" s="181"/>
      <c r="F5167" s="238"/>
      <c r="G5167" s="238"/>
      <c r="H5167" s="238"/>
      <c r="I5167" s="79"/>
      <c r="J5167" s="185"/>
      <c r="K5167" s="216"/>
      <c r="L5167" s="57"/>
    </row>
    <row r="5168" spans="1:12">
      <c r="A5168" s="36"/>
      <c r="B5168" s="37"/>
      <c r="C5168" s="181"/>
      <c r="D5168" s="181"/>
      <c r="E5168" s="181"/>
      <c r="F5168" s="238"/>
      <c r="G5168" s="238"/>
      <c r="H5168" s="238"/>
      <c r="I5168" s="79"/>
      <c r="J5168" s="185"/>
      <c r="K5168" s="216"/>
      <c r="L5168" s="57"/>
    </row>
    <row r="5169" spans="1:12">
      <c r="A5169" s="36"/>
      <c r="B5169" s="37"/>
      <c r="C5169" s="181"/>
      <c r="D5169" s="181"/>
      <c r="E5169" s="181"/>
      <c r="F5169" s="238"/>
      <c r="G5169" s="238"/>
      <c r="H5169" s="238"/>
      <c r="I5169" s="79"/>
      <c r="J5169" s="185"/>
      <c r="K5169" s="216"/>
      <c r="L5169" s="57"/>
    </row>
    <row r="5170" spans="1:12">
      <c r="A5170" s="36"/>
      <c r="B5170" s="37"/>
      <c r="C5170" s="181"/>
      <c r="D5170" s="181"/>
      <c r="E5170" s="181"/>
      <c r="F5170" s="238"/>
      <c r="G5170" s="238"/>
      <c r="H5170" s="238"/>
      <c r="I5170" s="79"/>
      <c r="J5170" s="185"/>
      <c r="K5170" s="216"/>
      <c r="L5170" s="57"/>
    </row>
    <row r="5171" spans="1:12">
      <c r="A5171" s="36"/>
      <c r="B5171" s="37"/>
      <c r="C5171" s="181"/>
      <c r="D5171" s="181"/>
      <c r="E5171" s="181"/>
      <c r="F5171" s="238"/>
      <c r="G5171" s="238"/>
      <c r="H5171" s="238"/>
      <c r="I5171" s="79"/>
      <c r="J5171" s="185"/>
      <c r="K5171" s="216"/>
      <c r="L5171" s="57"/>
    </row>
    <row r="5172" spans="1:12">
      <c r="A5172" s="23"/>
      <c r="B5172" s="14"/>
      <c r="C5172" s="182"/>
      <c r="D5172" s="182"/>
      <c r="E5172" s="182"/>
      <c r="F5172" s="240"/>
      <c r="G5172" s="240"/>
      <c r="H5172" s="240"/>
      <c r="I5172" s="73"/>
      <c r="J5172" s="191"/>
      <c r="K5172" s="207"/>
      <c r="L5172" s="57"/>
    </row>
    <row r="5173" spans="1:12">
      <c r="A5173" s="36"/>
      <c r="B5173" s="37"/>
      <c r="C5173" s="181"/>
      <c r="D5173" s="181"/>
      <c r="E5173" s="181"/>
      <c r="F5173" s="238"/>
      <c r="G5173" s="238"/>
      <c r="H5173" s="238"/>
      <c r="I5173" s="79"/>
      <c r="J5173" s="185"/>
      <c r="K5173" s="216"/>
      <c r="L5173" s="57"/>
    </row>
    <row r="5174" spans="1:12">
      <c r="A5174" s="36"/>
      <c r="B5174" s="37"/>
      <c r="C5174" s="181"/>
      <c r="D5174" s="181"/>
      <c r="E5174" s="181"/>
      <c r="F5174" s="238"/>
      <c r="G5174" s="238"/>
      <c r="H5174" s="238"/>
      <c r="I5174" s="79"/>
      <c r="J5174" s="185"/>
      <c r="K5174" s="216"/>
      <c r="L5174" s="57"/>
    </row>
    <row r="5175" spans="1:12">
      <c r="A5175" s="36"/>
      <c r="B5175" s="37"/>
      <c r="C5175" s="181"/>
      <c r="D5175" s="181"/>
      <c r="E5175" s="181"/>
      <c r="F5175" s="238"/>
      <c r="G5175" s="238"/>
      <c r="H5175" s="238"/>
      <c r="I5175" s="79"/>
      <c r="J5175" s="185"/>
      <c r="K5175" s="216"/>
      <c r="L5175" s="57"/>
    </row>
    <row r="5176" spans="1:12">
      <c r="A5176" s="23"/>
      <c r="B5176" s="14"/>
      <c r="C5176" s="182"/>
      <c r="D5176" s="182"/>
      <c r="E5176" s="182"/>
      <c r="F5176" s="240"/>
      <c r="G5176" s="240"/>
      <c r="H5176" s="240"/>
      <c r="I5176" s="73"/>
      <c r="J5176" s="191"/>
      <c r="K5176" s="207"/>
      <c r="L5176" s="57"/>
    </row>
    <row r="5177" spans="1:12">
      <c r="A5177" s="36"/>
      <c r="B5177" s="37"/>
      <c r="C5177" s="181"/>
      <c r="D5177" s="181"/>
      <c r="E5177" s="181"/>
      <c r="F5177" s="238"/>
      <c r="G5177" s="238"/>
      <c r="H5177" s="238"/>
      <c r="I5177" s="79"/>
      <c r="J5177" s="185"/>
      <c r="K5177" s="216"/>
      <c r="L5177" s="57"/>
    </row>
    <row r="5178" spans="1:12">
      <c r="A5178" s="23"/>
      <c r="B5178" s="14"/>
      <c r="C5178" s="182"/>
      <c r="D5178" s="182"/>
      <c r="E5178" s="182"/>
      <c r="F5178" s="240"/>
      <c r="G5178" s="240"/>
      <c r="H5178" s="240"/>
      <c r="I5178" s="73"/>
      <c r="J5178" s="191"/>
      <c r="K5178" s="207"/>
      <c r="L5178" s="57"/>
    </row>
    <row r="5179" spans="1:12">
      <c r="A5179" s="23"/>
      <c r="B5179" s="14"/>
      <c r="C5179" s="182"/>
      <c r="D5179" s="182"/>
      <c r="E5179" s="182"/>
      <c r="F5179" s="240"/>
      <c r="G5179" s="240"/>
      <c r="H5179" s="240"/>
      <c r="I5179" s="73"/>
      <c r="J5179" s="191"/>
      <c r="K5179" s="207"/>
      <c r="L5179" s="57"/>
    </row>
    <row r="5180" spans="1:12">
      <c r="A5180" s="36"/>
      <c r="B5180" s="37"/>
      <c r="C5180" s="181"/>
      <c r="D5180" s="181"/>
      <c r="E5180" s="181"/>
      <c r="F5180" s="238"/>
      <c r="G5180" s="238"/>
      <c r="H5180" s="238"/>
      <c r="I5180" s="79"/>
      <c r="J5180" s="185"/>
      <c r="K5180" s="216"/>
      <c r="L5180" s="57"/>
    </row>
    <row r="5181" spans="1:12">
      <c r="A5181" s="36"/>
      <c r="B5181" s="37"/>
      <c r="C5181" s="181"/>
      <c r="D5181" s="181"/>
      <c r="E5181" s="181"/>
      <c r="F5181" s="238"/>
      <c r="G5181" s="238"/>
      <c r="H5181" s="238"/>
      <c r="I5181" s="79"/>
      <c r="J5181" s="185"/>
      <c r="K5181" s="216"/>
      <c r="L5181" s="57"/>
    </row>
    <row r="5182" spans="1:12">
      <c r="A5182" s="36"/>
      <c r="B5182" s="37"/>
      <c r="C5182" s="181"/>
      <c r="D5182" s="181"/>
      <c r="E5182" s="181"/>
      <c r="F5182" s="238"/>
      <c r="G5182" s="238"/>
      <c r="H5182" s="238"/>
      <c r="I5182" s="79"/>
      <c r="J5182" s="185"/>
      <c r="K5182" s="216"/>
      <c r="L5182" s="57"/>
    </row>
    <row r="5183" spans="1:12">
      <c r="A5183" s="36"/>
      <c r="B5183" s="37"/>
      <c r="C5183" s="181"/>
      <c r="D5183" s="181"/>
      <c r="E5183" s="181"/>
      <c r="F5183" s="238"/>
      <c r="G5183" s="238"/>
      <c r="H5183" s="238"/>
      <c r="I5183" s="79"/>
      <c r="J5183" s="185"/>
      <c r="K5183" s="216"/>
      <c r="L5183" s="57"/>
    </row>
    <row r="5184" spans="1:12">
      <c r="A5184" s="36"/>
      <c r="B5184" s="37"/>
      <c r="C5184" s="181"/>
      <c r="D5184" s="181"/>
      <c r="E5184" s="181"/>
      <c r="F5184" s="238"/>
      <c r="G5184" s="238"/>
      <c r="H5184" s="238"/>
      <c r="I5184" s="79"/>
      <c r="J5184" s="185"/>
      <c r="K5184" s="216"/>
      <c r="L5184" s="57"/>
    </row>
    <row r="5185" spans="1:12">
      <c r="A5185" s="36"/>
      <c r="B5185" s="37"/>
      <c r="C5185" s="181"/>
      <c r="D5185" s="181"/>
      <c r="E5185" s="181"/>
      <c r="F5185" s="238"/>
      <c r="G5185" s="238"/>
      <c r="H5185" s="238"/>
      <c r="I5185" s="79"/>
      <c r="J5185" s="185"/>
      <c r="K5185" s="216"/>
      <c r="L5185" s="57"/>
    </row>
    <row r="5186" spans="1:12">
      <c r="A5186" s="36"/>
      <c r="B5186" s="37"/>
      <c r="C5186" s="181"/>
      <c r="D5186" s="181"/>
      <c r="E5186" s="181"/>
      <c r="F5186" s="238"/>
      <c r="G5186" s="238"/>
      <c r="H5186" s="238"/>
      <c r="I5186" s="79"/>
      <c r="J5186" s="185"/>
      <c r="K5186" s="216"/>
      <c r="L5186" s="57"/>
    </row>
    <row r="5187" spans="1:12">
      <c r="A5187" s="36"/>
      <c r="B5187" s="37"/>
      <c r="C5187" s="181"/>
      <c r="D5187" s="181"/>
      <c r="E5187" s="181"/>
      <c r="F5187" s="238"/>
      <c r="G5187" s="238"/>
      <c r="H5187" s="238"/>
      <c r="I5187" s="79"/>
      <c r="J5187" s="185"/>
      <c r="K5187" s="216"/>
      <c r="L5187" s="57"/>
    </row>
    <row r="5188" spans="1:12">
      <c r="A5188" s="23"/>
      <c r="B5188" s="14"/>
      <c r="C5188" s="182"/>
      <c r="D5188" s="182"/>
      <c r="E5188" s="182"/>
      <c r="F5188" s="240"/>
      <c r="G5188" s="240"/>
      <c r="H5188" s="240"/>
      <c r="I5188" s="73"/>
      <c r="J5188" s="198"/>
      <c r="K5188" s="207"/>
      <c r="L5188" s="57"/>
    </row>
    <row r="5189" spans="1:12">
      <c r="A5189" s="23"/>
      <c r="B5189" s="14"/>
      <c r="C5189" s="182"/>
      <c r="D5189" s="182"/>
      <c r="E5189" s="182"/>
      <c r="F5189" s="240"/>
      <c r="G5189" s="240"/>
      <c r="H5189" s="240"/>
      <c r="I5189" s="73"/>
      <c r="J5189" s="198"/>
      <c r="K5189" s="207"/>
      <c r="L5189" s="57"/>
    </row>
    <row r="5190" spans="1:12">
      <c r="A5190" s="36"/>
      <c r="B5190" s="37"/>
      <c r="C5190" s="181"/>
      <c r="D5190" s="181"/>
      <c r="E5190" s="181"/>
      <c r="F5190" s="238"/>
      <c r="G5190" s="238"/>
      <c r="H5190" s="238"/>
      <c r="I5190" s="79"/>
      <c r="J5190" s="185"/>
      <c r="K5190" s="216"/>
      <c r="L5190" s="57"/>
    </row>
    <row r="5191" spans="1:12">
      <c r="A5191" s="36"/>
      <c r="B5191" s="37"/>
      <c r="C5191" s="181"/>
      <c r="D5191" s="181"/>
      <c r="E5191" s="181"/>
      <c r="F5191" s="238"/>
      <c r="G5191" s="238"/>
      <c r="H5191" s="238"/>
      <c r="I5191" s="79"/>
      <c r="J5191" s="185"/>
      <c r="K5191" s="216"/>
      <c r="L5191" s="57"/>
    </row>
    <row r="5192" spans="1:12">
      <c r="A5192" s="36"/>
      <c r="B5192" s="37"/>
      <c r="C5192" s="181"/>
      <c r="D5192" s="181"/>
      <c r="E5192" s="181"/>
      <c r="F5192" s="238"/>
      <c r="G5192" s="238"/>
      <c r="H5192" s="238"/>
      <c r="I5192" s="79"/>
      <c r="J5192" s="185"/>
      <c r="K5192" s="216"/>
      <c r="L5192" s="57"/>
    </row>
    <row r="5193" spans="1:12">
      <c r="A5193" s="36"/>
      <c r="B5193" s="37"/>
      <c r="C5193" s="181"/>
      <c r="D5193" s="181"/>
      <c r="E5193" s="181"/>
      <c r="F5193" s="238"/>
      <c r="G5193" s="238"/>
      <c r="H5193" s="238"/>
      <c r="I5193" s="79"/>
      <c r="J5193" s="185"/>
      <c r="K5193" s="216"/>
      <c r="L5193" s="57"/>
    </row>
    <row r="5194" spans="1:12">
      <c r="A5194" s="36"/>
      <c r="B5194" s="37"/>
      <c r="C5194" s="181"/>
      <c r="D5194" s="181"/>
      <c r="E5194" s="181"/>
      <c r="F5194" s="238"/>
      <c r="G5194" s="238"/>
      <c r="H5194" s="238"/>
      <c r="I5194" s="79"/>
      <c r="J5194" s="185"/>
      <c r="K5194" s="216"/>
      <c r="L5194" s="57"/>
    </row>
    <row r="5195" spans="1:12">
      <c r="A5195" s="36"/>
      <c r="B5195" s="37"/>
      <c r="C5195" s="181"/>
      <c r="D5195" s="181"/>
      <c r="E5195" s="181"/>
      <c r="F5195" s="238"/>
      <c r="G5195" s="238"/>
      <c r="H5195" s="238"/>
      <c r="I5195" s="79"/>
      <c r="J5195" s="185"/>
      <c r="K5195" s="216"/>
      <c r="L5195" s="57"/>
    </row>
    <row r="5196" spans="1:12">
      <c r="A5196" s="36"/>
      <c r="B5196" s="37"/>
      <c r="C5196" s="181"/>
      <c r="D5196" s="181"/>
      <c r="E5196" s="181"/>
      <c r="F5196" s="238"/>
      <c r="G5196" s="238"/>
      <c r="H5196" s="238"/>
      <c r="I5196" s="79"/>
      <c r="J5196" s="185"/>
      <c r="K5196" s="216"/>
      <c r="L5196" s="57"/>
    </row>
    <row r="5197" spans="1:12">
      <c r="A5197" s="21"/>
      <c r="B5197" s="21"/>
      <c r="C5197" s="175"/>
      <c r="D5197" s="175"/>
      <c r="E5197" s="175"/>
      <c r="F5197" s="239"/>
      <c r="G5197" s="239"/>
      <c r="H5197" s="239"/>
      <c r="I5197" s="63"/>
      <c r="J5197" s="190"/>
      <c r="K5197" s="208"/>
      <c r="L5197" s="57"/>
    </row>
    <row r="5198" spans="1:12">
      <c r="A5198" s="21"/>
      <c r="B5198" s="21"/>
      <c r="C5198" s="175"/>
      <c r="D5198" s="175"/>
      <c r="E5198" s="175"/>
      <c r="F5198" s="239"/>
      <c r="G5198" s="239"/>
      <c r="H5198" s="239"/>
      <c r="I5198" s="63"/>
      <c r="J5198" s="190"/>
      <c r="K5198" s="208"/>
      <c r="L5198" s="57"/>
    </row>
    <row r="5199" spans="1:12">
      <c r="A5199" s="36"/>
      <c r="B5199" s="37"/>
      <c r="C5199" s="181"/>
      <c r="D5199" s="181"/>
      <c r="E5199" s="181"/>
      <c r="F5199" s="238"/>
      <c r="G5199" s="238"/>
      <c r="H5199" s="238"/>
      <c r="I5199" s="79"/>
      <c r="J5199" s="185"/>
      <c r="K5199" s="216"/>
      <c r="L5199" s="57"/>
    </row>
    <row r="5200" spans="1:12">
      <c r="A5200" s="36"/>
      <c r="B5200" s="37"/>
      <c r="C5200" s="181"/>
      <c r="D5200" s="181"/>
      <c r="E5200" s="181"/>
      <c r="F5200" s="238"/>
      <c r="G5200" s="238"/>
      <c r="H5200" s="238"/>
      <c r="I5200" s="79"/>
      <c r="J5200" s="199"/>
      <c r="K5200" s="216"/>
      <c r="L5200" s="57"/>
    </row>
    <row r="5201" spans="1:12">
      <c r="A5201" s="23"/>
      <c r="B5201" s="14"/>
      <c r="C5201" s="182"/>
      <c r="D5201" s="182"/>
      <c r="E5201" s="182"/>
      <c r="F5201" s="240"/>
      <c r="G5201" s="240"/>
      <c r="H5201" s="240"/>
      <c r="I5201" s="73"/>
      <c r="J5201" s="198"/>
      <c r="K5201" s="207"/>
      <c r="L5201" s="57"/>
    </row>
    <row r="5202" spans="1:12">
      <c r="A5202" s="36"/>
      <c r="B5202" s="37"/>
      <c r="C5202" s="181"/>
      <c r="D5202" s="181"/>
      <c r="E5202" s="181"/>
      <c r="F5202" s="238"/>
      <c r="G5202" s="238"/>
      <c r="H5202" s="238"/>
      <c r="I5202" s="79"/>
      <c r="J5202" s="200"/>
      <c r="K5202" s="216"/>
      <c r="L5202" s="57"/>
    </row>
    <row r="5203" spans="1:12">
      <c r="A5203" s="23"/>
      <c r="B5203" s="14"/>
      <c r="C5203" s="182"/>
      <c r="D5203" s="182"/>
      <c r="E5203" s="182"/>
      <c r="F5203" s="240"/>
      <c r="G5203" s="240"/>
      <c r="H5203" s="240"/>
      <c r="I5203" s="73"/>
      <c r="J5203" s="198"/>
      <c r="K5203" s="207"/>
      <c r="L5203" s="57"/>
    </row>
    <row r="5204" spans="1:12">
      <c r="A5204" s="36"/>
      <c r="B5204" s="37"/>
      <c r="C5204" s="181"/>
      <c r="D5204" s="181"/>
      <c r="E5204" s="181"/>
      <c r="F5204" s="238"/>
      <c r="G5204" s="238"/>
      <c r="H5204" s="238"/>
      <c r="I5204" s="79"/>
      <c r="J5204" s="195"/>
      <c r="K5204" s="216"/>
      <c r="L5204" s="57"/>
    </row>
    <row r="5205" spans="1:12">
      <c r="A5205" s="36"/>
      <c r="B5205" s="37"/>
      <c r="C5205" s="181"/>
      <c r="D5205" s="181"/>
      <c r="E5205" s="181"/>
      <c r="F5205" s="238"/>
      <c r="G5205" s="238"/>
      <c r="H5205" s="238"/>
      <c r="I5205" s="79"/>
      <c r="J5205" s="195"/>
      <c r="K5205" s="216"/>
      <c r="L5205" s="57"/>
    </row>
    <row r="5206" spans="1:12">
      <c r="A5206" s="36"/>
      <c r="B5206" s="37"/>
      <c r="C5206" s="181"/>
      <c r="D5206" s="181"/>
      <c r="E5206" s="181"/>
      <c r="F5206" s="238"/>
      <c r="G5206" s="238"/>
      <c r="H5206" s="238"/>
      <c r="I5206" s="79"/>
      <c r="J5206" s="185"/>
      <c r="K5206" s="216"/>
      <c r="L5206" s="57"/>
    </row>
    <row r="5207" spans="1:12">
      <c r="A5207" s="21"/>
      <c r="B5207" s="21"/>
      <c r="C5207" s="175"/>
      <c r="D5207" s="175"/>
      <c r="E5207" s="175"/>
      <c r="F5207" s="239"/>
      <c r="G5207" s="239"/>
      <c r="H5207" s="239"/>
      <c r="I5207" s="63"/>
      <c r="J5207" s="190"/>
      <c r="K5207" s="208"/>
      <c r="L5207" s="57"/>
    </row>
    <row r="5208" spans="1:12">
      <c r="A5208" s="36"/>
      <c r="B5208" s="37"/>
      <c r="C5208" s="181"/>
      <c r="D5208" s="181"/>
      <c r="E5208" s="181"/>
      <c r="F5208" s="238"/>
      <c r="G5208" s="238"/>
      <c r="H5208" s="238"/>
      <c r="I5208" s="79"/>
      <c r="J5208" s="185"/>
      <c r="K5208" s="216"/>
      <c r="L5208" s="57"/>
    </row>
    <row r="5209" spans="1:12">
      <c r="A5209" s="36"/>
      <c r="B5209" s="37"/>
      <c r="C5209" s="181"/>
      <c r="D5209" s="181"/>
      <c r="E5209" s="181"/>
      <c r="F5209" s="238"/>
      <c r="G5209" s="238"/>
      <c r="H5209" s="238"/>
      <c r="I5209" s="79"/>
      <c r="J5209" s="185"/>
      <c r="K5209" s="216"/>
      <c r="L5209" s="57"/>
    </row>
    <row r="5210" spans="1:12">
      <c r="A5210" s="36"/>
      <c r="B5210" s="37"/>
      <c r="C5210" s="181"/>
      <c r="D5210" s="181"/>
      <c r="E5210" s="181"/>
      <c r="F5210" s="238"/>
      <c r="G5210" s="238"/>
      <c r="H5210" s="238"/>
      <c r="I5210" s="79"/>
      <c r="J5210" s="185"/>
      <c r="K5210" s="216"/>
      <c r="L5210" s="57"/>
    </row>
    <row r="5211" spans="1:12">
      <c r="A5211" s="36"/>
      <c r="B5211" s="37"/>
      <c r="C5211" s="181"/>
      <c r="D5211" s="181"/>
      <c r="E5211" s="181"/>
      <c r="F5211" s="238"/>
      <c r="G5211" s="238"/>
      <c r="H5211" s="238"/>
      <c r="I5211" s="79"/>
      <c r="J5211" s="185"/>
      <c r="K5211" s="216"/>
      <c r="L5211" s="57"/>
    </row>
    <row r="5212" spans="1:12">
      <c r="A5212" s="36"/>
      <c r="B5212" s="37"/>
      <c r="C5212" s="181"/>
      <c r="D5212" s="181"/>
      <c r="E5212" s="181"/>
      <c r="F5212" s="238"/>
      <c r="G5212" s="238"/>
      <c r="H5212" s="238"/>
      <c r="I5212" s="79"/>
      <c r="J5212" s="185"/>
      <c r="K5212" s="216"/>
      <c r="L5212" s="57"/>
    </row>
    <row r="5213" spans="1:12">
      <c r="A5213" s="36"/>
      <c r="B5213" s="37"/>
      <c r="C5213" s="181"/>
      <c r="D5213" s="181"/>
      <c r="E5213" s="181"/>
      <c r="F5213" s="238"/>
      <c r="G5213" s="238"/>
      <c r="H5213" s="238"/>
      <c r="I5213" s="79"/>
      <c r="J5213" s="185"/>
      <c r="K5213" s="216"/>
      <c r="L5213" s="57"/>
    </row>
    <row r="5214" spans="1:12">
      <c r="A5214" s="36"/>
      <c r="B5214" s="37"/>
      <c r="C5214" s="181"/>
      <c r="D5214" s="181"/>
      <c r="E5214" s="181"/>
      <c r="F5214" s="238"/>
      <c r="G5214" s="238"/>
      <c r="H5214" s="238"/>
      <c r="I5214" s="79"/>
      <c r="J5214" s="185"/>
      <c r="K5214" s="216"/>
      <c r="L5214" s="57"/>
    </row>
    <row r="5215" spans="1:12">
      <c r="A5215" s="36"/>
      <c r="B5215" s="37"/>
      <c r="C5215" s="181"/>
      <c r="D5215" s="181"/>
      <c r="E5215" s="181"/>
      <c r="F5215" s="238"/>
      <c r="G5215" s="238"/>
      <c r="H5215" s="238"/>
      <c r="I5215" s="79"/>
      <c r="J5215" s="185"/>
      <c r="K5215" s="216"/>
      <c r="L5215" s="57"/>
    </row>
    <row r="5216" spans="1:12">
      <c r="A5216" s="36"/>
      <c r="B5216" s="37"/>
      <c r="C5216" s="181"/>
      <c r="D5216" s="181"/>
      <c r="E5216" s="181"/>
      <c r="F5216" s="238"/>
      <c r="G5216" s="238"/>
      <c r="H5216" s="238"/>
      <c r="I5216" s="79"/>
      <c r="J5216" s="185"/>
      <c r="K5216" s="216"/>
      <c r="L5216" s="57"/>
    </row>
    <row r="5217" spans="1:12">
      <c r="A5217" s="36"/>
      <c r="B5217" s="37"/>
      <c r="C5217" s="181"/>
      <c r="D5217" s="181"/>
      <c r="E5217" s="181"/>
      <c r="F5217" s="238"/>
      <c r="G5217" s="238"/>
      <c r="H5217" s="238"/>
      <c r="I5217" s="79"/>
      <c r="J5217" s="185"/>
      <c r="K5217" s="216"/>
      <c r="L5217" s="57"/>
    </row>
    <row r="5218" spans="1:12">
      <c r="A5218" s="36"/>
      <c r="B5218" s="37"/>
      <c r="C5218" s="181"/>
      <c r="D5218" s="181"/>
      <c r="E5218" s="181"/>
      <c r="F5218" s="238"/>
      <c r="G5218" s="238"/>
      <c r="H5218" s="238"/>
      <c r="I5218" s="79"/>
      <c r="J5218" s="185"/>
      <c r="K5218" s="216"/>
      <c r="L5218" s="57"/>
    </row>
    <row r="5219" spans="1:12">
      <c r="A5219" s="36"/>
      <c r="B5219" s="37"/>
      <c r="C5219" s="181"/>
      <c r="D5219" s="181"/>
      <c r="E5219" s="181"/>
      <c r="F5219" s="238"/>
      <c r="G5219" s="238"/>
      <c r="H5219" s="238"/>
      <c r="I5219" s="79"/>
      <c r="J5219" s="185"/>
      <c r="K5219" s="216"/>
      <c r="L5219" s="57"/>
    </row>
    <row r="5220" spans="1:12">
      <c r="A5220" s="36"/>
      <c r="B5220" s="37"/>
      <c r="C5220" s="181"/>
      <c r="D5220" s="181"/>
      <c r="E5220" s="181"/>
      <c r="F5220" s="238"/>
      <c r="G5220" s="238"/>
      <c r="H5220" s="238"/>
      <c r="I5220" s="79"/>
      <c r="J5220" s="185"/>
      <c r="K5220" s="216"/>
      <c r="L5220" s="57"/>
    </row>
    <row r="5221" spans="1:12">
      <c r="A5221" s="36"/>
      <c r="B5221" s="37"/>
      <c r="C5221" s="181"/>
      <c r="D5221" s="181"/>
      <c r="E5221" s="181"/>
      <c r="F5221" s="238"/>
      <c r="G5221" s="238"/>
      <c r="H5221" s="238"/>
      <c r="I5221" s="79"/>
      <c r="J5221" s="185"/>
      <c r="K5221" s="216"/>
      <c r="L5221" s="57"/>
    </row>
    <row r="5222" spans="1:12">
      <c r="A5222" s="36"/>
      <c r="B5222" s="37"/>
      <c r="C5222" s="181"/>
      <c r="D5222" s="181"/>
      <c r="E5222" s="181"/>
      <c r="F5222" s="238"/>
      <c r="G5222" s="238"/>
      <c r="H5222" s="238"/>
      <c r="I5222" s="79"/>
      <c r="J5222" s="185"/>
      <c r="K5222" s="216"/>
      <c r="L5222" s="57"/>
    </row>
    <row r="5223" spans="1:12">
      <c r="A5223" s="36"/>
      <c r="B5223" s="37"/>
      <c r="C5223" s="181"/>
      <c r="D5223" s="181"/>
      <c r="E5223" s="181"/>
      <c r="F5223" s="238"/>
      <c r="G5223" s="238"/>
      <c r="H5223" s="238"/>
      <c r="I5223" s="79"/>
      <c r="J5223" s="185"/>
      <c r="K5223" s="216"/>
      <c r="L5223" s="57"/>
    </row>
    <row r="5224" spans="1:12">
      <c r="A5224" s="36"/>
      <c r="B5224" s="37"/>
      <c r="C5224" s="181"/>
      <c r="D5224" s="181"/>
      <c r="E5224" s="181"/>
      <c r="F5224" s="238"/>
      <c r="G5224" s="238"/>
      <c r="H5224" s="238"/>
      <c r="I5224" s="79"/>
      <c r="J5224" s="185"/>
      <c r="K5224" s="216"/>
      <c r="L5224" s="57"/>
    </row>
    <row r="5225" spans="1:12">
      <c r="A5225" s="36"/>
      <c r="B5225" s="37"/>
      <c r="C5225" s="181"/>
      <c r="D5225" s="181"/>
      <c r="E5225" s="181"/>
      <c r="F5225" s="238"/>
      <c r="G5225" s="238"/>
      <c r="H5225" s="238"/>
      <c r="I5225" s="79"/>
      <c r="J5225" s="185"/>
      <c r="K5225" s="216"/>
      <c r="L5225" s="57"/>
    </row>
    <row r="5226" spans="1:12">
      <c r="A5226" s="36"/>
      <c r="B5226" s="37"/>
      <c r="C5226" s="181"/>
      <c r="D5226" s="181"/>
      <c r="E5226" s="181"/>
      <c r="F5226" s="238"/>
      <c r="G5226" s="238"/>
      <c r="H5226" s="238"/>
      <c r="I5226" s="79"/>
      <c r="J5226" s="185"/>
      <c r="K5226" s="216"/>
      <c r="L5226" s="57"/>
    </row>
    <row r="5227" spans="1:12">
      <c r="A5227" s="36"/>
      <c r="B5227" s="37"/>
      <c r="C5227" s="181"/>
      <c r="D5227" s="181"/>
      <c r="E5227" s="181"/>
      <c r="F5227" s="238"/>
      <c r="G5227" s="238"/>
      <c r="H5227" s="238"/>
      <c r="I5227" s="79"/>
      <c r="J5227" s="185"/>
      <c r="K5227" s="216"/>
      <c r="L5227" s="57"/>
    </row>
    <row r="5228" spans="1:12">
      <c r="A5228" s="36"/>
      <c r="B5228" s="37"/>
      <c r="C5228" s="181"/>
      <c r="D5228" s="181"/>
      <c r="E5228" s="181"/>
      <c r="F5228" s="238"/>
      <c r="G5228" s="238"/>
      <c r="H5228" s="238"/>
      <c r="I5228" s="79"/>
      <c r="J5228" s="185"/>
      <c r="K5228" s="216"/>
      <c r="L5228" s="57"/>
    </row>
    <row r="5229" spans="1:12">
      <c r="A5229" s="21"/>
      <c r="B5229" s="21"/>
      <c r="C5229" s="175"/>
      <c r="D5229" s="175"/>
      <c r="E5229" s="175"/>
      <c r="F5229" s="239"/>
      <c r="G5229" s="239"/>
      <c r="H5229" s="239"/>
      <c r="I5229" s="63"/>
      <c r="J5229" s="190"/>
      <c r="K5229" s="208"/>
      <c r="L5229" s="57"/>
    </row>
    <row r="5230" spans="1:12">
      <c r="A5230" s="36"/>
      <c r="B5230" s="37"/>
      <c r="C5230" s="181"/>
      <c r="D5230" s="181"/>
      <c r="E5230" s="181"/>
      <c r="F5230" s="238"/>
      <c r="G5230" s="238"/>
      <c r="H5230" s="238"/>
      <c r="I5230" s="79"/>
      <c r="J5230" s="185"/>
      <c r="K5230" s="216"/>
      <c r="L5230" s="57"/>
    </row>
    <row r="5231" spans="1:12">
      <c r="A5231" s="36"/>
      <c r="B5231" s="37"/>
      <c r="C5231" s="181"/>
      <c r="D5231" s="181"/>
      <c r="E5231" s="181"/>
      <c r="F5231" s="238"/>
      <c r="G5231" s="238"/>
      <c r="H5231" s="238"/>
      <c r="I5231" s="79"/>
      <c r="J5231" s="185"/>
      <c r="K5231" s="216"/>
      <c r="L5231" s="57"/>
    </row>
    <row r="5232" spans="1:12">
      <c r="A5232" s="21"/>
      <c r="B5232" s="21"/>
      <c r="C5232" s="175"/>
      <c r="D5232" s="175"/>
      <c r="E5232" s="175"/>
      <c r="F5232" s="239"/>
      <c r="G5232" s="239"/>
      <c r="H5232" s="239"/>
      <c r="I5232" s="63"/>
      <c r="J5232" s="190"/>
      <c r="K5232" s="208"/>
      <c r="L5232" s="57"/>
    </row>
    <row r="5233" spans="1:12">
      <c r="A5233" s="36"/>
      <c r="B5233" s="37"/>
      <c r="C5233" s="181"/>
      <c r="D5233" s="181"/>
      <c r="E5233" s="181"/>
      <c r="F5233" s="238"/>
      <c r="G5233" s="238"/>
      <c r="H5233" s="238"/>
      <c r="I5233" s="79"/>
      <c r="J5233" s="185"/>
      <c r="K5233" s="216"/>
      <c r="L5233" s="57"/>
    </row>
    <row r="5234" spans="1:12">
      <c r="A5234" s="36"/>
      <c r="B5234" s="37"/>
      <c r="C5234" s="181"/>
      <c r="D5234" s="181"/>
      <c r="E5234" s="181"/>
      <c r="F5234" s="238"/>
      <c r="G5234" s="238"/>
      <c r="H5234" s="238"/>
      <c r="I5234" s="79"/>
      <c r="J5234" s="185"/>
      <c r="K5234" s="216"/>
      <c r="L5234" s="57"/>
    </row>
    <row r="5235" spans="1:12">
      <c r="A5235" s="36"/>
      <c r="B5235" s="37"/>
      <c r="C5235" s="181"/>
      <c r="D5235" s="181"/>
      <c r="E5235" s="181"/>
      <c r="F5235" s="238"/>
      <c r="G5235" s="238"/>
      <c r="H5235" s="238"/>
      <c r="I5235" s="79"/>
      <c r="J5235" s="185"/>
      <c r="K5235" s="216"/>
      <c r="L5235" s="57"/>
    </row>
    <row r="5236" spans="1:12">
      <c r="A5236" s="36"/>
      <c r="B5236" s="37"/>
      <c r="C5236" s="181"/>
      <c r="D5236" s="181"/>
      <c r="E5236" s="181"/>
      <c r="F5236" s="238"/>
      <c r="G5236" s="238"/>
      <c r="H5236" s="238"/>
      <c r="I5236" s="79"/>
      <c r="J5236" s="185"/>
      <c r="K5236" s="216"/>
      <c r="L5236" s="57"/>
    </row>
    <row r="5237" spans="1:12">
      <c r="A5237" s="36"/>
      <c r="B5237" s="37"/>
      <c r="C5237" s="181"/>
      <c r="D5237" s="181"/>
      <c r="E5237" s="181"/>
      <c r="F5237" s="238"/>
      <c r="G5237" s="238"/>
      <c r="H5237" s="238"/>
      <c r="I5237" s="79"/>
      <c r="J5237" s="185"/>
      <c r="K5237" s="216"/>
      <c r="L5237" s="57"/>
    </row>
    <row r="5238" spans="1:12">
      <c r="A5238" s="36"/>
      <c r="B5238" s="37"/>
      <c r="C5238" s="181"/>
      <c r="D5238" s="181"/>
      <c r="E5238" s="181"/>
      <c r="F5238" s="238"/>
      <c r="G5238" s="238"/>
      <c r="H5238" s="238"/>
      <c r="I5238" s="79"/>
      <c r="J5238" s="185"/>
      <c r="K5238" s="216"/>
      <c r="L5238" s="57"/>
    </row>
    <row r="5239" spans="1:12">
      <c r="A5239" s="36"/>
      <c r="B5239" s="37"/>
      <c r="C5239" s="181"/>
      <c r="D5239" s="181"/>
      <c r="E5239" s="181"/>
      <c r="F5239" s="238"/>
      <c r="G5239" s="238"/>
      <c r="H5239" s="238"/>
      <c r="I5239" s="79"/>
      <c r="J5239" s="185"/>
      <c r="K5239" s="216"/>
      <c r="L5239" s="57"/>
    </row>
    <row r="5240" spans="1:12">
      <c r="A5240" s="36"/>
      <c r="B5240" s="37"/>
      <c r="C5240" s="181"/>
      <c r="D5240" s="181"/>
      <c r="E5240" s="181"/>
      <c r="F5240" s="238"/>
      <c r="G5240" s="238"/>
      <c r="H5240" s="238"/>
      <c r="I5240" s="79"/>
      <c r="J5240" s="185"/>
      <c r="K5240" s="216"/>
      <c r="L5240" s="57"/>
    </row>
    <row r="5241" spans="1:12">
      <c r="A5241" s="36"/>
      <c r="B5241" s="37"/>
      <c r="C5241" s="181"/>
      <c r="D5241" s="181"/>
      <c r="E5241" s="181"/>
      <c r="F5241" s="238"/>
      <c r="G5241" s="238"/>
      <c r="H5241" s="238"/>
      <c r="I5241" s="79"/>
      <c r="J5241" s="185"/>
      <c r="K5241" s="216"/>
      <c r="L5241" s="57"/>
    </row>
    <row r="5242" spans="1:12">
      <c r="A5242" s="36"/>
      <c r="B5242" s="37"/>
      <c r="C5242" s="181"/>
      <c r="D5242" s="181"/>
      <c r="E5242" s="181"/>
      <c r="F5242" s="238"/>
      <c r="G5242" s="238"/>
      <c r="H5242" s="238"/>
      <c r="I5242" s="79"/>
      <c r="J5242" s="185"/>
      <c r="K5242" s="216"/>
      <c r="L5242" s="57"/>
    </row>
    <row r="5243" spans="1:12">
      <c r="A5243" s="36"/>
      <c r="B5243" s="37"/>
      <c r="C5243" s="181"/>
      <c r="D5243" s="181"/>
      <c r="E5243" s="181"/>
      <c r="F5243" s="238"/>
      <c r="G5243" s="238"/>
      <c r="H5243" s="238"/>
      <c r="I5243" s="79"/>
      <c r="J5243" s="185"/>
      <c r="K5243" s="216"/>
      <c r="L5243" s="57"/>
    </row>
    <row r="5244" spans="1:12">
      <c r="A5244" s="36"/>
      <c r="B5244" s="37"/>
      <c r="C5244" s="181"/>
      <c r="D5244" s="181"/>
      <c r="E5244" s="181"/>
      <c r="F5244" s="238"/>
      <c r="G5244" s="238"/>
      <c r="H5244" s="238"/>
      <c r="I5244" s="79"/>
      <c r="J5244" s="185"/>
      <c r="K5244" s="216"/>
      <c r="L5244" s="57"/>
    </row>
    <row r="5245" spans="1:12">
      <c r="A5245" s="36"/>
      <c r="B5245" s="37"/>
      <c r="C5245" s="181"/>
      <c r="D5245" s="181"/>
      <c r="E5245" s="181"/>
      <c r="F5245" s="238"/>
      <c r="G5245" s="238"/>
      <c r="H5245" s="238"/>
      <c r="I5245" s="79"/>
      <c r="J5245" s="185"/>
      <c r="K5245" s="216"/>
      <c r="L5245" s="57"/>
    </row>
    <row r="5246" spans="1:12">
      <c r="A5246" s="36"/>
      <c r="B5246" s="37"/>
      <c r="C5246" s="181"/>
      <c r="D5246" s="181"/>
      <c r="E5246" s="181"/>
      <c r="F5246" s="238"/>
      <c r="G5246" s="238"/>
      <c r="H5246" s="238"/>
      <c r="I5246" s="79"/>
      <c r="J5246" s="185"/>
      <c r="K5246" s="216"/>
      <c r="L5246" s="57"/>
    </row>
    <row r="5247" spans="1:12">
      <c r="A5247" s="36"/>
      <c r="B5247" s="37"/>
      <c r="C5247" s="181"/>
      <c r="D5247" s="181"/>
      <c r="E5247" s="181"/>
      <c r="F5247" s="238"/>
      <c r="G5247" s="238"/>
      <c r="H5247" s="238"/>
      <c r="I5247" s="79"/>
      <c r="J5247" s="185"/>
      <c r="K5247" s="216"/>
      <c r="L5247" s="57"/>
    </row>
    <row r="5248" spans="1:12">
      <c r="A5248" s="36"/>
      <c r="B5248" s="37"/>
      <c r="C5248" s="181"/>
      <c r="D5248" s="181"/>
      <c r="E5248" s="181"/>
      <c r="F5248" s="238"/>
      <c r="G5248" s="238"/>
      <c r="H5248" s="238"/>
      <c r="I5248" s="79"/>
      <c r="J5248" s="185"/>
      <c r="K5248" s="216"/>
      <c r="L5248" s="57"/>
    </row>
    <row r="5249" spans="1:12">
      <c r="A5249" s="36"/>
      <c r="B5249" s="37"/>
      <c r="C5249" s="181"/>
      <c r="D5249" s="181"/>
      <c r="E5249" s="181"/>
      <c r="F5249" s="238"/>
      <c r="G5249" s="238"/>
      <c r="H5249" s="238"/>
      <c r="I5249" s="79"/>
      <c r="J5249" s="185"/>
      <c r="K5249" s="216"/>
      <c r="L5249" s="57"/>
    </row>
    <row r="5250" spans="1:12">
      <c r="A5250" s="36"/>
      <c r="B5250" s="37"/>
      <c r="C5250" s="181"/>
      <c r="D5250" s="181"/>
      <c r="E5250" s="181"/>
      <c r="F5250" s="238"/>
      <c r="G5250" s="238"/>
      <c r="H5250" s="238"/>
      <c r="I5250" s="79"/>
      <c r="J5250" s="185"/>
      <c r="K5250" s="216"/>
      <c r="L5250" s="57"/>
    </row>
    <row r="5251" spans="1:12">
      <c r="A5251" s="36"/>
      <c r="B5251" s="37"/>
      <c r="C5251" s="181"/>
      <c r="D5251" s="181"/>
      <c r="E5251" s="181"/>
      <c r="F5251" s="238"/>
      <c r="G5251" s="238"/>
      <c r="H5251" s="238"/>
      <c r="I5251" s="79"/>
      <c r="J5251" s="185"/>
      <c r="K5251" s="216"/>
      <c r="L5251" s="57"/>
    </row>
    <row r="5252" spans="1:12">
      <c r="A5252" s="36"/>
      <c r="B5252" s="37"/>
      <c r="C5252" s="181"/>
      <c r="D5252" s="181"/>
      <c r="E5252" s="181"/>
      <c r="F5252" s="238"/>
      <c r="G5252" s="238"/>
      <c r="H5252" s="238"/>
      <c r="I5252" s="79"/>
      <c r="J5252" s="185"/>
      <c r="K5252" s="216"/>
      <c r="L5252" s="57"/>
    </row>
    <row r="5253" spans="1:12">
      <c r="A5253" s="21"/>
      <c r="B5253" s="21"/>
      <c r="C5253" s="175"/>
      <c r="D5253" s="175"/>
      <c r="E5253" s="175"/>
      <c r="F5253" s="239"/>
      <c r="G5253" s="239"/>
      <c r="H5253" s="239"/>
      <c r="I5253" s="63"/>
      <c r="J5253" s="190"/>
      <c r="K5253" s="208"/>
      <c r="L5253" s="57"/>
    </row>
    <row r="5254" spans="1:12">
      <c r="A5254" s="36"/>
      <c r="B5254" s="37"/>
      <c r="C5254" s="181"/>
      <c r="D5254" s="181"/>
      <c r="E5254" s="181"/>
      <c r="F5254" s="238"/>
      <c r="G5254" s="238"/>
      <c r="H5254" s="238"/>
      <c r="I5254" s="79"/>
      <c r="J5254" s="185"/>
      <c r="K5254" s="216"/>
      <c r="L5254" s="57"/>
    </row>
    <row r="5255" spans="1:12">
      <c r="A5255" s="36"/>
      <c r="B5255" s="37"/>
      <c r="C5255" s="181"/>
      <c r="D5255" s="181"/>
      <c r="E5255" s="181"/>
      <c r="F5255" s="238"/>
      <c r="G5255" s="238"/>
      <c r="H5255" s="238"/>
      <c r="I5255" s="79"/>
      <c r="J5255" s="185"/>
      <c r="K5255" s="216"/>
      <c r="L5255" s="57"/>
    </row>
    <row r="5256" spans="1:12">
      <c r="A5256" s="36"/>
      <c r="B5256" s="37"/>
      <c r="C5256" s="181"/>
      <c r="D5256" s="181"/>
      <c r="E5256" s="181"/>
      <c r="F5256" s="238"/>
      <c r="G5256" s="238"/>
      <c r="H5256" s="238"/>
      <c r="I5256" s="79"/>
      <c r="J5256" s="185"/>
      <c r="K5256" s="216"/>
      <c r="L5256" s="57"/>
    </row>
    <row r="5257" spans="1:12">
      <c r="A5257" s="36"/>
      <c r="B5257" s="37"/>
      <c r="C5257" s="181"/>
      <c r="D5257" s="181"/>
      <c r="E5257" s="181"/>
      <c r="F5257" s="238"/>
      <c r="G5257" s="238"/>
      <c r="H5257" s="238"/>
      <c r="I5257" s="79"/>
      <c r="J5257" s="185"/>
      <c r="K5257" s="216"/>
      <c r="L5257" s="57"/>
    </row>
    <row r="5258" spans="1:12">
      <c r="A5258" s="36"/>
      <c r="B5258" s="37"/>
      <c r="C5258" s="181"/>
      <c r="D5258" s="181"/>
      <c r="E5258" s="181"/>
      <c r="F5258" s="238"/>
      <c r="G5258" s="238"/>
      <c r="H5258" s="238"/>
      <c r="I5258" s="79"/>
      <c r="J5258" s="185"/>
      <c r="K5258" s="216"/>
      <c r="L5258" s="57"/>
    </row>
    <row r="5259" spans="1:12">
      <c r="A5259" s="36"/>
      <c r="B5259" s="37"/>
      <c r="C5259" s="181"/>
      <c r="D5259" s="181"/>
      <c r="E5259" s="181"/>
      <c r="F5259" s="238"/>
      <c r="G5259" s="238"/>
      <c r="H5259" s="238"/>
      <c r="I5259" s="79"/>
      <c r="J5259" s="185"/>
      <c r="K5259" s="216"/>
      <c r="L5259" s="57"/>
    </row>
    <row r="5260" spans="1:12">
      <c r="A5260" s="23"/>
      <c r="B5260" s="14"/>
      <c r="C5260" s="182"/>
      <c r="D5260" s="182"/>
      <c r="E5260" s="182"/>
      <c r="F5260" s="240"/>
      <c r="G5260" s="240"/>
      <c r="H5260" s="240"/>
      <c r="I5260" s="73"/>
      <c r="J5260" s="191"/>
      <c r="K5260" s="207"/>
      <c r="L5260" s="57"/>
    </row>
    <row r="5261" spans="1:12">
      <c r="A5261" s="23"/>
      <c r="B5261" s="14"/>
      <c r="C5261" s="182"/>
      <c r="D5261" s="182"/>
      <c r="E5261" s="182"/>
      <c r="F5261" s="240"/>
      <c r="G5261" s="240"/>
      <c r="H5261" s="240"/>
      <c r="I5261" s="73"/>
      <c r="J5261" s="191"/>
      <c r="K5261" s="207"/>
      <c r="L5261" s="57"/>
    </row>
    <row r="5262" spans="1:12">
      <c r="A5262" s="23"/>
      <c r="B5262" s="14"/>
      <c r="C5262" s="182"/>
      <c r="D5262" s="182"/>
      <c r="E5262" s="182"/>
      <c r="F5262" s="240"/>
      <c r="G5262" s="240"/>
      <c r="H5262" s="240"/>
      <c r="I5262" s="73"/>
      <c r="J5262" s="191"/>
      <c r="K5262" s="207"/>
      <c r="L5262" s="57"/>
    </row>
    <row r="5263" spans="1:12">
      <c r="A5263" s="36"/>
      <c r="B5263" s="37"/>
      <c r="C5263" s="181"/>
      <c r="D5263" s="181"/>
      <c r="E5263" s="181"/>
      <c r="F5263" s="238"/>
      <c r="G5263" s="238"/>
      <c r="H5263" s="238"/>
      <c r="I5263" s="79"/>
      <c r="J5263" s="185"/>
      <c r="K5263" s="216"/>
      <c r="L5263" s="57"/>
    </row>
    <row r="5264" spans="1:12">
      <c r="A5264" s="36"/>
      <c r="B5264" s="37"/>
      <c r="C5264" s="181"/>
      <c r="D5264" s="181"/>
      <c r="E5264" s="181"/>
      <c r="F5264" s="238"/>
      <c r="G5264" s="238"/>
      <c r="H5264" s="238"/>
      <c r="I5264" s="79"/>
      <c r="J5264" s="185"/>
      <c r="K5264" s="216"/>
      <c r="L5264" s="57"/>
    </row>
    <row r="5265" spans="1:12">
      <c r="A5265" s="36"/>
      <c r="B5265" s="37"/>
      <c r="C5265" s="181"/>
      <c r="D5265" s="181"/>
      <c r="E5265" s="181"/>
      <c r="F5265" s="238"/>
      <c r="G5265" s="238"/>
      <c r="H5265" s="238"/>
      <c r="I5265" s="79"/>
      <c r="J5265" s="185"/>
      <c r="K5265" s="216"/>
      <c r="L5265" s="57"/>
    </row>
    <row r="5266" spans="1:12">
      <c r="A5266" s="36"/>
      <c r="B5266" s="37"/>
      <c r="C5266" s="181"/>
      <c r="D5266" s="181"/>
      <c r="E5266" s="181"/>
      <c r="F5266" s="238"/>
      <c r="G5266" s="238"/>
      <c r="H5266" s="238"/>
      <c r="I5266" s="79"/>
      <c r="J5266" s="185"/>
      <c r="K5266" s="216"/>
      <c r="L5266" s="57"/>
    </row>
    <row r="5267" spans="1:12">
      <c r="A5267" s="36"/>
      <c r="B5267" s="37"/>
      <c r="C5267" s="181"/>
      <c r="D5267" s="181"/>
      <c r="E5267" s="181"/>
      <c r="F5267" s="238"/>
      <c r="G5267" s="238"/>
      <c r="H5267" s="238"/>
      <c r="I5267" s="79"/>
      <c r="J5267" s="185"/>
      <c r="K5267" s="216"/>
      <c r="L5267" s="57"/>
    </row>
    <row r="5268" spans="1:12">
      <c r="A5268" s="36"/>
      <c r="B5268" s="37"/>
      <c r="C5268" s="181"/>
      <c r="D5268" s="181"/>
      <c r="E5268" s="181"/>
      <c r="F5268" s="238"/>
      <c r="G5268" s="238"/>
      <c r="H5268" s="238"/>
      <c r="I5268" s="79"/>
      <c r="J5268" s="185"/>
      <c r="K5268" s="216"/>
      <c r="L5268" s="57"/>
    </row>
    <row r="5269" spans="1:12">
      <c r="A5269" s="23"/>
      <c r="B5269" s="14"/>
      <c r="C5269" s="182"/>
      <c r="D5269" s="182"/>
      <c r="E5269" s="182"/>
      <c r="F5269" s="240"/>
      <c r="G5269" s="240"/>
      <c r="H5269" s="240"/>
      <c r="I5269" s="73"/>
      <c r="J5269" s="191"/>
      <c r="K5269" s="207"/>
      <c r="L5269" s="57"/>
    </row>
    <row r="5270" spans="1:12">
      <c r="A5270" s="36"/>
      <c r="B5270" s="37"/>
      <c r="C5270" s="181"/>
      <c r="D5270" s="181"/>
      <c r="E5270" s="181"/>
      <c r="F5270" s="238"/>
      <c r="G5270" s="238"/>
      <c r="H5270" s="238"/>
      <c r="I5270" s="79"/>
      <c r="J5270" s="185"/>
      <c r="K5270" s="216"/>
      <c r="L5270" s="57"/>
    </row>
    <row r="5271" spans="1:12">
      <c r="A5271" s="36"/>
      <c r="B5271" s="37"/>
      <c r="C5271" s="181"/>
      <c r="D5271" s="181"/>
      <c r="E5271" s="181"/>
      <c r="F5271" s="238"/>
      <c r="G5271" s="238"/>
      <c r="H5271" s="238"/>
      <c r="I5271" s="79"/>
      <c r="J5271" s="185"/>
      <c r="K5271" s="216"/>
      <c r="L5271" s="57"/>
    </row>
    <row r="5272" spans="1:12">
      <c r="A5272" s="36"/>
      <c r="B5272" s="37"/>
      <c r="C5272" s="181"/>
      <c r="D5272" s="181"/>
      <c r="E5272" s="181"/>
      <c r="F5272" s="238"/>
      <c r="G5272" s="238"/>
      <c r="H5272" s="238"/>
      <c r="I5272" s="79"/>
      <c r="J5272" s="185"/>
      <c r="K5272" s="216"/>
      <c r="L5272" s="57"/>
    </row>
    <row r="5273" spans="1:12">
      <c r="A5273" s="36"/>
      <c r="B5273" s="37"/>
      <c r="C5273" s="181"/>
      <c r="D5273" s="181"/>
      <c r="E5273" s="181"/>
      <c r="F5273" s="238"/>
      <c r="G5273" s="238"/>
      <c r="H5273" s="238"/>
      <c r="I5273" s="79"/>
      <c r="J5273" s="185"/>
      <c r="K5273" s="216"/>
      <c r="L5273" s="57"/>
    </row>
    <row r="5274" spans="1:12">
      <c r="A5274" s="36"/>
      <c r="B5274" s="37"/>
      <c r="C5274" s="181"/>
      <c r="D5274" s="181"/>
      <c r="E5274" s="181"/>
      <c r="F5274" s="238"/>
      <c r="G5274" s="238"/>
      <c r="H5274" s="238"/>
      <c r="I5274" s="79"/>
      <c r="J5274" s="185"/>
      <c r="K5274" s="216"/>
      <c r="L5274" s="57"/>
    </row>
    <row r="5275" spans="1:12">
      <c r="A5275" s="36"/>
      <c r="B5275" s="37"/>
      <c r="C5275" s="181"/>
      <c r="D5275" s="181"/>
      <c r="E5275" s="181"/>
      <c r="F5275" s="238"/>
      <c r="G5275" s="238"/>
      <c r="H5275" s="238"/>
      <c r="I5275" s="79"/>
      <c r="J5275" s="185"/>
      <c r="K5275" s="216"/>
      <c r="L5275" s="57"/>
    </row>
    <row r="5276" spans="1:12">
      <c r="A5276" s="36"/>
      <c r="B5276" s="37"/>
      <c r="C5276" s="181"/>
      <c r="D5276" s="181"/>
      <c r="E5276" s="181"/>
      <c r="F5276" s="238"/>
      <c r="G5276" s="238"/>
      <c r="H5276" s="238"/>
      <c r="I5276" s="79"/>
      <c r="J5276" s="185"/>
      <c r="K5276" s="216"/>
      <c r="L5276" s="58"/>
    </row>
    <row r="5277" spans="1:12">
      <c r="A5277" s="36"/>
      <c r="B5277" s="37"/>
      <c r="C5277" s="181"/>
      <c r="D5277" s="181"/>
      <c r="E5277" s="181"/>
      <c r="F5277" s="238"/>
      <c r="G5277" s="238"/>
      <c r="H5277" s="238"/>
      <c r="I5277" s="79"/>
      <c r="J5277" s="185"/>
      <c r="K5277" s="216"/>
      <c r="L5277" s="57"/>
    </row>
    <row r="5278" spans="1:12">
      <c r="A5278" s="36"/>
      <c r="B5278" s="37"/>
      <c r="C5278" s="181"/>
      <c r="D5278" s="181"/>
      <c r="E5278" s="181"/>
      <c r="F5278" s="238"/>
      <c r="G5278" s="238"/>
      <c r="H5278" s="238"/>
      <c r="I5278" s="79"/>
      <c r="J5278" s="185"/>
      <c r="K5278" s="216"/>
      <c r="L5278" s="57"/>
    </row>
    <row r="5279" spans="1:12">
      <c r="A5279" s="36"/>
      <c r="B5279" s="37"/>
      <c r="C5279" s="181"/>
      <c r="D5279" s="181"/>
      <c r="E5279" s="181"/>
      <c r="F5279" s="238"/>
      <c r="G5279" s="238"/>
      <c r="H5279" s="238"/>
      <c r="I5279" s="79"/>
      <c r="J5279" s="185"/>
      <c r="K5279" s="216"/>
      <c r="L5279" s="57"/>
    </row>
    <row r="5280" spans="1:12">
      <c r="A5280" s="36"/>
      <c r="B5280" s="37"/>
      <c r="C5280" s="181"/>
      <c r="D5280" s="181"/>
      <c r="E5280" s="181"/>
      <c r="F5280" s="238"/>
      <c r="G5280" s="238"/>
      <c r="H5280" s="238"/>
      <c r="I5280" s="79"/>
      <c r="J5280" s="185"/>
      <c r="K5280" s="216"/>
      <c r="L5280" s="57"/>
    </row>
    <row r="5281" spans="1:12">
      <c r="A5281" s="36"/>
      <c r="B5281" s="37"/>
      <c r="C5281" s="181"/>
      <c r="D5281" s="181"/>
      <c r="E5281" s="181"/>
      <c r="F5281" s="238"/>
      <c r="G5281" s="238"/>
      <c r="H5281" s="238"/>
      <c r="I5281" s="79"/>
      <c r="J5281" s="185"/>
      <c r="K5281" s="216"/>
      <c r="L5281" s="57"/>
    </row>
    <row r="5282" spans="1:12">
      <c r="A5282" s="36"/>
      <c r="B5282" s="37"/>
      <c r="C5282" s="181"/>
      <c r="D5282" s="181"/>
      <c r="E5282" s="181"/>
      <c r="F5282" s="238"/>
      <c r="G5282" s="238"/>
      <c r="H5282" s="238"/>
      <c r="I5282" s="79"/>
      <c r="J5282" s="185"/>
      <c r="K5282" s="216"/>
      <c r="L5282" s="57"/>
    </row>
    <row r="5283" spans="1:12">
      <c r="A5283" s="36"/>
      <c r="B5283" s="37"/>
      <c r="C5283" s="181"/>
      <c r="D5283" s="181"/>
      <c r="E5283" s="181"/>
      <c r="F5283" s="238"/>
      <c r="G5283" s="238"/>
      <c r="H5283" s="238"/>
      <c r="I5283" s="79"/>
      <c r="J5283" s="185"/>
      <c r="K5283" s="216"/>
      <c r="L5283" s="57"/>
    </row>
    <row r="5284" spans="1:12">
      <c r="A5284" s="36"/>
      <c r="B5284" s="37"/>
      <c r="C5284" s="181"/>
      <c r="D5284" s="181"/>
      <c r="E5284" s="181"/>
      <c r="F5284" s="238"/>
      <c r="G5284" s="238"/>
      <c r="H5284" s="238"/>
      <c r="I5284" s="79"/>
      <c r="J5284" s="185"/>
      <c r="K5284" s="216"/>
      <c r="L5284" s="57"/>
    </row>
    <row r="5285" spans="1:12">
      <c r="A5285" s="36"/>
      <c r="B5285" s="37"/>
      <c r="C5285" s="181"/>
      <c r="D5285" s="181"/>
      <c r="E5285" s="181"/>
      <c r="F5285" s="238"/>
      <c r="G5285" s="238"/>
      <c r="H5285" s="238"/>
      <c r="I5285" s="79"/>
      <c r="J5285" s="195"/>
      <c r="K5285" s="216"/>
      <c r="L5285" s="57"/>
    </row>
    <row r="5286" spans="1:12">
      <c r="A5286" s="23"/>
      <c r="B5286" s="14"/>
      <c r="C5286" s="182"/>
      <c r="D5286" s="182"/>
      <c r="E5286" s="182"/>
      <c r="F5286" s="240"/>
      <c r="G5286" s="240"/>
      <c r="H5286" s="240"/>
      <c r="I5286" s="73"/>
      <c r="J5286" s="191"/>
      <c r="K5286" s="207"/>
      <c r="L5286" s="57"/>
    </row>
    <row r="5287" spans="1:12">
      <c r="A5287" s="23"/>
      <c r="B5287" s="14"/>
      <c r="C5287" s="182"/>
      <c r="D5287" s="182"/>
      <c r="E5287" s="182"/>
      <c r="F5287" s="240"/>
      <c r="G5287" s="240"/>
      <c r="H5287" s="240"/>
      <c r="I5287" s="73"/>
      <c r="J5287" s="191"/>
      <c r="K5287" s="207"/>
      <c r="L5287" s="57"/>
    </row>
    <row r="5288" spans="1:12">
      <c r="A5288" s="23"/>
      <c r="B5288" s="14"/>
      <c r="C5288" s="182"/>
      <c r="D5288" s="182"/>
      <c r="E5288" s="182"/>
      <c r="F5288" s="240"/>
      <c r="G5288" s="240"/>
      <c r="H5288" s="240"/>
      <c r="I5288" s="73"/>
      <c r="J5288" s="191"/>
      <c r="K5288" s="207"/>
      <c r="L5288" s="57"/>
    </row>
    <row r="5289" spans="1:12">
      <c r="A5289" s="36"/>
      <c r="B5289" s="37"/>
      <c r="C5289" s="181"/>
      <c r="D5289" s="181"/>
      <c r="E5289" s="181"/>
      <c r="F5289" s="238"/>
      <c r="G5289" s="238"/>
      <c r="H5289" s="238"/>
      <c r="I5289" s="79"/>
      <c r="J5289" s="199"/>
      <c r="K5289" s="216"/>
      <c r="L5289" s="57"/>
    </row>
    <row r="5290" spans="1:12">
      <c r="A5290" s="36"/>
      <c r="B5290" s="37"/>
      <c r="C5290" s="181"/>
      <c r="D5290" s="181"/>
      <c r="E5290" s="181"/>
      <c r="F5290" s="238"/>
      <c r="G5290" s="238"/>
      <c r="H5290" s="238"/>
      <c r="I5290" s="79"/>
      <c r="J5290" s="185"/>
      <c r="K5290" s="216"/>
      <c r="L5290" s="57"/>
    </row>
    <row r="5291" spans="1:12">
      <c r="A5291" s="36"/>
      <c r="B5291" s="37"/>
      <c r="C5291" s="181"/>
      <c r="D5291" s="181"/>
      <c r="E5291" s="181"/>
      <c r="F5291" s="238"/>
      <c r="G5291" s="238"/>
      <c r="H5291" s="238"/>
      <c r="I5291" s="79"/>
      <c r="J5291" s="185"/>
      <c r="K5291" s="216"/>
      <c r="L5291" s="57"/>
    </row>
    <row r="5292" spans="1:12">
      <c r="A5292" s="36"/>
      <c r="B5292" s="37"/>
      <c r="C5292" s="181"/>
      <c r="D5292" s="181"/>
      <c r="E5292" s="181"/>
      <c r="F5292" s="238"/>
      <c r="G5292" s="238"/>
      <c r="H5292" s="238"/>
      <c r="I5292" s="79"/>
      <c r="J5292" s="199"/>
      <c r="K5292" s="216"/>
      <c r="L5292" s="57"/>
    </row>
    <row r="5293" spans="1:12">
      <c r="A5293" s="36"/>
      <c r="B5293" s="37"/>
      <c r="C5293" s="181"/>
      <c r="D5293" s="181"/>
      <c r="E5293" s="181"/>
      <c r="F5293" s="238"/>
      <c r="G5293" s="238"/>
      <c r="H5293" s="238"/>
      <c r="I5293" s="79"/>
      <c r="J5293" s="185"/>
      <c r="K5293" s="216"/>
      <c r="L5293" s="57"/>
    </row>
    <row r="5294" spans="1:12">
      <c r="A5294" s="21"/>
      <c r="B5294" s="21"/>
      <c r="C5294" s="175"/>
      <c r="D5294" s="175"/>
      <c r="E5294" s="175"/>
      <c r="F5294" s="239"/>
      <c r="G5294" s="239"/>
      <c r="H5294" s="239"/>
      <c r="I5294" s="63"/>
      <c r="J5294" s="190"/>
      <c r="K5294" s="208"/>
      <c r="L5294" s="57"/>
    </row>
    <row r="5295" spans="1:12">
      <c r="A5295" s="36"/>
      <c r="B5295" s="37"/>
      <c r="C5295" s="181"/>
      <c r="D5295" s="181"/>
      <c r="E5295" s="181"/>
      <c r="F5295" s="238"/>
      <c r="G5295" s="238"/>
      <c r="H5295" s="238"/>
      <c r="I5295" s="79"/>
      <c r="J5295" s="185"/>
      <c r="K5295" s="216"/>
      <c r="L5295" s="57"/>
    </row>
    <row r="5296" spans="1:12">
      <c r="A5296" s="36"/>
      <c r="B5296" s="37"/>
      <c r="C5296" s="181"/>
      <c r="D5296" s="181"/>
      <c r="E5296" s="181"/>
      <c r="F5296" s="238"/>
      <c r="G5296" s="238"/>
      <c r="H5296" s="238"/>
      <c r="I5296" s="79"/>
      <c r="J5296" s="185"/>
      <c r="K5296" s="216"/>
      <c r="L5296" s="57"/>
    </row>
    <row r="5297" spans="1:12">
      <c r="A5297" s="36"/>
      <c r="B5297" s="37"/>
      <c r="C5297" s="181"/>
      <c r="D5297" s="181"/>
      <c r="E5297" s="181"/>
      <c r="F5297" s="238"/>
      <c r="G5297" s="238"/>
      <c r="H5297" s="238"/>
      <c r="I5297" s="79"/>
      <c r="J5297" s="185"/>
      <c r="K5297" s="216"/>
      <c r="L5297" s="57"/>
    </row>
    <row r="5298" spans="1:12">
      <c r="A5298" s="36"/>
      <c r="B5298" s="37"/>
      <c r="C5298" s="181"/>
      <c r="D5298" s="181"/>
      <c r="E5298" s="181"/>
      <c r="F5298" s="238"/>
      <c r="G5298" s="238"/>
      <c r="H5298" s="238"/>
      <c r="I5298" s="79"/>
      <c r="J5298" s="185"/>
      <c r="K5298" s="216"/>
      <c r="L5298" s="57"/>
    </row>
    <row r="5299" spans="1:12">
      <c r="A5299" s="36"/>
      <c r="B5299" s="37"/>
      <c r="C5299" s="181"/>
      <c r="D5299" s="181"/>
      <c r="E5299" s="181"/>
      <c r="F5299" s="238"/>
      <c r="G5299" s="238"/>
      <c r="H5299" s="238"/>
      <c r="I5299" s="79"/>
      <c r="J5299" s="185"/>
      <c r="K5299" s="216"/>
      <c r="L5299" s="57"/>
    </row>
    <row r="5300" spans="1:12">
      <c r="A5300" s="36"/>
      <c r="B5300" s="37"/>
      <c r="C5300" s="181"/>
      <c r="D5300" s="181"/>
      <c r="E5300" s="181"/>
      <c r="F5300" s="238"/>
      <c r="G5300" s="238"/>
      <c r="H5300" s="238"/>
      <c r="I5300" s="79"/>
      <c r="J5300" s="199"/>
      <c r="K5300" s="216"/>
      <c r="L5300" s="57"/>
    </row>
    <row r="5301" spans="1:12">
      <c r="A5301" s="36"/>
      <c r="B5301" s="37"/>
      <c r="C5301" s="181"/>
      <c r="D5301" s="181"/>
      <c r="E5301" s="181"/>
      <c r="F5301" s="238"/>
      <c r="G5301" s="238"/>
      <c r="H5301" s="238"/>
      <c r="I5301" s="79"/>
      <c r="J5301" s="199"/>
      <c r="K5301" s="216"/>
      <c r="L5301" s="57"/>
    </row>
    <row r="5302" spans="1:12">
      <c r="A5302" s="36"/>
      <c r="B5302" s="37"/>
      <c r="C5302" s="181"/>
      <c r="D5302" s="181"/>
      <c r="E5302" s="181"/>
      <c r="F5302" s="238"/>
      <c r="G5302" s="238"/>
      <c r="H5302" s="238"/>
      <c r="I5302" s="79"/>
      <c r="J5302" s="185"/>
      <c r="K5302" s="216"/>
      <c r="L5302" s="57"/>
    </row>
    <row r="5303" spans="1:12">
      <c r="A5303" s="23"/>
      <c r="B5303" s="14"/>
      <c r="C5303" s="182"/>
      <c r="D5303" s="182"/>
      <c r="E5303" s="182"/>
      <c r="F5303" s="240"/>
      <c r="G5303" s="240"/>
      <c r="H5303" s="240"/>
      <c r="I5303" s="73"/>
      <c r="J5303" s="191"/>
      <c r="K5303" s="207"/>
      <c r="L5303" s="57"/>
    </row>
    <row r="5304" spans="1:12">
      <c r="A5304" s="36"/>
      <c r="B5304" s="37"/>
      <c r="C5304" s="181"/>
      <c r="D5304" s="181"/>
      <c r="E5304" s="181"/>
      <c r="F5304" s="238"/>
      <c r="G5304" s="238"/>
      <c r="H5304" s="238"/>
      <c r="I5304" s="79"/>
      <c r="J5304" s="199"/>
      <c r="K5304" s="216"/>
      <c r="L5304" s="57"/>
    </row>
    <row r="5305" spans="1:12">
      <c r="A5305" s="36"/>
      <c r="B5305" s="37"/>
      <c r="C5305" s="181"/>
      <c r="D5305" s="181"/>
      <c r="E5305" s="181"/>
      <c r="F5305" s="238"/>
      <c r="G5305" s="238"/>
      <c r="H5305" s="238"/>
      <c r="I5305" s="79"/>
      <c r="J5305" s="199"/>
      <c r="K5305" s="216"/>
      <c r="L5305" s="57"/>
    </row>
    <row r="5306" spans="1:12">
      <c r="A5306" s="36"/>
      <c r="B5306" s="37"/>
      <c r="C5306" s="181"/>
      <c r="D5306" s="181"/>
      <c r="E5306" s="181"/>
      <c r="F5306" s="238"/>
      <c r="G5306" s="238"/>
      <c r="H5306" s="238"/>
      <c r="I5306" s="79"/>
      <c r="J5306" s="199"/>
      <c r="K5306" s="216"/>
      <c r="L5306" s="57"/>
    </row>
    <row r="5307" spans="1:12">
      <c r="A5307" s="23"/>
      <c r="B5307" s="14"/>
      <c r="C5307" s="182"/>
      <c r="D5307" s="182"/>
      <c r="E5307" s="182"/>
      <c r="F5307" s="240"/>
      <c r="G5307" s="240"/>
      <c r="H5307" s="240"/>
      <c r="I5307" s="73"/>
      <c r="J5307" s="191"/>
      <c r="K5307" s="207"/>
      <c r="L5307" s="57"/>
    </row>
    <row r="5308" spans="1:12">
      <c r="A5308" s="36"/>
      <c r="B5308" s="37"/>
      <c r="C5308" s="181"/>
      <c r="D5308" s="181"/>
      <c r="E5308" s="181"/>
      <c r="F5308" s="238"/>
      <c r="G5308" s="238"/>
      <c r="H5308" s="238"/>
      <c r="I5308" s="79"/>
      <c r="J5308" s="199"/>
      <c r="K5308" s="216"/>
      <c r="L5308" s="57"/>
    </row>
    <row r="5309" spans="1:12">
      <c r="A5309" s="36"/>
      <c r="B5309" s="37"/>
      <c r="C5309" s="181"/>
      <c r="D5309" s="181"/>
      <c r="E5309" s="181"/>
      <c r="F5309" s="238"/>
      <c r="G5309" s="238"/>
      <c r="H5309" s="238"/>
      <c r="I5309" s="79"/>
      <c r="J5309" s="185"/>
      <c r="K5309" s="216"/>
      <c r="L5309" s="57"/>
    </row>
    <row r="5310" spans="1:12">
      <c r="A5310" s="36"/>
      <c r="B5310" s="37"/>
      <c r="C5310" s="181"/>
      <c r="D5310" s="181"/>
      <c r="E5310" s="181"/>
      <c r="F5310" s="238"/>
      <c r="G5310" s="238"/>
      <c r="H5310" s="238"/>
      <c r="I5310" s="79"/>
      <c r="J5310" s="185"/>
      <c r="K5310" s="216"/>
      <c r="L5310" s="57"/>
    </row>
    <row r="5311" spans="1:12">
      <c r="A5311" s="36"/>
      <c r="B5311" s="37"/>
      <c r="C5311" s="181"/>
      <c r="D5311" s="181"/>
      <c r="E5311" s="181"/>
      <c r="F5311" s="238"/>
      <c r="G5311" s="238"/>
      <c r="H5311" s="238"/>
      <c r="I5311" s="79"/>
      <c r="J5311" s="185"/>
      <c r="K5311" s="216"/>
      <c r="L5311" s="57"/>
    </row>
    <row r="5312" spans="1:12">
      <c r="A5312" s="21"/>
      <c r="B5312" s="21"/>
      <c r="C5312" s="175"/>
      <c r="D5312" s="175"/>
      <c r="E5312" s="175"/>
      <c r="F5312" s="239"/>
      <c r="G5312" s="239"/>
      <c r="H5312" s="239"/>
      <c r="I5312" s="63"/>
      <c r="J5312" s="190"/>
      <c r="K5312" s="208"/>
      <c r="L5312" s="57"/>
    </row>
    <row r="5313" spans="1:12">
      <c r="A5313" s="36"/>
      <c r="B5313" s="37"/>
      <c r="C5313" s="181"/>
      <c r="D5313" s="181"/>
      <c r="E5313" s="181"/>
      <c r="F5313" s="238"/>
      <c r="G5313" s="238"/>
      <c r="H5313" s="238"/>
      <c r="I5313" s="79"/>
      <c r="J5313" s="185"/>
      <c r="K5313" s="216"/>
      <c r="L5313" s="57"/>
    </row>
    <row r="5314" spans="1:12">
      <c r="A5314" s="36"/>
      <c r="B5314" s="37"/>
      <c r="C5314" s="181"/>
      <c r="D5314" s="181"/>
      <c r="E5314" s="181"/>
      <c r="F5314" s="238"/>
      <c r="G5314" s="238"/>
      <c r="H5314" s="238"/>
      <c r="I5314" s="79"/>
      <c r="J5314" s="191"/>
      <c r="K5314" s="216"/>
      <c r="L5314" s="57"/>
    </row>
    <row r="5315" spans="1:12">
      <c r="A5315" s="21"/>
      <c r="B5315" s="21"/>
      <c r="C5315" s="175"/>
      <c r="D5315" s="175"/>
      <c r="E5315" s="175"/>
      <c r="F5315" s="239"/>
      <c r="G5315" s="239"/>
      <c r="H5315" s="239"/>
      <c r="I5315" s="63"/>
      <c r="J5315" s="190"/>
      <c r="K5315" s="208"/>
      <c r="L5315" s="57"/>
    </row>
    <row r="5316" spans="1:12">
      <c r="A5316" s="36"/>
      <c r="B5316" s="37"/>
      <c r="C5316" s="181"/>
      <c r="D5316" s="181"/>
      <c r="E5316" s="181"/>
      <c r="F5316" s="238"/>
      <c r="G5316" s="238"/>
      <c r="H5316" s="238"/>
      <c r="I5316" s="79"/>
      <c r="J5316" s="199"/>
      <c r="K5316" s="216"/>
      <c r="L5316" s="57"/>
    </row>
    <row r="5317" spans="1:12">
      <c r="A5317" s="23"/>
      <c r="B5317" s="14"/>
      <c r="C5317" s="182"/>
      <c r="D5317" s="182"/>
      <c r="E5317" s="182"/>
      <c r="F5317" s="240"/>
      <c r="G5317" s="240"/>
      <c r="H5317" s="240"/>
      <c r="I5317" s="73"/>
      <c r="J5317" s="191"/>
      <c r="K5317" s="207"/>
      <c r="L5317" s="57"/>
    </row>
    <row r="5318" spans="1:12">
      <c r="A5318" s="21"/>
      <c r="B5318" s="21"/>
      <c r="C5318" s="175"/>
      <c r="D5318" s="175"/>
      <c r="E5318" s="175"/>
      <c r="F5318" s="239"/>
      <c r="G5318" s="239"/>
      <c r="H5318" s="239"/>
      <c r="I5318" s="63"/>
      <c r="J5318" s="190"/>
      <c r="K5318" s="208"/>
      <c r="L5318" s="57"/>
    </row>
    <row r="5319" spans="1:12">
      <c r="A5319" s="23"/>
      <c r="B5319" s="14"/>
      <c r="C5319" s="182"/>
      <c r="D5319" s="182"/>
      <c r="E5319" s="182"/>
      <c r="F5319" s="240"/>
      <c r="G5319" s="240"/>
      <c r="H5319" s="240"/>
      <c r="I5319" s="73"/>
      <c r="J5319" s="191"/>
      <c r="K5319" s="207"/>
      <c r="L5319" s="57"/>
    </row>
    <row r="5320" spans="1:12">
      <c r="A5320" s="23"/>
      <c r="B5320" s="14"/>
      <c r="C5320" s="182"/>
      <c r="D5320" s="182"/>
      <c r="E5320" s="182"/>
      <c r="F5320" s="240"/>
      <c r="G5320" s="240"/>
      <c r="H5320" s="240"/>
      <c r="I5320" s="73"/>
      <c r="J5320" s="191"/>
      <c r="K5320" s="207"/>
      <c r="L5320" s="57"/>
    </row>
    <row r="5321" spans="1:12">
      <c r="A5321" s="36"/>
      <c r="B5321" s="37"/>
      <c r="C5321" s="181"/>
      <c r="D5321" s="181"/>
      <c r="E5321" s="181"/>
      <c r="F5321" s="238"/>
      <c r="G5321" s="238"/>
      <c r="H5321" s="238"/>
      <c r="I5321" s="79"/>
      <c r="J5321" s="185"/>
      <c r="K5321" s="216"/>
      <c r="L5321" s="57"/>
    </row>
    <row r="5322" spans="1:12">
      <c r="A5322" s="23"/>
      <c r="B5322" s="14"/>
      <c r="C5322" s="182"/>
      <c r="D5322" s="182"/>
      <c r="E5322" s="182"/>
      <c r="F5322" s="240"/>
      <c r="G5322" s="240"/>
      <c r="H5322" s="240"/>
      <c r="I5322" s="73"/>
      <c r="J5322" s="191"/>
      <c r="K5322" s="207"/>
      <c r="L5322" s="57"/>
    </row>
    <row r="5323" spans="1:12">
      <c r="A5323" s="36"/>
      <c r="B5323" s="37"/>
      <c r="C5323" s="181"/>
      <c r="D5323" s="181"/>
      <c r="E5323" s="181"/>
      <c r="F5323" s="238"/>
      <c r="G5323" s="238"/>
      <c r="H5323" s="238"/>
      <c r="I5323" s="79"/>
      <c r="J5323" s="185"/>
      <c r="K5323" s="216"/>
      <c r="L5323" s="57"/>
    </row>
    <row r="5324" spans="1:12">
      <c r="A5324" s="19"/>
      <c r="B5324" s="7"/>
      <c r="C5324" s="174"/>
      <c r="D5324" s="175"/>
      <c r="E5324" s="175"/>
      <c r="F5324" s="229"/>
      <c r="G5324" s="229"/>
      <c r="H5324" s="229"/>
      <c r="I5324" s="72"/>
      <c r="J5324" s="185"/>
      <c r="K5324" s="205"/>
      <c r="L5324" s="57"/>
    </row>
    <row r="5325" spans="1:12">
      <c r="A5325" s="19"/>
      <c r="B5325" s="7"/>
      <c r="C5325" s="174"/>
      <c r="D5325" s="175"/>
      <c r="E5325" s="175"/>
      <c r="F5325" s="229"/>
      <c r="G5325" s="229"/>
      <c r="H5325" s="229"/>
      <c r="I5325" s="72"/>
      <c r="J5325" s="185"/>
      <c r="K5325" s="205"/>
      <c r="L5325" s="57"/>
    </row>
    <row r="5326" spans="1:12">
      <c r="A5326" s="45"/>
      <c r="B5326" s="46"/>
      <c r="C5326" s="174"/>
      <c r="D5326" s="174"/>
      <c r="E5326" s="174"/>
      <c r="F5326" s="228"/>
      <c r="G5326" s="228"/>
      <c r="H5326" s="228"/>
      <c r="I5326" s="61"/>
      <c r="J5326" s="185"/>
      <c r="K5326" s="204"/>
      <c r="L5326" s="57"/>
    </row>
    <row r="5327" spans="1:12">
      <c r="A5327" s="45"/>
      <c r="B5327" s="46"/>
      <c r="C5327" s="174"/>
      <c r="D5327" s="174"/>
      <c r="E5327" s="174"/>
      <c r="F5327" s="228"/>
      <c r="G5327" s="228"/>
      <c r="H5327" s="228"/>
      <c r="I5327" s="61"/>
      <c r="J5327" s="185"/>
      <c r="K5327" s="204"/>
      <c r="L5327" s="57"/>
    </row>
    <row r="5328" spans="1:12">
      <c r="A5328" s="47"/>
      <c r="B5328" s="48"/>
      <c r="C5328" s="175"/>
      <c r="D5328" s="175"/>
      <c r="E5328" s="175"/>
      <c r="F5328" s="241"/>
      <c r="G5328" s="241"/>
      <c r="H5328" s="241"/>
      <c r="I5328" s="68"/>
      <c r="J5328" s="190"/>
      <c r="K5328" s="221"/>
      <c r="L5328" s="57"/>
    </row>
    <row r="5329" spans="1:12">
      <c r="A5329" s="17"/>
      <c r="B5329" s="18"/>
      <c r="C5329" s="174"/>
      <c r="D5329" s="174"/>
      <c r="E5329" s="174"/>
      <c r="F5329" s="228"/>
      <c r="G5329" s="228"/>
      <c r="H5329" s="228"/>
      <c r="I5329" s="61"/>
      <c r="J5329" s="185"/>
      <c r="K5329" s="204"/>
      <c r="L5329" s="57"/>
    </row>
    <row r="5330" spans="1:12">
      <c r="A5330" s="17"/>
      <c r="B5330" s="18"/>
      <c r="C5330" s="174"/>
      <c r="D5330" s="174"/>
      <c r="E5330" s="174"/>
      <c r="F5330" s="228"/>
      <c r="G5330" s="228"/>
      <c r="H5330" s="228"/>
      <c r="I5330" s="61"/>
      <c r="J5330" s="185"/>
      <c r="K5330" s="204"/>
      <c r="L5330" s="57"/>
    </row>
    <row r="5331" spans="1:12">
      <c r="A5331" s="17"/>
      <c r="B5331" s="18"/>
      <c r="C5331" s="174"/>
      <c r="D5331" s="174"/>
      <c r="E5331" s="174"/>
      <c r="F5331" s="228"/>
      <c r="G5331" s="228"/>
      <c r="H5331" s="228"/>
      <c r="I5331" s="61"/>
      <c r="J5331" s="185"/>
      <c r="K5331" s="204"/>
      <c r="L5331" s="57"/>
    </row>
    <row r="5332" spans="1:12">
      <c r="A5332" s="49"/>
      <c r="B5332" s="50"/>
      <c r="C5332" s="182"/>
      <c r="D5332" s="182"/>
      <c r="E5332" s="182"/>
      <c r="F5332" s="240"/>
      <c r="G5332" s="240"/>
      <c r="H5332" s="240"/>
      <c r="I5332" s="87"/>
      <c r="J5332" s="191"/>
      <c r="K5332" s="222"/>
      <c r="L5332" s="57"/>
    </row>
    <row r="5333" spans="1:12">
      <c r="A5333" s="49"/>
      <c r="B5333" s="50"/>
      <c r="C5333" s="182"/>
      <c r="D5333" s="182"/>
      <c r="E5333" s="182"/>
      <c r="F5333" s="240"/>
      <c r="G5333" s="240"/>
      <c r="H5333" s="240"/>
      <c r="I5333" s="87"/>
      <c r="J5333" s="191"/>
      <c r="K5333" s="222"/>
      <c r="L5333" s="57"/>
    </row>
    <row r="5334" spans="1:12">
      <c r="A5334" s="17"/>
      <c r="B5334" s="18"/>
      <c r="C5334" s="174"/>
      <c r="D5334" s="174"/>
      <c r="E5334" s="174"/>
      <c r="F5334" s="228"/>
      <c r="G5334" s="228"/>
      <c r="H5334" s="228"/>
      <c r="I5334" s="61"/>
      <c r="J5334" s="185"/>
      <c r="K5334" s="204"/>
      <c r="L5334" s="57"/>
    </row>
    <row r="5335" spans="1:12">
      <c r="A5335" s="17"/>
      <c r="B5335" s="18"/>
      <c r="C5335" s="174"/>
      <c r="D5335" s="174"/>
      <c r="E5335" s="174"/>
      <c r="F5335" s="228"/>
      <c r="G5335" s="228"/>
      <c r="H5335" s="228"/>
      <c r="I5335" s="61"/>
      <c r="J5335" s="185"/>
      <c r="K5335" s="204"/>
      <c r="L5335" s="57"/>
    </row>
    <row r="5336" spans="1:12">
      <c r="A5336" s="17"/>
      <c r="B5336" s="18"/>
      <c r="C5336" s="174"/>
      <c r="D5336" s="174"/>
      <c r="E5336" s="174"/>
      <c r="F5336" s="228"/>
      <c r="G5336" s="228"/>
      <c r="H5336" s="228"/>
      <c r="I5336" s="61"/>
      <c r="J5336" s="185"/>
      <c r="K5336" s="204"/>
      <c r="L5336" s="57"/>
    </row>
    <row r="5337" spans="1:12">
      <c r="A5337" s="17"/>
      <c r="B5337" s="18"/>
      <c r="C5337" s="174"/>
      <c r="D5337" s="174"/>
      <c r="E5337" s="174"/>
      <c r="F5337" s="228"/>
      <c r="G5337" s="228"/>
      <c r="H5337" s="228"/>
      <c r="I5337" s="61"/>
      <c r="J5337" s="185"/>
      <c r="K5337" s="204"/>
      <c r="L5337" s="57"/>
    </row>
    <row r="5338" spans="1:12">
      <c r="A5338" s="51"/>
      <c r="B5338" s="52"/>
      <c r="C5338" s="175"/>
      <c r="D5338" s="175"/>
      <c r="E5338" s="175"/>
      <c r="F5338" s="241"/>
      <c r="G5338" s="241"/>
      <c r="H5338" s="241"/>
      <c r="I5338" s="65"/>
      <c r="J5338" s="190"/>
      <c r="K5338" s="223"/>
      <c r="L5338" s="57"/>
    </row>
    <row r="5339" spans="1:12">
      <c r="A5339" s="17"/>
      <c r="B5339" s="18"/>
      <c r="C5339" s="174"/>
      <c r="D5339" s="174"/>
      <c r="E5339" s="174"/>
      <c r="F5339" s="228"/>
      <c r="G5339" s="228"/>
      <c r="H5339" s="228"/>
      <c r="I5339" s="61"/>
      <c r="J5339" s="185"/>
      <c r="K5339" s="204"/>
      <c r="L5339" s="57"/>
    </row>
    <row r="5340" spans="1:12">
      <c r="A5340" s="17"/>
      <c r="B5340" s="18"/>
      <c r="C5340" s="174"/>
      <c r="D5340" s="174"/>
      <c r="E5340" s="174"/>
      <c r="F5340" s="228"/>
      <c r="G5340" s="228"/>
      <c r="H5340" s="228"/>
      <c r="I5340" s="61"/>
      <c r="J5340" s="185"/>
      <c r="K5340" s="204"/>
      <c r="L5340" s="57"/>
    </row>
    <row r="5341" spans="1:12">
      <c r="A5341" s="17"/>
      <c r="B5341" s="18"/>
      <c r="C5341" s="174"/>
      <c r="D5341" s="174"/>
      <c r="E5341" s="174"/>
      <c r="F5341" s="228"/>
      <c r="G5341" s="228"/>
      <c r="H5341" s="228"/>
      <c r="I5341" s="61"/>
      <c r="J5341" s="185"/>
      <c r="K5341" s="204"/>
      <c r="L5341" s="57"/>
    </row>
    <row r="5342" spans="1:12">
      <c r="A5342" s="17"/>
      <c r="B5342" s="18"/>
      <c r="C5342" s="174"/>
      <c r="D5342" s="174"/>
      <c r="E5342" s="174"/>
      <c r="F5342" s="228"/>
      <c r="G5342" s="228"/>
      <c r="H5342" s="228"/>
      <c r="I5342" s="61"/>
      <c r="J5342" s="185"/>
      <c r="K5342" s="204"/>
      <c r="L5342" s="57"/>
    </row>
    <row r="5343" spans="1:12">
      <c r="A5343" s="17"/>
      <c r="B5343" s="18"/>
      <c r="C5343" s="174"/>
      <c r="D5343" s="174"/>
      <c r="E5343" s="174"/>
      <c r="F5343" s="228"/>
      <c r="G5343" s="228"/>
      <c r="H5343" s="228"/>
      <c r="I5343" s="61"/>
      <c r="J5343" s="185"/>
      <c r="K5343" s="204"/>
      <c r="L5343" s="57"/>
    </row>
    <row r="5344" spans="1:12">
      <c r="A5344" s="17"/>
      <c r="B5344" s="18"/>
      <c r="C5344" s="174"/>
      <c r="D5344" s="174"/>
      <c r="E5344" s="174"/>
      <c r="F5344" s="228"/>
      <c r="G5344" s="228"/>
      <c r="H5344" s="228"/>
      <c r="I5344" s="61"/>
      <c r="J5344" s="185"/>
      <c r="K5344" s="204"/>
      <c r="L5344" s="57"/>
    </row>
    <row r="5345" spans="1:12">
      <c r="A5345" s="17"/>
      <c r="B5345" s="18"/>
      <c r="C5345" s="174"/>
      <c r="D5345" s="174"/>
      <c r="E5345" s="174"/>
      <c r="F5345" s="228"/>
      <c r="G5345" s="228"/>
      <c r="H5345" s="228"/>
      <c r="I5345" s="61"/>
      <c r="J5345" s="185"/>
      <c r="K5345" s="204"/>
      <c r="L5345" s="57"/>
    </row>
    <row r="5346" spans="1:12">
      <c r="A5346" s="51"/>
      <c r="B5346" s="52"/>
      <c r="C5346" s="175"/>
      <c r="D5346" s="175"/>
      <c r="E5346" s="175"/>
      <c r="F5346" s="241"/>
      <c r="G5346" s="241"/>
      <c r="H5346" s="241"/>
      <c r="I5346" s="65"/>
      <c r="J5346" s="190"/>
      <c r="K5346" s="223"/>
      <c r="L5346" s="57"/>
    </row>
    <row r="5347" spans="1:12">
      <c r="A5347" s="17"/>
      <c r="B5347" s="18"/>
      <c r="C5347" s="174"/>
      <c r="D5347" s="174"/>
      <c r="E5347" s="174"/>
      <c r="F5347" s="228"/>
      <c r="G5347" s="228"/>
      <c r="H5347" s="228"/>
      <c r="I5347" s="61"/>
      <c r="J5347" s="185"/>
      <c r="K5347" s="204"/>
      <c r="L5347" s="57"/>
    </row>
    <row r="5348" spans="1:12">
      <c r="A5348" s="51"/>
      <c r="B5348" s="52"/>
      <c r="C5348" s="175"/>
      <c r="D5348" s="175"/>
      <c r="E5348" s="175"/>
      <c r="F5348" s="241"/>
      <c r="G5348" s="241"/>
      <c r="H5348" s="241"/>
      <c r="I5348" s="65"/>
      <c r="J5348" s="190"/>
      <c r="K5348" s="223"/>
      <c r="L5348" s="57"/>
    </row>
    <row r="5349" spans="1:12">
      <c r="A5349" s="51"/>
      <c r="B5349" s="52"/>
      <c r="C5349" s="175"/>
      <c r="D5349" s="175"/>
      <c r="E5349" s="175"/>
      <c r="F5349" s="241"/>
      <c r="G5349" s="241"/>
      <c r="H5349" s="241"/>
      <c r="I5349" s="65"/>
      <c r="J5349" s="190"/>
      <c r="K5349" s="223"/>
      <c r="L5349" s="57"/>
    </row>
    <row r="5350" spans="1:12">
      <c r="A5350" s="51"/>
      <c r="B5350" s="52"/>
      <c r="C5350" s="175"/>
      <c r="D5350" s="175"/>
      <c r="E5350" s="175"/>
      <c r="F5350" s="241"/>
      <c r="G5350" s="241"/>
      <c r="H5350" s="241"/>
      <c r="I5350" s="65"/>
      <c r="J5350" s="190"/>
      <c r="K5350" s="223"/>
      <c r="L5350" s="57"/>
    </row>
    <row r="5351" spans="1:12">
      <c r="A5351" s="51"/>
      <c r="B5351" s="52"/>
      <c r="C5351" s="175"/>
      <c r="D5351" s="175"/>
      <c r="E5351" s="175"/>
      <c r="F5351" s="241"/>
      <c r="G5351" s="241"/>
      <c r="H5351" s="241"/>
      <c r="I5351" s="65"/>
      <c r="J5351" s="190"/>
      <c r="K5351" s="223"/>
      <c r="L5351" s="57"/>
    </row>
    <row r="5352" spans="1:12">
      <c r="A5352" s="53"/>
      <c r="B5352" s="54"/>
      <c r="C5352" s="175"/>
      <c r="D5352" s="175"/>
      <c r="E5352" s="175"/>
      <c r="F5352" s="242"/>
      <c r="G5352" s="242"/>
      <c r="H5352" s="242"/>
      <c r="I5352" s="67"/>
      <c r="J5352" s="190"/>
      <c r="K5352" s="224"/>
      <c r="L5352" s="57"/>
    </row>
    <row r="5353" spans="1:12">
      <c r="A5353" s="49"/>
      <c r="B5353" s="50"/>
      <c r="C5353" s="182"/>
      <c r="D5353" s="182"/>
      <c r="E5353" s="182"/>
      <c r="F5353" s="240"/>
      <c r="G5353" s="240"/>
      <c r="H5353" s="240"/>
      <c r="I5353" s="87"/>
      <c r="J5353" s="191"/>
      <c r="K5353" s="222"/>
      <c r="L5353" s="57"/>
    </row>
    <row r="5354" spans="1:12">
      <c r="A5354" s="49"/>
      <c r="B5354" s="50"/>
      <c r="C5354" s="182"/>
      <c r="D5354" s="182"/>
      <c r="E5354" s="182"/>
      <c r="F5354" s="240"/>
      <c r="G5354" s="240"/>
      <c r="H5354" s="240"/>
      <c r="I5354" s="87"/>
      <c r="J5354" s="191"/>
      <c r="K5354" s="222"/>
      <c r="L5354" s="57"/>
    </row>
    <row r="5355" spans="1:12">
      <c r="A5355" s="49"/>
      <c r="B5355" s="50"/>
      <c r="C5355" s="182"/>
      <c r="D5355" s="182"/>
      <c r="E5355" s="182"/>
      <c r="F5355" s="240"/>
      <c r="G5355" s="240"/>
      <c r="H5355" s="240"/>
      <c r="I5355" s="87"/>
      <c r="J5355" s="191"/>
      <c r="K5355" s="222"/>
      <c r="L5355" s="57"/>
    </row>
    <row r="5356" spans="1:12">
      <c r="A5356" s="49"/>
      <c r="B5356" s="50"/>
      <c r="C5356" s="182"/>
      <c r="D5356" s="182"/>
      <c r="E5356" s="182"/>
      <c r="F5356" s="240"/>
      <c r="G5356" s="240"/>
      <c r="H5356" s="240"/>
      <c r="I5356" s="87"/>
      <c r="J5356" s="191"/>
      <c r="K5356" s="222"/>
      <c r="L5356" s="57"/>
    </row>
    <row r="5357" spans="1:12">
      <c r="A5357" s="17"/>
      <c r="B5357" s="18"/>
      <c r="C5357" s="174"/>
      <c r="D5357" s="174"/>
      <c r="E5357" s="174"/>
      <c r="F5357" s="228"/>
      <c r="G5357" s="228"/>
      <c r="H5357" s="228"/>
      <c r="I5357" s="61"/>
      <c r="J5357" s="185"/>
      <c r="K5357" s="204"/>
      <c r="L5357" s="57"/>
    </row>
    <row r="5358" spans="1:12">
      <c r="A5358" s="17"/>
      <c r="B5358" s="18"/>
      <c r="C5358" s="174"/>
      <c r="D5358" s="174"/>
      <c r="E5358" s="174"/>
      <c r="F5358" s="228"/>
      <c r="G5358" s="228"/>
      <c r="H5358" s="228"/>
      <c r="I5358" s="61"/>
      <c r="J5358" s="185"/>
      <c r="K5358" s="204"/>
      <c r="L5358" s="57"/>
    </row>
    <row r="5359" spans="1:12">
      <c r="A5359" s="53"/>
      <c r="B5359" s="54"/>
      <c r="C5359" s="175"/>
      <c r="D5359" s="175"/>
      <c r="E5359" s="175"/>
      <c r="F5359" s="242"/>
      <c r="G5359" s="242"/>
      <c r="H5359" s="242"/>
      <c r="I5359" s="67"/>
      <c r="J5359" s="190"/>
      <c r="K5359" s="224"/>
      <c r="L5359" s="57"/>
    </row>
    <row r="5360" spans="1:12">
      <c r="A5360" s="17"/>
      <c r="B5360" s="18"/>
      <c r="C5360" s="174"/>
      <c r="D5360" s="174"/>
      <c r="E5360" s="174"/>
      <c r="F5360" s="228"/>
      <c r="G5360" s="228"/>
      <c r="H5360" s="228"/>
      <c r="I5360" s="61"/>
      <c r="J5360" s="185"/>
      <c r="K5360" s="204"/>
      <c r="L5360" s="57"/>
    </row>
    <row r="5361" spans="1:12">
      <c r="A5361" s="55"/>
      <c r="B5361" s="56"/>
      <c r="C5361" s="175"/>
      <c r="D5361" s="175"/>
      <c r="E5361" s="175"/>
      <c r="F5361" s="241"/>
      <c r="G5361" s="241"/>
      <c r="H5361" s="241"/>
      <c r="I5361" s="69"/>
      <c r="J5361" s="190"/>
      <c r="K5361" s="225"/>
      <c r="L5361" s="57"/>
    </row>
    <row r="5362" spans="1:12">
      <c r="A5362" s="55"/>
      <c r="B5362" s="56"/>
      <c r="C5362" s="175"/>
      <c r="D5362" s="175"/>
      <c r="E5362" s="175"/>
      <c r="F5362" s="241"/>
      <c r="G5362" s="241"/>
      <c r="H5362" s="241"/>
      <c r="I5362" s="69"/>
      <c r="J5362" s="201"/>
      <c r="K5362" s="225"/>
      <c r="L5362" s="57"/>
    </row>
    <row r="5363" spans="1:12">
      <c r="A5363" s="55"/>
      <c r="B5363" s="56"/>
      <c r="C5363" s="175"/>
      <c r="D5363" s="175"/>
      <c r="E5363" s="175"/>
      <c r="F5363" s="241"/>
      <c r="G5363" s="241"/>
      <c r="H5363" s="241"/>
      <c r="I5363" s="69"/>
      <c r="J5363" s="190"/>
      <c r="K5363" s="225"/>
      <c r="L5363" s="57"/>
    </row>
    <row r="5364" spans="1:12">
      <c r="A5364" s="15"/>
      <c r="B5364" s="16"/>
      <c r="F5364" s="243"/>
      <c r="G5364" s="243"/>
      <c r="H5364" s="243"/>
      <c r="I5364" s="88"/>
      <c r="L5364" s="89"/>
    </row>
    <row r="5365" spans="1:12">
      <c r="A5365" s="9"/>
      <c r="B5365" s="10"/>
      <c r="F5365" s="244"/>
      <c r="G5365" s="244"/>
      <c r="H5365" s="244"/>
      <c r="I5365" s="90"/>
      <c r="L5365" s="12"/>
    </row>
    <row r="5366" spans="1:12">
      <c r="A5366" s="3"/>
      <c r="B5366" s="1"/>
      <c r="F5366" s="245"/>
      <c r="G5366" s="245"/>
      <c r="H5366" s="245"/>
      <c r="I5366" s="91"/>
      <c r="J5366" s="203"/>
      <c r="K5366" s="227"/>
      <c r="L5366" s="11"/>
    </row>
  </sheetData>
  <sortState ref="A4:N5362">
    <sortCondition descending="1" ref="A4:A5362"/>
  </sortState>
  <mergeCells count="1">
    <mergeCell ref="A1:I3"/>
  </mergeCells>
  <phoneticPr fontId="4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4"/>
  <sheetViews>
    <sheetView zoomScale="85" zoomScaleNormal="85" workbookViewId="0">
      <pane ySplit="4" topLeftCell="A5" activePane="bottomLeft" state="frozen"/>
      <selection pane="bottomLeft" activeCell="I21" sqref="I21"/>
    </sheetView>
  </sheetViews>
  <sheetFormatPr defaultRowHeight="12.75"/>
  <cols>
    <col min="2" max="2" width="15.85546875" customWidth="1"/>
    <col min="3" max="3" width="16.42578125" bestFit="1" customWidth="1"/>
    <col min="4" max="4" width="13.85546875" customWidth="1"/>
    <col min="5" max="5" width="11.28515625" bestFit="1" customWidth="1"/>
    <col min="6" max="6" width="13.85546875" style="106" bestFit="1" customWidth="1"/>
    <col min="7" max="7" width="23" style="148" customWidth="1"/>
    <col min="8" max="8" width="13.5703125" bestFit="1" customWidth="1"/>
    <col min="9" max="9" width="15.28515625" bestFit="1" customWidth="1"/>
    <col min="10" max="10" width="6.85546875" customWidth="1"/>
    <col min="11" max="11" width="14.140625" customWidth="1"/>
    <col min="12" max="12" width="6.85546875" customWidth="1"/>
    <col min="13" max="13" width="14.28515625" bestFit="1" customWidth="1"/>
    <col min="14" max="14" width="6.85546875" customWidth="1"/>
    <col min="15" max="15" width="13" customWidth="1"/>
    <col min="16" max="16" width="6.85546875" customWidth="1"/>
  </cols>
  <sheetData>
    <row r="1" spans="1:10" ht="13.5">
      <c r="A1" s="156" t="s">
        <v>324</v>
      </c>
      <c r="B1" s="157">
        <f>SUM(D1,F1,H1,J1)</f>
        <v>62288876</v>
      </c>
      <c r="C1" s="110" t="s">
        <v>311</v>
      </c>
      <c r="D1" s="158">
        <v>38628225</v>
      </c>
      <c r="E1" s="111" t="s">
        <v>321</v>
      </c>
      <c r="F1" s="158">
        <f>95+19411636</f>
        <v>19411731</v>
      </c>
      <c r="G1" s="112" t="s">
        <v>322</v>
      </c>
      <c r="H1" s="158">
        <v>4248817</v>
      </c>
      <c r="I1" s="113" t="s">
        <v>323</v>
      </c>
      <c r="J1" s="158">
        <v>103</v>
      </c>
    </row>
    <row r="4" spans="1:10" ht="13.5">
      <c r="A4" s="95" t="s">
        <v>306</v>
      </c>
      <c r="B4" s="96" t="s">
        <v>307</v>
      </c>
      <c r="C4" s="97" t="s">
        <v>308</v>
      </c>
      <c r="D4" s="98" t="s">
        <v>309</v>
      </c>
      <c r="E4" s="99" t="s">
        <v>310</v>
      </c>
      <c r="F4" s="99" t="s">
        <v>315</v>
      </c>
      <c r="G4" s="159" t="s">
        <v>379</v>
      </c>
    </row>
    <row r="5" spans="1:10" ht="13.5">
      <c r="A5" s="101" t="s">
        <v>311</v>
      </c>
      <c r="B5" s="100">
        <v>46113</v>
      </c>
      <c r="C5" s="102" t="s">
        <v>312</v>
      </c>
      <c r="D5" s="103"/>
      <c r="E5" s="103">
        <v>865520</v>
      </c>
      <c r="F5" s="106" t="s">
        <v>316</v>
      </c>
    </row>
    <row r="6" spans="1:10" ht="13.5">
      <c r="A6" s="101" t="s">
        <v>311</v>
      </c>
      <c r="B6" s="100">
        <v>46113</v>
      </c>
      <c r="C6" s="102" t="s">
        <v>312</v>
      </c>
      <c r="D6" s="103">
        <v>1787100</v>
      </c>
      <c r="E6" s="104"/>
      <c r="F6" s="106" t="s">
        <v>316</v>
      </c>
    </row>
    <row r="7" spans="1:10" ht="13.5">
      <c r="A7" s="101" t="s">
        <v>311</v>
      </c>
      <c r="B7" s="100">
        <v>46113</v>
      </c>
      <c r="C7" s="102" t="s">
        <v>10</v>
      </c>
      <c r="D7" s="103">
        <v>1298000</v>
      </c>
      <c r="E7" s="104"/>
      <c r="F7" s="106" t="s">
        <v>316</v>
      </c>
      <c r="G7" s="160" t="s">
        <v>390</v>
      </c>
    </row>
    <row r="8" spans="1:10" ht="13.5">
      <c r="A8" s="101" t="s">
        <v>311</v>
      </c>
      <c r="B8" s="100">
        <v>46114</v>
      </c>
      <c r="C8" s="102" t="s">
        <v>313</v>
      </c>
      <c r="D8" s="103">
        <v>176000</v>
      </c>
      <c r="E8" s="105"/>
      <c r="F8" s="106" t="s">
        <v>316</v>
      </c>
      <c r="G8" s="160" t="s">
        <v>391</v>
      </c>
    </row>
    <row r="9" spans="1:10" ht="13.5">
      <c r="A9" s="101" t="s">
        <v>311</v>
      </c>
      <c r="B9" s="100">
        <v>46114</v>
      </c>
      <c r="C9" s="102" t="s">
        <v>314</v>
      </c>
      <c r="D9" s="103"/>
      <c r="E9" s="105">
        <v>3000000</v>
      </c>
    </row>
    <row r="10" spans="1:10" ht="13.5">
      <c r="A10" s="101" t="s">
        <v>311</v>
      </c>
      <c r="B10" s="100">
        <v>46114</v>
      </c>
      <c r="C10" s="102" t="s">
        <v>312</v>
      </c>
      <c r="D10" s="103"/>
      <c r="E10" s="105">
        <v>1136300</v>
      </c>
      <c r="F10" s="106" t="s">
        <v>316</v>
      </c>
    </row>
    <row r="11" spans="1:10" ht="13.5">
      <c r="A11" s="101" t="s">
        <v>311</v>
      </c>
      <c r="B11" s="100">
        <v>46115</v>
      </c>
      <c r="C11" s="102" t="s">
        <v>18</v>
      </c>
      <c r="D11" s="103">
        <v>2200000</v>
      </c>
      <c r="E11" s="105"/>
      <c r="F11" s="106" t="s">
        <v>316</v>
      </c>
      <c r="G11" s="148" t="s">
        <v>43</v>
      </c>
    </row>
    <row r="12" spans="1:10" ht="13.5">
      <c r="A12" s="101" t="s">
        <v>311</v>
      </c>
      <c r="B12" s="100">
        <v>46115</v>
      </c>
      <c r="C12" s="102" t="s">
        <v>312</v>
      </c>
      <c r="D12" s="103"/>
      <c r="E12" s="105">
        <v>4629520</v>
      </c>
      <c r="F12" s="106" t="s">
        <v>316</v>
      </c>
    </row>
    <row r="13" spans="1:10" ht="13.5">
      <c r="A13" s="101" t="s">
        <v>311</v>
      </c>
      <c r="B13" s="100">
        <v>46115</v>
      </c>
      <c r="C13" s="102" t="s">
        <v>312</v>
      </c>
      <c r="D13" s="103"/>
      <c r="E13" s="103">
        <v>1171100</v>
      </c>
      <c r="F13" s="106" t="s">
        <v>316</v>
      </c>
    </row>
    <row r="14" spans="1:10" ht="13.5">
      <c r="A14" s="101" t="s">
        <v>311</v>
      </c>
      <c r="B14" s="100">
        <v>46116</v>
      </c>
      <c r="C14" s="102" t="s">
        <v>312</v>
      </c>
      <c r="D14" s="103"/>
      <c r="E14" s="105">
        <v>1301180</v>
      </c>
      <c r="F14" s="106" t="s">
        <v>316</v>
      </c>
    </row>
    <row r="15" spans="1:10" ht="13.5">
      <c r="A15" s="101" t="s">
        <v>311</v>
      </c>
      <c r="B15" s="100">
        <v>46117</v>
      </c>
      <c r="C15" s="102" t="s">
        <v>312</v>
      </c>
      <c r="D15" s="103"/>
      <c r="E15" s="105">
        <v>930970</v>
      </c>
      <c r="F15" s="106" t="s">
        <v>316</v>
      </c>
    </row>
    <row r="16" spans="1:10" ht="13.5">
      <c r="A16" s="101" t="s">
        <v>311</v>
      </c>
      <c r="B16" s="100">
        <v>46118</v>
      </c>
      <c r="C16" t="s">
        <v>23</v>
      </c>
      <c r="D16" s="103">
        <v>825000</v>
      </c>
      <c r="E16" s="105"/>
      <c r="F16" s="106" t="s">
        <v>316</v>
      </c>
      <c r="G16" s="160" t="s">
        <v>165</v>
      </c>
    </row>
    <row r="17" spans="1:7" ht="13.5">
      <c r="A17" s="101" t="s">
        <v>311</v>
      </c>
      <c r="B17" s="100">
        <v>46118</v>
      </c>
      <c r="C17" s="102" t="s">
        <v>312</v>
      </c>
      <c r="D17" s="103"/>
      <c r="E17" s="105">
        <v>706930</v>
      </c>
      <c r="F17" s="106" t="s">
        <v>316</v>
      </c>
    </row>
    <row r="18" spans="1:7" ht="13.5">
      <c r="A18" s="101" t="s">
        <v>311</v>
      </c>
      <c r="B18" s="100">
        <v>46119</v>
      </c>
      <c r="C18" s="102" t="s">
        <v>312</v>
      </c>
      <c r="D18" s="103"/>
      <c r="E18" s="105">
        <v>864550</v>
      </c>
      <c r="F18" s="106" t="s">
        <v>316</v>
      </c>
    </row>
    <row r="19" spans="1:7" ht="13.5">
      <c r="A19" s="101" t="s">
        <v>311</v>
      </c>
      <c r="B19" s="100">
        <v>46120</v>
      </c>
      <c r="C19" s="102" t="s">
        <v>18</v>
      </c>
      <c r="D19" s="103">
        <v>37863925</v>
      </c>
      <c r="E19" s="105"/>
      <c r="F19" s="106" t="s">
        <v>316</v>
      </c>
      <c r="G19" s="161" t="s">
        <v>392</v>
      </c>
    </row>
    <row r="20" spans="1:7" ht="13.5">
      <c r="A20" s="101" t="s">
        <v>311</v>
      </c>
      <c r="B20" s="100">
        <v>46120</v>
      </c>
      <c r="C20" s="102" t="s">
        <v>314</v>
      </c>
      <c r="D20" s="103"/>
      <c r="E20" s="105">
        <v>20000000</v>
      </c>
    </row>
    <row r="21" spans="1:7" ht="13.5">
      <c r="A21" s="101" t="s">
        <v>311</v>
      </c>
      <c r="B21" s="100">
        <v>46120</v>
      </c>
      <c r="C21" s="102" t="s">
        <v>314</v>
      </c>
      <c r="D21" s="103"/>
      <c r="E21" s="105">
        <v>5000000</v>
      </c>
    </row>
    <row r="22" spans="1:7" ht="13.5">
      <c r="A22" s="101" t="s">
        <v>311</v>
      </c>
      <c r="B22" s="100">
        <v>46120</v>
      </c>
      <c r="C22" s="150" t="s">
        <v>312</v>
      </c>
      <c r="D22" s="103"/>
      <c r="E22" s="105">
        <v>4544900</v>
      </c>
      <c r="F22" s="106" t="s">
        <v>316</v>
      </c>
    </row>
    <row r="23" spans="1:7" ht="13.5">
      <c r="A23" s="101" t="s">
        <v>311</v>
      </c>
      <c r="B23" s="100">
        <v>46120</v>
      </c>
      <c r="C23" s="150" t="s">
        <v>312</v>
      </c>
      <c r="D23" s="103"/>
      <c r="E23" s="105">
        <v>1126570</v>
      </c>
      <c r="F23" s="106" t="s">
        <v>316</v>
      </c>
    </row>
    <row r="24" spans="1:7" ht="13.5">
      <c r="A24" s="101" t="s">
        <v>311</v>
      </c>
      <c r="B24" s="100">
        <v>46120</v>
      </c>
      <c r="C24" s="150" t="s">
        <v>312</v>
      </c>
      <c r="D24" s="103"/>
      <c r="E24" s="105">
        <v>1012510</v>
      </c>
      <c r="F24" s="106" t="s">
        <v>316</v>
      </c>
    </row>
    <row r="25" spans="1:7" ht="13.5">
      <c r="A25" s="111" t="s">
        <v>321</v>
      </c>
      <c r="B25" s="100">
        <v>46120</v>
      </c>
      <c r="C25" s="102" t="s">
        <v>18</v>
      </c>
      <c r="D25" s="105">
        <v>1787500</v>
      </c>
      <c r="E25" s="105"/>
      <c r="F25" s="106" t="s">
        <v>316</v>
      </c>
      <c r="G25" s="148" t="s">
        <v>130</v>
      </c>
    </row>
    <row r="26" spans="1:7" ht="13.5">
      <c r="A26" s="101" t="s">
        <v>311</v>
      </c>
      <c r="B26" s="100">
        <v>46121</v>
      </c>
      <c r="C26" s="150" t="s">
        <v>312</v>
      </c>
      <c r="D26" s="103"/>
      <c r="E26" s="105">
        <v>795890</v>
      </c>
      <c r="F26" s="106" t="s">
        <v>316</v>
      </c>
    </row>
    <row r="27" spans="1:7" ht="13.5">
      <c r="A27" s="111" t="s">
        <v>321</v>
      </c>
      <c r="B27" s="100">
        <v>46122</v>
      </c>
      <c r="C27" s="150" t="s">
        <v>357</v>
      </c>
      <c r="D27" s="103">
        <v>861300</v>
      </c>
      <c r="E27" s="105"/>
      <c r="F27" s="106" t="s">
        <v>316</v>
      </c>
      <c r="G27" s="148" t="s">
        <v>62</v>
      </c>
    </row>
    <row r="28" spans="1:7" ht="13.5">
      <c r="A28" s="101" t="s">
        <v>311</v>
      </c>
      <c r="B28" s="100">
        <v>46122</v>
      </c>
      <c r="C28" s="102" t="s">
        <v>18</v>
      </c>
      <c r="D28" s="103">
        <v>3025000</v>
      </c>
      <c r="E28" s="105"/>
      <c r="F28" s="106" t="s">
        <v>316</v>
      </c>
      <c r="G28" s="160" t="s">
        <v>393</v>
      </c>
    </row>
    <row r="29" spans="1:7" ht="13.5">
      <c r="A29" s="101" t="s">
        <v>311</v>
      </c>
      <c r="B29" s="100">
        <v>46122</v>
      </c>
      <c r="C29" s="102" t="s">
        <v>361</v>
      </c>
      <c r="D29" s="103"/>
      <c r="E29" s="105">
        <v>1800</v>
      </c>
    </row>
    <row r="30" spans="1:7" ht="13.5">
      <c r="A30" s="101" t="s">
        <v>311</v>
      </c>
      <c r="B30" s="100">
        <v>46122</v>
      </c>
      <c r="C30" s="150" t="s">
        <v>312</v>
      </c>
      <c r="D30" s="103"/>
      <c r="E30" s="105">
        <v>3260880</v>
      </c>
      <c r="F30" s="106" t="s">
        <v>316</v>
      </c>
    </row>
    <row r="31" spans="1:7" ht="13.5">
      <c r="A31" s="101" t="s">
        <v>311</v>
      </c>
      <c r="B31" s="100">
        <v>46122</v>
      </c>
      <c r="C31" s="102" t="s">
        <v>363</v>
      </c>
      <c r="D31" s="103"/>
      <c r="E31" s="105">
        <v>1000000</v>
      </c>
    </row>
    <row r="32" spans="1:7" ht="13.5">
      <c r="A32" s="101" t="s">
        <v>311</v>
      </c>
      <c r="B32" s="100">
        <v>46122</v>
      </c>
      <c r="C32" s="102" t="s">
        <v>362</v>
      </c>
      <c r="D32" s="103"/>
      <c r="E32" s="105">
        <v>1000000</v>
      </c>
    </row>
    <row r="33" spans="1:7" ht="13.5">
      <c r="A33" s="101" t="s">
        <v>311</v>
      </c>
      <c r="B33" s="100">
        <v>46122</v>
      </c>
      <c r="C33" s="102" t="s">
        <v>364</v>
      </c>
      <c r="D33" s="103">
        <v>1512500</v>
      </c>
      <c r="E33" s="105"/>
      <c r="F33" s="106" t="s">
        <v>316</v>
      </c>
      <c r="G33" s="148" t="s">
        <v>156</v>
      </c>
    </row>
    <row r="34" spans="1:7" ht="13.5">
      <c r="A34" s="101" t="s">
        <v>311</v>
      </c>
      <c r="B34" s="100">
        <v>46122</v>
      </c>
      <c r="C34" s="102" t="s">
        <v>364</v>
      </c>
      <c r="D34" s="103">
        <v>19458703</v>
      </c>
      <c r="E34" s="105"/>
      <c r="F34" s="106" t="s">
        <v>316</v>
      </c>
      <c r="G34" s="148" t="s">
        <v>67</v>
      </c>
    </row>
    <row r="35" spans="1:7" ht="13.5">
      <c r="A35" s="101" t="s">
        <v>311</v>
      </c>
      <c r="B35" s="100">
        <v>46122</v>
      </c>
      <c r="C35" s="102" t="s">
        <v>364</v>
      </c>
      <c r="D35" s="103">
        <v>11217800</v>
      </c>
      <c r="E35" s="105"/>
      <c r="F35" s="106" t="s">
        <v>316</v>
      </c>
      <c r="G35" s="148" t="s">
        <v>42</v>
      </c>
    </row>
    <row r="36" spans="1:7" ht="13.5">
      <c r="A36" s="101" t="s">
        <v>311</v>
      </c>
      <c r="B36" s="100">
        <v>46122</v>
      </c>
      <c r="C36" s="102" t="s">
        <v>364</v>
      </c>
      <c r="D36" s="103">
        <v>2401300</v>
      </c>
      <c r="E36" s="105"/>
      <c r="F36" s="106" t="s">
        <v>316</v>
      </c>
      <c r="G36" s="148" t="s">
        <v>160</v>
      </c>
    </row>
    <row r="37" spans="1:7" ht="13.5">
      <c r="A37" s="101" t="s">
        <v>311</v>
      </c>
      <c r="B37" s="100">
        <v>46122</v>
      </c>
      <c r="C37" s="102" t="s">
        <v>364</v>
      </c>
      <c r="D37" s="103">
        <v>9485520</v>
      </c>
      <c r="E37" s="105"/>
      <c r="F37" s="106" t="s">
        <v>316</v>
      </c>
      <c r="G37" s="148" t="s">
        <v>41</v>
      </c>
    </row>
    <row r="38" spans="1:7" ht="13.5">
      <c r="A38" s="101" t="s">
        <v>311</v>
      </c>
      <c r="B38" s="100">
        <v>46122</v>
      </c>
      <c r="C38" s="102" t="s">
        <v>364</v>
      </c>
      <c r="D38" s="103">
        <v>753500</v>
      </c>
      <c r="E38" s="105"/>
      <c r="F38" s="106" t="s">
        <v>316</v>
      </c>
      <c r="G38" s="148" t="s">
        <v>40</v>
      </c>
    </row>
    <row r="39" spans="1:7" ht="13.5">
      <c r="A39" s="101" t="s">
        <v>311</v>
      </c>
      <c r="B39" s="100">
        <v>46122</v>
      </c>
      <c r="C39" s="102" t="s">
        <v>365</v>
      </c>
      <c r="D39" s="103">
        <v>6696800</v>
      </c>
      <c r="E39" s="105"/>
      <c r="F39" s="106" t="s">
        <v>316</v>
      </c>
      <c r="G39" s="148" t="s">
        <v>126</v>
      </c>
    </row>
    <row r="40" spans="1:7" ht="13.5">
      <c r="A40" s="101" t="s">
        <v>311</v>
      </c>
      <c r="B40" s="100">
        <v>46122</v>
      </c>
      <c r="C40" s="102" t="s">
        <v>365</v>
      </c>
      <c r="D40" s="103">
        <v>1339800</v>
      </c>
      <c r="E40" s="105"/>
      <c r="F40" s="106" t="s">
        <v>316</v>
      </c>
      <c r="G40" s="148" t="s">
        <v>127</v>
      </c>
    </row>
    <row r="41" spans="1:7" ht="13.5">
      <c r="A41" s="101" t="s">
        <v>311</v>
      </c>
      <c r="B41" s="100">
        <v>46122</v>
      </c>
      <c r="C41" s="102" t="s">
        <v>365</v>
      </c>
      <c r="D41" s="103">
        <v>382800</v>
      </c>
      <c r="E41" s="105"/>
      <c r="F41" s="106" t="s">
        <v>316</v>
      </c>
      <c r="G41" s="160" t="s">
        <v>173</v>
      </c>
    </row>
    <row r="42" spans="1:7" ht="13.5">
      <c r="A42" s="101" t="s">
        <v>311</v>
      </c>
      <c r="B42" s="100">
        <v>46122</v>
      </c>
      <c r="C42" s="102" t="s">
        <v>365</v>
      </c>
      <c r="D42" s="103">
        <v>1364000</v>
      </c>
      <c r="E42" s="105"/>
      <c r="F42" s="106" t="s">
        <v>316</v>
      </c>
      <c r="G42" s="148" t="s">
        <v>53</v>
      </c>
    </row>
    <row r="43" spans="1:7" ht="13.5">
      <c r="A43" s="101" t="s">
        <v>311</v>
      </c>
      <c r="B43" s="100">
        <v>46122</v>
      </c>
      <c r="C43" s="102" t="s">
        <v>366</v>
      </c>
      <c r="D43" s="103"/>
      <c r="E43" s="105">
        <v>20691660</v>
      </c>
      <c r="F43" s="106" t="s">
        <v>316</v>
      </c>
      <c r="G43" s="148" t="s">
        <v>271</v>
      </c>
    </row>
    <row r="44" spans="1:7" ht="13.5">
      <c r="A44" s="101" t="s">
        <v>311</v>
      </c>
      <c r="B44" s="100">
        <v>46122</v>
      </c>
      <c r="C44" s="102" t="s">
        <v>366</v>
      </c>
      <c r="D44" s="103"/>
      <c r="E44" s="105">
        <v>21048500</v>
      </c>
      <c r="F44" s="106" t="s">
        <v>316</v>
      </c>
      <c r="G44" s="161" t="s">
        <v>394</v>
      </c>
    </row>
    <row r="45" spans="1:7" ht="13.5">
      <c r="A45" s="101" t="s">
        <v>311</v>
      </c>
      <c r="B45" s="100">
        <v>46122</v>
      </c>
      <c r="C45" s="102" t="s">
        <v>312</v>
      </c>
      <c r="D45" s="103"/>
      <c r="E45" s="105">
        <v>1643900</v>
      </c>
      <c r="F45" s="106" t="s">
        <v>316</v>
      </c>
    </row>
    <row r="46" spans="1:7" ht="13.5">
      <c r="A46" s="101" t="s">
        <v>311</v>
      </c>
      <c r="B46" s="100">
        <v>46122</v>
      </c>
      <c r="C46" s="102" t="s">
        <v>312</v>
      </c>
      <c r="D46" s="103"/>
      <c r="E46" s="105">
        <v>3094400</v>
      </c>
      <c r="F46" s="106" t="s">
        <v>316</v>
      </c>
    </row>
    <row r="47" spans="1:7" ht="13.5">
      <c r="A47" s="101" t="s">
        <v>311</v>
      </c>
      <c r="B47" s="100">
        <v>46122</v>
      </c>
      <c r="C47" s="102" t="s">
        <v>312</v>
      </c>
      <c r="D47" s="103"/>
      <c r="E47" s="105">
        <v>982550</v>
      </c>
      <c r="F47" s="106" t="s">
        <v>316</v>
      </c>
    </row>
    <row r="48" spans="1:7" ht="13.5">
      <c r="A48" s="101" t="s">
        <v>311</v>
      </c>
      <c r="B48" s="100">
        <v>46123</v>
      </c>
      <c r="C48" s="102" t="s">
        <v>312</v>
      </c>
      <c r="D48" s="103"/>
      <c r="E48" s="105">
        <v>1752300</v>
      </c>
      <c r="F48" s="106" t="s">
        <v>316</v>
      </c>
    </row>
    <row r="49" spans="1:7" ht="13.5">
      <c r="A49" s="112" t="s">
        <v>322</v>
      </c>
      <c r="B49" s="100">
        <v>46123</v>
      </c>
      <c r="C49" s="155" t="s">
        <v>367</v>
      </c>
      <c r="D49" s="105">
        <v>4136000</v>
      </c>
      <c r="E49" s="105"/>
      <c r="F49" s="106" t="s">
        <v>316</v>
      </c>
      <c r="G49" s="160" t="s">
        <v>389</v>
      </c>
    </row>
    <row r="50" spans="1:7" ht="13.5">
      <c r="A50" s="101" t="s">
        <v>311</v>
      </c>
      <c r="B50" s="100">
        <v>46124</v>
      </c>
      <c r="C50" s="102" t="s">
        <v>312</v>
      </c>
      <c r="D50" s="103"/>
      <c r="E50" s="105">
        <v>2012460</v>
      </c>
      <c r="F50" s="106" t="s">
        <v>316</v>
      </c>
    </row>
    <row r="51" spans="1:7" ht="13.5">
      <c r="A51" s="101" t="s">
        <v>311</v>
      </c>
      <c r="B51" s="100">
        <v>46125</v>
      </c>
      <c r="C51" s="155" t="s">
        <v>369</v>
      </c>
      <c r="D51" s="105">
        <v>1650000</v>
      </c>
      <c r="E51" s="105"/>
      <c r="F51" s="106" t="s">
        <v>316</v>
      </c>
      <c r="G51" s="148" t="s">
        <v>170</v>
      </c>
    </row>
    <row r="52" spans="1:7" ht="13.5">
      <c r="A52" s="101" t="s">
        <v>311</v>
      </c>
      <c r="B52" s="100">
        <v>46125</v>
      </c>
      <c r="C52" s="155" t="s">
        <v>314</v>
      </c>
      <c r="D52" s="103">
        <v>78000000</v>
      </c>
      <c r="E52" s="105"/>
    </row>
    <row r="53" spans="1:7" ht="13.5">
      <c r="A53" s="101" t="s">
        <v>311</v>
      </c>
      <c r="B53" s="100">
        <v>46125</v>
      </c>
      <c r="C53" s="153" t="s">
        <v>370</v>
      </c>
      <c r="D53" s="103"/>
      <c r="E53" s="105">
        <v>41680</v>
      </c>
      <c r="G53" s="148" t="s">
        <v>378</v>
      </c>
    </row>
    <row r="54" spans="1:7" ht="13.5">
      <c r="A54" s="101" t="s">
        <v>311</v>
      </c>
      <c r="B54" s="100">
        <v>46125</v>
      </c>
      <c r="C54" s="153" t="s">
        <v>371</v>
      </c>
      <c r="D54" s="103"/>
      <c r="E54" s="105">
        <v>41680</v>
      </c>
      <c r="G54" s="148" t="s">
        <v>378</v>
      </c>
    </row>
    <row r="55" spans="1:7" ht="13.5">
      <c r="A55" s="101" t="s">
        <v>311</v>
      </c>
      <c r="B55" s="100">
        <v>46125</v>
      </c>
      <c r="C55" s="153" t="s">
        <v>372</v>
      </c>
      <c r="D55" s="103"/>
      <c r="E55" s="105">
        <v>41200</v>
      </c>
      <c r="G55" s="148" t="s">
        <v>378</v>
      </c>
    </row>
    <row r="56" spans="1:7" ht="13.5">
      <c r="A56" s="101" t="s">
        <v>311</v>
      </c>
      <c r="B56" s="100">
        <v>46125</v>
      </c>
      <c r="C56" s="153" t="s">
        <v>373</v>
      </c>
      <c r="D56" s="103"/>
      <c r="E56" s="105">
        <v>650</v>
      </c>
      <c r="G56" s="148" t="s">
        <v>378</v>
      </c>
    </row>
    <row r="57" spans="1:7" ht="13.5">
      <c r="A57" s="101" t="s">
        <v>311</v>
      </c>
      <c r="B57" s="100">
        <v>46125</v>
      </c>
      <c r="C57" s="153" t="s">
        <v>374</v>
      </c>
      <c r="D57" s="103"/>
      <c r="E57" s="105">
        <v>1800</v>
      </c>
      <c r="G57" s="148" t="s">
        <v>378</v>
      </c>
    </row>
    <row r="58" spans="1:7" ht="13.5">
      <c r="A58" s="101" t="s">
        <v>311</v>
      </c>
      <c r="B58" s="100">
        <v>46125</v>
      </c>
      <c r="C58" s="153" t="s">
        <v>375</v>
      </c>
      <c r="D58" s="103"/>
      <c r="E58" s="105">
        <v>3000</v>
      </c>
      <c r="G58" s="148" t="s">
        <v>378</v>
      </c>
    </row>
    <row r="59" spans="1:7" ht="13.5">
      <c r="A59" s="101" t="s">
        <v>311</v>
      </c>
      <c r="B59" s="100">
        <v>46125</v>
      </c>
      <c r="C59" s="153" t="s">
        <v>376</v>
      </c>
      <c r="D59" s="103"/>
      <c r="E59" s="105">
        <v>2000</v>
      </c>
      <c r="G59" s="148" t="s">
        <v>378</v>
      </c>
    </row>
    <row r="60" spans="1:7" ht="13.5">
      <c r="A60" s="101" t="s">
        <v>311</v>
      </c>
      <c r="B60" s="100">
        <v>46125</v>
      </c>
      <c r="C60" s="153" t="s">
        <v>377</v>
      </c>
      <c r="D60" s="103"/>
      <c r="E60" s="105">
        <v>134380</v>
      </c>
      <c r="G60" s="148" t="s">
        <v>378</v>
      </c>
    </row>
    <row r="61" spans="1:7" ht="13.5">
      <c r="A61" s="101" t="s">
        <v>311</v>
      </c>
      <c r="B61" s="100">
        <v>46125</v>
      </c>
      <c r="C61" s="155" t="s">
        <v>312</v>
      </c>
      <c r="D61" s="103"/>
      <c r="E61" s="105">
        <v>580230</v>
      </c>
      <c r="F61" s="106" t="s">
        <v>316</v>
      </c>
      <c r="G61" s="160" t="s">
        <v>395</v>
      </c>
    </row>
    <row r="62" spans="1:7" ht="13.5">
      <c r="A62" s="101" t="s">
        <v>311</v>
      </c>
      <c r="B62" s="100">
        <v>46126</v>
      </c>
      <c r="C62" s="153" t="s">
        <v>383</v>
      </c>
      <c r="D62" s="103"/>
      <c r="E62" s="105">
        <v>50000000</v>
      </c>
      <c r="G62" s="148" t="s">
        <v>386</v>
      </c>
    </row>
    <row r="63" spans="1:7" ht="13.5">
      <c r="A63" s="101" t="s">
        <v>311</v>
      </c>
      <c r="B63" s="100">
        <v>46126</v>
      </c>
      <c r="C63" s="153" t="s">
        <v>384</v>
      </c>
      <c r="D63" s="103"/>
      <c r="E63" s="105">
        <v>4550</v>
      </c>
      <c r="G63" s="148" t="s">
        <v>378</v>
      </c>
    </row>
    <row r="64" spans="1:7" ht="13.5">
      <c r="A64" s="101" t="s">
        <v>311</v>
      </c>
      <c r="B64" s="100">
        <v>46126</v>
      </c>
      <c r="C64" s="153" t="s">
        <v>385</v>
      </c>
      <c r="D64" s="103"/>
      <c r="E64" s="105">
        <v>311000</v>
      </c>
      <c r="G64" s="160" t="s">
        <v>387</v>
      </c>
    </row>
    <row r="65" spans="1:10" ht="13.5">
      <c r="A65" s="101" t="s">
        <v>311</v>
      </c>
      <c r="B65" s="100">
        <v>46126</v>
      </c>
      <c r="C65" s="153" t="s">
        <v>383</v>
      </c>
      <c r="D65" s="103"/>
      <c r="E65" s="105">
        <v>3114510</v>
      </c>
      <c r="G65" s="160" t="s">
        <v>388</v>
      </c>
    </row>
    <row r="66" spans="1:10" ht="13.5">
      <c r="A66" s="101" t="s">
        <v>311</v>
      </c>
      <c r="B66" s="100">
        <v>46126</v>
      </c>
      <c r="C66" s="155" t="s">
        <v>312</v>
      </c>
      <c r="D66" s="103"/>
      <c r="E66" s="105">
        <v>121850</v>
      </c>
      <c r="F66" s="106" t="s">
        <v>316</v>
      </c>
      <c r="G66" s="160" t="s">
        <v>396</v>
      </c>
    </row>
    <row r="67" spans="1:10" ht="13.5">
      <c r="A67" s="101" t="s">
        <v>311</v>
      </c>
      <c r="B67" s="100">
        <v>46126</v>
      </c>
      <c r="C67" s="155" t="s">
        <v>312</v>
      </c>
      <c r="D67" s="103"/>
      <c r="E67" s="105">
        <v>588940</v>
      </c>
      <c r="F67" s="106" t="s">
        <v>316</v>
      </c>
      <c r="G67" s="160" t="s">
        <v>395</v>
      </c>
    </row>
    <row r="68" spans="1:10" ht="13.5">
      <c r="A68" s="101" t="s">
        <v>311</v>
      </c>
      <c r="B68" s="100">
        <v>46127</v>
      </c>
      <c r="C68" s="153" t="s">
        <v>17</v>
      </c>
      <c r="D68" s="103">
        <v>4537500</v>
      </c>
      <c r="E68" s="105"/>
      <c r="F68" s="106" t="s">
        <v>316</v>
      </c>
      <c r="G68" s="148" t="s">
        <v>382</v>
      </c>
    </row>
    <row r="69" spans="1:10" ht="13.5">
      <c r="A69" s="101" t="s">
        <v>311</v>
      </c>
      <c r="B69" s="100">
        <v>46127</v>
      </c>
      <c r="C69" s="153" t="s">
        <v>17</v>
      </c>
      <c r="D69" s="103">
        <v>9175980</v>
      </c>
      <c r="E69" s="105"/>
      <c r="F69" s="106" t="s">
        <v>316</v>
      </c>
      <c r="G69" s="148" t="s">
        <v>171</v>
      </c>
      <c r="I69" s="162">
        <v>3425510</v>
      </c>
      <c r="J69" s="163" t="s">
        <v>424</v>
      </c>
    </row>
    <row r="70" spans="1:10" ht="13.5">
      <c r="A70" s="101" t="s">
        <v>311</v>
      </c>
      <c r="B70" s="100">
        <v>46127</v>
      </c>
      <c r="C70" s="153" t="s">
        <v>17</v>
      </c>
      <c r="D70" s="103">
        <v>935000</v>
      </c>
      <c r="E70" s="105"/>
      <c r="F70" s="106" t="s">
        <v>316</v>
      </c>
      <c r="G70" s="148" t="s">
        <v>400</v>
      </c>
      <c r="I70" s="162">
        <v>2000000</v>
      </c>
      <c r="J70" s="163" t="s">
        <v>425</v>
      </c>
    </row>
    <row r="71" spans="1:10" ht="13.5">
      <c r="A71" s="101" t="s">
        <v>311</v>
      </c>
      <c r="B71" s="100">
        <v>46127</v>
      </c>
      <c r="C71" s="153" t="s">
        <v>397</v>
      </c>
      <c r="D71" s="103">
        <v>2956800</v>
      </c>
      <c r="E71" s="105"/>
      <c r="F71" s="106" t="s">
        <v>316</v>
      </c>
      <c r="G71" s="148" t="s">
        <v>47</v>
      </c>
      <c r="I71" s="164">
        <f>I57</f>
        <v>0</v>
      </c>
      <c r="J71" s="163" t="s">
        <v>426</v>
      </c>
    </row>
    <row r="72" spans="1:10" ht="13.5">
      <c r="A72" s="101" t="s">
        <v>311</v>
      </c>
      <c r="B72" s="100">
        <v>46127</v>
      </c>
      <c r="C72" s="153" t="s">
        <v>398</v>
      </c>
      <c r="D72" s="103"/>
      <c r="E72" s="105">
        <v>12910700</v>
      </c>
      <c r="F72" s="106" t="s">
        <v>316</v>
      </c>
      <c r="G72" s="160" t="s">
        <v>404</v>
      </c>
      <c r="I72" s="164">
        <f>I65</f>
        <v>0</v>
      </c>
      <c r="J72" s="163" t="s">
        <v>427</v>
      </c>
    </row>
    <row r="73" spans="1:10" ht="13.5">
      <c r="A73" s="154" t="s">
        <v>321</v>
      </c>
      <c r="B73" s="100">
        <v>46127</v>
      </c>
      <c r="C73" s="153" t="s">
        <v>63</v>
      </c>
      <c r="D73" s="103">
        <v>962500</v>
      </c>
      <c r="E73" s="105"/>
      <c r="F73" s="106" t="s">
        <v>316</v>
      </c>
      <c r="G73" s="148" t="s">
        <v>125</v>
      </c>
      <c r="I73" s="165">
        <v>0</v>
      </c>
      <c r="J73" s="163" t="s">
        <v>428</v>
      </c>
    </row>
    <row r="74" spans="1:10" ht="13.5">
      <c r="A74" s="154" t="s">
        <v>321</v>
      </c>
      <c r="B74" s="100">
        <v>46127</v>
      </c>
      <c r="C74" s="153" t="s">
        <v>63</v>
      </c>
      <c r="D74" s="103">
        <v>154000</v>
      </c>
      <c r="E74" s="105"/>
      <c r="F74" s="106" t="s">
        <v>316</v>
      </c>
      <c r="G74" s="148" t="s">
        <v>163</v>
      </c>
      <c r="I74" s="165">
        <v>220000</v>
      </c>
      <c r="J74" s="163" t="s">
        <v>429</v>
      </c>
    </row>
    <row r="75" spans="1:10" ht="13.5">
      <c r="A75" s="154" t="s">
        <v>321</v>
      </c>
      <c r="B75" s="100">
        <v>46127</v>
      </c>
      <c r="C75" s="153" t="s">
        <v>63</v>
      </c>
      <c r="D75" s="103">
        <v>3795000</v>
      </c>
      <c r="E75" s="105"/>
      <c r="F75" s="106" t="s">
        <v>316</v>
      </c>
      <c r="G75" s="148" t="s">
        <v>168</v>
      </c>
      <c r="I75" s="165"/>
      <c r="J75" s="163" t="s">
        <v>430</v>
      </c>
    </row>
    <row r="76" spans="1:10" ht="13.5">
      <c r="A76" s="154" t="s">
        <v>321</v>
      </c>
      <c r="B76" s="100">
        <v>46127</v>
      </c>
      <c r="C76" s="153" t="s">
        <v>63</v>
      </c>
      <c r="D76" s="103">
        <v>5005000</v>
      </c>
      <c r="E76" s="105"/>
      <c r="F76" s="106" t="s">
        <v>316</v>
      </c>
      <c r="G76" s="148" t="s">
        <v>46</v>
      </c>
      <c r="I76" s="165"/>
      <c r="J76" s="163" t="s">
        <v>431</v>
      </c>
    </row>
    <row r="77" spans="1:10" ht="13.5">
      <c r="A77" s="101" t="s">
        <v>311</v>
      </c>
      <c r="B77" s="100">
        <v>46127</v>
      </c>
      <c r="C77" s="155" t="s">
        <v>312</v>
      </c>
      <c r="D77" s="103"/>
      <c r="E77" s="105">
        <v>602480</v>
      </c>
      <c r="F77" s="106" t="s">
        <v>316</v>
      </c>
      <c r="G77" s="160" t="s">
        <v>395</v>
      </c>
      <c r="I77" s="165"/>
      <c r="J77" s="163" t="s">
        <v>432</v>
      </c>
    </row>
    <row r="78" spans="1:10" ht="13.5">
      <c r="A78" s="101" t="s">
        <v>311</v>
      </c>
      <c r="B78" s="100">
        <v>46128</v>
      </c>
      <c r="C78" s="155" t="s">
        <v>312</v>
      </c>
      <c r="D78" s="103"/>
      <c r="E78" s="105">
        <v>863590</v>
      </c>
      <c r="F78" s="106" t="s">
        <v>316</v>
      </c>
      <c r="G78" s="160" t="s">
        <v>395</v>
      </c>
      <c r="I78" s="165"/>
      <c r="J78" s="163" t="s">
        <v>433</v>
      </c>
    </row>
    <row r="79" spans="1:10" ht="13.5">
      <c r="A79" s="101" t="s">
        <v>311</v>
      </c>
      <c r="B79" s="100">
        <v>46129</v>
      </c>
      <c r="C79" s="155" t="s">
        <v>418</v>
      </c>
      <c r="D79" s="103">
        <v>3437500</v>
      </c>
      <c r="E79" s="105"/>
      <c r="F79" s="106" t="s">
        <v>316</v>
      </c>
      <c r="G79" s="148" t="s">
        <v>43</v>
      </c>
      <c r="I79" s="165"/>
      <c r="J79" s="163" t="s">
        <v>434</v>
      </c>
    </row>
    <row r="80" spans="1:10" ht="13.5">
      <c r="A80" s="101" t="s">
        <v>311</v>
      </c>
      <c r="B80" s="100">
        <v>46129</v>
      </c>
      <c r="C80" s="155" t="s">
        <v>418</v>
      </c>
      <c r="D80" s="103">
        <v>3300000</v>
      </c>
      <c r="E80" s="105"/>
      <c r="F80" s="106" t="s">
        <v>316</v>
      </c>
      <c r="G80" s="148" t="s">
        <v>128</v>
      </c>
      <c r="I80" s="165"/>
      <c r="J80" s="163" t="s">
        <v>435</v>
      </c>
    </row>
    <row r="81" spans="1:10" ht="13.5">
      <c r="A81" s="101" t="s">
        <v>311</v>
      </c>
      <c r="B81" s="100">
        <v>46129</v>
      </c>
      <c r="C81" s="155" t="s">
        <v>312</v>
      </c>
      <c r="D81" s="103"/>
      <c r="E81" s="105">
        <v>24180</v>
      </c>
      <c r="F81" s="106" t="s">
        <v>316</v>
      </c>
      <c r="G81" s="160" t="s">
        <v>395</v>
      </c>
      <c r="I81" s="165"/>
      <c r="J81" s="163" t="s">
        <v>436</v>
      </c>
    </row>
    <row r="82" spans="1:10" ht="13.5">
      <c r="A82" s="101" t="s">
        <v>311</v>
      </c>
      <c r="B82" s="100">
        <v>46129</v>
      </c>
      <c r="C82" s="155" t="s">
        <v>366</v>
      </c>
      <c r="D82" s="103"/>
      <c r="E82" s="105">
        <v>1320000</v>
      </c>
      <c r="F82" s="106" t="s">
        <v>316</v>
      </c>
      <c r="G82" s="148" t="s">
        <v>420</v>
      </c>
      <c r="I82" s="166"/>
      <c r="J82" s="163" t="s">
        <v>437</v>
      </c>
    </row>
    <row r="83" spans="1:10" ht="13.5">
      <c r="A83" s="101" t="s">
        <v>311</v>
      </c>
      <c r="B83" s="100">
        <v>46129</v>
      </c>
      <c r="C83" s="155" t="s">
        <v>312</v>
      </c>
      <c r="D83" s="103"/>
      <c r="E83" s="105">
        <v>954480</v>
      </c>
      <c r="F83" s="106" t="s">
        <v>316</v>
      </c>
      <c r="G83" s="160" t="s">
        <v>395</v>
      </c>
      <c r="I83" s="167">
        <f>SUM(I69:I82)</f>
        <v>5645510</v>
      </c>
      <c r="J83" s="163"/>
    </row>
    <row r="84" spans="1:10" ht="13.5">
      <c r="A84" s="101" t="s">
        <v>311</v>
      </c>
      <c r="B84" s="100">
        <v>46130</v>
      </c>
      <c r="C84" s="155" t="s">
        <v>312</v>
      </c>
      <c r="D84" s="103"/>
      <c r="E84" s="105">
        <v>1648820</v>
      </c>
      <c r="F84" s="106" t="s">
        <v>316</v>
      </c>
      <c r="G84" s="160" t="s">
        <v>395</v>
      </c>
    </row>
    <row r="85" spans="1:10" ht="13.5">
      <c r="A85" s="101" t="s">
        <v>311</v>
      </c>
      <c r="B85" s="100">
        <v>46131</v>
      </c>
      <c r="C85" s="155" t="s">
        <v>312</v>
      </c>
      <c r="D85" s="103"/>
      <c r="E85" s="105">
        <v>1261990</v>
      </c>
      <c r="F85" s="106" t="s">
        <v>316</v>
      </c>
      <c r="G85" s="160" t="s">
        <v>395</v>
      </c>
    </row>
    <row r="86" spans="1:10" ht="13.5">
      <c r="A86" s="101" t="s">
        <v>311</v>
      </c>
      <c r="B86" s="100">
        <v>46132</v>
      </c>
      <c r="C86" s="169" t="s">
        <v>421</v>
      </c>
      <c r="D86" s="170"/>
      <c r="E86" s="171">
        <v>30402</v>
      </c>
      <c r="F86" s="172"/>
      <c r="G86" s="168"/>
    </row>
    <row r="87" spans="1:10" ht="13.5">
      <c r="A87" s="101" t="s">
        <v>311</v>
      </c>
      <c r="B87" s="100">
        <v>46132</v>
      </c>
      <c r="C87" s="153" t="s">
        <v>18</v>
      </c>
      <c r="D87" s="103">
        <v>2321000</v>
      </c>
      <c r="E87" s="105"/>
      <c r="F87" s="106" t="s">
        <v>316</v>
      </c>
      <c r="G87" s="148" t="s">
        <v>64</v>
      </c>
    </row>
    <row r="88" spans="1:10" ht="13.5">
      <c r="A88" s="101" t="s">
        <v>311</v>
      </c>
      <c r="B88" s="100">
        <v>46132</v>
      </c>
      <c r="C88" s="153" t="s">
        <v>18</v>
      </c>
      <c r="D88" s="103">
        <v>19506850</v>
      </c>
      <c r="E88" s="105"/>
      <c r="F88" s="106" t="s">
        <v>316</v>
      </c>
      <c r="G88" s="161" t="s">
        <v>439</v>
      </c>
    </row>
    <row r="89" spans="1:10" ht="13.5">
      <c r="A89" s="101" t="s">
        <v>311</v>
      </c>
      <c r="B89" s="100">
        <v>46132</v>
      </c>
      <c r="C89" s="153" t="s">
        <v>0</v>
      </c>
      <c r="D89" s="103">
        <v>10916950</v>
      </c>
      <c r="E89" s="105"/>
      <c r="F89" s="106" t="s">
        <v>440</v>
      </c>
      <c r="G89" s="148" t="s">
        <v>416</v>
      </c>
    </row>
    <row r="90" spans="1:10" ht="13.5">
      <c r="A90" s="101" t="s">
        <v>311</v>
      </c>
      <c r="B90" s="100">
        <v>46132</v>
      </c>
      <c r="C90" s="155" t="s">
        <v>312</v>
      </c>
      <c r="D90" s="103"/>
      <c r="E90" s="105">
        <v>8907700</v>
      </c>
      <c r="F90" s="106" t="s">
        <v>440</v>
      </c>
      <c r="G90" s="160" t="s">
        <v>422</v>
      </c>
    </row>
    <row r="91" spans="1:10" ht="13.5">
      <c r="A91" s="101" t="s">
        <v>311</v>
      </c>
      <c r="B91" s="100">
        <v>46132</v>
      </c>
      <c r="C91" s="155" t="s">
        <v>312</v>
      </c>
      <c r="D91" s="103"/>
      <c r="E91" s="105">
        <v>4061400</v>
      </c>
      <c r="F91" s="106" t="s">
        <v>440</v>
      </c>
      <c r="G91" s="160" t="s">
        <v>423</v>
      </c>
    </row>
    <row r="92" spans="1:10" ht="13.5">
      <c r="A92" s="101" t="s">
        <v>311</v>
      </c>
      <c r="B92" s="100">
        <v>46132</v>
      </c>
      <c r="C92" s="153" t="s">
        <v>17</v>
      </c>
      <c r="D92" s="103">
        <v>1223750</v>
      </c>
      <c r="E92" s="105"/>
      <c r="F92" s="106" t="s">
        <v>440</v>
      </c>
      <c r="G92" s="148" t="s">
        <v>171</v>
      </c>
    </row>
    <row r="93" spans="1:10" ht="13.5">
      <c r="A93" s="101" t="s">
        <v>311</v>
      </c>
      <c r="B93" s="100">
        <v>46132</v>
      </c>
      <c r="C93" s="153" t="s">
        <v>17</v>
      </c>
      <c r="D93" s="103">
        <v>550000</v>
      </c>
      <c r="E93" s="105"/>
      <c r="F93" s="106" t="s">
        <v>440</v>
      </c>
      <c r="G93" s="148" t="s">
        <v>174</v>
      </c>
    </row>
    <row r="94" spans="1:10" ht="13.5">
      <c r="A94" s="101" t="s">
        <v>311</v>
      </c>
      <c r="B94" s="100">
        <v>46132</v>
      </c>
      <c r="C94" s="153" t="s">
        <v>17</v>
      </c>
      <c r="D94" s="103">
        <v>1787500</v>
      </c>
      <c r="E94" s="105"/>
      <c r="F94" s="106" t="s">
        <v>440</v>
      </c>
      <c r="G94" s="148" t="s">
        <v>65</v>
      </c>
    </row>
    <row r="95" spans="1:10" ht="13.5">
      <c r="A95" s="101" t="s">
        <v>311</v>
      </c>
      <c r="B95" s="100">
        <v>46132</v>
      </c>
      <c r="C95" s="155" t="s">
        <v>312</v>
      </c>
      <c r="D95" s="103"/>
      <c r="E95" s="105">
        <v>1150300</v>
      </c>
      <c r="F95" s="106" t="s">
        <v>440</v>
      </c>
      <c r="G95" s="160" t="s">
        <v>395</v>
      </c>
    </row>
    <row r="96" spans="1:10" ht="13.5">
      <c r="A96" s="101" t="s">
        <v>311</v>
      </c>
      <c r="B96" s="100">
        <v>46133</v>
      </c>
      <c r="C96" s="155" t="s">
        <v>312</v>
      </c>
      <c r="D96" s="103"/>
      <c r="E96" s="105">
        <v>500940</v>
      </c>
      <c r="F96" s="106" t="s">
        <v>440</v>
      </c>
      <c r="G96" s="160" t="s">
        <v>395</v>
      </c>
    </row>
    <row r="97" spans="1:7" ht="13.5">
      <c r="A97" s="101" t="s">
        <v>311</v>
      </c>
      <c r="B97" s="100">
        <v>46134</v>
      </c>
      <c r="C97" s="153" t="s">
        <v>445</v>
      </c>
      <c r="D97" s="103"/>
      <c r="E97" s="105">
        <v>4032886</v>
      </c>
      <c r="G97" s="148" t="s">
        <v>446</v>
      </c>
    </row>
    <row r="98" spans="1:7" ht="13.5">
      <c r="A98" s="101" t="s">
        <v>311</v>
      </c>
      <c r="B98" s="100">
        <v>46134</v>
      </c>
      <c r="C98" s="155" t="s">
        <v>312</v>
      </c>
      <c r="D98" s="103"/>
      <c r="E98" s="105">
        <v>1349990</v>
      </c>
      <c r="F98" s="106" t="s">
        <v>440</v>
      </c>
      <c r="G98" s="160" t="s">
        <v>395</v>
      </c>
    </row>
    <row r="99" spans="1:7" ht="13.5">
      <c r="A99" s="101" t="s">
        <v>311</v>
      </c>
      <c r="B99" s="100">
        <v>46135</v>
      </c>
      <c r="C99" s="155" t="s">
        <v>312</v>
      </c>
      <c r="D99" s="103"/>
      <c r="E99" s="105">
        <v>1070540</v>
      </c>
      <c r="F99" s="106" t="s">
        <v>440</v>
      </c>
      <c r="G99" s="160" t="s">
        <v>395</v>
      </c>
    </row>
    <row r="100" spans="1:7" ht="13.5">
      <c r="A100" s="154" t="s">
        <v>321</v>
      </c>
      <c r="B100" s="100">
        <v>46136</v>
      </c>
      <c r="C100" s="153" t="s">
        <v>33</v>
      </c>
      <c r="D100" s="103">
        <v>4143700</v>
      </c>
      <c r="E100" s="105"/>
      <c r="F100" s="106" t="s">
        <v>440</v>
      </c>
      <c r="G100" s="148" t="s">
        <v>413</v>
      </c>
    </row>
    <row r="101" spans="1:7" ht="13.5">
      <c r="A101" s="154" t="s">
        <v>321</v>
      </c>
      <c r="B101" s="100">
        <v>46136</v>
      </c>
      <c r="C101" s="153" t="s">
        <v>33</v>
      </c>
      <c r="D101" s="103">
        <v>691900</v>
      </c>
      <c r="E101" s="105"/>
      <c r="F101" s="106" t="s">
        <v>440</v>
      </c>
      <c r="G101" s="148" t="s">
        <v>414</v>
      </c>
    </row>
    <row r="102" spans="1:7" ht="13.5">
      <c r="A102" s="154" t="s">
        <v>321</v>
      </c>
      <c r="B102" s="100">
        <v>46136</v>
      </c>
      <c r="C102" s="153" t="s">
        <v>33</v>
      </c>
      <c r="D102" s="103">
        <v>1287000</v>
      </c>
      <c r="E102" s="105"/>
      <c r="F102" s="106" t="s">
        <v>440</v>
      </c>
      <c r="G102" s="148" t="s">
        <v>408</v>
      </c>
    </row>
    <row r="103" spans="1:7" ht="13.5">
      <c r="A103" s="154" t="s">
        <v>321</v>
      </c>
      <c r="B103" s="100">
        <v>46136</v>
      </c>
      <c r="C103" s="153" t="s">
        <v>33</v>
      </c>
      <c r="D103" s="103">
        <v>382800</v>
      </c>
      <c r="E103" s="105"/>
      <c r="F103" s="106" t="s">
        <v>440</v>
      </c>
      <c r="G103" s="148" t="s">
        <v>411</v>
      </c>
    </row>
    <row r="104" spans="1:7" ht="13.5">
      <c r="A104" s="101" t="s">
        <v>311</v>
      </c>
      <c r="B104" s="100">
        <v>46136</v>
      </c>
      <c r="C104" s="155" t="s">
        <v>312</v>
      </c>
      <c r="D104" s="103"/>
      <c r="E104" s="103">
        <v>1435110</v>
      </c>
      <c r="F104" s="106" t="s">
        <v>440</v>
      </c>
      <c r="G104" s="160" t="s">
        <v>395</v>
      </c>
    </row>
    <row r="105" spans="1:7" ht="13.5">
      <c r="A105" s="101" t="s">
        <v>311</v>
      </c>
      <c r="B105" s="100">
        <v>46136</v>
      </c>
      <c r="C105" s="155" t="s">
        <v>314</v>
      </c>
      <c r="D105" s="103"/>
      <c r="E105" s="105">
        <v>4000000</v>
      </c>
    </row>
    <row r="106" spans="1:7" ht="13.5">
      <c r="A106" s="101" t="s">
        <v>311</v>
      </c>
      <c r="B106" s="100">
        <v>46136</v>
      </c>
      <c r="C106" s="155" t="s">
        <v>17</v>
      </c>
      <c r="D106" s="103">
        <v>467500</v>
      </c>
      <c r="E106" s="105"/>
      <c r="F106" s="106" t="s">
        <v>440</v>
      </c>
      <c r="G106" s="148" t="s">
        <v>417</v>
      </c>
    </row>
    <row r="107" spans="1:7" ht="13.5">
      <c r="A107" s="101" t="s">
        <v>311</v>
      </c>
      <c r="B107" s="100">
        <v>46136</v>
      </c>
      <c r="C107" s="153" t="s">
        <v>398</v>
      </c>
      <c r="D107" s="103"/>
      <c r="E107" s="105">
        <v>924000</v>
      </c>
      <c r="F107" s="106" t="s">
        <v>440</v>
      </c>
      <c r="G107" s="247" t="s">
        <v>453</v>
      </c>
    </row>
    <row r="108" spans="1:7" ht="13.5">
      <c r="A108" s="101" t="s">
        <v>311</v>
      </c>
      <c r="B108" s="100">
        <v>46136</v>
      </c>
      <c r="C108" s="153" t="s">
        <v>398</v>
      </c>
      <c r="D108" s="103"/>
      <c r="E108" s="105">
        <v>4208050</v>
      </c>
      <c r="F108" s="106" t="s">
        <v>440</v>
      </c>
      <c r="G108" s="148" t="s">
        <v>449</v>
      </c>
    </row>
    <row r="109" spans="1:7" ht="13.5">
      <c r="A109" s="112" t="s">
        <v>322</v>
      </c>
      <c r="B109" s="100">
        <v>46136</v>
      </c>
      <c r="C109" s="155" t="s">
        <v>454</v>
      </c>
      <c r="D109" s="103"/>
      <c r="E109" s="105">
        <v>220000</v>
      </c>
      <c r="F109" s="106" t="s">
        <v>440</v>
      </c>
      <c r="G109" s="160" t="s">
        <v>456</v>
      </c>
    </row>
    <row r="110" spans="1:7" ht="13.5">
      <c r="A110" s="101" t="s">
        <v>311</v>
      </c>
      <c r="B110" s="100">
        <v>46137</v>
      </c>
      <c r="C110" s="155" t="s">
        <v>312</v>
      </c>
      <c r="D110" s="103"/>
      <c r="E110" s="105">
        <v>1325820</v>
      </c>
      <c r="F110" s="106" t="s">
        <v>440</v>
      </c>
      <c r="G110" s="160" t="s">
        <v>395</v>
      </c>
    </row>
    <row r="111" spans="1:7" ht="13.5">
      <c r="A111" s="101" t="s">
        <v>311</v>
      </c>
      <c r="B111" s="100">
        <v>46138</v>
      </c>
      <c r="C111" s="155" t="s">
        <v>312</v>
      </c>
      <c r="D111" s="103"/>
      <c r="E111" s="105">
        <v>1447710</v>
      </c>
      <c r="F111" s="106" t="s">
        <v>440</v>
      </c>
      <c r="G111" s="160" t="s">
        <v>395</v>
      </c>
    </row>
    <row r="112" spans="1:7" ht="13.5">
      <c r="A112" s="154"/>
      <c r="B112" s="100"/>
      <c r="C112" s="153"/>
      <c r="D112" s="103"/>
      <c r="E112" s="105"/>
    </row>
    <row r="113" spans="1:5" ht="13.5">
      <c r="A113" s="154"/>
      <c r="B113" s="100"/>
      <c r="C113" s="153"/>
      <c r="D113" s="103"/>
      <c r="E113" s="105"/>
    </row>
    <row r="114" spans="1:5" ht="13.5">
      <c r="A114" s="154"/>
      <c r="B114" s="100"/>
      <c r="C114" s="153"/>
      <c r="D114" s="103"/>
      <c r="E114" s="105"/>
    </row>
    <row r="115" spans="1:5" ht="13.5">
      <c r="A115" s="154"/>
      <c r="B115" s="100"/>
      <c r="C115" s="153"/>
      <c r="D115" s="103"/>
      <c r="E115" s="105"/>
    </row>
    <row r="116" spans="1:5" ht="13.5">
      <c r="A116" s="154"/>
      <c r="B116" s="100"/>
      <c r="C116" s="153"/>
      <c r="D116" s="103"/>
      <c r="E116" s="105"/>
    </row>
    <row r="117" spans="1:5" ht="13.5">
      <c r="A117" s="154"/>
      <c r="B117" s="100"/>
      <c r="C117" s="153"/>
      <c r="D117" s="103"/>
      <c r="E117" s="105"/>
    </row>
    <row r="118" spans="1:5" ht="13.5">
      <c r="A118" s="154"/>
      <c r="B118" s="100"/>
      <c r="C118" s="153"/>
      <c r="D118" s="103"/>
      <c r="E118" s="105"/>
    </row>
    <row r="119" spans="1:5" ht="13.5">
      <c r="A119" s="154"/>
      <c r="B119" s="100"/>
      <c r="C119" s="153"/>
      <c r="D119" s="103"/>
      <c r="E119" s="105"/>
    </row>
    <row r="120" spans="1:5" ht="13.5">
      <c r="A120" s="154"/>
      <c r="B120" s="100"/>
      <c r="C120" s="153"/>
      <c r="D120" s="103"/>
      <c r="E120" s="105"/>
    </row>
    <row r="121" spans="1:5" ht="13.5">
      <c r="A121" s="154"/>
      <c r="B121" s="100"/>
      <c r="C121" s="153"/>
      <c r="D121" s="103"/>
      <c r="E121" s="105"/>
    </row>
    <row r="122" spans="1:5" ht="13.5">
      <c r="A122" s="154"/>
      <c r="B122" s="100"/>
      <c r="C122" s="153"/>
      <c r="D122" s="103"/>
      <c r="E122" s="105"/>
    </row>
    <row r="123" spans="1:5" ht="13.5">
      <c r="A123" s="154"/>
      <c r="B123" s="100"/>
      <c r="C123" s="153"/>
      <c r="D123" s="103"/>
      <c r="E123" s="105"/>
    </row>
    <row r="124" spans="1:5" ht="13.5">
      <c r="A124" s="154"/>
      <c r="B124" s="100"/>
      <c r="C124" s="153"/>
      <c r="D124" s="103"/>
      <c r="E124" s="105"/>
    </row>
    <row r="125" spans="1:5" ht="13.5">
      <c r="A125" s="154"/>
      <c r="B125" s="100"/>
      <c r="C125" s="153"/>
      <c r="D125" s="103"/>
      <c r="E125" s="105"/>
    </row>
    <row r="126" spans="1:5" ht="13.5">
      <c r="A126" s="154"/>
      <c r="B126" s="100"/>
      <c r="C126" s="153"/>
      <c r="D126" s="103"/>
      <c r="E126" s="105"/>
    </row>
    <row r="127" spans="1:5" ht="13.5">
      <c r="A127" s="154"/>
      <c r="B127" s="100"/>
      <c r="C127" s="153"/>
      <c r="D127" s="103"/>
      <c r="E127" s="105"/>
    </row>
    <row r="128" spans="1:5" ht="13.5">
      <c r="A128" s="154"/>
      <c r="B128" s="100"/>
      <c r="C128" s="153"/>
      <c r="D128" s="103"/>
      <c r="E128" s="105"/>
    </row>
    <row r="129" spans="1:5" ht="13.5">
      <c r="A129" s="154"/>
      <c r="B129" s="100"/>
      <c r="C129" s="153"/>
      <c r="D129" s="103"/>
      <c r="E129" s="105"/>
    </row>
    <row r="130" spans="1:5" ht="13.5">
      <c r="A130" s="154"/>
      <c r="B130" s="100"/>
      <c r="C130" s="153"/>
      <c r="D130" s="103"/>
      <c r="E130" s="105"/>
    </row>
    <row r="131" spans="1:5" ht="13.5">
      <c r="A131" s="154"/>
      <c r="B131" s="100"/>
      <c r="C131" s="153"/>
      <c r="D131" s="103"/>
      <c r="E131" s="105"/>
    </row>
    <row r="132" spans="1:5" ht="13.5">
      <c r="A132" s="154"/>
      <c r="B132" s="100"/>
      <c r="C132" s="153"/>
      <c r="D132" s="103"/>
      <c r="E132" s="105"/>
    </row>
    <row r="133" spans="1:5" ht="13.5">
      <c r="A133" s="154"/>
      <c r="B133" s="100"/>
      <c r="C133" s="153"/>
      <c r="D133" s="103"/>
      <c r="E133" s="105"/>
    </row>
    <row r="134" spans="1:5" ht="13.5">
      <c r="A134" s="154"/>
      <c r="B134" s="100"/>
      <c r="C134" s="153"/>
      <c r="D134" s="103"/>
      <c r="E134" s="105"/>
    </row>
    <row r="135" spans="1:5" ht="13.5">
      <c r="A135" s="154"/>
      <c r="B135" s="100"/>
      <c r="C135" s="153"/>
      <c r="D135" s="103"/>
      <c r="E135" s="105"/>
    </row>
    <row r="136" spans="1:5" ht="13.5">
      <c r="A136" s="154"/>
      <c r="B136" s="100"/>
      <c r="C136" s="153"/>
      <c r="D136" s="103"/>
      <c r="E136" s="105"/>
    </row>
    <row r="137" spans="1:5" ht="13.5">
      <c r="A137" s="154"/>
      <c r="B137" s="100"/>
      <c r="C137" s="153"/>
      <c r="D137" s="103"/>
      <c r="E137" s="105"/>
    </row>
    <row r="138" spans="1:5" ht="13.5">
      <c r="A138" s="154"/>
      <c r="B138" s="100"/>
      <c r="C138" s="153"/>
      <c r="D138" s="103"/>
      <c r="E138" s="105"/>
    </row>
    <row r="139" spans="1:5" ht="13.5">
      <c r="A139" s="154"/>
      <c r="B139" s="100"/>
      <c r="C139" s="153"/>
      <c r="D139" s="103"/>
      <c r="E139" s="105"/>
    </row>
    <row r="140" spans="1:5" ht="13.5">
      <c r="A140" s="154"/>
      <c r="B140" s="100"/>
      <c r="C140" s="153"/>
      <c r="D140" s="103"/>
      <c r="E140" s="105"/>
    </row>
    <row r="141" spans="1:5" ht="13.5">
      <c r="A141" s="154"/>
      <c r="B141" s="100"/>
      <c r="C141" s="153"/>
      <c r="D141" s="103"/>
      <c r="E141" s="105"/>
    </row>
    <row r="142" spans="1:5" ht="13.5">
      <c r="A142" s="154"/>
      <c r="B142" s="100"/>
      <c r="C142" s="153"/>
      <c r="D142" s="103"/>
      <c r="E142" s="105"/>
    </row>
    <row r="143" spans="1:5" ht="13.5">
      <c r="A143" s="154"/>
      <c r="B143" s="100"/>
      <c r="C143" s="153"/>
      <c r="D143" s="103"/>
      <c r="E143" s="105"/>
    </row>
    <row r="144" spans="1:5" ht="13.5">
      <c r="A144" s="154"/>
      <c r="B144" s="100"/>
      <c r="C144" s="153"/>
      <c r="D144" s="103"/>
      <c r="E144" s="105"/>
    </row>
    <row r="145" spans="1:5" ht="13.5">
      <c r="A145" s="154"/>
      <c r="B145" s="100"/>
      <c r="C145" s="153"/>
      <c r="D145" s="103"/>
      <c r="E145" s="105"/>
    </row>
    <row r="146" spans="1:5" ht="13.5">
      <c r="A146" s="154"/>
      <c r="B146" s="100"/>
      <c r="C146" s="153"/>
      <c r="D146" s="103"/>
      <c r="E146" s="105"/>
    </row>
    <row r="147" spans="1:5" ht="13.5">
      <c r="A147" s="154"/>
      <c r="B147" s="100"/>
      <c r="C147" s="153"/>
      <c r="D147" s="103"/>
      <c r="E147" s="105"/>
    </row>
    <row r="148" spans="1:5" ht="13.5">
      <c r="A148" s="154"/>
      <c r="B148" s="100"/>
      <c r="C148" s="153"/>
      <c r="D148" s="103"/>
      <c r="E148" s="105"/>
    </row>
    <row r="149" spans="1:5" ht="13.5">
      <c r="A149" s="154"/>
      <c r="B149" s="100"/>
      <c r="C149" s="153"/>
      <c r="D149" s="103"/>
      <c r="E149" s="105"/>
    </row>
    <row r="150" spans="1:5" ht="13.5">
      <c r="A150" s="154"/>
      <c r="B150" s="100"/>
      <c r="C150" s="153"/>
      <c r="D150" s="103"/>
      <c r="E150" s="105"/>
    </row>
    <row r="151" spans="1:5" ht="13.5">
      <c r="A151" s="154"/>
      <c r="B151" s="100"/>
      <c r="C151" s="153"/>
      <c r="D151" s="103"/>
      <c r="E151" s="105"/>
    </row>
    <row r="152" spans="1:5" ht="13.5">
      <c r="A152" s="154"/>
      <c r="B152" s="100"/>
      <c r="C152" s="153"/>
      <c r="D152" s="103"/>
      <c r="E152" s="105"/>
    </row>
    <row r="153" spans="1:5" ht="13.5">
      <c r="A153" s="154"/>
      <c r="B153" s="100"/>
      <c r="C153" s="153"/>
      <c r="D153" s="103"/>
      <c r="E153" s="105"/>
    </row>
    <row r="154" spans="1:5" ht="13.5">
      <c r="A154" s="154"/>
      <c r="B154" s="100"/>
      <c r="C154" s="153"/>
      <c r="D154" s="103"/>
      <c r="E154" s="105"/>
    </row>
    <row r="155" spans="1:5" ht="13.5">
      <c r="A155" s="154"/>
      <c r="B155" s="100"/>
      <c r="C155" s="153"/>
      <c r="D155" s="103"/>
      <c r="E155" s="105"/>
    </row>
    <row r="156" spans="1:5" ht="13.5">
      <c r="A156" s="154"/>
      <c r="B156" s="100"/>
      <c r="C156" s="153"/>
      <c r="D156" s="103"/>
      <c r="E156" s="105"/>
    </row>
    <row r="157" spans="1:5" ht="13.5">
      <c r="A157" s="154"/>
      <c r="B157" s="100"/>
      <c r="C157" s="153"/>
      <c r="D157" s="103"/>
      <c r="E157" s="105"/>
    </row>
    <row r="158" spans="1:5" ht="13.5">
      <c r="A158" s="154"/>
      <c r="B158" s="100"/>
      <c r="C158" s="153"/>
      <c r="D158" s="103"/>
      <c r="E158" s="105"/>
    </row>
    <row r="159" spans="1:5" ht="13.5">
      <c r="A159" s="154"/>
      <c r="B159" s="100"/>
      <c r="C159" s="153"/>
      <c r="D159" s="103"/>
      <c r="E159" s="105"/>
    </row>
    <row r="160" spans="1:5" ht="13.5">
      <c r="A160" s="154"/>
      <c r="B160" s="100"/>
      <c r="C160" s="153"/>
      <c r="D160" s="103"/>
      <c r="E160" s="105"/>
    </row>
    <row r="161" spans="1:5" ht="13.5">
      <c r="A161" s="154"/>
      <c r="B161" s="100"/>
      <c r="C161" s="153"/>
      <c r="D161" s="103"/>
      <c r="E161" s="105"/>
    </row>
    <row r="162" spans="1:5" ht="13.5">
      <c r="A162" s="154"/>
      <c r="B162" s="100"/>
      <c r="C162" s="153"/>
      <c r="D162" s="103"/>
      <c r="E162" s="105"/>
    </row>
    <row r="163" spans="1:5" ht="13.5">
      <c r="A163" s="154"/>
      <c r="B163" s="100"/>
      <c r="C163" s="153"/>
      <c r="D163" s="103"/>
      <c r="E163" s="105"/>
    </row>
    <row r="164" spans="1:5" ht="13.5">
      <c r="A164" s="154"/>
      <c r="B164" s="100"/>
      <c r="C164" s="153"/>
      <c r="D164" s="103"/>
      <c r="E164" s="105"/>
    </row>
    <row r="165" spans="1:5" ht="13.5">
      <c r="A165" s="154"/>
      <c r="B165" s="100"/>
      <c r="C165" s="153"/>
      <c r="D165" s="103"/>
      <c r="E165" s="105"/>
    </row>
    <row r="166" spans="1:5" ht="13.5">
      <c r="A166" s="154"/>
      <c r="B166" s="100"/>
      <c r="C166" s="153"/>
      <c r="D166" s="103"/>
      <c r="E166" s="105"/>
    </row>
    <row r="167" spans="1:5" ht="13.5">
      <c r="A167" s="154"/>
      <c r="B167" s="100"/>
      <c r="C167" s="153"/>
      <c r="D167" s="103"/>
      <c r="E167" s="105"/>
    </row>
    <row r="168" spans="1:5" ht="13.5">
      <c r="A168" s="154"/>
      <c r="B168" s="100"/>
      <c r="C168" s="153"/>
      <c r="D168" s="103"/>
      <c r="E168" s="105"/>
    </row>
    <row r="169" spans="1:5" ht="13.5">
      <c r="A169" s="154"/>
      <c r="B169" s="100"/>
      <c r="C169" s="153"/>
      <c r="D169" s="103"/>
      <c r="E169" s="105"/>
    </row>
    <row r="170" spans="1:5" ht="13.5">
      <c r="A170" s="154"/>
      <c r="B170" s="100"/>
      <c r="C170" s="153"/>
      <c r="D170" s="103"/>
      <c r="E170" s="105"/>
    </row>
    <row r="171" spans="1:5" ht="13.5">
      <c r="A171" s="154"/>
      <c r="B171" s="100"/>
      <c r="C171" s="153"/>
      <c r="D171" s="103"/>
      <c r="E171" s="105"/>
    </row>
    <row r="172" spans="1:5" ht="13.5">
      <c r="A172" s="154"/>
      <c r="B172" s="100"/>
      <c r="C172" s="153"/>
      <c r="D172" s="103"/>
      <c r="E172" s="105"/>
    </row>
    <row r="173" spans="1:5" ht="13.5">
      <c r="A173" s="154"/>
      <c r="B173" s="100"/>
      <c r="C173" s="153"/>
      <c r="D173" s="103"/>
      <c r="E173" s="105"/>
    </row>
    <row r="174" spans="1:5" ht="13.5">
      <c r="A174" s="154"/>
      <c r="B174" s="100"/>
      <c r="C174" s="153"/>
      <c r="D174" s="103"/>
      <c r="E174" s="105"/>
    </row>
    <row r="175" spans="1:5" ht="13.5">
      <c r="A175" s="154"/>
      <c r="B175" s="100"/>
      <c r="C175" s="153"/>
      <c r="D175" s="103"/>
      <c r="E175" s="105"/>
    </row>
    <row r="176" spans="1:5" ht="13.5">
      <c r="A176" s="154"/>
      <c r="B176" s="100"/>
      <c r="C176" s="153"/>
      <c r="D176" s="103"/>
      <c r="E176" s="105"/>
    </row>
    <row r="177" spans="1:5" ht="13.5">
      <c r="A177" s="154"/>
      <c r="B177" s="100"/>
      <c r="C177" s="153"/>
      <c r="D177" s="103"/>
      <c r="E177" s="105"/>
    </row>
    <row r="178" spans="1:5" ht="13.5">
      <c r="A178" s="154"/>
      <c r="B178" s="100"/>
      <c r="C178" s="153"/>
      <c r="D178" s="103"/>
      <c r="E178" s="105"/>
    </row>
    <row r="179" spans="1:5" ht="13.5">
      <c r="A179" s="154"/>
      <c r="B179" s="100"/>
      <c r="C179" s="153"/>
      <c r="D179" s="103"/>
      <c r="E179" s="105"/>
    </row>
    <row r="180" spans="1:5" ht="13.5">
      <c r="A180" s="154"/>
      <c r="B180" s="100"/>
      <c r="C180" s="153"/>
      <c r="D180" s="103"/>
      <c r="E180" s="105"/>
    </row>
    <row r="181" spans="1:5" ht="13.5">
      <c r="A181" s="154"/>
      <c r="B181" s="100"/>
      <c r="C181" s="153"/>
      <c r="D181" s="103"/>
      <c r="E181" s="105"/>
    </row>
    <row r="182" spans="1:5" ht="13.5">
      <c r="A182" s="154"/>
      <c r="B182" s="100"/>
      <c r="C182" s="153"/>
      <c r="D182" s="103"/>
      <c r="E182" s="105"/>
    </row>
    <row r="183" spans="1:5" ht="13.5">
      <c r="A183" s="154"/>
      <c r="B183" s="100"/>
      <c r="C183" s="153"/>
      <c r="D183" s="103"/>
      <c r="E183" s="105"/>
    </row>
    <row r="184" spans="1:5" ht="13.5">
      <c r="A184" s="154"/>
      <c r="B184" s="100"/>
      <c r="C184" s="153"/>
      <c r="D184" s="103"/>
      <c r="E184" s="105"/>
    </row>
    <row r="185" spans="1:5" ht="13.5">
      <c r="A185" s="154"/>
      <c r="B185" s="100"/>
      <c r="C185" s="153"/>
      <c r="D185" s="103"/>
      <c r="E185" s="105"/>
    </row>
    <row r="186" spans="1:5" ht="13.5">
      <c r="A186" s="154"/>
      <c r="B186" s="100"/>
      <c r="C186" s="153"/>
      <c r="D186" s="103"/>
      <c r="E186" s="105"/>
    </row>
    <row r="187" spans="1:5" ht="13.5">
      <c r="A187" s="154"/>
      <c r="B187" s="100"/>
      <c r="C187" s="153"/>
      <c r="D187" s="103"/>
      <c r="E187" s="105"/>
    </row>
    <row r="188" spans="1:5" ht="13.5">
      <c r="A188" s="154"/>
      <c r="B188" s="100"/>
      <c r="C188" s="153"/>
      <c r="D188" s="103"/>
      <c r="E188" s="105"/>
    </row>
    <row r="189" spans="1:5" ht="13.5">
      <c r="A189" s="154"/>
      <c r="B189" s="100"/>
      <c r="C189" s="153"/>
      <c r="D189" s="103"/>
      <c r="E189" s="105"/>
    </row>
    <row r="190" spans="1:5" ht="13.5">
      <c r="A190" s="154"/>
      <c r="B190" s="100"/>
      <c r="C190" s="153"/>
      <c r="D190" s="103"/>
      <c r="E190" s="105"/>
    </row>
    <row r="191" spans="1:5" ht="13.5">
      <c r="A191" s="154"/>
      <c r="B191" s="100"/>
      <c r="C191" s="153"/>
      <c r="D191" s="103"/>
      <c r="E191" s="105"/>
    </row>
    <row r="192" spans="1:5" ht="13.5">
      <c r="A192" s="154"/>
      <c r="B192" s="100"/>
      <c r="C192" s="153"/>
      <c r="D192" s="103"/>
      <c r="E192" s="105"/>
    </row>
    <row r="193" spans="1:5" ht="13.5">
      <c r="A193" s="154"/>
      <c r="B193" s="100"/>
      <c r="C193" s="153"/>
      <c r="D193" s="103"/>
      <c r="E193" s="105"/>
    </row>
    <row r="194" spans="1:5" ht="13.5">
      <c r="A194" s="154"/>
      <c r="B194" s="100"/>
      <c r="C194" s="153"/>
      <c r="D194" s="103"/>
      <c r="E194" s="105"/>
    </row>
    <row r="195" spans="1:5" ht="13.5">
      <c r="A195" s="154"/>
      <c r="B195" s="100"/>
      <c r="C195" s="153"/>
      <c r="D195" s="103"/>
      <c r="E195" s="105"/>
    </row>
    <row r="196" spans="1:5" ht="13.5">
      <c r="A196" s="154"/>
      <c r="B196" s="100"/>
      <c r="C196" s="153"/>
      <c r="D196" s="103"/>
      <c r="E196" s="105"/>
    </row>
    <row r="197" spans="1:5" ht="13.5">
      <c r="A197" s="154"/>
      <c r="B197" s="100"/>
      <c r="C197" s="153"/>
      <c r="D197" s="103"/>
      <c r="E197" s="105"/>
    </row>
    <row r="198" spans="1:5" ht="13.5">
      <c r="A198" s="154"/>
      <c r="B198" s="100"/>
      <c r="C198" s="153"/>
      <c r="D198" s="103"/>
      <c r="E198" s="105"/>
    </row>
    <row r="199" spans="1:5" ht="13.5">
      <c r="A199" s="154"/>
      <c r="B199" s="100"/>
      <c r="C199" s="153"/>
      <c r="D199" s="103"/>
      <c r="E199" s="105"/>
    </row>
    <row r="200" spans="1:5" ht="13.5">
      <c r="A200" s="154"/>
      <c r="B200" s="100"/>
      <c r="C200" s="153"/>
      <c r="D200" s="103"/>
      <c r="E200" s="105"/>
    </row>
    <row r="201" spans="1:5" ht="13.5">
      <c r="A201" s="154"/>
      <c r="B201" s="100"/>
      <c r="C201" s="153"/>
      <c r="D201" s="103"/>
      <c r="E201" s="105"/>
    </row>
    <row r="202" spans="1:5" ht="13.5">
      <c r="A202" s="154"/>
      <c r="B202" s="100"/>
      <c r="C202" s="153"/>
      <c r="D202" s="103"/>
      <c r="E202" s="105"/>
    </row>
    <row r="203" spans="1:5" ht="13.5">
      <c r="A203" s="154"/>
      <c r="B203" s="100"/>
      <c r="C203" s="153"/>
      <c r="D203" s="103"/>
      <c r="E203" s="105"/>
    </row>
    <row r="204" spans="1:5" ht="13.5">
      <c r="A204" s="154"/>
      <c r="B204" s="100"/>
      <c r="C204" s="153"/>
      <c r="D204" s="103"/>
      <c r="E204" s="105"/>
    </row>
    <row r="205" spans="1:5" ht="13.5">
      <c r="A205" s="154"/>
      <c r="B205" s="100"/>
      <c r="C205" s="153"/>
      <c r="D205" s="103"/>
      <c r="E205" s="105"/>
    </row>
    <row r="206" spans="1:5" ht="13.5">
      <c r="A206" s="154"/>
      <c r="B206" s="100"/>
      <c r="C206" s="153"/>
      <c r="D206" s="103"/>
      <c r="E206" s="105"/>
    </row>
    <row r="207" spans="1:5" ht="13.5">
      <c r="A207" s="154"/>
      <c r="B207" s="100"/>
      <c r="C207" s="153"/>
      <c r="D207" s="103"/>
      <c r="E207" s="105"/>
    </row>
    <row r="208" spans="1:5" ht="13.5">
      <c r="A208" s="154"/>
      <c r="B208" s="100"/>
      <c r="C208" s="153"/>
      <c r="D208" s="103"/>
      <c r="E208" s="105"/>
    </row>
    <row r="209" spans="1:5" ht="13.5">
      <c r="A209" s="154"/>
      <c r="B209" s="100"/>
      <c r="C209" s="153"/>
      <c r="D209" s="103"/>
      <c r="E209" s="105"/>
    </row>
    <row r="210" spans="1:5" ht="13.5">
      <c r="A210" s="154"/>
      <c r="B210" s="100"/>
      <c r="C210" s="153"/>
      <c r="D210" s="103"/>
      <c r="E210" s="105"/>
    </row>
    <row r="211" spans="1:5" ht="13.5">
      <c r="A211" s="154"/>
      <c r="B211" s="100"/>
      <c r="C211" s="153"/>
      <c r="D211" s="103"/>
      <c r="E211" s="105"/>
    </row>
    <row r="212" spans="1:5" ht="13.5">
      <c r="A212" s="154"/>
      <c r="B212" s="100"/>
      <c r="C212" s="153"/>
      <c r="D212" s="103"/>
      <c r="E212" s="105"/>
    </row>
    <row r="213" spans="1:5" ht="13.5">
      <c r="A213" s="154"/>
      <c r="B213" s="100"/>
      <c r="C213" s="153"/>
      <c r="D213" s="103"/>
      <c r="E213" s="105"/>
    </row>
    <row r="214" spans="1:5" ht="13.5">
      <c r="A214" s="154"/>
      <c r="B214" s="100"/>
      <c r="C214" s="153"/>
      <c r="D214" s="103"/>
      <c r="E214" s="105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4"/>
  <sheetViews>
    <sheetView workbookViewId="0">
      <selection activeCell="D25" sqref="D25"/>
    </sheetView>
  </sheetViews>
  <sheetFormatPr defaultRowHeight="12.75"/>
  <cols>
    <col min="1" max="8" width="14.28515625" customWidth="1"/>
    <col min="9" max="9" width="19.7109375" customWidth="1"/>
  </cols>
  <sheetData>
    <row r="3" spans="1:9" ht="13.5">
      <c r="A3" s="114"/>
      <c r="B3" s="114"/>
      <c r="C3" s="114"/>
      <c r="F3" s="115"/>
      <c r="G3" s="116"/>
      <c r="H3" s="117"/>
      <c r="I3" s="118"/>
    </row>
    <row r="4" spans="1:9" ht="13.5">
      <c r="A4" s="251" t="s">
        <v>327</v>
      </c>
      <c r="B4" s="251"/>
      <c r="C4" s="133" t="s">
        <v>328</v>
      </c>
      <c r="D4" s="133" t="s">
        <v>329</v>
      </c>
      <c r="E4" s="133" t="s">
        <v>330</v>
      </c>
      <c r="F4" s="133" t="s">
        <v>444</v>
      </c>
      <c r="G4" s="252" t="s">
        <v>331</v>
      </c>
      <c r="H4" s="253" t="s">
        <v>332</v>
      </c>
      <c r="I4" s="119"/>
    </row>
    <row r="5" spans="1:9" ht="13.5">
      <c r="A5" s="251" t="s">
        <v>333</v>
      </c>
      <c r="B5" s="120" t="s">
        <v>339</v>
      </c>
      <c r="C5" s="120">
        <v>2635428</v>
      </c>
      <c r="D5" s="120">
        <v>529788</v>
      </c>
      <c r="E5" s="254">
        <v>-2105640</v>
      </c>
      <c r="F5" s="254"/>
      <c r="G5" s="255"/>
      <c r="H5" s="122">
        <v>2105640</v>
      </c>
      <c r="I5" s="119" t="s">
        <v>340</v>
      </c>
    </row>
    <row r="6" spans="1:9" ht="13.5">
      <c r="A6" s="251"/>
      <c r="B6" s="120" t="s">
        <v>341</v>
      </c>
      <c r="C6" s="120">
        <v>46860298</v>
      </c>
      <c r="D6" s="120">
        <v>4421028</v>
      </c>
      <c r="E6" s="254">
        <v>-42781150</v>
      </c>
      <c r="F6" s="254"/>
      <c r="G6" s="255"/>
      <c r="H6" s="256">
        <v>42781150</v>
      </c>
      <c r="I6" s="119" t="s">
        <v>342</v>
      </c>
    </row>
    <row r="7" spans="1:9" ht="13.5">
      <c r="A7" s="251"/>
      <c r="B7" s="120" t="s">
        <v>343</v>
      </c>
      <c r="C7" s="120">
        <v>99104875</v>
      </c>
      <c r="D7" s="120">
        <v>25557905</v>
      </c>
      <c r="E7" s="257">
        <v>-77371380</v>
      </c>
      <c r="F7" s="257"/>
      <c r="G7" s="255"/>
      <c r="H7" s="122">
        <v>50000000</v>
      </c>
      <c r="I7" s="121" t="s">
        <v>380</v>
      </c>
    </row>
    <row r="8" spans="1:9" ht="13.5">
      <c r="A8" s="251"/>
      <c r="B8" s="120" t="s">
        <v>344</v>
      </c>
      <c r="C8" s="120">
        <v>63790886</v>
      </c>
      <c r="D8" s="120">
        <v>26678149</v>
      </c>
      <c r="E8" s="257">
        <v>-37414820</v>
      </c>
      <c r="F8" s="257"/>
      <c r="G8" s="122"/>
      <c r="H8" s="122"/>
      <c r="I8" s="119"/>
    </row>
    <row r="9" spans="1:9" ht="13.5">
      <c r="A9" s="258" t="s">
        <v>457</v>
      </c>
      <c r="B9" s="258"/>
      <c r="C9" s="120">
        <f>SUM(C5:C8)</f>
        <v>212391487</v>
      </c>
      <c r="D9" s="120">
        <f>SUM(D5:D8)</f>
        <v>57186870</v>
      </c>
      <c r="E9" s="120">
        <f>SUM(E5:E8)</f>
        <v>-159672990</v>
      </c>
      <c r="F9" s="120"/>
      <c r="G9" s="122">
        <f>SUM(E5:H8)</f>
        <v>-64786200</v>
      </c>
      <c r="H9" s="122"/>
      <c r="I9" s="115" t="s">
        <v>325</v>
      </c>
    </row>
    <row r="10" spans="1:9" ht="13.5">
      <c r="A10" s="251" t="s">
        <v>338</v>
      </c>
      <c r="B10" s="120" t="s">
        <v>334</v>
      </c>
      <c r="C10" s="120">
        <f>SUM(채움0401!E553:E702)</f>
        <v>64299446</v>
      </c>
      <c r="D10" s="120">
        <f>SUM(채움0401!H553:H702)</f>
        <v>15960625</v>
      </c>
      <c r="E10" s="257">
        <f>D10-C10</f>
        <v>-48338821</v>
      </c>
      <c r="F10" s="257">
        <v>-48322050</v>
      </c>
      <c r="G10" s="255">
        <f>F10-E10</f>
        <v>16771</v>
      </c>
      <c r="H10" s="256"/>
      <c r="I10" s="115" t="s">
        <v>326</v>
      </c>
    </row>
    <row r="11" spans="1:9" ht="13.5">
      <c r="A11" s="251"/>
      <c r="B11" s="120" t="s">
        <v>335</v>
      </c>
      <c r="C11" s="120">
        <f>SUM(채움0401!E703:E830)</f>
        <v>7439240</v>
      </c>
      <c r="D11" s="120">
        <f>SUM(채움0401!H703:H830)</f>
        <v>1841988</v>
      </c>
      <c r="E11" s="257">
        <f>D11-C11</f>
        <v>-5597252</v>
      </c>
      <c r="F11" s="257"/>
      <c r="G11" s="255"/>
      <c r="H11" s="122"/>
      <c r="I11" s="121"/>
    </row>
    <row r="12" spans="1:9" ht="13.5">
      <c r="A12" s="251"/>
      <c r="B12" s="120" t="s">
        <v>336</v>
      </c>
      <c r="C12" s="120"/>
      <c r="D12" s="120"/>
      <c r="E12" s="257"/>
      <c r="F12" s="257"/>
      <c r="G12" s="122"/>
      <c r="H12" s="256"/>
      <c r="I12" s="119"/>
    </row>
    <row r="13" spans="1:9" ht="13.5">
      <c r="A13" s="251"/>
      <c r="B13" s="120" t="s">
        <v>337</v>
      </c>
      <c r="C13" s="120"/>
      <c r="D13" s="120"/>
      <c r="E13" s="120"/>
      <c r="F13" s="120"/>
      <c r="G13" s="122"/>
      <c r="H13" s="256"/>
      <c r="I13" s="119"/>
    </row>
    <row r="14" spans="1:9" ht="13.5">
      <c r="A14" s="258" t="s">
        <v>457</v>
      </c>
      <c r="B14" s="258"/>
      <c r="C14" s="120">
        <f>SUM(C10:C13)</f>
        <v>71738686</v>
      </c>
      <c r="D14" s="120">
        <f>SUM(D10:D13)</f>
        <v>17802613</v>
      </c>
      <c r="E14" s="120">
        <f>SUM(E10:E13)</f>
        <v>-53936073</v>
      </c>
      <c r="F14" s="120"/>
      <c r="G14" s="122">
        <f>SUM(E10:E13,G10:G13)</f>
        <v>-53919302</v>
      </c>
      <c r="H14" s="256"/>
      <c r="I14" s="123"/>
    </row>
  </sheetData>
  <mergeCells count="3">
    <mergeCell ref="A4:B4"/>
    <mergeCell ref="A5:A8"/>
    <mergeCell ref="A10:A1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미입금(채움)</vt:lpstr>
      <vt:lpstr>채움0401</vt:lpstr>
      <vt:lpstr>시재</vt:lpstr>
      <vt:lpstr>부가세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2017-05-27T04:25:53Z</dcterms:created>
  <dcterms:modified xsi:type="dcterms:W3CDTF">2026-04-28T12:39:39Z</dcterms:modified>
</cp:coreProperties>
</file>