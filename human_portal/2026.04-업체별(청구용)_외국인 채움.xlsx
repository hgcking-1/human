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gcking\human_portal\"/>
    </mc:Choice>
  </mc:AlternateContent>
  <bookViews>
    <workbookView xWindow="5460" yWindow="0" windowWidth="21840" windowHeight="14565" activeTab="1"/>
  </bookViews>
  <sheets>
    <sheet name="2026년 04월채움" sheetId="1" r:id="rId1"/>
    <sheet name="제주" sheetId="5" r:id="rId2"/>
    <sheet name="조선" sheetId="10" r:id="rId3"/>
    <sheet name="소노벨" sheetId="7" r:id="rId4"/>
    <sheet name="소노캄_기물" sheetId="3" r:id="rId5"/>
    <sheet name="소노캄" sheetId="6" r:id="rId6"/>
    <sheet name="소노캄_런드리" sheetId="8" r:id="rId7"/>
    <sheet name="포시" sheetId="4" r:id="rId8"/>
    <sheet name="부산파크" sheetId="12" r:id="rId9"/>
    <sheet name="시그니엘" sheetId="13" r:id="rId10"/>
  </sheets>
  <definedNames>
    <definedName name="_xlnm._FilterDatabase" localSheetId="8" hidden="1">부산파크!$A$2:$L$12</definedName>
    <definedName name="_xlnm._FilterDatabase" localSheetId="3" hidden="1">소노벨!$A$4:$S$159</definedName>
    <definedName name="_xlnm._FilterDatabase" localSheetId="5" hidden="1">소노캄!$A$4:$R$4</definedName>
    <definedName name="_xlnm._FilterDatabase" localSheetId="4" hidden="1">소노캄_기물!$F$3:$F$154</definedName>
    <definedName name="_xlnm._FilterDatabase" localSheetId="6" hidden="1">소노캄_런드리!$F$3:$F$154</definedName>
    <definedName name="_xlnm._FilterDatabase" localSheetId="9" hidden="1">시그니엘!$A$2:$L$22</definedName>
    <definedName name="_xlnm._FilterDatabase" localSheetId="1" hidden="1">제주!$A$4:$L$18</definedName>
    <definedName name="_xlnm._FilterDatabase" localSheetId="2" hidden="1">조선!$A$4:$L$18</definedName>
    <definedName name="_xlnm._FilterDatabase" localSheetId="7" hidden="1">포시!$A$4:$L$24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" i="3" l="1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5" i="3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5" i="7"/>
  <c r="G18" i="1" l="1"/>
  <c r="D11" i="1"/>
  <c r="E11" i="1" s="1"/>
  <c r="C11" i="1"/>
  <c r="R1" i="13"/>
  <c r="O1" i="13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86" i="6"/>
  <c r="H11" i="1" l="1"/>
  <c r="G6" i="1"/>
  <c r="C12" i="1" l="1"/>
  <c r="M3" i="12"/>
  <c r="R1" i="12"/>
  <c r="D12" i="1" s="1"/>
  <c r="O1" i="12"/>
  <c r="K6" i="10"/>
  <c r="L6" i="10"/>
  <c r="L5" i="10"/>
  <c r="K5" i="10"/>
  <c r="H12" i="1" l="1"/>
  <c r="E12" i="1"/>
  <c r="R3" i="10"/>
  <c r="D13" i="1" s="1"/>
  <c r="O3" i="10"/>
  <c r="C13" i="1" s="1"/>
  <c r="H13" i="1" l="1"/>
  <c r="K54" i="6" l="1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53" i="6"/>
  <c r="M15" i="4" l="1"/>
  <c r="M14" i="4"/>
  <c r="M13" i="4"/>
  <c r="M12" i="4"/>
  <c r="M11" i="4"/>
  <c r="M6" i="4"/>
  <c r="M7" i="4"/>
  <c r="M8" i="4"/>
  <c r="M9" i="4"/>
  <c r="M10" i="4"/>
  <c r="M5" i="4"/>
  <c r="K6" i="8" l="1"/>
  <c r="L6" i="8"/>
  <c r="K7" i="8"/>
  <c r="L7" i="8"/>
  <c r="M7" i="8" s="1"/>
  <c r="K8" i="8"/>
  <c r="L8" i="8"/>
  <c r="K9" i="8"/>
  <c r="L9" i="8"/>
  <c r="K10" i="8"/>
  <c r="L10" i="8"/>
  <c r="K11" i="8"/>
  <c r="L11" i="8"/>
  <c r="K12" i="8"/>
  <c r="L12" i="8"/>
  <c r="K13" i="8"/>
  <c r="L13" i="8"/>
  <c r="K14" i="8"/>
  <c r="L14" i="8"/>
  <c r="K15" i="8"/>
  <c r="L15" i="8"/>
  <c r="K16" i="8"/>
  <c r="L16" i="8"/>
  <c r="K17" i="8"/>
  <c r="L17" i="8"/>
  <c r="K18" i="8"/>
  <c r="L18" i="8"/>
  <c r="K19" i="8"/>
  <c r="L19" i="8"/>
  <c r="K20" i="8"/>
  <c r="L20" i="8"/>
  <c r="K21" i="8"/>
  <c r="L21" i="8"/>
  <c r="K22" i="8"/>
  <c r="L22" i="8"/>
  <c r="K23" i="8"/>
  <c r="L23" i="8"/>
  <c r="K24" i="8"/>
  <c r="L24" i="8"/>
  <c r="K25" i="8"/>
  <c r="L25" i="8"/>
  <c r="K26" i="8"/>
  <c r="L26" i="8"/>
  <c r="K27" i="8"/>
  <c r="L27" i="8"/>
  <c r="K28" i="8"/>
  <c r="L28" i="8"/>
  <c r="K29" i="8"/>
  <c r="L29" i="8"/>
  <c r="K30" i="8"/>
  <c r="L30" i="8"/>
  <c r="K31" i="8"/>
  <c r="L31" i="8"/>
  <c r="L5" i="8"/>
  <c r="K5" i="8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" i="6"/>
  <c r="M29" i="8" l="1"/>
  <c r="M21" i="8"/>
  <c r="M17" i="8"/>
  <c r="M13" i="8"/>
  <c r="M9" i="8"/>
  <c r="M20" i="8"/>
  <c r="M16" i="8"/>
  <c r="M30" i="8"/>
  <c r="M18" i="8"/>
  <c r="M14" i="8"/>
  <c r="N1" i="6"/>
  <c r="M25" i="8"/>
  <c r="M19" i="8"/>
  <c r="M15" i="8"/>
  <c r="M31" i="8"/>
  <c r="M27" i="8"/>
  <c r="M11" i="8"/>
  <c r="M5" i="8"/>
  <c r="M28" i="8"/>
  <c r="M26" i="8"/>
  <c r="M23" i="8"/>
  <c r="M12" i="8"/>
  <c r="M10" i="8"/>
  <c r="M24" i="8"/>
  <c r="M22" i="8"/>
  <c r="M8" i="8"/>
  <c r="M6" i="8"/>
  <c r="S1" i="7"/>
  <c r="N5" i="6" l="1"/>
  <c r="Q3" i="8" l="1"/>
  <c r="D9" i="1" s="1"/>
  <c r="O3" i="8"/>
  <c r="C9" i="1" s="1"/>
  <c r="D17" i="1"/>
  <c r="C17" i="1"/>
  <c r="D16" i="1"/>
  <c r="C16" i="1"/>
  <c r="D15" i="1"/>
  <c r="C15" i="1"/>
  <c r="D14" i="1"/>
  <c r="C14" i="1"/>
  <c r="Q1" i="7"/>
  <c r="D6" i="1" s="1"/>
  <c r="H6" i="1" s="1"/>
  <c r="O1" i="7"/>
  <c r="C6" i="1" s="1"/>
  <c r="P1" i="6"/>
  <c r="D8" i="1" s="1"/>
  <c r="C8" i="1"/>
  <c r="P1" i="5"/>
  <c r="D5" i="1" s="1"/>
  <c r="H5" i="1" s="1"/>
  <c r="N1" i="5"/>
  <c r="C5" i="1" s="1"/>
  <c r="Q1" i="4"/>
  <c r="D10" i="1" s="1"/>
  <c r="H10" i="1" s="1"/>
  <c r="N1" i="4"/>
  <c r="C10" i="1" s="1"/>
  <c r="Q1" i="3"/>
  <c r="D7" i="1" s="1"/>
  <c r="H7" i="1" s="1"/>
  <c r="O1" i="3"/>
  <c r="C7" i="1" s="1"/>
  <c r="E19" i="1"/>
  <c r="H8" i="1" l="1"/>
  <c r="H18" i="1" s="1"/>
  <c r="E13" i="1"/>
  <c r="E15" i="1"/>
  <c r="E14" i="1"/>
  <c r="E16" i="1"/>
  <c r="E10" i="1"/>
  <c r="E9" i="1"/>
  <c r="E8" i="1"/>
  <c r="E17" i="1"/>
  <c r="E7" i="1"/>
  <c r="C18" i="1"/>
  <c r="E6" i="1"/>
  <c r="E5" i="1"/>
  <c r="D18" i="1"/>
  <c r="E18" i="1" l="1"/>
</calcChain>
</file>

<file path=xl/sharedStrings.xml><?xml version="1.0" encoding="utf-8"?>
<sst xmlns="http://schemas.openxmlformats.org/spreadsheetml/2006/main" count="2874" uniqueCount="308">
  <si>
    <t>지급액</t>
    <phoneticPr fontId="3" type="noConversion"/>
  </si>
  <si>
    <t>청구액</t>
    <phoneticPr fontId="3" type="noConversion"/>
  </si>
  <si>
    <t>결재</t>
    <phoneticPr fontId="3" type="noConversion"/>
  </si>
  <si>
    <t>한달</t>
    <phoneticPr fontId="3" type="noConversion"/>
  </si>
  <si>
    <t>두잉-제주롯데호텔</t>
    <phoneticPr fontId="3" type="noConversion"/>
  </si>
  <si>
    <t>매주</t>
    <phoneticPr fontId="3" type="noConversion"/>
  </si>
  <si>
    <t>(주)프로에스콤-포시즌스</t>
    <phoneticPr fontId="3" type="noConversion"/>
  </si>
  <si>
    <t>계</t>
    <phoneticPr fontId="3" type="noConversion"/>
  </si>
  <si>
    <t>날짜</t>
    <phoneticPr fontId="3" type="noConversion"/>
  </si>
  <si>
    <t>업체</t>
    <phoneticPr fontId="3" type="noConversion"/>
  </si>
  <si>
    <t>현장</t>
    <phoneticPr fontId="3" type="noConversion"/>
  </si>
  <si>
    <t>업무</t>
    <phoneticPr fontId="3" type="noConversion"/>
  </si>
  <si>
    <t>근무시간</t>
    <phoneticPr fontId="3" type="noConversion"/>
  </si>
  <si>
    <t>이름</t>
    <phoneticPr fontId="3" type="noConversion"/>
  </si>
  <si>
    <t>전화번호</t>
    <phoneticPr fontId="3" type="noConversion"/>
  </si>
  <si>
    <t>주민등록번호</t>
    <phoneticPr fontId="3" type="noConversion"/>
  </si>
  <si>
    <t>은행</t>
    <phoneticPr fontId="3" type="noConversion"/>
  </si>
  <si>
    <t>계좌번호</t>
    <phoneticPr fontId="3" type="noConversion"/>
  </si>
  <si>
    <t>지급일</t>
    <phoneticPr fontId="3" type="noConversion"/>
  </si>
  <si>
    <t>삼구-소노캄_룸메이드</t>
    <phoneticPr fontId="3" type="noConversion"/>
  </si>
  <si>
    <t>삼구-소노캄_기물</t>
    <phoneticPr fontId="3" type="noConversion"/>
  </si>
  <si>
    <t>삼구-소노벨_룸메이드</t>
    <phoneticPr fontId="3" type="noConversion"/>
  </si>
  <si>
    <t>삼구-소노캄 런드리</t>
    <phoneticPr fontId="3" type="noConversion"/>
  </si>
  <si>
    <t>차감</t>
    <phoneticPr fontId="3" type="noConversion"/>
  </si>
  <si>
    <t>입금</t>
    <phoneticPr fontId="3" type="noConversion"/>
  </si>
  <si>
    <t>차액</t>
    <phoneticPr fontId="3" type="noConversion"/>
  </si>
  <si>
    <t>소노캄 룸메이드</t>
  </si>
  <si>
    <t>근무일 25.01.05 ~</t>
  </si>
  <si>
    <t>*청구 12만원</t>
  </si>
  <si>
    <t>*지급 10만원</t>
  </si>
  <si>
    <t>14유닛 이상</t>
    <phoneticPr fontId="3" type="noConversion"/>
  </si>
  <si>
    <t>소노캄 기물, 런드리</t>
  </si>
  <si>
    <t>*청구 11만원</t>
  </si>
  <si>
    <t>14유닛 이상(미반영)</t>
    <phoneticPr fontId="3" type="noConversion"/>
  </si>
  <si>
    <t>AND(ISNUMBER(E5),E5&gt;12)</t>
    <phoneticPr fontId="3" type="noConversion"/>
  </si>
  <si>
    <t>*13유닛부터 +1유닛(6,200원) 자체 수익</t>
    <phoneticPr fontId="3" type="noConversion"/>
  </si>
  <si>
    <t>SUMPRODUCT(--ISNUMBER(E6:K6), --(E6:K6&gt;12), (E6:K6-12)*(E6:K6&lt;13) + (E6:K6&gt;=13))</t>
    <phoneticPr fontId="3" type="noConversion"/>
  </si>
  <si>
    <t>조건</t>
    <phoneticPr fontId="3" type="noConversion"/>
  </si>
  <si>
    <t>*13유닛 미만건에 대해서 차감할건지 확인 - 차감안하기로 함</t>
    <phoneticPr fontId="3" type="noConversion"/>
  </si>
  <si>
    <t>근무일수</t>
    <phoneticPr fontId="3" type="noConversion"/>
  </si>
  <si>
    <t>미입금(세후)</t>
    <phoneticPr fontId="3" type="noConversion"/>
  </si>
  <si>
    <t>이익금</t>
    <phoneticPr fontId="3" type="noConversion"/>
  </si>
  <si>
    <t>주민번호</t>
    <phoneticPr fontId="3" type="noConversion"/>
  </si>
  <si>
    <t>2026년 04월 업체별 결산-외국인</t>
    <phoneticPr fontId="3" type="noConversion"/>
  </si>
  <si>
    <t>26.03.30~04.05</t>
    <phoneticPr fontId="3" type="noConversion"/>
  </si>
  <si>
    <t>삼구</t>
  </si>
  <si>
    <t>소노벨</t>
  </si>
  <si>
    <t>소노캄 고양(외국인)</t>
  </si>
  <si>
    <t>기물</t>
  </si>
  <si>
    <t>김수빈</t>
  </si>
  <si>
    <t>010-9965-7441</t>
  </si>
  <si>
    <t>농협</t>
  </si>
  <si>
    <t>3522014792023</t>
  </si>
  <si>
    <t>김윤서</t>
  </si>
  <si>
    <t>010-8733-1338</t>
  </si>
  <si>
    <t>우리</t>
  </si>
  <si>
    <t>아르오나(김아리)</t>
  </si>
  <si>
    <t>010-9855-2211</t>
  </si>
  <si>
    <t>국민</t>
  </si>
  <si>
    <t>29250101395976</t>
  </si>
  <si>
    <t>더기(최다빈)</t>
  </si>
  <si>
    <t>010-3254-5512</t>
  </si>
  <si>
    <t>전북</t>
  </si>
  <si>
    <t>9500020568373</t>
  </si>
  <si>
    <t>샤탈(김수연)</t>
  </si>
  <si>
    <t>010-3665-4100</t>
  </si>
  <si>
    <t>29250101236893</t>
  </si>
  <si>
    <t>소시주(김연우)</t>
  </si>
  <si>
    <t>010-4111-2357</t>
  </si>
  <si>
    <t>9100054122011</t>
  </si>
  <si>
    <t>졸라(이다인)</t>
  </si>
  <si>
    <t>010-8094-1903</t>
  </si>
  <si>
    <t>하나</t>
  </si>
  <si>
    <t>19891034404307</t>
  </si>
  <si>
    <t>투야</t>
  </si>
  <si>
    <t>너모카</t>
  </si>
  <si>
    <t>토스</t>
  </si>
  <si>
    <t>100208736982</t>
  </si>
  <si>
    <t>차키</t>
  </si>
  <si>
    <t>1002944606021</t>
  </si>
  <si>
    <t>김태리</t>
  </si>
  <si>
    <t>010-7788-1363</t>
  </si>
  <si>
    <t>4/10 지급</t>
    <phoneticPr fontId="3" type="noConversion"/>
  </si>
  <si>
    <t>이하나</t>
  </si>
  <si>
    <t>이기숙</t>
  </si>
  <si>
    <t>이나영</t>
  </si>
  <si>
    <t>김유나</t>
  </si>
  <si>
    <t>처머</t>
  </si>
  <si>
    <t>임아리</t>
  </si>
  <si>
    <t>한애네</t>
  </si>
  <si>
    <t>김미라</t>
  </si>
  <si>
    <t>한장미</t>
  </si>
  <si>
    <t>이노민</t>
  </si>
  <si>
    <t>박은숙</t>
  </si>
  <si>
    <t>절멍</t>
  </si>
  <si>
    <t>투기</t>
  </si>
  <si>
    <t>본자</t>
  </si>
  <si>
    <t>이수지</t>
  </si>
  <si>
    <t>김세인</t>
  </si>
  <si>
    <t>유빈</t>
  </si>
  <si>
    <t>아치</t>
  </si>
  <si>
    <t>미나</t>
  </si>
  <si>
    <t>우레</t>
  </si>
  <si>
    <t>강인운</t>
  </si>
  <si>
    <t>김서라</t>
  </si>
  <si>
    <t>이아영</t>
  </si>
  <si>
    <t>어윤미</t>
  </si>
  <si>
    <t>허지</t>
  </si>
  <si>
    <t>졸라</t>
  </si>
  <si>
    <t>혜인</t>
  </si>
  <si>
    <t>한나</t>
  </si>
  <si>
    <t>아나</t>
  </si>
  <si>
    <t>푸기</t>
  </si>
  <si>
    <t>체체그</t>
  </si>
  <si>
    <t>앤디</t>
  </si>
  <si>
    <t>채기</t>
  </si>
  <si>
    <t>나라카</t>
  </si>
  <si>
    <t>나몬</t>
  </si>
  <si>
    <t>나라</t>
  </si>
  <si>
    <t>홀란</t>
  </si>
  <si>
    <t>우진</t>
  </si>
  <si>
    <t>이민지</t>
  </si>
  <si>
    <t>허기</t>
  </si>
  <si>
    <t>소원</t>
  </si>
  <si>
    <t>지호</t>
  </si>
  <si>
    <t>에기</t>
  </si>
  <si>
    <t>하윤</t>
  </si>
  <si>
    <t>수기</t>
  </si>
  <si>
    <t>나미</t>
  </si>
  <si>
    <t>이성주</t>
  </si>
  <si>
    <t>돌궁</t>
  </si>
  <si>
    <t>26.04.01~04.05</t>
    <phoneticPr fontId="3" type="noConversion"/>
  </si>
  <si>
    <t>소노캄</t>
    <phoneticPr fontId="3" type="noConversion"/>
  </si>
  <si>
    <t>룸메이드</t>
    <phoneticPr fontId="3" type="noConversion"/>
  </si>
  <si>
    <t>소노캄</t>
  </si>
  <si>
    <t>런드리</t>
  </si>
  <si>
    <t>보라</t>
  </si>
  <si>
    <t>너마</t>
  </si>
  <si>
    <t>아리</t>
  </si>
  <si>
    <t>할룽</t>
  </si>
  <si>
    <t>린</t>
  </si>
  <si>
    <t>준호</t>
  </si>
  <si>
    <t>김보미</t>
  </si>
  <si>
    <t>조미나</t>
  </si>
  <si>
    <t>빔</t>
  </si>
  <si>
    <t>지혜</t>
  </si>
  <si>
    <t>미소</t>
  </si>
  <si>
    <t>수지라</t>
  </si>
  <si>
    <t>짠티마</t>
  </si>
  <si>
    <t>사라</t>
  </si>
  <si>
    <t>백</t>
  </si>
  <si>
    <t>나비</t>
  </si>
  <si>
    <t>엘레나</t>
  </si>
  <si>
    <t>김하늘</t>
  </si>
  <si>
    <t>김수진</t>
  </si>
  <si>
    <t>김안나</t>
  </si>
  <si>
    <t>가은</t>
  </si>
  <si>
    <t>라징(신)</t>
  </si>
  <si>
    <t>어유나</t>
  </si>
  <si>
    <t xml:space="preserve">짐게 </t>
  </si>
  <si>
    <t>에르덴</t>
  </si>
  <si>
    <t>세아(사이항)</t>
  </si>
  <si>
    <t>가랍</t>
  </si>
  <si>
    <t>문성주</t>
  </si>
  <si>
    <t>헝거르졸</t>
  </si>
  <si>
    <t>아나르</t>
  </si>
  <si>
    <t>소담</t>
  </si>
  <si>
    <t>흐진</t>
  </si>
  <si>
    <t>바야르마</t>
  </si>
  <si>
    <t>마를마</t>
  </si>
  <si>
    <t>채영</t>
  </si>
  <si>
    <t>히시게</t>
  </si>
  <si>
    <t>어유카</t>
  </si>
  <si>
    <t>아마라</t>
  </si>
  <si>
    <t>아난드</t>
  </si>
  <si>
    <t>이현주</t>
  </si>
  <si>
    <t>수빈</t>
  </si>
  <si>
    <t>찬드만</t>
  </si>
  <si>
    <t>몽흐체첵</t>
  </si>
  <si>
    <t>서커</t>
  </si>
  <si>
    <t>유나</t>
  </si>
  <si>
    <t>하나(신입)</t>
  </si>
  <si>
    <t>무기</t>
  </si>
  <si>
    <t>더기</t>
  </si>
  <si>
    <t>체기</t>
  </si>
  <si>
    <t>신지수</t>
  </si>
  <si>
    <t>미리나</t>
  </si>
  <si>
    <t>책미드</t>
  </si>
  <si>
    <t>기업</t>
  </si>
  <si>
    <t>제주</t>
  </si>
  <si>
    <t>새마을금고</t>
  </si>
  <si>
    <t>전복</t>
  </si>
  <si>
    <t>4/10 지급</t>
    <phoneticPr fontId="3" type="noConversion"/>
  </si>
  <si>
    <t>펜츄리</t>
    <phoneticPr fontId="3" type="noConversion"/>
  </si>
  <si>
    <t>26.04.01~04.12</t>
    <phoneticPr fontId="3" type="noConversion"/>
  </si>
  <si>
    <t>프로에스콤</t>
    <phoneticPr fontId="3" type="noConversion"/>
  </si>
  <si>
    <t>포시즌스</t>
    <phoneticPr fontId="3" type="noConversion"/>
  </si>
  <si>
    <t>다리아</t>
    <phoneticPr fontId="3" type="noConversion"/>
  </si>
  <si>
    <t>버기</t>
    <phoneticPr fontId="3" type="noConversion"/>
  </si>
  <si>
    <t>자야</t>
    <phoneticPr fontId="3" type="noConversion"/>
  </si>
  <si>
    <t>사라</t>
    <phoneticPr fontId="3" type="noConversion"/>
  </si>
  <si>
    <t>오양가</t>
    <phoneticPr fontId="3" type="noConversion"/>
  </si>
  <si>
    <t>미나</t>
    <phoneticPr fontId="3" type="noConversion"/>
  </si>
  <si>
    <t>입금일</t>
    <phoneticPr fontId="3" type="noConversion"/>
  </si>
  <si>
    <t>우리</t>
    <phoneticPr fontId="3" type="noConversion"/>
  </si>
  <si>
    <t>토스</t>
    <phoneticPr fontId="3" type="noConversion"/>
  </si>
  <si>
    <t>국민</t>
    <phoneticPr fontId="3" type="noConversion"/>
  </si>
  <si>
    <t>경남</t>
    <phoneticPr fontId="3" type="noConversion"/>
  </si>
  <si>
    <t>04840204367673</t>
  </si>
  <si>
    <t>배딩조</t>
    <phoneticPr fontId="3" type="noConversion"/>
  </si>
  <si>
    <t>자야2</t>
  </si>
  <si>
    <t>절버</t>
    <phoneticPr fontId="3" type="noConversion"/>
  </si>
  <si>
    <t>가나</t>
    <phoneticPr fontId="3" type="noConversion"/>
  </si>
  <si>
    <t>주영</t>
    <phoneticPr fontId="3" type="noConversion"/>
  </si>
  <si>
    <t>도쿠</t>
    <phoneticPr fontId="3" type="noConversion"/>
  </si>
  <si>
    <t>전북</t>
    <phoneticPr fontId="3" type="noConversion"/>
  </si>
  <si>
    <t>4/17 지급</t>
    <phoneticPr fontId="3" type="noConversion"/>
  </si>
  <si>
    <t>5시간 연장근무 +77,500</t>
    <phoneticPr fontId="17" type="noConversion"/>
  </si>
  <si>
    <t>26.04.06~04.12</t>
  </si>
  <si>
    <t>26.04.06~04.12</t>
    <phoneticPr fontId="3" type="noConversion"/>
  </si>
  <si>
    <t>우래</t>
  </si>
  <si>
    <t>도하</t>
  </si>
  <si>
    <t>다와</t>
  </si>
  <si>
    <t>김민수</t>
  </si>
  <si>
    <t>레나</t>
  </si>
  <si>
    <t>김애란</t>
  </si>
  <si>
    <t>샤인</t>
  </si>
  <si>
    <t>투</t>
  </si>
  <si>
    <t>로안</t>
  </si>
  <si>
    <t>황</t>
  </si>
  <si>
    <t>남(신)</t>
  </si>
  <si>
    <t>푸(신)</t>
  </si>
  <si>
    <t>북(신)</t>
  </si>
  <si>
    <t>뚜(신)</t>
  </si>
  <si>
    <t>룩(신)</t>
  </si>
  <si>
    <t>아야</t>
  </si>
  <si>
    <t>아리오나</t>
  </si>
  <si>
    <t>사노카</t>
  </si>
  <si>
    <t>유나(신)</t>
  </si>
  <si>
    <t>오치랄(신)</t>
  </si>
  <si>
    <t>아리(하나)</t>
  </si>
  <si>
    <t>지수(홀랑)</t>
  </si>
  <si>
    <t>펜츄리</t>
    <phoneticPr fontId="3" type="noConversion"/>
  </si>
  <si>
    <t>3월 가스비</t>
  </si>
  <si>
    <t>3월 가스비 (20만원 본사부담)</t>
  </si>
  <si>
    <t>3월 가스비 (40만원 본사부담)</t>
  </si>
  <si>
    <t>15/31</t>
    <phoneticPr fontId="3" type="noConversion"/>
  </si>
  <si>
    <t>호산서비스-웨스턴 조선호텔</t>
    <phoneticPr fontId="3" type="noConversion"/>
  </si>
  <si>
    <t>26.04.01~04.15</t>
    <phoneticPr fontId="3" type="noConversion"/>
  </si>
  <si>
    <t>호산서비스</t>
    <phoneticPr fontId="3" type="noConversion"/>
  </si>
  <si>
    <t>웨스틴 조선 서울</t>
  </si>
  <si>
    <t>강미소</t>
  </si>
  <si>
    <t>김인정</t>
  </si>
  <si>
    <t>총 근무일</t>
    <phoneticPr fontId="3" type="noConversion"/>
  </si>
  <si>
    <t>4</t>
    <phoneticPr fontId="3" type="noConversion"/>
  </si>
  <si>
    <t>5</t>
    <phoneticPr fontId="3" type="noConversion"/>
  </si>
  <si>
    <t>26.04.01~04.06</t>
    <phoneticPr fontId="3" type="noConversion"/>
  </si>
  <si>
    <t>파크하얏트 부산</t>
    <phoneticPr fontId="3" type="noConversion"/>
  </si>
  <si>
    <t>마야</t>
    <phoneticPr fontId="3" type="noConversion"/>
  </si>
  <si>
    <t>부산</t>
    <phoneticPr fontId="3" type="noConversion"/>
  </si>
  <si>
    <t>부산파크</t>
    <phoneticPr fontId="3" type="noConversion"/>
  </si>
  <si>
    <t>두잉</t>
    <phoneticPr fontId="3" type="noConversion"/>
  </si>
  <si>
    <t>제주</t>
    <phoneticPr fontId="3" type="noConversion"/>
  </si>
  <si>
    <t>삼구</t>
    <phoneticPr fontId="3" type="noConversion"/>
  </si>
  <si>
    <t>소노벨</t>
    <phoneticPr fontId="3" type="noConversion"/>
  </si>
  <si>
    <t>소노캄_기물</t>
    <phoneticPr fontId="3" type="noConversion"/>
  </si>
  <si>
    <t>소노캄_런드리</t>
    <phoneticPr fontId="3" type="noConversion"/>
  </si>
  <si>
    <t>㈜프로에스콤</t>
    <phoneticPr fontId="3" type="noConversion"/>
  </si>
  <si>
    <t>포시</t>
    <phoneticPr fontId="3" type="noConversion"/>
  </si>
  <si>
    <t>조선</t>
    <phoneticPr fontId="3" type="noConversion"/>
  </si>
  <si>
    <t>4/20 지급</t>
    <phoneticPr fontId="3" type="noConversion"/>
  </si>
  <si>
    <t>4/24 지급</t>
    <phoneticPr fontId="3" type="noConversion"/>
  </si>
  <si>
    <t>어유카</t>
    <phoneticPr fontId="3" type="noConversion"/>
  </si>
  <si>
    <t>4/25 지급</t>
    <phoneticPr fontId="3" type="noConversion"/>
  </si>
  <si>
    <t>사와나(신입)</t>
  </si>
  <si>
    <t>침액(신입)</t>
  </si>
  <si>
    <t>디얀아</t>
  </si>
  <si>
    <t>26.04.13~04.19</t>
    <phoneticPr fontId="3" type="noConversion"/>
  </si>
  <si>
    <t>3월 관리비</t>
  </si>
  <si>
    <t>4/24 선입금</t>
  </si>
  <si>
    <t>4/24 지급 - 4/24 선지급</t>
    <phoneticPr fontId="3" type="noConversion"/>
  </si>
  <si>
    <t>미가</t>
  </si>
  <si>
    <t>이서</t>
  </si>
  <si>
    <t xml:space="preserve">박은숙 </t>
  </si>
  <si>
    <t>버기</t>
  </si>
  <si>
    <t>한미래</t>
  </si>
  <si>
    <t>김미라(아마라)</t>
  </si>
  <si>
    <t>자영</t>
  </si>
  <si>
    <t>지우</t>
  </si>
  <si>
    <t>예소</t>
  </si>
  <si>
    <t>버마</t>
  </si>
  <si>
    <t>우주</t>
  </si>
  <si>
    <t>서기</t>
  </si>
  <si>
    <t>뭉흐졸</t>
  </si>
  <si>
    <t>소미</t>
  </si>
  <si>
    <t>26.04.13~04.19</t>
    <phoneticPr fontId="3" type="noConversion"/>
  </si>
  <si>
    <t>한강</t>
  </si>
  <si>
    <t>조기영</t>
  </si>
  <si>
    <t>(주)프로에스콤-시그니엘</t>
    <phoneticPr fontId="3" type="noConversion"/>
  </si>
  <si>
    <t>시그니엘</t>
    <phoneticPr fontId="3" type="noConversion"/>
  </si>
  <si>
    <t>11/24</t>
    <phoneticPr fontId="3" type="noConversion"/>
  </si>
  <si>
    <t>유정화</t>
    <phoneticPr fontId="3" type="noConversion"/>
  </si>
  <si>
    <t>정현주</t>
    <phoneticPr fontId="3" type="noConversion"/>
  </si>
  <si>
    <t>채움으로 지급 진행 / 정산만 휴먼</t>
    <phoneticPr fontId="3" type="noConversion"/>
  </si>
  <si>
    <t>상호</t>
    <phoneticPr fontId="3" type="noConversion"/>
  </si>
  <si>
    <t>도급</t>
    <phoneticPr fontId="3" type="noConversion"/>
  </si>
  <si>
    <t>비고</t>
    <phoneticPr fontId="3" type="noConversion"/>
  </si>
  <si>
    <t>차익금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</si>
</sst>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mm&quot;월&quot;\ dd&quot;일&quot;"/>
    <numFmt numFmtId="177" formatCode="0_ "/>
    <numFmt numFmtId="178" formatCode="0_);[Red]\(0\)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color rgb="FFFF0000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theme="1"/>
      <name val="맑은 고딕"/>
      <family val="3"/>
      <charset val="129"/>
    </font>
    <font>
      <sz val="11"/>
      <color rgb="FF000000"/>
      <name val="Arial"/>
      <family val="2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hair">
        <color auto="1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41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/>
    <xf numFmtId="0" fontId="15" fillId="0" borderId="0">
      <alignment vertical="center"/>
    </xf>
    <xf numFmtId="0" fontId="13" fillId="0" borderId="0"/>
    <xf numFmtId="0" fontId="14" fillId="0" borderId="0"/>
    <xf numFmtId="0" fontId="16" fillId="0" borderId="0">
      <alignment vertical="center"/>
    </xf>
    <xf numFmtId="0" fontId="9" fillId="0" borderId="0">
      <alignment vertical="center"/>
    </xf>
  </cellStyleXfs>
  <cellXfs count="162">
    <xf numFmtId="0" fontId="0" fillId="0" borderId="0" xfId="0">
      <alignment vertical="center"/>
    </xf>
    <xf numFmtId="41" fontId="4" fillId="0" borderId="0" xfId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1" fontId="4" fillId="0" borderId="0" xfId="1" applyFont="1" applyFill="1" applyAlignment="1">
      <alignment horizontal="center" vertical="center"/>
    </xf>
    <xf numFmtId="41" fontId="4" fillId="0" borderId="0" xfId="1" applyFont="1" applyFill="1" applyAlignment="1">
      <alignment horizontal="left" vertical="center"/>
    </xf>
    <xf numFmtId="41" fontId="6" fillId="0" borderId="0" xfId="1" applyFont="1" applyFill="1" applyBorder="1" applyAlignment="1"/>
    <xf numFmtId="41" fontId="5" fillId="0" borderId="0" xfId="0" applyNumberFormat="1" applyFont="1" applyAlignment="1">
      <alignment horizontal="center" vertical="center"/>
    </xf>
    <xf numFmtId="41" fontId="4" fillId="0" borderId="0" xfId="1" applyFont="1" applyFill="1" applyBorder="1" applyAlignment="1">
      <alignment horizontal="left" vertical="center"/>
    </xf>
    <xf numFmtId="41" fontId="4" fillId="0" borderId="0" xfId="1" applyFont="1" applyFill="1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0" xfId="1" applyFont="1" applyBorder="1" applyAlignment="1">
      <alignment horizontal="center" vertical="center"/>
    </xf>
    <xf numFmtId="41" fontId="7" fillId="2" borderId="1" xfId="0" applyNumberFormat="1" applyFont="1" applyFill="1" applyBorder="1" applyAlignment="1">
      <alignment horizontal="center" vertical="center"/>
    </xf>
    <xf numFmtId="41" fontId="5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textRotation="255"/>
    </xf>
    <xf numFmtId="41" fontId="4" fillId="0" borderId="0" xfId="0" applyNumberFormat="1" applyFont="1" applyAlignment="1">
      <alignment horizontal="center" vertical="center"/>
    </xf>
    <xf numFmtId="41" fontId="4" fillId="0" borderId="0" xfId="1" applyFont="1" applyAlignment="1">
      <alignment horizontal="left" vertical="center"/>
    </xf>
    <xf numFmtId="41" fontId="0" fillId="0" borderId="0" xfId="0" applyNumberFormat="1">
      <alignment vertical="center"/>
    </xf>
    <xf numFmtId="0" fontId="4" fillId="0" borderId="3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4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176" fontId="9" fillId="0" borderId="6" xfId="2" applyNumberFormat="1" applyFont="1" applyBorder="1" applyAlignment="1">
      <alignment horizontal="center" vertical="center"/>
    </xf>
    <xf numFmtId="49" fontId="9" fillId="0" borderId="6" xfId="2" applyNumberFormat="1" applyFont="1" applyBorder="1" applyAlignment="1">
      <alignment horizontal="center" vertical="center"/>
    </xf>
    <xf numFmtId="49" fontId="10" fillId="0" borderId="6" xfId="2" applyNumberFormat="1" applyFont="1" applyBorder="1" applyAlignment="1">
      <alignment horizontal="center" vertical="center"/>
    </xf>
    <xf numFmtId="49" fontId="9" fillId="0" borderId="6" xfId="2" applyNumberFormat="1" applyFont="1" applyBorder="1" applyAlignment="1">
      <alignment horizontal="left" vertical="center"/>
    </xf>
    <xf numFmtId="41" fontId="10" fillId="0" borderId="6" xfId="3" applyFont="1" applyBorder="1" applyAlignment="1">
      <alignment horizontal="center" vertical="center"/>
    </xf>
    <xf numFmtId="41" fontId="10" fillId="0" borderId="6" xfId="4" applyFont="1" applyFill="1" applyBorder="1" applyAlignment="1">
      <alignment horizontal="center" vertical="center"/>
    </xf>
    <xf numFmtId="49" fontId="10" fillId="0" borderId="6" xfId="2" applyNumberFormat="1" applyFont="1" applyBorder="1" applyAlignment="1">
      <alignment horizontal="left" vertical="center"/>
    </xf>
    <xf numFmtId="41" fontId="9" fillId="0" borderId="6" xfId="3" applyFont="1" applyBorder="1" applyAlignment="1">
      <alignment horizontal="center" vertical="center"/>
    </xf>
    <xf numFmtId="0" fontId="6" fillId="0" borderId="0" xfId="0" applyFont="1">
      <alignment vertical="center"/>
    </xf>
    <xf numFmtId="14" fontId="9" fillId="0" borderId="0" xfId="3" applyNumberFormat="1" applyFont="1" applyAlignment="1">
      <alignment horizontal="left" vertical="center"/>
    </xf>
    <xf numFmtId="14" fontId="9" fillId="0" borderId="6" xfId="3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76" fontId="9" fillId="5" borderId="6" xfId="2" applyNumberFormat="1" applyFont="1" applyFill="1" applyBorder="1" applyAlignment="1">
      <alignment horizontal="center" vertical="center"/>
    </xf>
    <xf numFmtId="177" fontId="9" fillId="0" borderId="6" xfId="2" applyNumberFormat="1" applyFont="1" applyBorder="1" applyAlignment="1">
      <alignment horizontal="left" vertical="center"/>
    </xf>
    <xf numFmtId="41" fontId="9" fillId="0" borderId="6" xfId="7" applyFont="1" applyBorder="1" applyAlignment="1">
      <alignment horizontal="center" vertical="center"/>
    </xf>
    <xf numFmtId="41" fontId="11" fillId="4" borderId="6" xfId="3" applyFont="1" applyFill="1" applyBorder="1" applyAlignment="1">
      <alignment horizontal="center" vertical="center"/>
    </xf>
    <xf numFmtId="176" fontId="9" fillId="6" borderId="6" xfId="0" applyNumberFormat="1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41" fontId="11" fillId="0" borderId="6" xfId="3" applyFont="1" applyBorder="1" applyAlignment="1">
      <alignment horizontal="center" vertical="center"/>
    </xf>
    <xf numFmtId="0" fontId="0" fillId="0" borderId="6" xfId="0" applyBorder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49" fontId="9" fillId="0" borderId="6" xfId="8" applyNumberFormat="1" applyFont="1" applyBorder="1" applyAlignment="1">
      <alignment horizontal="center" vertical="center"/>
    </xf>
    <xf numFmtId="49" fontId="9" fillId="0" borderId="6" xfId="8" applyNumberFormat="1" applyFont="1" applyBorder="1" applyAlignment="1">
      <alignment horizontal="left" vertical="center"/>
    </xf>
    <xf numFmtId="41" fontId="9" fillId="0" borderId="6" xfId="9" applyFont="1" applyFill="1" applyBorder="1" applyAlignment="1">
      <alignment horizontal="center" vertical="center"/>
    </xf>
    <xf numFmtId="176" fontId="9" fillId="7" borderId="6" xfId="2" applyNumberFormat="1" applyFont="1" applyFill="1" applyBorder="1" applyAlignment="1">
      <alignment horizontal="center" vertical="center"/>
    </xf>
    <xf numFmtId="49" fontId="9" fillId="7" borderId="6" xfId="2" applyNumberFormat="1" applyFont="1" applyFill="1" applyBorder="1" applyAlignment="1">
      <alignment horizontal="center" vertical="center"/>
    </xf>
    <xf numFmtId="49" fontId="9" fillId="7" borderId="6" xfId="8" applyNumberFormat="1" applyFont="1" applyFill="1" applyBorder="1" applyAlignment="1">
      <alignment horizontal="center" vertical="center"/>
    </xf>
    <xf numFmtId="41" fontId="9" fillId="7" borderId="6" xfId="3" applyFont="1" applyFill="1" applyBorder="1" applyAlignment="1">
      <alignment horizontal="center" vertical="center"/>
    </xf>
    <xf numFmtId="41" fontId="9" fillId="7" borderId="6" xfId="6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9" fillId="0" borderId="0" xfId="3" applyNumberFormat="1" applyFont="1" applyAlignment="1">
      <alignment horizontal="left" vertical="center"/>
    </xf>
    <xf numFmtId="41" fontId="10" fillId="0" borderId="6" xfId="7" applyFont="1" applyBorder="1" applyAlignment="1">
      <alignment horizontal="center" vertical="center"/>
    </xf>
    <xf numFmtId="0" fontId="9" fillId="0" borderId="6" xfId="3" applyNumberFormat="1" applyFont="1" applyBorder="1" applyAlignment="1">
      <alignment horizontal="left" vertical="center"/>
    </xf>
    <xf numFmtId="41" fontId="9" fillId="0" borderId="6" xfId="10" applyFont="1" applyBorder="1" applyAlignment="1">
      <alignment horizontal="center" vertical="center"/>
    </xf>
    <xf numFmtId="14" fontId="9" fillId="0" borderId="6" xfId="3" applyNumberFormat="1" applyFont="1" applyBorder="1" applyAlignment="1">
      <alignment horizontal="center" vertical="center"/>
    </xf>
    <xf numFmtId="14" fontId="9" fillId="0" borderId="0" xfId="3" applyNumberFormat="1" applyFont="1" applyAlignment="1">
      <alignment horizontal="center" vertical="center"/>
    </xf>
    <xf numFmtId="41" fontId="9" fillId="0" borderId="6" xfId="3" applyFont="1" applyBorder="1" applyAlignment="1">
      <alignment horizontal="left" vertical="center"/>
    </xf>
    <xf numFmtId="41" fontId="9" fillId="0" borderId="0" xfId="7" applyFont="1" applyAlignment="1">
      <alignment horizontal="center" vertical="center"/>
    </xf>
    <xf numFmtId="49" fontId="10" fillId="0" borderId="7" xfId="2" applyNumberFormat="1" applyFont="1" applyBorder="1" applyAlignment="1">
      <alignment horizontal="center" vertical="center"/>
    </xf>
    <xf numFmtId="41" fontId="4" fillId="0" borderId="3" xfId="1" applyFont="1" applyBorder="1" applyAlignment="1">
      <alignment horizontal="left" vertical="center"/>
    </xf>
    <xf numFmtId="41" fontId="4" fillId="0" borderId="2" xfId="1" applyFont="1" applyBorder="1" applyAlignment="1">
      <alignment horizontal="center" vertical="center"/>
    </xf>
    <xf numFmtId="41" fontId="9" fillId="6" borderId="6" xfId="1" applyFont="1" applyFill="1" applyBorder="1" applyAlignment="1">
      <alignment horizontal="left" vertical="center"/>
    </xf>
    <xf numFmtId="41" fontId="0" fillId="0" borderId="0" xfId="1" applyFont="1">
      <alignment vertical="center"/>
    </xf>
    <xf numFmtId="41" fontId="11" fillId="4" borderId="6" xfId="1" applyFont="1" applyFill="1" applyBorder="1" applyAlignment="1">
      <alignment horizontal="center" vertical="center"/>
    </xf>
    <xf numFmtId="41" fontId="9" fillId="0" borderId="6" xfId="1" applyFont="1" applyBorder="1" applyAlignment="1">
      <alignment horizontal="center" vertical="center"/>
    </xf>
    <xf numFmtId="41" fontId="9" fillId="0" borderId="8" xfId="0" applyNumberFormat="1" applyFont="1" applyBorder="1" applyAlignment="1">
      <alignment horizontal="center" vertical="center"/>
    </xf>
    <xf numFmtId="41" fontId="9" fillId="0" borderId="6" xfId="0" applyNumberFormat="1" applyFont="1" applyBorder="1" applyAlignment="1">
      <alignment horizontal="center" vertical="center"/>
    </xf>
    <xf numFmtId="41" fontId="9" fillId="0" borderId="6" xfId="1" applyFont="1" applyBorder="1" applyAlignment="1">
      <alignment horizontal="left" vertical="center"/>
    </xf>
    <xf numFmtId="41" fontId="4" fillId="0" borderId="1" xfId="1" applyFont="1" applyBorder="1" applyAlignment="1">
      <alignment horizontal="right" vertical="center"/>
    </xf>
    <xf numFmtId="178" fontId="4" fillId="0" borderId="2" xfId="0" applyNumberFormat="1" applyFont="1" applyBorder="1" applyAlignment="1">
      <alignment horizontal="center" vertical="center"/>
    </xf>
    <xf numFmtId="178" fontId="9" fillId="0" borderId="6" xfId="0" applyNumberFormat="1" applyFont="1" applyBorder="1" applyAlignment="1">
      <alignment horizontal="left" vertical="center"/>
    </xf>
    <xf numFmtId="178" fontId="9" fillId="7" borderId="6" xfId="8" applyNumberFormat="1" applyFont="1" applyFill="1" applyBorder="1" applyAlignment="1">
      <alignment horizontal="left" vertical="center"/>
    </xf>
    <xf numFmtId="178" fontId="9" fillId="0" borderId="6" xfId="2" applyNumberFormat="1" applyFont="1" applyBorder="1" applyAlignment="1">
      <alignment horizontal="left" vertical="center"/>
    </xf>
    <xf numFmtId="178" fontId="9" fillId="7" borderId="6" xfId="2" applyNumberFormat="1" applyFont="1" applyFill="1" applyBorder="1" applyAlignment="1">
      <alignment horizontal="left" vertical="center"/>
    </xf>
    <xf numFmtId="178" fontId="9" fillId="0" borderId="6" xfId="8" applyNumberFormat="1" applyFont="1" applyBorder="1" applyAlignment="1">
      <alignment horizontal="left" vertical="center"/>
    </xf>
    <xf numFmtId="178" fontId="0" fillId="0" borderId="0" xfId="0" applyNumberFormat="1">
      <alignment vertical="center"/>
    </xf>
    <xf numFmtId="41" fontId="11" fillId="0" borderId="9" xfId="3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78" fontId="9" fillId="0" borderId="6" xfId="0" quotePrefix="1" applyNumberFormat="1" applyFont="1" applyBorder="1" applyAlignment="1">
      <alignment horizontal="left" vertical="center"/>
    </xf>
    <xf numFmtId="49" fontId="10" fillId="7" borderId="6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6" fillId="0" borderId="0" xfId="0" applyNumberFormat="1" applyFont="1">
      <alignment vertical="center"/>
    </xf>
    <xf numFmtId="176" fontId="6" fillId="9" borderId="2" xfId="0" applyNumberFormat="1" applyFont="1" applyFill="1" applyBorder="1" applyAlignment="1">
      <alignment horizontal="center" vertical="center"/>
    </xf>
    <xf numFmtId="176" fontId="9" fillId="8" borderId="6" xfId="0" applyNumberFormat="1" applyFont="1" applyFill="1" applyBorder="1" applyAlignment="1">
      <alignment horizontal="left" vertical="center"/>
    </xf>
    <xf numFmtId="176" fontId="9" fillId="3" borderId="6" xfId="2" applyNumberFormat="1" applyFont="1" applyFill="1" applyBorder="1" applyAlignment="1">
      <alignment horizontal="center" vertical="center"/>
    </xf>
    <xf numFmtId="49" fontId="9" fillId="3" borderId="6" xfId="2" applyNumberFormat="1" applyFont="1" applyFill="1" applyBorder="1" applyAlignment="1">
      <alignment horizontal="center" vertical="center"/>
    </xf>
    <xf numFmtId="177" fontId="9" fillId="3" borderId="6" xfId="2" applyNumberFormat="1" applyFont="1" applyFill="1" applyBorder="1" applyAlignment="1">
      <alignment horizontal="left" vertical="center"/>
    </xf>
    <xf numFmtId="41" fontId="9" fillId="3" borderId="6" xfId="1" applyFont="1" applyFill="1" applyBorder="1" applyAlignment="1">
      <alignment horizontal="center" vertical="center"/>
    </xf>
    <xf numFmtId="41" fontId="11" fillId="3" borderId="6" xfId="1" applyFont="1" applyFill="1" applyBorder="1" applyAlignment="1">
      <alignment horizontal="center" vertical="center"/>
    </xf>
    <xf numFmtId="41" fontId="9" fillId="3" borderId="6" xfId="1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left" vertical="center"/>
    </xf>
    <xf numFmtId="176" fontId="9" fillId="3" borderId="6" xfId="0" applyNumberFormat="1" applyFont="1" applyFill="1" applyBorder="1" applyAlignment="1">
      <alignment horizontal="left" vertical="center"/>
    </xf>
    <xf numFmtId="0" fontId="0" fillId="3" borderId="0" xfId="0" applyFill="1">
      <alignment vertical="center"/>
    </xf>
    <xf numFmtId="176" fontId="9" fillId="10" borderId="6" xfId="2" applyNumberFormat="1" applyFont="1" applyFill="1" applyBorder="1" applyAlignment="1">
      <alignment horizontal="center" vertical="center"/>
    </xf>
    <xf numFmtId="49" fontId="9" fillId="10" borderId="6" xfId="2" applyNumberFormat="1" applyFont="1" applyFill="1" applyBorder="1" applyAlignment="1">
      <alignment horizontal="center" vertical="center"/>
    </xf>
    <xf numFmtId="177" fontId="9" fillId="10" borderId="6" xfId="2" applyNumberFormat="1" applyFont="1" applyFill="1" applyBorder="1" applyAlignment="1">
      <alignment horizontal="left" vertical="center"/>
    </xf>
    <xf numFmtId="41" fontId="9" fillId="10" borderId="6" xfId="7" applyFont="1" applyFill="1" applyBorder="1" applyAlignment="1">
      <alignment horizontal="center" vertical="center"/>
    </xf>
    <xf numFmtId="41" fontId="11" fillId="10" borderId="6" xfId="3" applyFont="1" applyFill="1" applyBorder="1" applyAlignment="1">
      <alignment horizontal="center" vertical="center"/>
    </xf>
    <xf numFmtId="41" fontId="9" fillId="10" borderId="6" xfId="1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255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1" fontId="5" fillId="0" borderId="1" xfId="0" applyNumberFormat="1" applyFont="1" applyBorder="1" applyAlignment="1">
      <alignment horizontal="center" vertical="center"/>
    </xf>
    <xf numFmtId="41" fontId="4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1" xfId="1" applyFont="1" applyFill="1" applyBorder="1" applyAlignment="1">
      <alignment vertical="center"/>
    </xf>
    <xf numFmtId="41" fontId="4" fillId="0" borderId="1" xfId="1" applyFont="1" applyFill="1" applyBorder="1" applyAlignment="1">
      <alignment horizontal="center" vertical="center"/>
    </xf>
    <xf numFmtId="176" fontId="4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255"/>
    </xf>
    <xf numFmtId="0" fontId="0" fillId="0" borderId="1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9" fillId="0" borderId="13" xfId="0" applyFont="1" applyBorder="1" applyAlignment="1">
      <alignment horizontal="center" vertical="center"/>
    </xf>
    <xf numFmtId="176" fontId="9" fillId="0" borderId="14" xfId="2" applyNumberFormat="1" applyFont="1" applyBorder="1" applyAlignment="1">
      <alignment horizontal="center" vertical="center"/>
    </xf>
    <xf numFmtId="49" fontId="9" fillId="0" borderId="14" xfId="2" applyNumberFormat="1" applyFont="1" applyBorder="1" applyAlignment="1">
      <alignment horizontal="center" vertical="center"/>
    </xf>
    <xf numFmtId="178" fontId="9" fillId="0" borderId="14" xfId="2" applyNumberFormat="1" applyFont="1" applyBorder="1" applyAlignment="1">
      <alignment horizontal="left" vertical="center"/>
    </xf>
    <xf numFmtId="41" fontId="9" fillId="0" borderId="14" xfId="7" applyFont="1" applyBorder="1" applyAlignment="1">
      <alignment horizontal="center" vertical="center"/>
    </xf>
    <xf numFmtId="41" fontId="11" fillId="0" borderId="14" xfId="3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178" fontId="4" fillId="0" borderId="1" xfId="0" applyNumberFormat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176" fontId="9" fillId="5" borderId="1" xfId="2" applyNumberFormat="1" applyFont="1" applyFill="1" applyBorder="1" applyAlignment="1">
      <alignment horizontal="center" vertical="center"/>
    </xf>
    <xf numFmtId="49" fontId="9" fillId="0" borderId="1" xfId="2" applyNumberFormat="1" applyFont="1" applyBorder="1" applyAlignment="1">
      <alignment horizontal="center" vertical="center"/>
    </xf>
    <xf numFmtId="178" fontId="9" fillId="0" borderId="1" xfId="2" applyNumberFormat="1" applyFont="1" applyBorder="1" applyAlignment="1">
      <alignment horizontal="left" vertical="center"/>
    </xf>
    <xf numFmtId="41" fontId="9" fillId="0" borderId="1" xfId="7" applyFont="1" applyBorder="1" applyAlignment="1">
      <alignment horizontal="center" vertical="center"/>
    </xf>
    <xf numFmtId="41" fontId="11" fillId="4" borderId="1" xfId="3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176" fontId="9" fillId="0" borderId="1" xfId="2" applyNumberFormat="1" applyFont="1" applyBorder="1" applyAlignment="1">
      <alignment horizontal="center" vertical="center"/>
    </xf>
    <xf numFmtId="14" fontId="9" fillId="0" borderId="1" xfId="2" applyNumberFormat="1" applyFont="1" applyBorder="1" applyAlignment="1">
      <alignment horizontal="left" vertical="center"/>
    </xf>
    <xf numFmtId="14" fontId="9" fillId="3" borderId="1" xfId="2" applyNumberFormat="1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41" fontId="0" fillId="0" borderId="1" xfId="0" applyNumberFormat="1" applyBorder="1">
      <alignment vertical="center"/>
    </xf>
    <xf numFmtId="0" fontId="4" fillId="0" borderId="5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0" xfId="0" applyFont="1" applyBorder="1" applyAlignment="1">
      <alignment horizontal="right" vertical="center"/>
    </xf>
    <xf numFmtId="41" fontId="4" fillId="0" borderId="0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</cellXfs>
  <cellStyles count="19">
    <cellStyle name="Normal 2" xfId="17"/>
    <cellStyle name="쉼표 [0]" xfId="1" builtinId="6"/>
    <cellStyle name="쉼표 [0] 16" xfId="6"/>
    <cellStyle name="쉼표 [0] 2" xfId="3"/>
    <cellStyle name="쉼표 [0] 2 10" xfId="4"/>
    <cellStyle name="쉼표 [0] 2 2" xfId="9"/>
    <cellStyle name="쉼표 [0] 2 3" xfId="7"/>
    <cellStyle name="쉼표 [0] 2 3 2" xfId="10"/>
    <cellStyle name="쉼표 [0] 24 10" xfId="5"/>
    <cellStyle name="표준" xfId="0" builtinId="0"/>
    <cellStyle name="표준 14 2" xfId="14"/>
    <cellStyle name="표준 14 2 2" xfId="18"/>
    <cellStyle name="표준 2" xfId="11"/>
    <cellStyle name="표준 2 10" xfId="2"/>
    <cellStyle name="표준 2 2" xfId="12"/>
    <cellStyle name="표준 2 2 2 2" xfId="8"/>
    <cellStyle name="표준 3" xfId="13"/>
    <cellStyle name="표준 8" xfId="15"/>
    <cellStyle name="표준 8 2" xfId="16"/>
  </cellStyles>
  <dxfs count="17">
    <dxf>
      <font>
        <b/>
        <i/>
      </font>
    </dxf>
    <dxf>
      <font>
        <b/>
        <i/>
      </font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xSplit="1" ySplit="4" topLeftCell="B5" activePane="bottomRight" state="frozen"/>
      <selection activeCell="I15" sqref="I15"/>
      <selection pane="topRight" activeCell="I15" sqref="I15"/>
      <selection pane="bottomLeft" activeCell="I15" sqref="I15"/>
      <selection pane="bottomRight" activeCell="J9" sqref="J9"/>
    </sheetView>
  </sheetViews>
  <sheetFormatPr defaultColWidth="9" defaultRowHeight="16.5" x14ac:dyDescent="0.3"/>
  <cols>
    <col min="1" max="1" width="11.75" style="89" bestFit="1" customWidth="1"/>
    <col min="2" max="2" width="27.25" style="90" customWidth="1"/>
    <col min="3" max="5" width="20.625" customWidth="1"/>
    <col min="6" max="6" width="8.625" customWidth="1"/>
    <col min="7" max="7" width="12" bestFit="1" customWidth="1"/>
    <col min="8" max="8" width="12.75" bestFit="1" customWidth="1"/>
    <col min="9" max="9" width="11.5" bestFit="1" customWidth="1"/>
    <col min="10" max="10" width="10.625" bestFit="1" customWidth="1"/>
    <col min="11" max="11" width="10.625" customWidth="1"/>
    <col min="12" max="14" width="10.625" bestFit="1" customWidth="1"/>
    <col min="16" max="17" width="10.625" bestFit="1" customWidth="1"/>
    <col min="19" max="20" width="10.625" bestFit="1" customWidth="1"/>
  </cols>
  <sheetData>
    <row r="1" spans="1:20" x14ac:dyDescent="0.3">
      <c r="A1" s="110" t="s">
        <v>43</v>
      </c>
      <c r="B1" s="110"/>
      <c r="C1" s="110"/>
      <c r="D1" s="110"/>
      <c r="E1" s="110"/>
      <c r="F1" s="110"/>
      <c r="G1" s="110"/>
      <c r="H1" s="110"/>
    </row>
    <row r="2" spans="1:20" x14ac:dyDescent="0.3">
      <c r="A2" s="110"/>
      <c r="B2" s="110"/>
      <c r="C2" s="110"/>
      <c r="D2" s="110"/>
      <c r="E2" s="110"/>
      <c r="F2" s="110"/>
      <c r="G2" s="110"/>
      <c r="H2" s="110"/>
    </row>
    <row r="3" spans="1:20" ht="30" customHeight="1" x14ac:dyDescent="0.3">
      <c r="A3" s="110"/>
      <c r="B3" s="110"/>
      <c r="C3" s="110"/>
      <c r="D3" s="110"/>
      <c r="E3" s="110"/>
      <c r="F3" s="110"/>
      <c r="G3" s="110"/>
      <c r="H3" s="110"/>
      <c r="I3" s="1"/>
      <c r="J3" s="1"/>
      <c r="K3" s="1"/>
      <c r="L3" s="1"/>
      <c r="M3" s="1"/>
      <c r="N3" s="1"/>
      <c r="O3" s="2"/>
      <c r="P3" s="3"/>
      <c r="Q3" s="3"/>
      <c r="R3" s="3"/>
      <c r="S3" s="1"/>
      <c r="T3" s="3"/>
    </row>
    <row r="4" spans="1:20" ht="36" customHeight="1" x14ac:dyDescent="0.3">
      <c r="A4" s="111" t="s">
        <v>305</v>
      </c>
      <c r="B4" s="112" t="s">
        <v>304</v>
      </c>
      <c r="C4" s="113" t="s">
        <v>0</v>
      </c>
      <c r="D4" s="114" t="s">
        <v>1</v>
      </c>
      <c r="E4" s="113" t="s">
        <v>25</v>
      </c>
      <c r="F4" s="113" t="s">
        <v>2</v>
      </c>
      <c r="G4" s="115" t="s">
        <v>24</v>
      </c>
      <c r="H4" s="115" t="s">
        <v>40</v>
      </c>
      <c r="I4" s="1"/>
      <c r="J4" s="1"/>
      <c r="K4" s="1"/>
      <c r="L4" s="4"/>
      <c r="M4" s="4"/>
      <c r="N4" s="5"/>
      <c r="O4" s="2"/>
      <c r="P4" s="3"/>
      <c r="Q4" s="3"/>
      <c r="R4" s="3"/>
      <c r="S4" s="1"/>
      <c r="T4" s="3"/>
    </row>
    <row r="5" spans="1:20" ht="19.5" customHeight="1" x14ac:dyDescent="0.25">
      <c r="A5" s="11" t="s">
        <v>261</v>
      </c>
      <c r="B5" s="116" t="s">
        <v>262</v>
      </c>
      <c r="C5" s="10">
        <f>제주!N1</f>
        <v>0</v>
      </c>
      <c r="D5" s="117">
        <f>제주!P1</f>
        <v>0</v>
      </c>
      <c r="E5" s="10">
        <f t="shared" ref="E5" si="0">D5-C5</f>
        <v>0</v>
      </c>
      <c r="F5" s="11" t="s">
        <v>3</v>
      </c>
      <c r="G5" s="118"/>
      <c r="H5" s="118">
        <f t="shared" ref="H5" si="1">D5+(D5*10%)-G5</f>
        <v>0</v>
      </c>
      <c r="I5" s="5"/>
      <c r="J5" s="6"/>
      <c r="K5" s="6"/>
      <c r="L5" s="4"/>
      <c r="M5" s="4"/>
      <c r="N5" s="5"/>
      <c r="O5" s="2"/>
      <c r="P5" s="3"/>
      <c r="Q5" s="4"/>
      <c r="R5" s="2"/>
      <c r="S5" s="4"/>
      <c r="T5" s="4"/>
    </row>
    <row r="6" spans="1:20" ht="19.5" customHeight="1" x14ac:dyDescent="0.25">
      <c r="A6" s="119" t="s">
        <v>263</v>
      </c>
      <c r="B6" s="116" t="s">
        <v>264</v>
      </c>
      <c r="C6" s="10">
        <f>소노벨!O1</f>
        <v>58526840</v>
      </c>
      <c r="D6" s="117">
        <f>소노벨!Q1</f>
        <v>70429850</v>
      </c>
      <c r="E6" s="10">
        <f t="shared" ref="E6:E17" si="2">D6-C6</f>
        <v>11903010</v>
      </c>
      <c r="F6" s="11" t="s">
        <v>5</v>
      </c>
      <c r="G6" s="118">
        <f>23604295+27823510</f>
        <v>51427805</v>
      </c>
      <c r="H6" s="118">
        <f>D6+(D6*10%)-G6</f>
        <v>26045030</v>
      </c>
      <c r="I6" s="5"/>
      <c r="J6" s="6"/>
      <c r="K6" s="6"/>
      <c r="L6" s="4"/>
      <c r="M6" s="4"/>
      <c r="N6" s="5"/>
      <c r="O6" s="2"/>
      <c r="P6" s="3"/>
      <c r="Q6" s="9"/>
      <c r="R6" s="2"/>
      <c r="S6" s="9"/>
      <c r="T6" s="9"/>
    </row>
    <row r="7" spans="1:20" ht="19.5" customHeight="1" x14ac:dyDescent="0.25">
      <c r="A7" s="119"/>
      <c r="B7" s="116" t="s">
        <v>265</v>
      </c>
      <c r="C7" s="10">
        <f>소노캄_기물!O1</f>
        <v>12455000</v>
      </c>
      <c r="D7" s="117">
        <f>소노캄_기물!Q1</f>
        <v>14915000</v>
      </c>
      <c r="E7" s="10">
        <f t="shared" si="2"/>
        <v>2460000</v>
      </c>
      <c r="F7" s="11" t="s">
        <v>5</v>
      </c>
      <c r="G7" s="120">
        <v>10381250</v>
      </c>
      <c r="H7" s="120">
        <f>D7+(D7*10%)-G7</f>
        <v>6025250</v>
      </c>
      <c r="I7" s="5"/>
      <c r="J7" s="6"/>
      <c r="K7" s="6"/>
      <c r="L7" s="4"/>
      <c r="M7" s="4"/>
      <c r="N7" s="5"/>
      <c r="O7" s="2"/>
      <c r="P7" s="3"/>
      <c r="Q7" s="9"/>
      <c r="R7" s="2"/>
      <c r="S7" s="9"/>
      <c r="T7" s="9"/>
    </row>
    <row r="8" spans="1:20" ht="19.5" customHeight="1" x14ac:dyDescent="0.25">
      <c r="A8" s="119"/>
      <c r="B8" s="116" t="s">
        <v>132</v>
      </c>
      <c r="C8" s="10">
        <f>소노캄!N1</f>
        <v>37631740</v>
      </c>
      <c r="D8" s="117">
        <f>소노캄!P1</f>
        <v>46490140</v>
      </c>
      <c r="E8" s="10">
        <f t="shared" si="2"/>
        <v>8858400</v>
      </c>
      <c r="F8" s="11" t="s">
        <v>5</v>
      </c>
      <c r="G8" s="121">
        <v>33338030</v>
      </c>
      <c r="H8" s="121">
        <f>D8+D9+((D8+D9)*10%)-G8</f>
        <v>22025124</v>
      </c>
      <c r="I8" s="5"/>
      <c r="J8" s="6"/>
      <c r="K8" s="6"/>
      <c r="L8" s="4"/>
      <c r="M8" s="4"/>
      <c r="N8" s="5"/>
      <c r="O8" s="2"/>
      <c r="P8" s="3"/>
      <c r="Q8" s="9"/>
      <c r="R8" s="2"/>
      <c r="S8" s="9"/>
      <c r="T8" s="9"/>
    </row>
    <row r="9" spans="1:20" ht="19.5" customHeight="1" x14ac:dyDescent="0.25">
      <c r="A9" s="119"/>
      <c r="B9" s="116" t="s">
        <v>266</v>
      </c>
      <c r="C9" s="10">
        <f>소노캄_런드리!O3</f>
        <v>3200000</v>
      </c>
      <c r="D9" s="117">
        <f>소노캄_런드리!Q3</f>
        <v>3840000</v>
      </c>
      <c r="E9" s="10">
        <f t="shared" ref="E9" si="3">D9-C9</f>
        <v>640000</v>
      </c>
      <c r="F9" s="11" t="s">
        <v>5</v>
      </c>
      <c r="G9" s="121"/>
      <c r="H9" s="121"/>
      <c r="I9" s="5"/>
      <c r="J9" s="6"/>
      <c r="K9" s="6"/>
      <c r="L9" s="4"/>
      <c r="M9" s="4"/>
      <c r="N9" s="5"/>
      <c r="O9" s="2"/>
      <c r="P9" s="3"/>
      <c r="Q9" s="9"/>
      <c r="R9" s="2"/>
      <c r="S9" s="9"/>
      <c r="T9" s="9"/>
    </row>
    <row r="10" spans="1:20" ht="19.5" customHeight="1" x14ac:dyDescent="0.25">
      <c r="A10" s="119" t="s">
        <v>267</v>
      </c>
      <c r="B10" s="116" t="s">
        <v>268</v>
      </c>
      <c r="C10" s="10">
        <f>포시!N1</f>
        <v>11131800</v>
      </c>
      <c r="D10" s="117">
        <f>포시!Q1</f>
        <v>12466800</v>
      </c>
      <c r="E10" s="10">
        <f t="shared" si="2"/>
        <v>1335000</v>
      </c>
      <c r="F10" s="11" t="s">
        <v>246</v>
      </c>
      <c r="G10" s="118">
        <v>13713480</v>
      </c>
      <c r="H10" s="118">
        <f t="shared" ref="H10:H13" si="4">D10+(D10*10%)-G10</f>
        <v>0</v>
      </c>
      <c r="I10" s="8"/>
      <c r="J10" s="6"/>
      <c r="K10" s="6"/>
      <c r="L10" s="9"/>
      <c r="M10" s="9"/>
      <c r="N10" s="4"/>
      <c r="O10" s="2"/>
      <c r="P10" s="3"/>
      <c r="Q10" s="9"/>
      <c r="R10" s="2"/>
      <c r="S10" s="9"/>
      <c r="T10" s="9"/>
    </row>
    <row r="11" spans="1:20" ht="19.5" customHeight="1" x14ac:dyDescent="0.25">
      <c r="A11" s="119"/>
      <c r="B11" s="116" t="s">
        <v>299</v>
      </c>
      <c r="C11" s="10">
        <f>시그니엘!O1</f>
        <v>0</v>
      </c>
      <c r="D11" s="117">
        <f>시그니엘!R1</f>
        <v>0</v>
      </c>
      <c r="E11" s="10">
        <f t="shared" si="2"/>
        <v>0</v>
      </c>
      <c r="F11" s="122" t="s">
        <v>300</v>
      </c>
      <c r="G11" s="118"/>
      <c r="H11" s="118">
        <f t="shared" si="4"/>
        <v>0</v>
      </c>
      <c r="I11" s="8"/>
      <c r="J11" s="6"/>
      <c r="K11" s="6"/>
      <c r="L11" s="9"/>
      <c r="M11" s="9"/>
      <c r="N11" s="4"/>
      <c r="O11" s="2"/>
      <c r="P11" s="3"/>
      <c r="Q11" s="9"/>
      <c r="R11" s="2"/>
      <c r="S11" s="9"/>
      <c r="T11" s="9"/>
    </row>
    <row r="12" spans="1:20" ht="19.5" customHeight="1" x14ac:dyDescent="0.25">
      <c r="A12" s="119"/>
      <c r="B12" s="116" t="s">
        <v>260</v>
      </c>
      <c r="C12" s="10">
        <f>부산파크!O1</f>
        <v>350000</v>
      </c>
      <c r="D12" s="117">
        <f>부산파크!R1</f>
        <v>425000</v>
      </c>
      <c r="E12" s="10">
        <f t="shared" si="2"/>
        <v>75000</v>
      </c>
      <c r="F12" s="11" t="s">
        <v>246</v>
      </c>
      <c r="G12" s="118">
        <v>467500</v>
      </c>
      <c r="H12" s="118">
        <f t="shared" si="4"/>
        <v>0</v>
      </c>
      <c r="I12" s="8"/>
      <c r="J12" s="6"/>
      <c r="K12" s="6"/>
      <c r="L12" s="9"/>
      <c r="M12" s="9"/>
      <c r="N12" s="4"/>
      <c r="O12" s="2"/>
      <c r="P12" s="3"/>
      <c r="Q12" s="9"/>
      <c r="R12" s="2"/>
      <c r="S12" s="9"/>
      <c r="T12" s="9"/>
    </row>
    <row r="13" spans="1:20" ht="18" customHeight="1" x14ac:dyDescent="0.3">
      <c r="A13" s="11" t="s">
        <v>249</v>
      </c>
      <c r="B13" s="116" t="s">
        <v>269</v>
      </c>
      <c r="C13" s="10">
        <f>조선!O3</f>
        <v>1080000</v>
      </c>
      <c r="D13" s="117">
        <f>조선!R3</f>
        <v>1170000</v>
      </c>
      <c r="E13" s="10">
        <f t="shared" si="2"/>
        <v>90000</v>
      </c>
      <c r="F13" s="11" t="s">
        <v>246</v>
      </c>
      <c r="G13" s="118">
        <v>1287000</v>
      </c>
      <c r="H13" s="118">
        <f t="shared" si="4"/>
        <v>0</v>
      </c>
      <c r="I13" s="9"/>
      <c r="J13" s="9"/>
      <c r="K13" s="9"/>
      <c r="L13" s="9"/>
      <c r="M13" s="9"/>
      <c r="N13" s="9"/>
      <c r="O13" s="2"/>
      <c r="P13" s="3"/>
      <c r="Q13" s="9"/>
      <c r="R13" s="2"/>
      <c r="S13" s="9"/>
      <c r="T13" s="9"/>
    </row>
    <row r="14" spans="1:20" ht="18" hidden="1" customHeight="1" x14ac:dyDescent="0.3">
      <c r="A14" s="123"/>
      <c r="B14" s="116"/>
      <c r="C14" s="10">
        <f>제주!O9</f>
        <v>0</v>
      </c>
      <c r="D14" s="117">
        <f>제주!Q9</f>
        <v>0</v>
      </c>
      <c r="E14" s="10">
        <f t="shared" si="2"/>
        <v>0</v>
      </c>
      <c r="F14" s="11"/>
      <c r="G14" s="118"/>
      <c r="H14" s="118"/>
      <c r="I14" s="9"/>
      <c r="J14" s="9"/>
      <c r="K14" s="9"/>
      <c r="L14" s="9"/>
      <c r="M14" s="9"/>
      <c r="N14" s="9"/>
      <c r="O14" s="2"/>
      <c r="P14" s="3"/>
      <c r="Q14" s="9"/>
      <c r="R14" s="2"/>
      <c r="S14" s="9"/>
      <c r="T14" s="9"/>
    </row>
    <row r="15" spans="1:20" ht="18" hidden="1" customHeight="1" x14ac:dyDescent="0.3">
      <c r="A15" s="123"/>
      <c r="B15" s="116"/>
      <c r="C15" s="10">
        <f>제주!O10</f>
        <v>0</v>
      </c>
      <c r="D15" s="117">
        <f>제주!Q10</f>
        <v>0</v>
      </c>
      <c r="E15" s="10">
        <f t="shared" si="2"/>
        <v>0</v>
      </c>
      <c r="F15" s="11"/>
      <c r="G15" s="118"/>
      <c r="H15" s="118"/>
      <c r="I15" s="9"/>
      <c r="J15" s="9"/>
      <c r="K15" s="9"/>
      <c r="L15" s="9"/>
      <c r="M15" s="9"/>
      <c r="N15" s="9"/>
      <c r="O15" s="2"/>
      <c r="P15" s="3"/>
      <c r="Q15" s="9"/>
      <c r="R15" s="2"/>
      <c r="S15" s="9"/>
      <c r="T15" s="9"/>
    </row>
    <row r="16" spans="1:20" ht="17.45" hidden="1" customHeight="1" x14ac:dyDescent="0.3">
      <c r="A16" s="123"/>
      <c r="B16" s="116"/>
      <c r="C16" s="10">
        <f>제주!O11</f>
        <v>0</v>
      </c>
      <c r="D16" s="117">
        <f>제주!Q11</f>
        <v>0</v>
      </c>
      <c r="E16" s="10">
        <f t="shared" si="2"/>
        <v>0</v>
      </c>
      <c r="F16" s="11"/>
      <c r="G16" s="118"/>
      <c r="H16" s="118"/>
      <c r="I16" s="9"/>
      <c r="J16" s="9"/>
      <c r="K16" s="9"/>
      <c r="L16" s="9"/>
      <c r="M16" s="9"/>
      <c r="N16" s="9"/>
      <c r="O16" s="2"/>
      <c r="P16" s="3"/>
      <c r="Q16" s="3"/>
      <c r="R16" s="3"/>
      <c r="S16" s="12"/>
      <c r="T16" s="3"/>
    </row>
    <row r="17" spans="1:20" hidden="1" x14ac:dyDescent="0.3">
      <c r="A17" s="124"/>
      <c r="B17" s="116"/>
      <c r="C17" s="10">
        <f>제주!O12</f>
        <v>0</v>
      </c>
      <c r="D17" s="117">
        <f>제주!Q12</f>
        <v>0</v>
      </c>
      <c r="E17" s="10">
        <f t="shared" si="2"/>
        <v>0</v>
      </c>
      <c r="F17" s="11"/>
      <c r="G17" s="118"/>
      <c r="H17" s="118"/>
      <c r="I17" s="4"/>
      <c r="J17" s="4"/>
      <c r="K17" s="4"/>
      <c r="L17" s="9"/>
      <c r="M17" s="12"/>
      <c r="N17" s="9"/>
      <c r="O17" s="2"/>
      <c r="P17" s="3"/>
      <c r="Q17" s="3"/>
      <c r="R17" s="3"/>
      <c r="S17" s="1"/>
      <c r="T17" s="3"/>
    </row>
    <row r="18" spans="1:20" x14ac:dyDescent="0.3">
      <c r="A18" s="114" t="s">
        <v>7</v>
      </c>
      <c r="B18" s="112"/>
      <c r="C18" s="13">
        <f>SUM(C5:C17)</f>
        <v>124375380</v>
      </c>
      <c r="D18" s="13">
        <f>SUM(D5:D17)</f>
        <v>149736790</v>
      </c>
      <c r="E18" s="13">
        <f>SUM(E5:E17)</f>
        <v>25361410</v>
      </c>
      <c r="F18" s="13"/>
      <c r="G18" s="14">
        <f>SUM(G5:G17)</f>
        <v>110615065</v>
      </c>
      <c r="H18" s="14">
        <f>SUM(H5:H17)</f>
        <v>54095404</v>
      </c>
      <c r="I18" s="1"/>
      <c r="J18" s="4"/>
      <c r="K18" s="1"/>
      <c r="L18" s="12"/>
      <c r="M18" s="1"/>
      <c r="N18" s="9"/>
      <c r="O18" s="2"/>
      <c r="P18" s="3"/>
      <c r="Q18" s="3"/>
      <c r="R18" s="3"/>
      <c r="S18" s="1"/>
      <c r="T18" s="3"/>
    </row>
    <row r="19" spans="1:20" x14ac:dyDescent="0.3">
      <c r="A19" s="15"/>
      <c r="B19" s="2"/>
      <c r="C19" s="7"/>
      <c r="D19" s="7"/>
      <c r="E19" s="16">
        <f>D19</f>
        <v>0</v>
      </c>
      <c r="F19" s="3"/>
      <c r="G19" s="3"/>
      <c r="H19" s="16"/>
      <c r="I19" s="17"/>
      <c r="J19" s="1"/>
      <c r="K19" s="1"/>
      <c r="L19" s="1"/>
      <c r="M19" s="1"/>
      <c r="N19" s="9"/>
      <c r="O19" s="2"/>
      <c r="P19" s="3"/>
      <c r="Q19" s="3"/>
      <c r="R19" s="3"/>
      <c r="S19" s="1"/>
      <c r="T19" s="3"/>
    </row>
    <row r="20" spans="1:20" x14ac:dyDescent="0.3">
      <c r="A20" s="15"/>
      <c r="B20" s="2"/>
      <c r="C20" s="16"/>
      <c r="D20" s="16"/>
      <c r="E20" s="16"/>
      <c r="F20" s="3"/>
      <c r="G20" s="1"/>
      <c r="H20" s="17"/>
      <c r="I20" s="1"/>
      <c r="J20" s="1"/>
      <c r="K20" s="1"/>
      <c r="L20" s="1"/>
      <c r="M20" s="1"/>
      <c r="N20" s="9"/>
      <c r="O20" s="2"/>
      <c r="P20" s="3"/>
      <c r="Q20" s="3"/>
      <c r="R20" s="3"/>
      <c r="S20" s="1"/>
      <c r="T20" s="3"/>
    </row>
    <row r="21" spans="1:20" x14ac:dyDescent="0.3">
      <c r="A21" s="3"/>
      <c r="B21" s="2"/>
      <c r="C21" s="16"/>
      <c r="D21" s="18"/>
      <c r="E21" s="3"/>
      <c r="F21" s="3"/>
      <c r="G21" s="1"/>
      <c r="H21" s="17"/>
      <c r="I21" s="1"/>
      <c r="J21" s="1"/>
      <c r="K21" s="1"/>
      <c r="L21" s="1"/>
      <c r="M21" s="1"/>
      <c r="N21" s="9"/>
      <c r="O21" s="9"/>
    </row>
    <row r="22" spans="1:20" x14ac:dyDescent="0.3">
      <c r="B22" s="2"/>
      <c r="C22" s="16"/>
      <c r="D22" s="7"/>
      <c r="E22" s="16"/>
      <c r="F22" s="3"/>
      <c r="G22" s="1"/>
      <c r="H22" s="1"/>
      <c r="I22" s="1"/>
      <c r="J22" s="1"/>
      <c r="K22" s="1"/>
      <c r="L22" s="1"/>
      <c r="N22" s="9"/>
      <c r="O22" s="2"/>
    </row>
    <row r="23" spans="1:20" x14ac:dyDescent="0.3">
      <c r="D23" s="16"/>
    </row>
  </sheetData>
  <mergeCells count="5">
    <mergeCell ref="A1:H3"/>
    <mergeCell ref="H8:H9"/>
    <mergeCell ref="G8:G9"/>
    <mergeCell ref="A6:A9"/>
    <mergeCell ref="A10:A1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2"/>
  <sheetViews>
    <sheetView tabSelected="1" zoomScale="85" zoomScaleNormal="85" workbookViewId="0">
      <pane ySplit="4" topLeftCell="A5" activePane="bottomLeft" state="frozen"/>
      <selection activeCell="B10" sqref="B10:L10"/>
      <selection pane="bottomLeft" activeCell="P9" sqref="P9"/>
    </sheetView>
  </sheetViews>
  <sheetFormatPr defaultColWidth="9" defaultRowHeight="20.100000000000001" customHeight="1" x14ac:dyDescent="0.3"/>
  <cols>
    <col min="1" max="6" width="8.625" customWidth="1"/>
    <col min="7" max="7" width="12.625" customWidth="1"/>
    <col min="8" max="8" width="16.25" bestFit="1" customWidth="1"/>
    <col min="9" max="9" width="10.625" customWidth="1"/>
    <col min="10" max="10" width="14.75" customWidth="1"/>
    <col min="11" max="12" width="9.625" customWidth="1"/>
    <col min="13" max="13" width="10.625" bestFit="1" customWidth="1"/>
    <col min="14" max="14" width="9.25" customWidth="1"/>
    <col min="15" max="15" width="11.625" customWidth="1"/>
    <col min="16" max="16" width="9.75" customWidth="1"/>
    <col min="17" max="17" width="11.625" customWidth="1"/>
  </cols>
  <sheetData>
    <row r="1" spans="1:18" ht="20.100000000000001" customHeight="1" x14ac:dyDescent="0.3">
      <c r="A1" s="155" t="s">
        <v>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7"/>
      <c r="M1" s="20" t="s">
        <v>0</v>
      </c>
      <c r="N1" s="10">
        <f>SUM(K1:K9892)</f>
        <v>0</v>
      </c>
      <c r="O1" s="20" t="s">
        <v>1</v>
      </c>
      <c r="P1" s="10">
        <f>SUM(L1:L9892)</f>
        <v>0</v>
      </c>
      <c r="R1" s="21"/>
    </row>
    <row r="2" spans="1:18" ht="20.100000000000001" customHeight="1" x14ac:dyDescent="0.3">
      <c r="A2" s="158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59"/>
      <c r="M2" s="19"/>
      <c r="N2" s="153"/>
      <c r="O2" s="154"/>
      <c r="P2" s="153"/>
      <c r="Q2" s="154"/>
      <c r="R2" s="21"/>
    </row>
    <row r="3" spans="1:18" ht="20.100000000000001" customHeight="1" x14ac:dyDescent="0.3">
      <c r="A3" s="160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61"/>
      <c r="M3" s="19"/>
      <c r="N3" s="153"/>
      <c r="O3" s="154"/>
      <c r="P3" s="153"/>
      <c r="Q3" s="154"/>
      <c r="R3" s="21"/>
    </row>
    <row r="4" spans="1:18" ht="20.100000000000001" customHeight="1" x14ac:dyDescent="0.3">
      <c r="A4" s="22" t="s">
        <v>8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23" t="s">
        <v>17</v>
      </c>
      <c r="K4" s="22" t="s">
        <v>0</v>
      </c>
      <c r="L4" s="22" t="s">
        <v>1</v>
      </c>
      <c r="M4" s="24"/>
      <c r="N4" s="25"/>
      <c r="O4" s="25"/>
      <c r="P4" s="25"/>
      <c r="Q4" s="25"/>
      <c r="R4" s="24"/>
    </row>
    <row r="5" spans="1:18" ht="20.100000000000001" customHeight="1" x14ac:dyDescent="0.3">
      <c r="A5" s="26"/>
      <c r="B5" s="28"/>
      <c r="C5" s="28"/>
      <c r="D5" s="28"/>
      <c r="E5" s="28"/>
      <c r="F5" s="28"/>
      <c r="G5" s="28"/>
      <c r="H5" s="28"/>
      <c r="I5" s="28"/>
      <c r="J5" s="32"/>
      <c r="K5" s="31"/>
      <c r="L5" s="33"/>
    </row>
    <row r="6" spans="1:18" ht="20.100000000000001" customHeight="1" x14ac:dyDescent="0.3">
      <c r="A6" s="26"/>
      <c r="B6" s="28"/>
      <c r="C6" s="28"/>
      <c r="D6" s="28"/>
      <c r="E6" s="28"/>
      <c r="F6" s="28"/>
      <c r="G6" s="28"/>
      <c r="H6" s="28"/>
      <c r="I6" s="28"/>
      <c r="J6" s="32"/>
      <c r="K6" s="31"/>
      <c r="L6" s="33"/>
    </row>
    <row r="7" spans="1:18" ht="20.100000000000001" customHeight="1" x14ac:dyDescent="0.3">
      <c r="A7" s="26"/>
      <c r="B7" s="28"/>
      <c r="C7" s="28"/>
      <c r="D7" s="28"/>
      <c r="E7" s="28"/>
      <c r="F7" s="28"/>
      <c r="G7" s="28"/>
      <c r="H7" s="28"/>
      <c r="I7" s="28"/>
      <c r="J7" s="32"/>
      <c r="K7" s="31"/>
      <c r="L7" s="33"/>
    </row>
    <row r="8" spans="1:18" ht="20.100000000000001" customHeight="1" x14ac:dyDescent="0.3">
      <c r="A8" s="26"/>
      <c r="B8" s="28"/>
      <c r="C8" s="28"/>
      <c r="D8" s="28"/>
      <c r="E8" s="28"/>
      <c r="F8" s="28"/>
      <c r="G8" s="28"/>
      <c r="H8" s="28"/>
      <c r="I8" s="28"/>
      <c r="J8" s="32"/>
      <c r="K8" s="31"/>
      <c r="L8" s="33"/>
    </row>
    <row r="9" spans="1:18" ht="20.100000000000001" customHeight="1" x14ac:dyDescent="0.3">
      <c r="A9" s="26"/>
      <c r="B9" s="28"/>
      <c r="C9" s="28"/>
      <c r="D9" s="28"/>
      <c r="E9" s="28"/>
      <c r="F9" s="28"/>
      <c r="G9" s="28"/>
      <c r="H9" s="28"/>
      <c r="I9" s="28"/>
      <c r="J9" s="32"/>
      <c r="K9" s="31"/>
      <c r="L9" s="33"/>
    </row>
    <row r="10" spans="1:18" ht="20.100000000000001" customHeight="1" x14ac:dyDescent="0.3">
      <c r="A10" s="26"/>
      <c r="B10" s="28"/>
      <c r="C10" s="28"/>
      <c r="D10" s="28"/>
      <c r="E10" s="28"/>
      <c r="F10" s="28"/>
      <c r="G10" s="28"/>
      <c r="H10" s="28"/>
      <c r="I10" s="28"/>
      <c r="J10" s="32"/>
      <c r="K10" s="31"/>
      <c r="L10" s="33"/>
    </row>
    <row r="11" spans="1:18" ht="20.100000000000001" customHeight="1" x14ac:dyDescent="0.3">
      <c r="A11" s="26"/>
      <c r="B11" s="28"/>
      <c r="C11" s="28"/>
      <c r="D11" s="28"/>
      <c r="E11" s="28"/>
      <c r="F11" s="28"/>
      <c r="G11" s="28"/>
      <c r="H11" s="28"/>
      <c r="I11" s="28"/>
      <c r="J11" s="32"/>
      <c r="K11" s="31"/>
      <c r="L11" s="33"/>
    </row>
    <row r="12" spans="1:18" ht="20.100000000000001" customHeight="1" x14ac:dyDescent="0.3">
      <c r="A12" s="26"/>
      <c r="B12" s="28"/>
      <c r="C12" s="28"/>
      <c r="D12" s="28"/>
      <c r="E12" s="28"/>
      <c r="F12" s="28"/>
      <c r="G12" s="28"/>
      <c r="H12" s="28"/>
      <c r="I12" s="28"/>
      <c r="J12" s="32"/>
      <c r="K12" s="31"/>
      <c r="L12" s="33"/>
      <c r="M12" s="35"/>
    </row>
    <row r="13" spans="1:18" ht="20.100000000000001" customHeight="1" x14ac:dyDescent="0.3">
      <c r="A13" s="26"/>
      <c r="B13" s="28"/>
      <c r="C13" s="28"/>
      <c r="D13" s="28"/>
      <c r="E13" s="28"/>
      <c r="F13" s="28"/>
      <c r="G13" s="28"/>
      <c r="H13" s="28"/>
      <c r="I13" s="28"/>
      <c r="J13" s="32"/>
      <c r="K13" s="31"/>
      <c r="L13" s="33"/>
    </row>
    <row r="14" spans="1:18" ht="20.100000000000001" customHeight="1" x14ac:dyDescent="0.3">
      <c r="A14" s="26"/>
      <c r="B14" s="28"/>
      <c r="C14" s="28"/>
      <c r="D14" s="28"/>
      <c r="E14" s="28"/>
      <c r="F14" s="28"/>
      <c r="G14" s="28"/>
      <c r="H14" s="28"/>
      <c r="I14" s="28"/>
      <c r="J14" s="32"/>
      <c r="K14" s="31"/>
      <c r="L14" s="33"/>
      <c r="M14" s="34"/>
    </row>
    <row r="15" spans="1:18" ht="20.100000000000001" customHeight="1" x14ac:dyDescent="0.3">
      <c r="A15" s="26"/>
      <c r="B15" s="28"/>
      <c r="C15" s="28"/>
      <c r="D15" s="28"/>
      <c r="E15" s="28"/>
      <c r="F15" s="28"/>
      <c r="G15" s="28"/>
      <c r="H15" s="28"/>
      <c r="I15" s="28"/>
      <c r="J15" s="32"/>
      <c r="K15" s="31"/>
      <c r="L15" s="33"/>
    </row>
    <row r="16" spans="1:18" ht="20.100000000000001" customHeight="1" x14ac:dyDescent="0.3">
      <c r="A16" s="26"/>
      <c r="B16" s="28"/>
      <c r="C16" s="28"/>
      <c r="D16" s="28"/>
      <c r="E16" s="28"/>
      <c r="F16" s="28"/>
      <c r="G16" s="28"/>
      <c r="H16" s="28"/>
      <c r="I16" s="28"/>
      <c r="J16" s="32"/>
      <c r="K16" s="31"/>
      <c r="L16" s="33"/>
    </row>
    <row r="17" spans="1:13" ht="20.100000000000001" customHeight="1" x14ac:dyDescent="0.3">
      <c r="A17" s="26"/>
      <c r="B17" s="28"/>
      <c r="C17" s="28"/>
      <c r="D17" s="28"/>
      <c r="E17" s="28"/>
      <c r="F17" s="28"/>
      <c r="G17" s="28"/>
      <c r="H17" s="28"/>
      <c r="I17" s="28"/>
      <c r="J17" s="32"/>
      <c r="K17" s="31"/>
      <c r="L17" s="33"/>
    </row>
    <row r="18" spans="1:13" ht="20.100000000000001" customHeight="1" x14ac:dyDescent="0.3">
      <c r="A18" s="26"/>
      <c r="B18" s="28"/>
      <c r="C18" s="28"/>
      <c r="D18" s="28"/>
      <c r="E18" s="28"/>
      <c r="F18" s="28"/>
      <c r="G18" s="28"/>
      <c r="H18" s="28"/>
      <c r="I18" s="28"/>
      <c r="J18" s="32"/>
      <c r="K18" s="31"/>
      <c r="L18" s="33"/>
      <c r="M18" s="34"/>
    </row>
    <row r="19" spans="1:13" ht="20.100000000000001" customHeight="1" x14ac:dyDescent="0.3">
      <c r="A19" s="26"/>
      <c r="B19" s="28"/>
      <c r="C19" s="28"/>
      <c r="D19" s="28"/>
      <c r="E19" s="28"/>
      <c r="F19" s="28"/>
      <c r="G19" s="28"/>
      <c r="H19" s="28"/>
      <c r="I19" s="28"/>
      <c r="J19" s="32"/>
      <c r="K19" s="31"/>
      <c r="L19" s="33"/>
    </row>
    <row r="20" spans="1:13" ht="20.100000000000001" customHeight="1" x14ac:dyDescent="0.3">
      <c r="A20" s="26"/>
      <c r="B20" s="28"/>
      <c r="C20" s="28"/>
      <c r="D20" s="28"/>
      <c r="E20" s="28"/>
      <c r="F20" s="28"/>
      <c r="G20" s="28"/>
      <c r="H20" s="28"/>
      <c r="I20" s="28"/>
      <c r="J20" s="32"/>
      <c r="K20" s="31"/>
      <c r="L20" s="33"/>
    </row>
    <row r="21" spans="1:13" ht="20.100000000000001" customHeight="1" x14ac:dyDescent="0.3">
      <c r="A21" s="26"/>
      <c r="B21" s="28"/>
      <c r="C21" s="28"/>
      <c r="D21" s="28"/>
      <c r="E21" s="28"/>
      <c r="F21" s="28"/>
      <c r="G21" s="28"/>
      <c r="H21" s="28"/>
      <c r="I21" s="28"/>
      <c r="J21" s="32"/>
      <c r="K21" s="31"/>
      <c r="L21" s="33"/>
      <c r="M21" s="58"/>
    </row>
    <row r="22" spans="1:13" ht="20.100000000000001" customHeight="1" x14ac:dyDescent="0.3">
      <c r="A22" s="26"/>
      <c r="B22" s="28"/>
      <c r="C22" s="28"/>
      <c r="D22" s="28"/>
      <c r="E22" s="28"/>
      <c r="F22" s="28"/>
      <c r="G22" s="28"/>
      <c r="H22" s="28"/>
      <c r="I22" s="28"/>
      <c r="J22" s="32"/>
      <c r="K22" s="31"/>
      <c r="L22" s="33"/>
      <c r="M22" s="58"/>
    </row>
    <row r="23" spans="1:13" ht="20.100000000000001" customHeight="1" x14ac:dyDescent="0.3">
      <c r="A23" s="26"/>
      <c r="B23" s="28"/>
      <c r="C23" s="28"/>
      <c r="D23" s="28"/>
      <c r="E23" s="28"/>
      <c r="F23" s="28"/>
      <c r="G23" s="28"/>
      <c r="H23" s="28"/>
      <c r="I23" s="28"/>
      <c r="J23" s="32"/>
      <c r="K23" s="31"/>
      <c r="L23" s="33"/>
      <c r="M23" s="58"/>
    </row>
    <row r="24" spans="1:13" ht="20.100000000000001" customHeight="1" x14ac:dyDescent="0.3">
      <c r="A24" s="26"/>
      <c r="B24" s="28"/>
      <c r="C24" s="28"/>
      <c r="D24" s="28"/>
      <c r="E24" s="28"/>
      <c r="F24" s="28"/>
      <c r="G24" s="28"/>
      <c r="H24" s="28"/>
      <c r="I24" s="28"/>
      <c r="J24" s="32"/>
      <c r="K24" s="31"/>
      <c r="L24" s="33"/>
    </row>
    <row r="25" spans="1:13" ht="20.100000000000001" customHeight="1" x14ac:dyDescent="0.3">
      <c r="A25" s="26"/>
      <c r="B25" s="28"/>
      <c r="C25" s="28"/>
      <c r="D25" s="28"/>
      <c r="E25" s="28"/>
      <c r="F25" s="28"/>
      <c r="G25" s="28"/>
      <c r="H25" s="28"/>
      <c r="I25" s="28"/>
      <c r="J25" s="32"/>
      <c r="K25" s="31"/>
      <c r="L25" s="33"/>
    </row>
    <row r="26" spans="1:13" ht="20.100000000000001" customHeight="1" x14ac:dyDescent="0.3">
      <c r="A26" s="26"/>
      <c r="B26" s="28"/>
      <c r="C26" s="28"/>
      <c r="D26" s="28"/>
      <c r="E26" s="28"/>
      <c r="F26" s="28"/>
      <c r="G26" s="28"/>
      <c r="H26" s="28"/>
      <c r="I26" s="28"/>
      <c r="J26" s="32"/>
      <c r="K26" s="31"/>
      <c r="L26" s="33"/>
    </row>
    <row r="27" spans="1:13" ht="20.100000000000001" customHeight="1" x14ac:dyDescent="0.3">
      <c r="A27" s="26"/>
      <c r="B27" s="28"/>
      <c r="C27" s="28"/>
      <c r="D27" s="28"/>
      <c r="E27" s="28"/>
      <c r="F27" s="28"/>
      <c r="G27" s="28"/>
      <c r="H27" s="28"/>
      <c r="I27" s="28"/>
      <c r="J27" s="32"/>
      <c r="K27" s="31"/>
      <c r="L27" s="33"/>
    </row>
    <row r="28" spans="1:13" ht="20.100000000000001" customHeight="1" x14ac:dyDescent="0.3">
      <c r="A28" s="26"/>
      <c r="B28" s="28"/>
      <c r="C28" s="28"/>
      <c r="D28" s="28"/>
      <c r="E28" s="28"/>
      <c r="F28" s="28"/>
      <c r="G28" s="28"/>
      <c r="H28" s="28"/>
      <c r="I28" s="28"/>
      <c r="J28" s="32"/>
      <c r="K28" s="31"/>
      <c r="L28" s="33"/>
      <c r="M28" s="59"/>
    </row>
    <row r="29" spans="1:13" ht="20.100000000000001" customHeight="1" x14ac:dyDescent="0.3">
      <c r="A29" s="26"/>
      <c r="B29" s="28"/>
      <c r="C29" s="28"/>
      <c r="D29" s="28"/>
      <c r="E29" s="28"/>
      <c r="F29" s="28"/>
      <c r="G29" s="28"/>
      <c r="H29" s="28"/>
      <c r="I29" s="28"/>
      <c r="J29" s="32"/>
      <c r="K29" s="31"/>
      <c r="L29" s="33"/>
    </row>
    <row r="30" spans="1:13" ht="20.100000000000001" customHeight="1" x14ac:dyDescent="0.3">
      <c r="A30" s="26"/>
      <c r="B30" s="28"/>
      <c r="C30" s="28"/>
      <c r="D30" s="28"/>
      <c r="E30" s="28"/>
      <c r="F30" s="28"/>
      <c r="G30" s="28"/>
      <c r="H30" s="28"/>
      <c r="I30" s="28"/>
      <c r="J30" s="32"/>
      <c r="K30" s="31"/>
      <c r="L30" s="33"/>
    </row>
    <row r="31" spans="1:13" ht="20.100000000000001" customHeight="1" x14ac:dyDescent="0.3">
      <c r="A31" s="26"/>
      <c r="B31" s="28"/>
      <c r="C31" s="28"/>
      <c r="D31" s="28"/>
      <c r="E31" s="28"/>
      <c r="F31" s="28"/>
      <c r="G31" s="28"/>
      <c r="H31" s="28"/>
      <c r="I31" s="28"/>
      <c r="J31" s="32"/>
      <c r="K31" s="31"/>
      <c r="L31" s="33"/>
    </row>
    <row r="32" spans="1:13" ht="20.100000000000001" customHeight="1" x14ac:dyDescent="0.3">
      <c r="A32" s="26"/>
      <c r="B32" s="28"/>
      <c r="C32" s="28"/>
      <c r="D32" s="28"/>
      <c r="E32" s="28"/>
      <c r="F32" s="28"/>
      <c r="G32" s="28"/>
      <c r="H32" s="28"/>
      <c r="I32" s="28"/>
      <c r="J32" s="32"/>
      <c r="K32" s="31"/>
      <c r="L32" s="33"/>
    </row>
    <row r="33" spans="1:13" ht="20.100000000000001" customHeight="1" x14ac:dyDescent="0.3">
      <c r="A33" s="26"/>
      <c r="B33" s="28"/>
      <c r="C33" s="28"/>
      <c r="D33" s="28"/>
      <c r="E33" s="28"/>
      <c r="F33" s="28"/>
      <c r="G33" s="28"/>
      <c r="H33" s="28"/>
      <c r="I33" s="28"/>
      <c r="J33" s="32"/>
      <c r="K33" s="31"/>
      <c r="L33" s="33"/>
    </row>
    <row r="34" spans="1:13" ht="20.65" customHeight="1" x14ac:dyDescent="0.3">
      <c r="A34" s="26"/>
      <c r="B34" s="28"/>
      <c r="C34" s="28"/>
      <c r="D34" s="28"/>
      <c r="E34" s="28"/>
      <c r="F34" s="28"/>
      <c r="G34" s="28"/>
      <c r="H34" s="28"/>
      <c r="I34" s="28"/>
      <c r="J34" s="32"/>
      <c r="K34" s="31"/>
      <c r="L34" s="33"/>
    </row>
    <row r="35" spans="1:13" ht="20.100000000000001" customHeight="1" x14ac:dyDescent="0.3">
      <c r="A35" s="26"/>
      <c r="B35" s="28"/>
      <c r="C35" s="28"/>
      <c r="D35" s="28"/>
      <c r="E35" s="28"/>
      <c r="F35" s="28"/>
      <c r="G35" s="28"/>
      <c r="H35" s="28"/>
      <c r="I35" s="28"/>
      <c r="J35" s="32"/>
      <c r="K35" s="31"/>
      <c r="L35" s="33"/>
    </row>
    <row r="36" spans="1:13" ht="20.100000000000001" customHeight="1" x14ac:dyDescent="0.3">
      <c r="A36" s="26"/>
      <c r="B36" s="28"/>
      <c r="C36" s="28"/>
      <c r="D36" s="28"/>
      <c r="E36" s="28"/>
      <c r="F36" s="28"/>
      <c r="G36" s="28"/>
      <c r="H36" s="28"/>
      <c r="I36" s="28"/>
      <c r="J36" s="32"/>
      <c r="K36" s="31"/>
      <c r="L36" s="33"/>
    </row>
    <row r="37" spans="1:13" ht="20.100000000000001" customHeight="1" x14ac:dyDescent="0.3">
      <c r="A37" s="26"/>
      <c r="B37" s="28"/>
      <c r="C37" s="28"/>
      <c r="D37" s="28"/>
      <c r="E37" s="27"/>
      <c r="F37" s="28"/>
      <c r="G37" s="28"/>
      <c r="H37" s="28"/>
      <c r="I37" s="28"/>
      <c r="J37" s="32"/>
      <c r="K37" s="31"/>
      <c r="L37" s="33"/>
    </row>
    <row r="38" spans="1:13" ht="20.100000000000001" customHeight="1" x14ac:dyDescent="0.3">
      <c r="A38" s="26"/>
      <c r="B38" s="28"/>
      <c r="C38" s="28"/>
      <c r="D38" s="28"/>
      <c r="E38" s="27"/>
      <c r="F38" s="28"/>
      <c r="G38" s="28"/>
      <c r="H38" s="28"/>
      <c r="I38" s="28"/>
      <c r="J38" s="32"/>
      <c r="K38" s="31"/>
      <c r="L38" s="33"/>
      <c r="M38" s="34"/>
    </row>
    <row r="39" spans="1:13" ht="20.100000000000001" customHeight="1" x14ac:dyDescent="0.3">
      <c r="A39" s="26"/>
      <c r="B39" s="28"/>
      <c r="C39" s="28"/>
      <c r="D39" s="28"/>
      <c r="E39" s="28"/>
      <c r="F39" s="28"/>
      <c r="G39" s="28"/>
      <c r="H39" s="28"/>
      <c r="I39" s="28"/>
      <c r="J39" s="32"/>
      <c r="K39" s="31"/>
      <c r="L39" s="33"/>
    </row>
    <row r="40" spans="1:13" ht="20.100000000000001" customHeight="1" x14ac:dyDescent="0.3">
      <c r="A40" s="26"/>
      <c r="B40" s="28"/>
      <c r="C40" s="28"/>
      <c r="D40" s="28"/>
      <c r="E40" s="28"/>
      <c r="F40" s="28"/>
      <c r="G40" s="28"/>
      <c r="H40" s="28"/>
      <c r="I40" s="28"/>
      <c r="J40" s="32"/>
      <c r="K40" s="31"/>
      <c r="L40" s="33"/>
    </row>
    <row r="41" spans="1:13" ht="20.100000000000001" customHeight="1" x14ac:dyDescent="0.3">
      <c r="A41" s="26"/>
      <c r="B41" s="28"/>
      <c r="C41" s="28"/>
      <c r="D41" s="28"/>
      <c r="E41" s="28"/>
      <c r="F41" s="28"/>
      <c r="G41" s="28"/>
      <c r="H41" s="28"/>
      <c r="I41" s="28"/>
      <c r="J41" s="32"/>
      <c r="K41" s="31"/>
      <c r="L41" s="33"/>
    </row>
    <row r="42" spans="1:13" ht="20.100000000000001" customHeight="1" x14ac:dyDescent="0.3">
      <c r="A42" s="26"/>
      <c r="B42" s="28"/>
      <c r="C42" s="28"/>
      <c r="D42" s="28"/>
      <c r="E42" s="28"/>
      <c r="F42" s="28"/>
      <c r="G42" s="28"/>
      <c r="H42" s="28"/>
      <c r="I42" s="28"/>
      <c r="J42" s="32"/>
      <c r="K42" s="31"/>
      <c r="L42" s="33"/>
    </row>
    <row r="43" spans="1:13" ht="20.100000000000001" customHeight="1" x14ac:dyDescent="0.3">
      <c r="A43" s="26"/>
      <c r="B43" s="28"/>
      <c r="C43" s="28"/>
      <c r="D43" s="28"/>
      <c r="E43" s="27"/>
      <c r="F43" s="28"/>
      <c r="G43" s="28"/>
      <c r="H43" s="28"/>
      <c r="I43" s="28"/>
      <c r="J43" s="32"/>
      <c r="K43" s="31"/>
      <c r="L43" s="33"/>
    </row>
    <row r="44" spans="1:13" ht="20.100000000000001" customHeight="1" x14ac:dyDescent="0.3">
      <c r="A44" s="26"/>
      <c r="B44" s="28"/>
      <c r="C44" s="28"/>
      <c r="D44" s="28"/>
      <c r="E44" s="28"/>
      <c r="F44" s="28"/>
      <c r="G44" s="28"/>
      <c r="H44" s="28"/>
      <c r="I44" s="28"/>
      <c r="J44" s="32"/>
      <c r="K44" s="31"/>
      <c r="L44" s="33"/>
    </row>
    <row r="45" spans="1:13" ht="20.100000000000001" customHeight="1" x14ac:dyDescent="0.3">
      <c r="A45" s="26"/>
      <c r="B45" s="28"/>
      <c r="C45" s="28"/>
      <c r="D45" s="28"/>
      <c r="E45" s="28"/>
      <c r="F45" s="28"/>
      <c r="G45" s="28"/>
      <c r="H45" s="28"/>
      <c r="I45" s="28"/>
      <c r="J45" s="32"/>
      <c r="K45" s="31"/>
      <c r="L45" s="33"/>
    </row>
    <row r="46" spans="1:13" ht="20.100000000000001" customHeight="1" x14ac:dyDescent="0.3">
      <c r="A46" s="26"/>
      <c r="B46" s="28"/>
      <c r="C46" s="28"/>
      <c r="D46" s="28"/>
      <c r="E46" s="27"/>
      <c r="F46" s="28"/>
      <c r="G46" s="28"/>
      <c r="H46" s="28"/>
      <c r="I46" s="28"/>
      <c r="J46" s="32"/>
      <c r="K46" s="31"/>
      <c r="L46" s="33"/>
    </row>
    <row r="47" spans="1:13" ht="20.100000000000001" customHeight="1" x14ac:dyDescent="0.3">
      <c r="A47" s="26"/>
      <c r="B47" s="28"/>
      <c r="C47" s="28"/>
      <c r="D47" s="28"/>
      <c r="E47" s="28"/>
      <c r="F47" s="28"/>
      <c r="G47" s="28"/>
      <c r="H47" s="28"/>
      <c r="I47" s="28"/>
      <c r="J47" s="32"/>
      <c r="K47" s="31"/>
      <c r="L47" s="33"/>
      <c r="M47" s="47"/>
    </row>
    <row r="48" spans="1:13" ht="20.100000000000001" customHeight="1" x14ac:dyDescent="0.3">
      <c r="A48" s="26"/>
      <c r="B48" s="28"/>
      <c r="C48" s="28"/>
      <c r="D48" s="28"/>
      <c r="E48" s="28"/>
      <c r="F48" s="28"/>
      <c r="G48" s="28"/>
      <c r="H48" s="28"/>
      <c r="I48" s="28"/>
      <c r="J48" s="32"/>
      <c r="K48" s="31"/>
      <c r="L48" s="33"/>
      <c r="M48" s="47"/>
    </row>
    <row r="49" spans="1:13" ht="20.100000000000001" customHeight="1" x14ac:dyDescent="0.3">
      <c r="A49" s="26"/>
      <c r="B49" s="28"/>
      <c r="C49" s="28"/>
      <c r="D49" s="28"/>
      <c r="E49" s="28"/>
      <c r="F49" s="27"/>
      <c r="G49" s="28"/>
      <c r="H49" s="28"/>
      <c r="I49" s="28"/>
      <c r="J49" s="32"/>
      <c r="K49" s="30"/>
      <c r="L49" s="60"/>
    </row>
    <row r="50" spans="1:13" ht="20.100000000000001" customHeight="1" x14ac:dyDescent="0.3">
      <c r="A50" s="26"/>
      <c r="B50" s="28"/>
      <c r="C50" s="28"/>
      <c r="D50" s="28"/>
      <c r="E50" s="28"/>
      <c r="F50" s="28"/>
      <c r="G50" s="28"/>
      <c r="H50" s="28"/>
      <c r="I50" s="28"/>
      <c r="J50" s="32"/>
      <c r="K50" s="30"/>
      <c r="L50" s="60"/>
      <c r="M50" s="59"/>
    </row>
    <row r="51" spans="1:13" ht="20.100000000000001" customHeight="1" x14ac:dyDescent="0.3">
      <c r="A51" s="26"/>
      <c r="B51" s="28"/>
      <c r="C51" s="28"/>
      <c r="D51" s="28"/>
      <c r="E51" s="28"/>
      <c r="F51" s="27"/>
      <c r="G51" s="28"/>
      <c r="H51" s="28"/>
      <c r="I51" s="28"/>
      <c r="J51" s="32"/>
      <c r="K51" s="30"/>
      <c r="L51" s="60"/>
    </row>
    <row r="52" spans="1:13" ht="20.100000000000001" customHeight="1" x14ac:dyDescent="0.3">
      <c r="A52" s="26"/>
      <c r="B52" s="28"/>
      <c r="C52" s="28"/>
      <c r="D52" s="28"/>
      <c r="E52" s="28"/>
      <c r="F52" s="28"/>
      <c r="G52" s="28"/>
      <c r="H52" s="28"/>
      <c r="I52" s="28"/>
      <c r="J52" s="32"/>
      <c r="K52" s="30"/>
      <c r="L52" s="60"/>
      <c r="M52" s="59"/>
    </row>
    <row r="53" spans="1:13" ht="20.100000000000001" customHeight="1" x14ac:dyDescent="0.3">
      <c r="A53" s="26"/>
      <c r="B53" s="28"/>
      <c r="C53" s="28"/>
      <c r="D53" s="28"/>
      <c r="E53" s="28"/>
      <c r="F53" s="27"/>
      <c r="G53" s="28"/>
      <c r="H53" s="28"/>
      <c r="I53" s="28"/>
      <c r="J53" s="32"/>
      <c r="K53" s="30"/>
      <c r="L53" s="60"/>
    </row>
    <row r="54" spans="1:13" ht="20.100000000000001" customHeight="1" x14ac:dyDescent="0.3">
      <c r="A54" s="26"/>
      <c r="B54" s="27"/>
      <c r="C54" s="27"/>
      <c r="D54" s="27"/>
      <c r="E54" s="27"/>
      <c r="F54" s="27"/>
      <c r="G54" s="50"/>
      <c r="H54" s="50"/>
      <c r="I54" s="50"/>
      <c r="J54" s="51"/>
      <c r="K54" s="41"/>
      <c r="L54" s="60"/>
    </row>
    <row r="55" spans="1:13" ht="20.100000000000001" customHeight="1" x14ac:dyDescent="0.3">
      <c r="A55" s="26"/>
      <c r="B55" s="27"/>
      <c r="C55" s="27"/>
      <c r="D55" s="27"/>
      <c r="E55" s="27"/>
      <c r="F55" s="27"/>
      <c r="G55" s="50"/>
      <c r="H55" s="50"/>
      <c r="I55" s="50"/>
      <c r="J55" s="51"/>
      <c r="K55" s="41"/>
      <c r="L55" s="60"/>
    </row>
    <row r="56" spans="1:13" ht="20.100000000000001" customHeight="1" x14ac:dyDescent="0.3">
      <c r="A56" s="26"/>
      <c r="B56" s="27"/>
      <c r="C56" s="27"/>
      <c r="D56" s="27"/>
      <c r="E56" s="27"/>
      <c r="F56" s="27"/>
      <c r="G56" s="50"/>
      <c r="H56" s="50"/>
      <c r="I56" s="50"/>
      <c r="J56" s="51"/>
      <c r="K56" s="41"/>
      <c r="L56" s="60"/>
    </row>
    <row r="57" spans="1:13" ht="20.100000000000001" customHeight="1" x14ac:dyDescent="0.3">
      <c r="A57" s="26"/>
      <c r="B57" s="28"/>
      <c r="C57" s="28"/>
      <c r="D57" s="28"/>
      <c r="E57" s="28"/>
      <c r="F57" s="28"/>
      <c r="G57" s="28"/>
      <c r="H57" s="28"/>
      <c r="I57" s="28"/>
      <c r="J57" s="32"/>
      <c r="K57" s="30"/>
      <c r="L57" s="60"/>
    </row>
    <row r="58" spans="1:13" ht="20.100000000000001" customHeight="1" x14ac:dyDescent="0.3">
      <c r="A58" s="26"/>
      <c r="B58" s="28"/>
      <c r="C58" s="28"/>
      <c r="D58" s="28"/>
      <c r="E58" s="28"/>
      <c r="F58" s="28"/>
      <c r="G58" s="28"/>
      <c r="H58" s="28"/>
      <c r="I58" s="28"/>
      <c r="J58" s="32"/>
      <c r="K58" s="30"/>
      <c r="L58" s="60"/>
    </row>
    <row r="59" spans="1:13" ht="20.100000000000001" customHeight="1" x14ac:dyDescent="0.3">
      <c r="A59" s="26"/>
      <c r="B59" s="28"/>
      <c r="C59" s="28"/>
      <c r="D59" s="28"/>
      <c r="E59" s="28"/>
      <c r="F59" s="28"/>
      <c r="G59" s="28"/>
      <c r="H59" s="28"/>
      <c r="I59" s="28"/>
      <c r="J59" s="32"/>
      <c r="K59" s="30"/>
      <c r="L59" s="60"/>
    </row>
    <row r="60" spans="1:13" ht="20.100000000000001" customHeight="1" x14ac:dyDescent="0.3">
      <c r="A60" s="26"/>
      <c r="B60" s="28"/>
      <c r="C60" s="28"/>
      <c r="D60" s="28"/>
      <c r="E60" s="28"/>
      <c r="F60" s="28"/>
      <c r="G60" s="28"/>
      <c r="H60" s="28"/>
      <c r="I60" s="28"/>
      <c r="J60" s="32"/>
      <c r="K60" s="30"/>
      <c r="L60" s="60"/>
      <c r="M60" s="47"/>
    </row>
    <row r="61" spans="1:13" ht="20.100000000000001" customHeight="1" x14ac:dyDescent="0.3">
      <c r="A61" s="26"/>
      <c r="B61" s="28"/>
      <c r="C61" s="28"/>
      <c r="D61" s="28"/>
      <c r="E61" s="28"/>
      <c r="F61" s="28"/>
      <c r="G61" s="28"/>
      <c r="H61" s="28"/>
      <c r="I61" s="28"/>
      <c r="J61" s="32"/>
      <c r="K61" s="30"/>
      <c r="L61" s="60"/>
    </row>
    <row r="62" spans="1:13" ht="20.100000000000001" customHeight="1" x14ac:dyDescent="0.3">
      <c r="A62" s="26"/>
      <c r="B62" s="28"/>
      <c r="C62" s="28"/>
      <c r="D62" s="28"/>
      <c r="E62" s="28"/>
      <c r="F62" s="28"/>
      <c r="G62" s="28"/>
      <c r="H62" s="28"/>
      <c r="I62" s="28"/>
      <c r="J62" s="32"/>
      <c r="K62" s="30"/>
      <c r="L62" s="60"/>
      <c r="M62" s="59"/>
    </row>
    <row r="63" spans="1:13" ht="20.100000000000001" customHeight="1" x14ac:dyDescent="0.3">
      <c r="A63" s="26"/>
      <c r="B63" s="28"/>
      <c r="C63" s="28"/>
      <c r="D63" s="28"/>
      <c r="E63" s="28"/>
      <c r="F63" s="28"/>
      <c r="G63" s="28"/>
      <c r="H63" s="28"/>
      <c r="I63" s="28"/>
      <c r="J63" s="32"/>
      <c r="K63" s="30"/>
      <c r="L63" s="60"/>
    </row>
    <row r="64" spans="1:13" ht="20.100000000000001" customHeight="1" x14ac:dyDescent="0.3">
      <c r="A64" s="26"/>
      <c r="B64" s="28"/>
      <c r="C64" s="28"/>
      <c r="D64" s="28"/>
      <c r="E64" s="28"/>
      <c r="F64" s="28"/>
      <c r="G64" s="28"/>
      <c r="H64" s="28"/>
      <c r="I64" s="28"/>
      <c r="J64" s="32"/>
      <c r="K64" s="30"/>
      <c r="L64" s="60"/>
    </row>
    <row r="65" spans="1:13" ht="20.100000000000001" customHeight="1" x14ac:dyDescent="0.3">
      <c r="A65" s="26"/>
      <c r="B65" s="28"/>
      <c r="C65" s="28"/>
      <c r="D65" s="28"/>
      <c r="E65" s="28"/>
      <c r="F65" s="28"/>
      <c r="G65" s="28"/>
      <c r="H65" s="28"/>
      <c r="I65" s="28"/>
      <c r="J65" s="32"/>
      <c r="K65" s="30"/>
      <c r="L65" s="60"/>
    </row>
    <row r="66" spans="1:13" ht="20.100000000000001" customHeight="1" x14ac:dyDescent="0.3">
      <c r="A66" s="26"/>
      <c r="B66" s="28"/>
      <c r="C66" s="28"/>
      <c r="D66" s="28"/>
      <c r="E66" s="28"/>
      <c r="F66" s="28"/>
      <c r="G66" s="28"/>
      <c r="H66" s="28"/>
      <c r="I66" s="28"/>
      <c r="J66" s="32"/>
      <c r="K66" s="30"/>
      <c r="L66" s="60"/>
    </row>
    <row r="67" spans="1:13" ht="20.100000000000001" customHeight="1" x14ac:dyDescent="0.3">
      <c r="A67" s="26"/>
      <c r="B67" s="28"/>
      <c r="C67" s="28"/>
      <c r="D67" s="28"/>
      <c r="E67" s="28"/>
      <c r="F67" s="28"/>
      <c r="G67" s="28"/>
      <c r="H67" s="28"/>
      <c r="I67" s="28"/>
      <c r="J67" s="32"/>
      <c r="K67" s="30"/>
      <c r="L67" s="60"/>
    </row>
    <row r="68" spans="1:13" ht="20.100000000000001" customHeight="1" x14ac:dyDescent="0.3">
      <c r="A68" s="26"/>
      <c r="B68" s="27"/>
      <c r="C68" s="27"/>
      <c r="D68" s="27"/>
      <c r="E68" s="27"/>
      <c r="F68" s="27"/>
      <c r="G68" s="50"/>
      <c r="H68" s="50"/>
      <c r="I68" s="50"/>
      <c r="J68" s="51"/>
      <c r="K68" s="41"/>
      <c r="L68" s="60"/>
    </row>
    <row r="69" spans="1:13" ht="20.100000000000001" customHeight="1" x14ac:dyDescent="0.3">
      <c r="A69" s="26"/>
      <c r="B69" s="27"/>
      <c r="C69" s="27"/>
      <c r="D69" s="27"/>
      <c r="E69" s="27"/>
      <c r="F69" s="27"/>
      <c r="G69" s="50"/>
      <c r="H69" s="50"/>
      <c r="I69" s="50"/>
      <c r="J69" s="51"/>
      <c r="K69" s="41"/>
      <c r="L69" s="60"/>
    </row>
    <row r="70" spans="1:13" ht="20.100000000000001" customHeight="1" x14ac:dyDescent="0.3">
      <c r="A70" s="26"/>
      <c r="B70" s="28"/>
      <c r="C70" s="28"/>
      <c r="D70" s="28"/>
      <c r="E70" s="28"/>
      <c r="F70" s="28"/>
      <c r="G70" s="28"/>
      <c r="H70" s="28"/>
      <c r="I70" s="28"/>
      <c r="J70" s="32"/>
      <c r="K70" s="30"/>
      <c r="L70" s="60"/>
    </row>
    <row r="71" spans="1:13" ht="20.100000000000001" customHeight="1" x14ac:dyDescent="0.3">
      <c r="A71" s="26"/>
      <c r="B71" s="28"/>
      <c r="C71" s="28"/>
      <c r="D71" s="28"/>
      <c r="E71" s="28"/>
      <c r="F71" s="28"/>
      <c r="G71" s="28"/>
      <c r="H71" s="28"/>
      <c r="I71" s="28"/>
      <c r="J71" s="32"/>
      <c r="K71" s="30"/>
      <c r="L71" s="60"/>
      <c r="M71" s="47"/>
    </row>
    <row r="72" spans="1:13" ht="20.100000000000001" customHeight="1" x14ac:dyDescent="0.3">
      <c r="A72" s="26"/>
      <c r="B72" s="28"/>
      <c r="C72" s="28"/>
      <c r="D72" s="28"/>
      <c r="E72" s="28"/>
      <c r="F72" s="28"/>
      <c r="G72" s="28"/>
      <c r="H72" s="28"/>
      <c r="I72" s="28"/>
      <c r="J72" s="32"/>
      <c r="K72" s="30"/>
      <c r="L72" s="60"/>
    </row>
    <row r="73" spans="1:13" ht="20.100000000000001" customHeight="1" x14ac:dyDescent="0.3">
      <c r="A73" s="26"/>
      <c r="B73" s="28"/>
      <c r="C73" s="28"/>
      <c r="D73" s="28"/>
      <c r="E73" s="28"/>
      <c r="F73" s="28"/>
      <c r="G73" s="28"/>
      <c r="H73" s="28"/>
      <c r="I73" s="28"/>
      <c r="J73" s="32"/>
      <c r="K73" s="30"/>
      <c r="L73" s="60"/>
    </row>
    <row r="74" spans="1:13" ht="20.100000000000001" customHeight="1" x14ac:dyDescent="0.3">
      <c r="A74" s="26"/>
      <c r="B74" s="28"/>
      <c r="C74" s="28"/>
      <c r="D74" s="28"/>
      <c r="E74" s="28"/>
      <c r="F74" s="28"/>
      <c r="G74" s="28"/>
      <c r="H74" s="28"/>
      <c r="I74" s="28"/>
      <c r="J74" s="32"/>
      <c r="K74" s="30"/>
      <c r="L74" s="60"/>
    </row>
    <row r="75" spans="1:13" ht="20.100000000000001" customHeight="1" x14ac:dyDescent="0.3">
      <c r="A75" s="26"/>
      <c r="B75" s="28"/>
      <c r="C75" s="28"/>
      <c r="D75" s="28"/>
      <c r="E75" s="28"/>
      <c r="F75" s="28"/>
      <c r="G75" s="28"/>
      <c r="H75" s="28"/>
      <c r="I75" s="28"/>
      <c r="J75" s="32"/>
      <c r="K75" s="30"/>
      <c r="L75" s="60"/>
      <c r="M75" s="61"/>
    </row>
    <row r="76" spans="1:13" ht="20.100000000000001" customHeight="1" x14ac:dyDescent="0.3">
      <c r="A76" s="26"/>
      <c r="B76" s="28"/>
      <c r="C76" s="28"/>
      <c r="D76" s="28"/>
      <c r="E76" s="28"/>
      <c r="F76" s="28"/>
      <c r="G76" s="28"/>
      <c r="H76" s="28"/>
      <c r="I76" s="28"/>
      <c r="J76" s="32"/>
      <c r="K76" s="30"/>
      <c r="L76" s="60"/>
    </row>
    <row r="77" spans="1:13" ht="20.100000000000001" customHeight="1" x14ac:dyDescent="0.3">
      <c r="A77" s="26"/>
      <c r="B77" s="28"/>
      <c r="C77" s="28"/>
      <c r="D77" s="28"/>
      <c r="E77" s="28"/>
      <c r="F77" s="28"/>
      <c r="G77" s="28"/>
      <c r="H77" s="28"/>
      <c r="I77" s="28"/>
      <c r="J77" s="32"/>
      <c r="K77" s="30"/>
      <c r="L77" s="60"/>
    </row>
    <row r="78" spans="1:13" ht="20.100000000000001" customHeight="1" x14ac:dyDescent="0.3">
      <c r="A78" s="26"/>
      <c r="B78" s="28"/>
      <c r="C78" s="28"/>
      <c r="D78" s="28"/>
      <c r="E78" s="28"/>
      <c r="F78" s="28"/>
      <c r="G78" s="28"/>
      <c r="H78" s="28"/>
      <c r="I78" s="28"/>
      <c r="J78" s="32"/>
      <c r="K78" s="30"/>
      <c r="L78" s="60"/>
    </row>
    <row r="79" spans="1:13" ht="20.100000000000001" customHeight="1" x14ac:dyDescent="0.3">
      <c r="A79" s="26"/>
      <c r="B79" s="28"/>
      <c r="C79" s="28"/>
      <c r="D79" s="28"/>
      <c r="E79" s="28"/>
      <c r="F79" s="28"/>
      <c r="G79" s="28"/>
      <c r="H79" s="28"/>
      <c r="I79" s="28"/>
      <c r="J79" s="32"/>
      <c r="K79" s="30"/>
      <c r="L79" s="60"/>
    </row>
    <row r="80" spans="1:13" ht="20.100000000000001" customHeight="1" x14ac:dyDescent="0.3">
      <c r="A80" s="26"/>
      <c r="B80" s="28"/>
      <c r="C80" s="28"/>
      <c r="D80" s="28"/>
      <c r="E80" s="28"/>
      <c r="F80" s="28"/>
      <c r="G80" s="28"/>
      <c r="H80" s="28"/>
      <c r="I80" s="28"/>
      <c r="J80" s="32"/>
      <c r="K80" s="30"/>
      <c r="L80" s="60"/>
    </row>
    <row r="81" spans="1:13" ht="20.100000000000001" customHeight="1" x14ac:dyDescent="0.3">
      <c r="A81" s="26"/>
      <c r="B81" s="27"/>
      <c r="C81" s="27"/>
      <c r="D81" s="27"/>
      <c r="E81" s="27"/>
      <c r="F81" s="27"/>
      <c r="G81" s="50"/>
      <c r="H81" s="50"/>
      <c r="I81" s="50"/>
      <c r="J81" s="51"/>
      <c r="K81" s="33"/>
      <c r="L81" s="60"/>
      <c r="M81" s="59"/>
    </row>
    <row r="82" spans="1:13" ht="20.100000000000001" customHeight="1" x14ac:dyDescent="0.3">
      <c r="A82" s="26"/>
      <c r="B82" s="27"/>
      <c r="C82" s="27"/>
      <c r="D82" s="27"/>
      <c r="E82" s="27"/>
      <c r="F82" s="27"/>
      <c r="G82" s="50"/>
      <c r="H82" s="50"/>
      <c r="I82" s="50"/>
      <c r="J82" s="51"/>
      <c r="K82" s="33"/>
      <c r="L82" s="60"/>
    </row>
    <row r="83" spans="1:13" ht="20.100000000000001" customHeight="1" x14ac:dyDescent="0.3">
      <c r="A83" s="26"/>
      <c r="B83" s="27"/>
      <c r="C83" s="27"/>
      <c r="D83" s="27"/>
      <c r="E83" s="27"/>
      <c r="F83" s="27"/>
      <c r="G83" s="50"/>
      <c r="H83" s="50"/>
      <c r="I83" s="50"/>
      <c r="J83" s="51"/>
      <c r="K83" s="33"/>
      <c r="L83" s="60"/>
    </row>
    <row r="84" spans="1:13" ht="20.100000000000001" customHeight="1" x14ac:dyDescent="0.3">
      <c r="A84" s="26"/>
      <c r="B84" s="27"/>
      <c r="C84" s="27"/>
      <c r="D84" s="27"/>
      <c r="E84" s="27"/>
      <c r="F84" s="27"/>
      <c r="G84" s="50"/>
      <c r="H84" s="50"/>
      <c r="I84" s="50"/>
      <c r="J84" s="51"/>
      <c r="K84" s="33"/>
      <c r="L84" s="60"/>
    </row>
    <row r="85" spans="1:13" ht="20.100000000000001" customHeight="1" x14ac:dyDescent="0.3">
      <c r="A85" s="26"/>
      <c r="B85" s="28"/>
      <c r="C85" s="28"/>
      <c r="D85" s="28"/>
      <c r="E85" s="28"/>
      <c r="F85" s="28"/>
      <c r="G85" s="28"/>
      <c r="H85" s="28"/>
      <c r="I85" s="28"/>
      <c r="J85" s="32"/>
      <c r="K85" s="30"/>
      <c r="L85" s="60"/>
    </row>
    <row r="86" spans="1:13" ht="20.100000000000001" customHeight="1" x14ac:dyDescent="0.3">
      <c r="A86" s="26"/>
      <c r="B86" s="27"/>
      <c r="C86" s="27"/>
      <c r="D86" s="27"/>
      <c r="E86" s="27"/>
      <c r="F86" s="27"/>
      <c r="G86" s="50"/>
      <c r="H86" s="50"/>
      <c r="I86" s="50"/>
      <c r="J86" s="51"/>
      <c r="K86" s="41"/>
      <c r="L86" s="60"/>
    </row>
    <row r="87" spans="1:13" ht="20.100000000000001" customHeight="1" x14ac:dyDescent="0.3">
      <c r="A87" s="26"/>
      <c r="B87" s="27"/>
      <c r="C87" s="27"/>
      <c r="D87" s="27"/>
      <c r="E87" s="27"/>
      <c r="F87" s="27"/>
      <c r="G87" s="50"/>
      <c r="H87" s="50"/>
      <c r="I87" s="50"/>
      <c r="J87" s="51"/>
      <c r="K87" s="41"/>
      <c r="L87" s="60"/>
    </row>
    <row r="88" spans="1:13" ht="20.100000000000001" customHeight="1" x14ac:dyDescent="0.3">
      <c r="A88" s="26"/>
      <c r="B88" s="27"/>
      <c r="C88" s="27"/>
      <c r="D88" s="27"/>
      <c r="E88" s="27"/>
      <c r="F88" s="27"/>
      <c r="G88" s="50"/>
      <c r="H88" s="50"/>
      <c r="I88" s="50"/>
      <c r="J88" s="51"/>
      <c r="K88" s="41"/>
      <c r="L88" s="60"/>
    </row>
    <row r="89" spans="1:13" ht="20.100000000000001" customHeight="1" x14ac:dyDescent="0.3">
      <c r="A89" s="26"/>
      <c r="B89" s="27"/>
      <c r="C89" s="27"/>
      <c r="D89" s="27"/>
      <c r="E89" s="27"/>
      <c r="F89" s="27"/>
      <c r="G89" s="50"/>
      <c r="H89" s="50"/>
      <c r="I89" s="50"/>
      <c r="J89" s="51"/>
      <c r="K89" s="41"/>
      <c r="L89" s="60"/>
    </row>
    <row r="90" spans="1:13" ht="20.100000000000001" customHeight="1" x14ac:dyDescent="0.3">
      <c r="A90" s="26"/>
      <c r="B90" s="27"/>
      <c r="C90" s="27"/>
      <c r="D90" s="27"/>
      <c r="E90" s="27"/>
      <c r="F90" s="27"/>
      <c r="G90" s="50"/>
      <c r="H90" s="50"/>
      <c r="I90" s="50"/>
      <c r="J90" s="51"/>
      <c r="K90" s="41"/>
      <c r="L90" s="60"/>
    </row>
    <row r="91" spans="1:13" ht="20.100000000000001" customHeight="1" x14ac:dyDescent="0.3">
      <c r="A91" s="26"/>
      <c r="B91" s="27"/>
      <c r="C91" s="27"/>
      <c r="D91" s="27"/>
      <c r="E91" s="27"/>
      <c r="F91" s="27"/>
      <c r="G91" s="50"/>
      <c r="H91" s="50"/>
      <c r="I91" s="50"/>
      <c r="J91" s="51"/>
      <c r="K91" s="41"/>
      <c r="L91" s="60"/>
    </row>
    <row r="92" spans="1:13" ht="20.100000000000001" customHeight="1" x14ac:dyDescent="0.3">
      <c r="A92" s="26"/>
      <c r="B92" s="27"/>
      <c r="C92" s="27"/>
      <c r="D92" s="27"/>
      <c r="E92" s="27"/>
      <c r="F92" s="27"/>
      <c r="G92" s="50"/>
      <c r="H92" s="50"/>
      <c r="I92" s="50"/>
      <c r="J92" s="51"/>
      <c r="K92" s="41"/>
      <c r="L92" s="60"/>
    </row>
    <row r="93" spans="1:13" ht="20.100000000000001" customHeight="1" x14ac:dyDescent="0.3">
      <c r="A93" s="26"/>
      <c r="B93" s="27"/>
      <c r="C93" s="27"/>
      <c r="D93" s="27"/>
      <c r="E93" s="27"/>
      <c r="F93" s="27"/>
      <c r="G93" s="50"/>
      <c r="H93" s="50"/>
      <c r="I93" s="50"/>
      <c r="J93" s="51"/>
      <c r="K93" s="41"/>
      <c r="L93" s="60"/>
    </row>
    <row r="94" spans="1:13" ht="20.100000000000001" customHeight="1" x14ac:dyDescent="0.3">
      <c r="A94" s="26"/>
      <c r="B94" s="27"/>
      <c r="C94" s="27"/>
      <c r="D94" s="27"/>
      <c r="E94" s="27"/>
      <c r="F94" s="27"/>
      <c r="G94" s="50"/>
      <c r="H94" s="50"/>
      <c r="I94" s="50"/>
      <c r="J94" s="51"/>
      <c r="K94" s="41"/>
      <c r="L94" s="60"/>
    </row>
    <row r="95" spans="1:13" ht="20.100000000000001" customHeight="1" x14ac:dyDescent="0.3">
      <c r="A95" s="26"/>
      <c r="B95" s="27"/>
      <c r="C95" s="27"/>
      <c r="D95" s="27"/>
      <c r="E95" s="27"/>
      <c r="F95" s="27"/>
      <c r="G95" s="50"/>
      <c r="H95" s="50"/>
      <c r="I95" s="50"/>
      <c r="J95" s="51"/>
      <c r="K95" s="41"/>
      <c r="L95" s="60"/>
    </row>
    <row r="96" spans="1:13" ht="20.100000000000001" customHeight="1" x14ac:dyDescent="0.3">
      <c r="A96" s="26"/>
      <c r="B96" s="27"/>
      <c r="C96" s="27"/>
      <c r="D96" s="27"/>
      <c r="E96" s="27"/>
      <c r="F96" s="27"/>
      <c r="G96" s="50"/>
      <c r="H96" s="50"/>
      <c r="I96" s="50"/>
      <c r="J96" s="51"/>
      <c r="K96" s="41"/>
      <c r="L96" s="60"/>
    </row>
    <row r="97" spans="1:13" ht="20.100000000000001" customHeight="1" x14ac:dyDescent="0.3">
      <c r="A97" s="26"/>
      <c r="B97" s="28"/>
      <c r="C97" s="28"/>
      <c r="D97" s="28"/>
      <c r="E97" s="28"/>
      <c r="F97" s="28"/>
      <c r="G97" s="28"/>
      <c r="H97" s="28"/>
      <c r="I97" s="28"/>
      <c r="J97" s="32"/>
      <c r="K97" s="30"/>
      <c r="L97" s="60"/>
    </row>
    <row r="98" spans="1:13" ht="20.100000000000001" customHeight="1" x14ac:dyDescent="0.3">
      <c r="A98" s="26"/>
      <c r="B98" s="27"/>
      <c r="C98" s="27"/>
      <c r="D98" s="27"/>
      <c r="E98" s="27"/>
      <c r="F98" s="27"/>
      <c r="G98" s="50"/>
      <c r="H98" s="50"/>
      <c r="I98" s="50"/>
      <c r="J98" s="51"/>
      <c r="K98" s="41"/>
      <c r="L98" s="60"/>
    </row>
    <row r="99" spans="1:13" ht="20.100000000000001" customHeight="1" x14ac:dyDescent="0.3">
      <c r="A99" s="26"/>
      <c r="B99" s="28"/>
      <c r="C99" s="28"/>
      <c r="D99" s="28"/>
      <c r="E99" s="28"/>
      <c r="F99" s="28"/>
      <c r="G99" s="28"/>
      <c r="H99" s="28"/>
      <c r="I99" s="28"/>
      <c r="J99" s="32"/>
      <c r="K99" s="30"/>
      <c r="L99" s="60"/>
    </row>
    <row r="100" spans="1:13" ht="20.100000000000001" customHeight="1" x14ac:dyDescent="0.3">
      <c r="A100" s="26"/>
      <c r="B100" s="27"/>
      <c r="C100" s="27"/>
      <c r="D100" s="27"/>
      <c r="E100" s="27"/>
      <c r="F100" s="27"/>
      <c r="G100" s="50"/>
      <c r="H100" s="50"/>
      <c r="I100" s="50"/>
      <c r="J100" s="51"/>
      <c r="K100" s="41"/>
      <c r="L100" s="60"/>
    </row>
    <row r="101" spans="1:13" ht="20.100000000000001" customHeight="1" x14ac:dyDescent="0.3">
      <c r="A101" s="26"/>
      <c r="B101" s="27"/>
      <c r="C101" s="27"/>
      <c r="D101" s="27"/>
      <c r="E101" s="27"/>
      <c r="F101" s="27"/>
      <c r="G101" s="50"/>
      <c r="H101" s="50"/>
      <c r="I101" s="50"/>
      <c r="J101" s="51"/>
      <c r="K101" s="41"/>
      <c r="L101" s="60"/>
    </row>
    <row r="102" spans="1:13" ht="20.100000000000001" customHeight="1" x14ac:dyDescent="0.3">
      <c r="A102" s="26"/>
      <c r="B102" s="27"/>
      <c r="C102" s="27"/>
      <c r="D102" s="27"/>
      <c r="E102" s="27"/>
      <c r="F102" s="27"/>
      <c r="G102" s="50"/>
      <c r="H102" s="50"/>
      <c r="I102" s="50"/>
      <c r="J102" s="51"/>
      <c r="K102" s="41"/>
      <c r="L102" s="60"/>
    </row>
    <row r="103" spans="1:13" ht="20.100000000000001" customHeight="1" x14ac:dyDescent="0.3">
      <c r="A103" s="26"/>
      <c r="B103" s="28"/>
      <c r="C103" s="28"/>
      <c r="D103" s="28"/>
      <c r="E103" s="28"/>
      <c r="F103" s="28"/>
      <c r="G103" s="28"/>
      <c r="H103" s="28"/>
      <c r="I103" s="28"/>
      <c r="J103" s="32"/>
      <c r="K103" s="30"/>
      <c r="L103" s="60"/>
    </row>
    <row r="104" spans="1:13" ht="20.100000000000001" customHeight="1" x14ac:dyDescent="0.3">
      <c r="A104" s="26"/>
      <c r="B104" s="28"/>
      <c r="C104" s="28"/>
      <c r="D104" s="28"/>
      <c r="E104" s="28"/>
      <c r="F104" s="28"/>
      <c r="G104" s="28"/>
      <c r="H104" s="28"/>
      <c r="I104" s="28"/>
      <c r="J104" s="32"/>
      <c r="K104" s="30"/>
      <c r="L104" s="60"/>
    </row>
    <row r="105" spans="1:13" ht="20.100000000000001" customHeight="1" x14ac:dyDescent="0.3">
      <c r="A105" s="26"/>
      <c r="B105" s="28"/>
      <c r="C105" s="28"/>
      <c r="D105" s="28"/>
      <c r="E105" s="28"/>
      <c r="F105" s="28"/>
      <c r="G105" s="28"/>
      <c r="H105" s="28"/>
      <c r="I105" s="28"/>
      <c r="J105" s="32"/>
      <c r="K105" s="30"/>
      <c r="L105" s="60"/>
    </row>
    <row r="106" spans="1:13" ht="20.100000000000001" customHeight="1" x14ac:dyDescent="0.3">
      <c r="A106" s="26"/>
      <c r="B106" s="28"/>
      <c r="C106" s="28"/>
      <c r="D106" s="28"/>
      <c r="E106" s="28"/>
      <c r="F106" s="28"/>
      <c r="G106" s="28"/>
      <c r="H106" s="28"/>
      <c r="I106" s="28"/>
      <c r="J106" s="32"/>
      <c r="K106" s="30"/>
      <c r="L106" s="60"/>
      <c r="M106" s="59"/>
    </row>
    <row r="107" spans="1:13" ht="20.100000000000001" customHeight="1" x14ac:dyDescent="0.3">
      <c r="A107" s="26"/>
      <c r="B107" s="28"/>
      <c r="C107" s="28"/>
      <c r="D107" s="28"/>
      <c r="E107" s="28"/>
      <c r="F107" s="28"/>
      <c r="G107" s="28"/>
      <c r="H107" s="28"/>
      <c r="I107" s="28"/>
      <c r="J107" s="32"/>
      <c r="K107" s="30"/>
      <c r="L107" s="60"/>
    </row>
    <row r="108" spans="1:13" ht="20.100000000000001" customHeight="1" x14ac:dyDescent="0.3">
      <c r="A108" s="26"/>
      <c r="B108" s="28"/>
      <c r="C108" s="28"/>
      <c r="D108" s="28"/>
      <c r="E108" s="28"/>
      <c r="F108" s="28"/>
      <c r="G108" s="28"/>
      <c r="H108" s="28"/>
      <c r="I108" s="28"/>
      <c r="J108" s="32"/>
      <c r="K108" s="30"/>
      <c r="L108" s="60"/>
      <c r="M108" s="47"/>
    </row>
    <row r="109" spans="1:13" ht="20.100000000000001" customHeight="1" x14ac:dyDescent="0.3">
      <c r="A109" s="26"/>
      <c r="B109" s="28"/>
      <c r="C109" s="28"/>
      <c r="D109" s="28"/>
      <c r="E109" s="28"/>
      <c r="F109" s="28"/>
      <c r="G109" s="28"/>
      <c r="H109" s="28"/>
      <c r="I109" s="28"/>
      <c r="J109" s="32"/>
      <c r="K109" s="30"/>
      <c r="L109" s="60"/>
    </row>
    <row r="110" spans="1:13" ht="20.100000000000001" customHeight="1" x14ac:dyDescent="0.3">
      <c r="A110" s="26"/>
      <c r="B110" s="27"/>
      <c r="C110" s="27"/>
      <c r="D110" s="27"/>
      <c r="E110" s="27"/>
      <c r="F110" s="27"/>
      <c r="G110" s="50"/>
      <c r="H110" s="50"/>
      <c r="I110" s="50"/>
      <c r="J110" s="51"/>
      <c r="K110" s="41"/>
      <c r="L110" s="60"/>
    </row>
    <row r="111" spans="1:13" ht="20.100000000000001" customHeight="1" x14ac:dyDescent="0.3">
      <c r="A111" s="26"/>
      <c r="B111" s="27"/>
      <c r="C111" s="27"/>
      <c r="D111" s="27"/>
      <c r="E111" s="27"/>
      <c r="F111" s="27"/>
      <c r="G111" s="50"/>
      <c r="H111" s="50"/>
      <c r="I111" s="50"/>
      <c r="J111" s="51"/>
      <c r="K111" s="41"/>
      <c r="L111" s="60"/>
    </row>
    <row r="112" spans="1:13" ht="20.100000000000001" customHeight="1" x14ac:dyDescent="0.3">
      <c r="A112" s="26"/>
      <c r="B112" s="27"/>
      <c r="C112" s="27"/>
      <c r="D112" s="27"/>
      <c r="E112" s="27"/>
      <c r="F112" s="27"/>
      <c r="G112" s="50"/>
      <c r="H112" s="50"/>
      <c r="I112" s="50"/>
      <c r="J112" s="51"/>
      <c r="K112" s="41"/>
      <c r="L112" s="60"/>
    </row>
    <row r="113" spans="1:13" ht="20.100000000000001" customHeight="1" x14ac:dyDescent="0.3">
      <c r="A113" s="26"/>
      <c r="B113" s="27"/>
      <c r="C113" s="27"/>
      <c r="D113" s="27"/>
      <c r="E113" s="27"/>
      <c r="F113" s="27"/>
      <c r="G113" s="50"/>
      <c r="H113" s="50"/>
      <c r="I113" s="50"/>
      <c r="J113" s="51"/>
      <c r="K113" s="41"/>
      <c r="L113" s="60"/>
    </row>
    <row r="114" spans="1:13" ht="20.100000000000001" customHeight="1" x14ac:dyDescent="0.3">
      <c r="A114" s="26"/>
      <c r="B114" s="27"/>
      <c r="C114" s="27"/>
      <c r="D114" s="27"/>
      <c r="E114" s="27"/>
      <c r="F114" s="27"/>
      <c r="G114" s="50"/>
      <c r="H114" s="50"/>
      <c r="I114" s="50"/>
      <c r="J114" s="51"/>
      <c r="K114" s="41"/>
      <c r="L114" s="60"/>
    </row>
    <row r="115" spans="1:13" ht="20.100000000000001" customHeight="1" x14ac:dyDescent="0.3">
      <c r="A115" s="26"/>
      <c r="B115" s="27"/>
      <c r="C115" s="27"/>
      <c r="D115" s="27"/>
      <c r="E115" s="27"/>
      <c r="F115" s="27"/>
      <c r="G115" s="50"/>
      <c r="H115" s="50"/>
      <c r="I115" s="50"/>
      <c r="J115" s="51"/>
      <c r="K115" s="41"/>
      <c r="L115" s="60"/>
    </row>
    <row r="116" spans="1:13" ht="20.100000000000001" customHeight="1" x14ac:dyDescent="0.3">
      <c r="A116" s="26"/>
      <c r="B116" s="27"/>
      <c r="C116" s="27"/>
      <c r="D116" s="27"/>
      <c r="E116" s="27"/>
      <c r="F116" s="27"/>
      <c r="G116" s="50"/>
      <c r="H116" s="50"/>
      <c r="I116" s="50"/>
      <c r="J116" s="51"/>
      <c r="K116" s="41"/>
      <c r="L116" s="60"/>
    </row>
    <row r="117" spans="1:13" ht="20.100000000000001" customHeight="1" x14ac:dyDescent="0.3">
      <c r="A117" s="26"/>
      <c r="B117" s="28"/>
      <c r="C117" s="28"/>
      <c r="D117" s="28"/>
      <c r="E117" s="28"/>
      <c r="F117" s="28"/>
      <c r="G117" s="28"/>
      <c r="H117" s="28"/>
      <c r="I117" s="28"/>
      <c r="J117" s="32"/>
      <c r="K117" s="30"/>
      <c r="L117" s="60"/>
      <c r="M117" s="47"/>
    </row>
    <row r="118" spans="1:13" ht="20.100000000000001" customHeight="1" x14ac:dyDescent="0.3">
      <c r="A118" s="26"/>
      <c r="B118" s="28"/>
      <c r="C118" s="28"/>
      <c r="D118" s="28"/>
      <c r="E118" s="28"/>
      <c r="F118" s="28"/>
      <c r="G118" s="28"/>
      <c r="H118" s="28"/>
      <c r="I118" s="28"/>
      <c r="J118" s="32"/>
      <c r="K118" s="30"/>
      <c r="L118" s="60"/>
    </row>
    <row r="119" spans="1:13" ht="20.100000000000001" customHeight="1" x14ac:dyDescent="0.3">
      <c r="A119" s="26"/>
      <c r="B119" s="28"/>
      <c r="C119" s="28"/>
      <c r="D119" s="28"/>
      <c r="E119" s="28"/>
      <c r="F119" s="28"/>
      <c r="G119" s="28"/>
      <c r="H119" s="28"/>
      <c r="I119" s="28"/>
      <c r="J119" s="32"/>
      <c r="K119" s="30"/>
      <c r="L119" s="60"/>
      <c r="M119" s="35"/>
    </row>
    <row r="120" spans="1:13" ht="20.100000000000001" customHeight="1" x14ac:dyDescent="0.3">
      <c r="A120" s="26"/>
      <c r="B120" s="28"/>
      <c r="C120" s="28"/>
      <c r="D120" s="28"/>
      <c r="E120" s="28"/>
      <c r="F120" s="28"/>
      <c r="G120" s="28"/>
      <c r="H120" s="28"/>
      <c r="I120" s="28"/>
      <c r="J120" s="32"/>
      <c r="K120" s="30"/>
      <c r="L120" s="60"/>
      <c r="M120" s="61"/>
    </row>
    <row r="121" spans="1:13" ht="20.100000000000001" customHeight="1" x14ac:dyDescent="0.3">
      <c r="A121" s="26"/>
      <c r="B121" s="28"/>
      <c r="C121" s="28"/>
      <c r="D121" s="28"/>
      <c r="E121" s="28"/>
      <c r="F121" s="28"/>
      <c r="G121" s="28"/>
      <c r="H121" s="28"/>
      <c r="I121" s="28"/>
      <c r="J121" s="32"/>
      <c r="K121" s="30"/>
      <c r="L121" s="60"/>
      <c r="M121" s="36"/>
    </row>
    <row r="122" spans="1:13" ht="20.100000000000001" customHeight="1" x14ac:dyDescent="0.3">
      <c r="A122" s="26"/>
      <c r="B122" s="27"/>
      <c r="C122" s="27"/>
      <c r="D122" s="27"/>
      <c r="E122" s="27"/>
      <c r="F122" s="27"/>
      <c r="G122" s="50"/>
      <c r="H122" s="50"/>
      <c r="I122" s="50"/>
      <c r="J122" s="51"/>
      <c r="K122" s="62"/>
      <c r="L122" s="60"/>
    </row>
    <row r="123" spans="1:13" ht="20.100000000000001" customHeight="1" x14ac:dyDescent="0.3">
      <c r="A123" s="26"/>
      <c r="B123" s="28"/>
      <c r="C123" s="28"/>
      <c r="D123" s="28"/>
      <c r="E123" s="28"/>
      <c r="F123" s="28"/>
      <c r="G123" s="28"/>
      <c r="H123" s="28"/>
      <c r="I123" s="28"/>
      <c r="J123" s="32"/>
      <c r="K123" s="30"/>
      <c r="L123" s="60"/>
    </row>
    <row r="124" spans="1:13" ht="20.100000000000001" customHeight="1" x14ac:dyDescent="0.3">
      <c r="A124" s="26"/>
      <c r="B124" s="28"/>
      <c r="C124" s="28"/>
      <c r="D124" s="28"/>
      <c r="E124" s="28"/>
      <c r="F124" s="28"/>
      <c r="G124" s="28"/>
      <c r="H124" s="28"/>
      <c r="I124" s="28"/>
      <c r="J124" s="32"/>
      <c r="K124" s="30"/>
      <c r="L124" s="60"/>
    </row>
    <row r="125" spans="1:13" ht="20.100000000000001" customHeight="1" x14ac:dyDescent="0.3">
      <c r="A125" s="26"/>
      <c r="B125" s="28"/>
      <c r="C125" s="28"/>
      <c r="D125" s="28"/>
      <c r="E125" s="28"/>
      <c r="F125" s="28"/>
      <c r="G125" s="28"/>
      <c r="H125" s="28"/>
      <c r="I125" s="28"/>
      <c r="J125" s="32"/>
      <c r="K125" s="30"/>
      <c r="L125" s="60"/>
      <c r="M125" s="63"/>
    </row>
    <row r="126" spans="1:13" ht="20.100000000000001" customHeight="1" x14ac:dyDescent="0.3">
      <c r="A126" s="26"/>
      <c r="B126" s="28"/>
      <c r="C126" s="28"/>
      <c r="D126" s="28"/>
      <c r="E126" s="28"/>
      <c r="F126" s="28"/>
      <c r="G126" s="28"/>
      <c r="H126" s="28"/>
      <c r="I126" s="28"/>
      <c r="J126" s="32"/>
      <c r="K126" s="30"/>
      <c r="L126" s="60"/>
      <c r="M126" s="64"/>
    </row>
    <row r="127" spans="1:13" ht="20.100000000000001" customHeight="1" x14ac:dyDescent="0.3">
      <c r="A127" s="26"/>
      <c r="B127" s="28"/>
      <c r="C127" s="28"/>
      <c r="D127" s="28"/>
      <c r="E127" s="28"/>
      <c r="F127" s="28"/>
      <c r="G127" s="28"/>
      <c r="H127" s="28"/>
      <c r="I127" s="28"/>
      <c r="J127" s="32"/>
      <c r="K127" s="30"/>
      <c r="L127" s="60"/>
      <c r="M127" s="63"/>
    </row>
    <row r="128" spans="1:13" ht="20.100000000000001" customHeight="1" x14ac:dyDescent="0.3">
      <c r="A128" s="26"/>
      <c r="B128" s="28"/>
      <c r="C128" s="28"/>
      <c r="D128" s="28"/>
      <c r="E128" s="28"/>
      <c r="F128" s="28"/>
      <c r="G128" s="28"/>
      <c r="H128" s="28"/>
      <c r="I128" s="28"/>
      <c r="J128" s="32"/>
      <c r="K128" s="30"/>
      <c r="L128" s="60"/>
      <c r="M128" s="63"/>
    </row>
    <row r="129" spans="1:13" ht="20.100000000000001" customHeight="1" x14ac:dyDescent="0.3">
      <c r="A129" s="26"/>
      <c r="B129" s="28"/>
      <c r="C129" s="28"/>
      <c r="D129" s="28"/>
      <c r="E129" s="28"/>
      <c r="F129" s="28"/>
      <c r="G129" s="28"/>
      <c r="H129" s="28"/>
      <c r="I129" s="28"/>
      <c r="J129" s="32"/>
      <c r="K129" s="30"/>
      <c r="L129" s="60"/>
      <c r="M129" s="63"/>
    </row>
    <row r="130" spans="1:13" ht="20.100000000000001" customHeight="1" x14ac:dyDescent="0.3">
      <c r="A130" s="26"/>
      <c r="B130" s="28"/>
      <c r="C130" s="28"/>
      <c r="D130" s="28"/>
      <c r="E130" s="28"/>
      <c r="F130" s="28"/>
      <c r="G130" s="28"/>
      <c r="H130" s="28"/>
      <c r="I130" s="28"/>
      <c r="J130" s="32"/>
      <c r="K130" s="30"/>
      <c r="L130" s="60"/>
      <c r="M130" s="63"/>
    </row>
    <row r="131" spans="1:13" ht="20.100000000000001" customHeight="1" x14ac:dyDescent="0.3">
      <c r="A131" s="26"/>
      <c r="B131" s="28"/>
      <c r="C131" s="28"/>
      <c r="D131" s="28"/>
      <c r="E131" s="28"/>
      <c r="F131" s="28"/>
      <c r="G131" s="28"/>
      <c r="H131" s="28"/>
      <c r="I131" s="28"/>
      <c r="J131" s="32"/>
      <c r="K131" s="30"/>
      <c r="L131" s="60"/>
      <c r="M131" s="63"/>
    </row>
    <row r="132" spans="1:13" ht="20.100000000000001" customHeight="1" x14ac:dyDescent="0.3">
      <c r="A132" s="26"/>
      <c r="B132" s="28"/>
      <c r="C132" s="28"/>
      <c r="D132" s="28"/>
      <c r="E132" s="28"/>
      <c r="F132" s="28"/>
      <c r="G132" s="28"/>
      <c r="H132" s="28"/>
      <c r="I132" s="28"/>
      <c r="J132" s="32"/>
      <c r="K132" s="30"/>
      <c r="L132" s="60"/>
      <c r="M132" s="65"/>
    </row>
    <row r="133" spans="1:13" ht="20.100000000000001" customHeight="1" x14ac:dyDescent="0.3">
      <c r="A133" s="26"/>
      <c r="B133" s="28"/>
      <c r="C133" s="28"/>
      <c r="D133" s="28"/>
      <c r="E133" s="28"/>
      <c r="F133" s="28"/>
      <c r="G133" s="28"/>
      <c r="H133" s="28"/>
      <c r="I133" s="28"/>
      <c r="J133" s="32"/>
      <c r="K133" s="30"/>
      <c r="L133" s="60"/>
      <c r="M133" s="63"/>
    </row>
    <row r="134" spans="1:13" ht="20.100000000000001" customHeight="1" x14ac:dyDescent="0.3">
      <c r="A134" s="26"/>
      <c r="B134" s="28"/>
      <c r="C134" s="28"/>
      <c r="D134" s="28"/>
      <c r="E134" s="28"/>
      <c r="F134" s="28"/>
      <c r="G134" s="28"/>
      <c r="H134" s="28"/>
      <c r="I134" s="28"/>
      <c r="J134" s="32"/>
      <c r="K134" s="30"/>
      <c r="L134" s="60"/>
      <c r="M134" s="63"/>
    </row>
    <row r="135" spans="1:13" ht="20.100000000000001" customHeight="1" x14ac:dyDescent="0.3">
      <c r="A135" s="26"/>
      <c r="B135" s="28"/>
      <c r="C135" s="28"/>
      <c r="D135" s="28"/>
      <c r="E135" s="28"/>
      <c r="F135" s="28"/>
      <c r="G135" s="28"/>
      <c r="H135" s="28"/>
      <c r="I135" s="28"/>
      <c r="J135" s="32"/>
      <c r="K135" s="30"/>
      <c r="L135" s="60"/>
      <c r="M135" s="47"/>
    </row>
    <row r="136" spans="1:13" ht="20.100000000000001" customHeight="1" x14ac:dyDescent="0.3">
      <c r="A136" s="26"/>
      <c r="B136" s="27"/>
      <c r="C136" s="27"/>
      <c r="D136" s="27"/>
      <c r="E136" s="27"/>
      <c r="F136" s="27"/>
      <c r="G136" s="50"/>
      <c r="H136" s="50"/>
      <c r="I136" s="50"/>
      <c r="J136" s="51"/>
      <c r="K136" s="41"/>
      <c r="L136" s="60"/>
      <c r="M136" s="47"/>
    </row>
    <row r="137" spans="1:13" ht="20.100000000000001" customHeight="1" x14ac:dyDescent="0.3">
      <c r="A137" s="26"/>
      <c r="B137" s="27"/>
      <c r="C137" s="27"/>
      <c r="D137" s="27"/>
      <c r="E137" s="27"/>
      <c r="F137" s="27"/>
      <c r="G137" s="50"/>
      <c r="H137" s="50"/>
      <c r="I137" s="50"/>
      <c r="J137" s="51"/>
      <c r="K137" s="41"/>
      <c r="L137" s="60"/>
      <c r="M137" s="66"/>
    </row>
    <row r="138" spans="1:13" ht="20.100000000000001" customHeight="1" x14ac:dyDescent="0.3">
      <c r="A138" s="26"/>
      <c r="B138" s="28"/>
      <c r="C138" s="28"/>
      <c r="D138" s="28"/>
      <c r="E138" s="28"/>
      <c r="F138" s="28"/>
      <c r="G138" s="28"/>
      <c r="H138" s="28"/>
      <c r="I138" s="28"/>
      <c r="J138" s="32"/>
      <c r="K138" s="30"/>
      <c r="L138" s="60"/>
    </row>
    <row r="139" spans="1:13" ht="20.100000000000001" customHeight="1" x14ac:dyDescent="0.3">
      <c r="A139" s="26"/>
      <c r="B139" s="28"/>
      <c r="C139" s="28"/>
      <c r="D139" s="28"/>
      <c r="E139" s="28"/>
      <c r="F139" s="28"/>
      <c r="G139" s="28"/>
      <c r="H139" s="28"/>
      <c r="I139" s="28"/>
      <c r="J139" s="32"/>
      <c r="K139" s="30"/>
      <c r="L139" s="60"/>
    </row>
    <row r="140" spans="1:13" ht="20.100000000000001" customHeight="1" x14ac:dyDescent="0.3">
      <c r="A140" s="26"/>
      <c r="B140" s="28"/>
      <c r="C140" s="28"/>
      <c r="D140" s="28"/>
      <c r="E140" s="28"/>
      <c r="F140" s="28"/>
      <c r="G140" s="28"/>
      <c r="H140" s="28"/>
      <c r="I140" s="28"/>
      <c r="J140" s="32"/>
      <c r="K140" s="30"/>
      <c r="L140" s="60"/>
    </row>
    <row r="141" spans="1:13" ht="20.100000000000001" customHeight="1" x14ac:dyDescent="0.3">
      <c r="A141" s="26"/>
      <c r="B141" s="28"/>
      <c r="C141" s="28"/>
      <c r="D141" s="28"/>
      <c r="E141" s="28"/>
      <c r="F141" s="28"/>
      <c r="G141" s="28"/>
      <c r="H141" s="28"/>
      <c r="I141" s="28"/>
      <c r="J141" s="32"/>
      <c r="K141" s="30"/>
      <c r="L141" s="60"/>
      <c r="M141" s="59"/>
    </row>
    <row r="142" spans="1:13" ht="20.100000000000001" customHeight="1" x14ac:dyDescent="0.3">
      <c r="A142" s="26"/>
      <c r="B142" s="28"/>
      <c r="C142" s="28"/>
      <c r="D142" s="28"/>
      <c r="E142" s="28"/>
      <c r="F142" s="28"/>
      <c r="G142" s="28"/>
      <c r="H142" s="28"/>
      <c r="I142" s="28"/>
      <c r="J142" s="32"/>
      <c r="K142" s="30"/>
      <c r="L142" s="60"/>
      <c r="M142" s="59"/>
    </row>
    <row r="143" spans="1:13" ht="20.100000000000001" customHeight="1" x14ac:dyDescent="0.3">
      <c r="A143" s="26"/>
      <c r="B143" s="28"/>
      <c r="C143" s="28"/>
      <c r="D143" s="28"/>
      <c r="E143" s="28"/>
      <c r="F143" s="28"/>
      <c r="G143" s="28"/>
      <c r="H143" s="28"/>
      <c r="I143" s="28"/>
      <c r="J143" s="32"/>
      <c r="K143" s="30"/>
      <c r="L143" s="60"/>
      <c r="M143" s="59"/>
    </row>
    <row r="144" spans="1:13" ht="20.100000000000001" customHeight="1" x14ac:dyDescent="0.3">
      <c r="A144" s="26"/>
      <c r="B144" s="28"/>
      <c r="C144" s="28"/>
      <c r="D144" s="28"/>
      <c r="E144" s="28"/>
      <c r="F144" s="28"/>
      <c r="G144" s="28"/>
      <c r="H144" s="28"/>
      <c r="I144" s="28"/>
      <c r="J144" s="32"/>
      <c r="K144" s="30"/>
      <c r="L144" s="60"/>
      <c r="M144" s="61"/>
    </row>
    <row r="145" spans="1:13" ht="20.100000000000001" customHeight="1" x14ac:dyDescent="0.3">
      <c r="A145" s="26"/>
      <c r="B145" s="28"/>
      <c r="C145" s="28"/>
      <c r="D145" s="28"/>
      <c r="E145" s="28"/>
      <c r="F145" s="28"/>
      <c r="G145" s="28"/>
      <c r="H145" s="28"/>
      <c r="I145" s="28"/>
      <c r="J145" s="32"/>
      <c r="K145" s="30"/>
      <c r="L145" s="60"/>
      <c r="M145" s="61"/>
    </row>
    <row r="146" spans="1:13" ht="20.100000000000001" customHeight="1" x14ac:dyDescent="0.3">
      <c r="A146" s="26"/>
      <c r="B146" s="28"/>
      <c r="C146" s="28"/>
      <c r="D146" s="28"/>
      <c r="E146" s="28"/>
      <c r="F146" s="28"/>
      <c r="G146" s="28"/>
      <c r="H146" s="28"/>
      <c r="I146" s="28"/>
      <c r="J146" s="32"/>
      <c r="K146" s="30"/>
      <c r="L146" s="60"/>
      <c r="M146" s="61"/>
    </row>
    <row r="147" spans="1:13" ht="20.100000000000001" customHeight="1" x14ac:dyDescent="0.3">
      <c r="A147" s="26"/>
      <c r="B147" s="28"/>
      <c r="C147" s="28"/>
      <c r="D147" s="28"/>
      <c r="E147" s="28"/>
      <c r="F147" s="28"/>
      <c r="G147" s="28"/>
      <c r="H147" s="28"/>
      <c r="I147" s="28"/>
      <c r="J147" s="32"/>
      <c r="K147" s="30"/>
      <c r="L147" s="60"/>
      <c r="M147" s="61"/>
    </row>
    <row r="148" spans="1:13" ht="20.100000000000001" customHeight="1" x14ac:dyDescent="0.3">
      <c r="A148" s="26"/>
      <c r="B148" s="28"/>
      <c r="C148" s="28"/>
      <c r="D148" s="28"/>
      <c r="E148" s="28"/>
      <c r="F148" s="28"/>
      <c r="G148" s="28"/>
      <c r="H148" s="28"/>
      <c r="I148" s="28"/>
      <c r="J148" s="32"/>
      <c r="K148" s="30"/>
      <c r="L148" s="60"/>
      <c r="M148" s="61"/>
    </row>
    <row r="149" spans="1:13" ht="20.100000000000001" customHeight="1" x14ac:dyDescent="0.3">
      <c r="A149" s="26"/>
      <c r="B149" s="28"/>
      <c r="C149" s="28"/>
      <c r="D149" s="28"/>
      <c r="E149" s="28"/>
      <c r="F149" s="28"/>
      <c r="G149" s="28"/>
      <c r="H149" s="28"/>
      <c r="I149" s="28"/>
      <c r="J149" s="32"/>
      <c r="K149" s="30"/>
      <c r="L149" s="60"/>
      <c r="M149" s="61"/>
    </row>
    <row r="150" spans="1:13" ht="20.100000000000001" customHeight="1" x14ac:dyDescent="0.3">
      <c r="A150" s="26"/>
      <c r="B150" s="27"/>
      <c r="C150" s="27"/>
      <c r="D150" s="27"/>
      <c r="E150" s="27"/>
      <c r="F150" s="27"/>
      <c r="G150" s="50"/>
      <c r="H150" s="50"/>
      <c r="I150" s="50"/>
      <c r="J150" s="51"/>
      <c r="K150" s="41"/>
      <c r="L150" s="60"/>
      <c r="M150" s="47"/>
    </row>
    <row r="151" spans="1:13" ht="20.100000000000001" customHeight="1" x14ac:dyDescent="0.3">
      <c r="A151" s="26"/>
      <c r="B151" s="27"/>
      <c r="C151" s="27"/>
      <c r="D151" s="27"/>
      <c r="E151" s="27"/>
      <c r="F151" s="27"/>
      <c r="G151" s="50"/>
      <c r="H151" s="50"/>
      <c r="I151" s="50"/>
      <c r="J151" s="51"/>
      <c r="K151" s="41"/>
      <c r="L151" s="60"/>
      <c r="M151" s="47"/>
    </row>
    <row r="152" spans="1:13" ht="20.100000000000001" customHeight="1" x14ac:dyDescent="0.3">
      <c r="A152" s="26"/>
      <c r="B152" s="27"/>
      <c r="C152" s="27"/>
      <c r="D152" s="27"/>
      <c r="E152" s="27"/>
      <c r="F152" s="27"/>
      <c r="G152" s="50"/>
      <c r="H152" s="50"/>
      <c r="I152" s="50"/>
      <c r="J152" s="51"/>
      <c r="K152" s="41"/>
      <c r="L152" s="60"/>
      <c r="M152" s="47"/>
    </row>
    <row r="153" spans="1:13" ht="20.100000000000001" customHeight="1" x14ac:dyDescent="0.3">
      <c r="A153" s="26"/>
      <c r="B153" s="27"/>
      <c r="C153" s="27"/>
      <c r="D153" s="27"/>
      <c r="E153" s="27"/>
      <c r="F153" s="27"/>
      <c r="G153" s="50"/>
      <c r="H153" s="50"/>
      <c r="I153" s="50"/>
      <c r="J153" s="51"/>
      <c r="K153" s="41"/>
      <c r="L153" s="60"/>
    </row>
    <row r="154" spans="1:13" ht="20.100000000000001" customHeight="1" x14ac:dyDescent="0.3">
      <c r="A154" s="26"/>
      <c r="B154" s="28"/>
      <c r="C154" s="28"/>
      <c r="D154" s="28"/>
      <c r="E154" s="28"/>
      <c r="F154" s="28"/>
      <c r="G154" s="28"/>
      <c r="H154" s="28"/>
      <c r="I154" s="28"/>
      <c r="J154" s="32"/>
      <c r="K154" s="30"/>
      <c r="L154" s="60"/>
    </row>
    <row r="155" spans="1:13" ht="20.100000000000001" customHeight="1" x14ac:dyDescent="0.3">
      <c r="A155" s="26"/>
      <c r="B155" s="28"/>
      <c r="C155" s="28"/>
      <c r="D155" s="28"/>
      <c r="E155" s="28"/>
      <c r="F155" s="28"/>
      <c r="G155" s="28"/>
      <c r="H155" s="28"/>
      <c r="I155" s="28"/>
      <c r="J155" s="32"/>
      <c r="K155" s="30"/>
      <c r="L155" s="60"/>
    </row>
    <row r="156" spans="1:13" ht="20.100000000000001" customHeight="1" x14ac:dyDescent="0.3">
      <c r="A156" s="26"/>
      <c r="B156" s="28"/>
      <c r="C156" s="28"/>
      <c r="D156" s="28"/>
      <c r="E156" s="28"/>
      <c r="F156" s="28"/>
      <c r="G156" s="28"/>
      <c r="H156" s="28"/>
      <c r="I156" s="28"/>
      <c r="J156" s="32"/>
      <c r="K156" s="30"/>
      <c r="L156" s="60"/>
    </row>
    <row r="157" spans="1:13" ht="20.100000000000001" customHeight="1" x14ac:dyDescent="0.3">
      <c r="A157" s="26"/>
      <c r="B157" s="28"/>
      <c r="C157" s="28"/>
      <c r="D157" s="28"/>
      <c r="E157" s="28"/>
      <c r="F157" s="28"/>
      <c r="G157" s="28"/>
      <c r="H157" s="28"/>
      <c r="I157" s="28"/>
      <c r="J157" s="32"/>
      <c r="K157" s="30"/>
      <c r="L157" s="60"/>
      <c r="M157" s="59"/>
    </row>
    <row r="158" spans="1:13" ht="20.100000000000001" customHeight="1" x14ac:dyDescent="0.3">
      <c r="A158" s="26"/>
      <c r="B158" s="28"/>
      <c r="C158" s="28"/>
      <c r="D158" s="28"/>
      <c r="E158" s="28"/>
      <c r="F158" s="28"/>
      <c r="G158" s="28"/>
      <c r="H158" s="28"/>
      <c r="I158" s="28"/>
      <c r="J158" s="32"/>
      <c r="K158" s="30"/>
      <c r="L158" s="60"/>
      <c r="M158" s="61"/>
    </row>
    <row r="159" spans="1:13" ht="20.100000000000001" customHeight="1" x14ac:dyDescent="0.3">
      <c r="A159" s="26"/>
      <c r="B159" s="28"/>
      <c r="C159" s="28"/>
      <c r="D159" s="28"/>
      <c r="E159" s="28"/>
      <c r="F159" s="28"/>
      <c r="G159" s="28"/>
      <c r="H159" s="28"/>
      <c r="I159" s="28"/>
      <c r="J159" s="32"/>
      <c r="K159" s="30"/>
      <c r="L159" s="60"/>
      <c r="M159" s="61"/>
    </row>
    <row r="160" spans="1:13" ht="20.100000000000001" customHeight="1" x14ac:dyDescent="0.3">
      <c r="A160" s="26"/>
      <c r="B160" s="28"/>
      <c r="C160" s="28"/>
      <c r="D160" s="28"/>
      <c r="E160" s="28"/>
      <c r="F160" s="28"/>
      <c r="G160" s="28"/>
      <c r="H160" s="28"/>
      <c r="I160" s="28"/>
      <c r="J160" s="32"/>
      <c r="K160" s="30"/>
      <c r="L160" s="60"/>
      <c r="M160" s="61"/>
    </row>
    <row r="161" spans="1:13" ht="20.100000000000001" customHeight="1" x14ac:dyDescent="0.3">
      <c r="A161" s="26"/>
      <c r="B161" s="28"/>
      <c r="C161" s="28"/>
      <c r="D161" s="28"/>
      <c r="E161" s="28"/>
      <c r="F161" s="28"/>
      <c r="G161" s="28"/>
      <c r="H161" s="28"/>
      <c r="I161" s="28"/>
      <c r="J161" s="32"/>
      <c r="K161" s="30"/>
      <c r="L161" s="60"/>
      <c r="M161" s="61"/>
    </row>
    <row r="162" spans="1:13" ht="20.100000000000001" customHeight="1" x14ac:dyDescent="0.3">
      <c r="A162" s="26"/>
      <c r="B162" s="28"/>
      <c r="C162" s="28"/>
      <c r="D162" s="28"/>
      <c r="E162" s="28"/>
      <c r="F162" s="28"/>
      <c r="G162" s="28"/>
      <c r="H162" s="28"/>
      <c r="I162" s="28"/>
      <c r="J162" s="32"/>
      <c r="K162" s="30"/>
      <c r="L162" s="60"/>
      <c r="M162" s="61"/>
    </row>
    <row r="163" spans="1:13" ht="20.100000000000001" customHeight="1" x14ac:dyDescent="0.3">
      <c r="A163" s="26"/>
      <c r="B163" s="28"/>
      <c r="C163" s="28"/>
      <c r="D163" s="28"/>
      <c r="E163" s="28"/>
      <c r="F163" s="28"/>
      <c r="G163" s="28"/>
      <c r="H163" s="28"/>
      <c r="I163" s="28"/>
      <c r="J163" s="32"/>
      <c r="K163" s="30"/>
      <c r="L163" s="60"/>
      <c r="M163" s="61"/>
    </row>
    <row r="164" spans="1:13" ht="20.100000000000001" customHeight="1" x14ac:dyDescent="0.3">
      <c r="A164" s="26"/>
      <c r="B164" s="28"/>
      <c r="C164" s="28"/>
      <c r="D164" s="28"/>
      <c r="E164" s="28"/>
      <c r="F164" s="28"/>
      <c r="G164" s="28"/>
      <c r="H164" s="28"/>
      <c r="I164" s="28"/>
      <c r="J164" s="32"/>
      <c r="K164" s="30"/>
      <c r="L164" s="60"/>
      <c r="M164" s="61"/>
    </row>
    <row r="165" spans="1:13" ht="20.100000000000001" customHeight="1" x14ac:dyDescent="0.3">
      <c r="A165" s="26"/>
      <c r="B165" s="28"/>
      <c r="C165" s="28"/>
      <c r="D165" s="28"/>
      <c r="E165" s="28"/>
      <c r="F165" s="28"/>
      <c r="G165" s="28"/>
      <c r="H165" s="28"/>
      <c r="I165" s="28"/>
      <c r="J165" s="32"/>
      <c r="K165" s="30"/>
      <c r="L165" s="60"/>
      <c r="M165" s="61"/>
    </row>
    <row r="166" spans="1:13" ht="20.100000000000001" customHeight="1" x14ac:dyDescent="0.3">
      <c r="A166" s="26"/>
      <c r="B166" s="28"/>
      <c r="C166" s="28"/>
      <c r="D166" s="28"/>
      <c r="E166" s="28"/>
      <c r="F166" s="28"/>
      <c r="G166" s="28"/>
      <c r="H166" s="28"/>
      <c r="I166" s="28"/>
      <c r="J166" s="32"/>
      <c r="K166" s="30"/>
      <c r="L166" s="60"/>
      <c r="M166" s="61"/>
    </row>
    <row r="167" spans="1:13" ht="20.100000000000001" customHeight="1" x14ac:dyDescent="0.3">
      <c r="A167" s="26"/>
      <c r="B167" s="28"/>
      <c r="C167" s="28"/>
      <c r="D167" s="28"/>
      <c r="E167" s="28"/>
      <c r="F167" s="28"/>
      <c r="G167" s="28"/>
      <c r="H167" s="28"/>
      <c r="I167" s="28"/>
      <c r="J167" s="32"/>
      <c r="K167" s="30"/>
      <c r="L167" s="60"/>
      <c r="M167" s="61"/>
    </row>
    <row r="168" spans="1:13" ht="20.100000000000001" customHeight="1" x14ac:dyDescent="0.3">
      <c r="A168" s="26"/>
      <c r="B168" s="27"/>
      <c r="C168" s="27"/>
      <c r="D168" s="27"/>
      <c r="E168" s="27"/>
      <c r="F168" s="27"/>
      <c r="G168" s="50"/>
      <c r="H168" s="50"/>
      <c r="I168" s="50"/>
      <c r="J168" s="51"/>
      <c r="K168" s="41"/>
      <c r="L168" s="60"/>
      <c r="M168" s="47"/>
    </row>
    <row r="169" spans="1:13" ht="20.100000000000001" customHeight="1" x14ac:dyDescent="0.3">
      <c r="A169" s="26"/>
      <c r="B169" s="28"/>
      <c r="C169" s="28"/>
      <c r="D169" s="28"/>
      <c r="E169" s="28"/>
      <c r="F169" s="28"/>
      <c r="G169" s="28"/>
      <c r="H169" s="28"/>
      <c r="I169" s="28"/>
      <c r="J169" s="32"/>
      <c r="K169" s="30"/>
      <c r="L169" s="60"/>
    </row>
    <row r="170" spans="1:13" ht="20.100000000000001" customHeight="1" x14ac:dyDescent="0.3">
      <c r="A170" s="26"/>
      <c r="B170" s="28"/>
      <c r="C170" s="28"/>
      <c r="D170" s="28"/>
      <c r="E170" s="28"/>
      <c r="F170" s="28"/>
      <c r="G170" s="28"/>
      <c r="H170" s="28"/>
      <c r="I170" s="28"/>
      <c r="J170" s="32"/>
      <c r="K170" s="30"/>
      <c r="L170" s="60"/>
      <c r="M170" s="35"/>
    </row>
    <row r="171" spans="1:13" ht="20.100000000000001" customHeight="1" x14ac:dyDescent="0.3">
      <c r="A171" s="26"/>
      <c r="B171" s="28"/>
      <c r="C171" s="28"/>
      <c r="D171" s="28"/>
      <c r="E171" s="28"/>
      <c r="F171" s="28"/>
      <c r="G171" s="28"/>
      <c r="H171" s="28"/>
      <c r="I171" s="28"/>
      <c r="J171" s="32"/>
      <c r="K171" s="30"/>
      <c r="L171" s="60"/>
      <c r="M171" s="35"/>
    </row>
    <row r="172" spans="1:13" ht="20.100000000000001" customHeight="1" x14ac:dyDescent="0.3">
      <c r="A172" s="26"/>
      <c r="B172" s="28"/>
      <c r="C172" s="28"/>
      <c r="D172" s="28"/>
      <c r="E172" s="28"/>
      <c r="F172" s="28"/>
      <c r="G172" s="28"/>
      <c r="H172" s="28"/>
      <c r="I172" s="28"/>
      <c r="J172" s="32"/>
      <c r="K172" s="30"/>
      <c r="L172" s="60"/>
      <c r="M172" s="35"/>
    </row>
    <row r="173" spans="1:13" ht="20.100000000000001" customHeight="1" x14ac:dyDescent="0.3">
      <c r="A173" s="26"/>
      <c r="B173" s="28"/>
      <c r="C173" s="28"/>
      <c r="D173" s="28"/>
      <c r="E173" s="28"/>
      <c r="F173" s="28"/>
      <c r="G173" s="28"/>
      <c r="H173" s="28"/>
      <c r="I173" s="28"/>
      <c r="J173" s="32"/>
      <c r="K173" s="30"/>
      <c r="L173" s="60"/>
      <c r="M173" s="35"/>
    </row>
    <row r="174" spans="1:13" ht="20.100000000000001" customHeight="1" x14ac:dyDescent="0.3">
      <c r="A174" s="26"/>
      <c r="B174" s="28"/>
      <c r="C174" s="28"/>
      <c r="D174" s="28"/>
      <c r="E174" s="28"/>
      <c r="F174" s="28"/>
      <c r="G174" s="28"/>
      <c r="H174" s="28"/>
      <c r="I174" s="28"/>
      <c r="J174" s="32"/>
      <c r="K174" s="30"/>
      <c r="L174" s="60"/>
      <c r="M174" s="36"/>
    </row>
    <row r="175" spans="1:13" ht="20.100000000000001" customHeight="1" x14ac:dyDescent="0.3">
      <c r="A175" s="26"/>
      <c r="B175" s="28"/>
      <c r="C175" s="28"/>
      <c r="D175" s="28"/>
      <c r="E175" s="28"/>
      <c r="F175" s="28"/>
      <c r="G175" s="28"/>
      <c r="H175" s="28"/>
      <c r="I175" s="28"/>
      <c r="J175" s="32"/>
      <c r="K175" s="30"/>
      <c r="L175" s="60"/>
      <c r="M175" s="36"/>
    </row>
    <row r="176" spans="1:13" ht="20.100000000000001" customHeight="1" x14ac:dyDescent="0.3">
      <c r="A176" s="26"/>
      <c r="B176" s="28"/>
      <c r="C176" s="28"/>
      <c r="D176" s="28"/>
      <c r="E176" s="28"/>
      <c r="F176" s="28"/>
      <c r="G176" s="28"/>
      <c r="H176" s="28"/>
      <c r="I176" s="28"/>
      <c r="J176" s="32"/>
      <c r="K176" s="30"/>
      <c r="L176" s="60"/>
      <c r="M176" s="36"/>
    </row>
    <row r="177" spans="1:13" ht="20.100000000000001" customHeight="1" x14ac:dyDescent="0.3">
      <c r="A177" s="26"/>
      <c r="B177" s="28"/>
      <c r="C177" s="28"/>
      <c r="D177" s="28"/>
      <c r="E177" s="28"/>
      <c r="F177" s="28"/>
      <c r="G177" s="28"/>
      <c r="H177" s="28"/>
      <c r="I177" s="28"/>
      <c r="J177" s="32"/>
      <c r="K177" s="30"/>
      <c r="L177" s="60"/>
      <c r="M177" s="61"/>
    </row>
    <row r="178" spans="1:13" ht="20.100000000000001" customHeight="1" x14ac:dyDescent="0.3">
      <c r="A178" s="26"/>
      <c r="B178" s="28"/>
      <c r="C178" s="28"/>
      <c r="D178" s="28"/>
      <c r="E178" s="28"/>
      <c r="F178" s="28"/>
      <c r="G178" s="28"/>
      <c r="H178" s="28"/>
      <c r="I178" s="28"/>
      <c r="J178" s="32"/>
      <c r="K178" s="30"/>
      <c r="L178" s="60"/>
      <c r="M178" s="36"/>
    </row>
    <row r="179" spans="1:13" ht="20.100000000000001" customHeight="1" x14ac:dyDescent="0.3">
      <c r="A179" s="26"/>
      <c r="B179" s="28"/>
      <c r="C179" s="28"/>
      <c r="D179" s="28"/>
      <c r="E179" s="28"/>
      <c r="F179" s="28"/>
      <c r="G179" s="28"/>
      <c r="H179" s="28"/>
      <c r="I179" s="28"/>
      <c r="J179" s="32"/>
      <c r="K179" s="30"/>
      <c r="L179" s="60"/>
      <c r="M179" s="36"/>
    </row>
    <row r="180" spans="1:13" ht="20.100000000000001" customHeight="1" x14ac:dyDescent="0.3">
      <c r="A180" s="26"/>
      <c r="B180" s="28"/>
      <c r="C180" s="28"/>
      <c r="D180" s="28"/>
      <c r="E180" s="28"/>
      <c r="F180" s="28"/>
      <c r="G180" s="28"/>
      <c r="H180" s="28"/>
      <c r="I180" s="28"/>
      <c r="J180" s="32"/>
      <c r="K180" s="30"/>
      <c r="L180" s="60"/>
      <c r="M180" s="36"/>
    </row>
    <row r="181" spans="1:13" ht="20.100000000000001" customHeight="1" x14ac:dyDescent="0.3">
      <c r="A181" s="26"/>
      <c r="B181" s="27"/>
      <c r="C181" s="27"/>
      <c r="D181" s="27"/>
      <c r="E181" s="27"/>
      <c r="F181" s="27"/>
      <c r="G181" s="50"/>
      <c r="H181" s="50"/>
      <c r="I181" s="50"/>
      <c r="J181" s="51"/>
      <c r="K181" s="41"/>
      <c r="L181" s="60"/>
      <c r="M181" s="47"/>
    </row>
    <row r="182" spans="1:13" ht="20.100000000000001" customHeight="1" x14ac:dyDescent="0.3">
      <c r="A182" s="26"/>
      <c r="B182" s="27"/>
      <c r="C182" s="27"/>
      <c r="D182" s="27"/>
      <c r="E182" s="27"/>
      <c r="F182" s="27"/>
      <c r="G182" s="50"/>
      <c r="H182" s="50"/>
      <c r="I182" s="50"/>
      <c r="J182" s="51"/>
      <c r="K182" s="41"/>
      <c r="L182" s="60"/>
      <c r="M182" s="47"/>
    </row>
    <row r="183" spans="1:13" ht="20.100000000000001" customHeight="1" x14ac:dyDescent="0.3">
      <c r="A183" s="26"/>
      <c r="B183" s="28"/>
      <c r="C183" s="28"/>
      <c r="D183" s="28"/>
      <c r="E183" s="28"/>
      <c r="F183" s="28"/>
      <c r="G183" s="28"/>
      <c r="H183" s="28"/>
      <c r="I183" s="28"/>
      <c r="J183" s="32"/>
      <c r="K183" s="30"/>
      <c r="L183" s="60"/>
      <c r="M183" s="36"/>
    </row>
    <row r="184" spans="1:13" ht="20.100000000000001" customHeight="1" x14ac:dyDescent="0.3">
      <c r="A184" s="26"/>
      <c r="B184" s="27"/>
      <c r="C184" s="27"/>
      <c r="D184" s="27"/>
      <c r="E184" s="27"/>
      <c r="F184" s="27"/>
      <c r="G184" s="50"/>
      <c r="H184" s="50"/>
      <c r="I184" s="50"/>
      <c r="J184" s="51"/>
      <c r="K184" s="41"/>
      <c r="L184" s="60"/>
      <c r="M184" s="47"/>
    </row>
    <row r="185" spans="1:13" ht="20.100000000000001" customHeight="1" x14ac:dyDescent="0.3">
      <c r="A185" s="26"/>
      <c r="B185" s="27"/>
      <c r="C185" s="27"/>
      <c r="D185" s="27"/>
      <c r="E185" s="27"/>
      <c r="F185" s="27"/>
      <c r="G185" s="50"/>
      <c r="H185" s="50"/>
      <c r="I185" s="50"/>
      <c r="J185" s="51"/>
      <c r="K185" s="41"/>
      <c r="L185" s="60"/>
      <c r="M185" s="47"/>
    </row>
    <row r="186" spans="1:13" ht="20.100000000000001" customHeight="1" x14ac:dyDescent="0.3">
      <c r="A186" s="26"/>
      <c r="B186" s="28"/>
      <c r="C186" s="28"/>
      <c r="D186" s="28"/>
      <c r="E186" s="28"/>
      <c r="F186" s="28"/>
      <c r="G186" s="28"/>
      <c r="H186" s="28"/>
      <c r="I186" s="28"/>
      <c r="J186" s="32"/>
      <c r="K186" s="30"/>
      <c r="L186" s="60"/>
      <c r="M186" s="36"/>
    </row>
    <row r="187" spans="1:13" ht="20.100000000000001" customHeight="1" x14ac:dyDescent="0.3">
      <c r="A187" s="26"/>
      <c r="B187" s="28"/>
      <c r="C187" s="28"/>
      <c r="D187" s="28"/>
      <c r="E187" s="28"/>
      <c r="F187" s="28"/>
      <c r="G187" s="28"/>
      <c r="H187" s="28"/>
      <c r="I187" s="28"/>
      <c r="J187" s="32"/>
      <c r="K187" s="30"/>
      <c r="L187" s="60"/>
      <c r="M187" s="47"/>
    </row>
    <row r="188" spans="1:13" ht="20.100000000000001" customHeight="1" x14ac:dyDescent="0.3">
      <c r="A188" s="26"/>
      <c r="B188" s="28"/>
      <c r="C188" s="28"/>
      <c r="D188" s="28"/>
      <c r="E188" s="28"/>
      <c r="F188" s="28"/>
      <c r="G188" s="28"/>
      <c r="H188" s="28"/>
      <c r="I188" s="28"/>
      <c r="J188" s="32"/>
      <c r="K188" s="30"/>
      <c r="L188" s="60"/>
    </row>
    <row r="189" spans="1:13" ht="20.100000000000001" customHeight="1" x14ac:dyDescent="0.3">
      <c r="A189" s="26"/>
      <c r="B189" s="28"/>
      <c r="C189" s="28"/>
      <c r="D189" s="28"/>
      <c r="E189" s="28"/>
      <c r="F189" s="28"/>
      <c r="G189" s="28"/>
      <c r="H189" s="28"/>
      <c r="I189" s="28"/>
      <c r="J189" s="32"/>
      <c r="K189" s="30"/>
      <c r="L189" s="60"/>
    </row>
    <row r="190" spans="1:13" ht="20.100000000000001" customHeight="1" x14ac:dyDescent="0.3">
      <c r="A190" s="26"/>
      <c r="B190" s="28"/>
      <c r="C190" s="28"/>
      <c r="D190" s="28"/>
      <c r="E190" s="28"/>
      <c r="F190" s="28"/>
      <c r="G190" s="28"/>
      <c r="H190" s="28"/>
      <c r="I190" s="28"/>
      <c r="J190" s="32"/>
      <c r="K190" s="30"/>
      <c r="L190" s="60"/>
    </row>
    <row r="191" spans="1:13" ht="20.100000000000001" customHeight="1" x14ac:dyDescent="0.3">
      <c r="A191" s="26"/>
      <c r="B191" s="28"/>
      <c r="C191" s="28"/>
      <c r="D191" s="28"/>
      <c r="E191" s="28"/>
      <c r="F191" s="28"/>
      <c r="G191" s="28"/>
      <c r="H191" s="28"/>
      <c r="I191" s="28"/>
      <c r="J191" s="32"/>
      <c r="K191" s="30"/>
      <c r="L191" s="60"/>
    </row>
    <row r="192" spans="1:13" ht="20.100000000000001" customHeight="1" x14ac:dyDescent="0.3">
      <c r="A192" s="26"/>
      <c r="B192" s="28"/>
      <c r="C192" s="28"/>
      <c r="D192" s="28"/>
      <c r="E192" s="28"/>
      <c r="F192" s="28"/>
      <c r="G192" s="28"/>
      <c r="H192" s="28"/>
      <c r="I192" s="28"/>
      <c r="J192" s="32"/>
      <c r="K192" s="30"/>
      <c r="L192" s="60"/>
    </row>
    <row r="193" spans="1:13" ht="20.100000000000001" customHeight="1" x14ac:dyDescent="0.3">
      <c r="A193" s="26"/>
      <c r="B193" s="28"/>
      <c r="C193" s="28"/>
      <c r="D193" s="28"/>
      <c r="E193" s="28"/>
      <c r="F193" s="28"/>
      <c r="G193" s="28"/>
      <c r="H193" s="28"/>
      <c r="I193" s="28"/>
      <c r="J193" s="32"/>
      <c r="K193" s="30"/>
      <c r="L193" s="60"/>
      <c r="M193" s="59"/>
    </row>
    <row r="194" spans="1:13" ht="20.100000000000001" customHeight="1" x14ac:dyDescent="0.3">
      <c r="A194" s="26"/>
      <c r="B194" s="28"/>
      <c r="C194" s="28"/>
      <c r="D194" s="28"/>
      <c r="E194" s="28"/>
      <c r="F194" s="28"/>
      <c r="G194" s="28"/>
      <c r="H194" s="28"/>
      <c r="I194" s="28"/>
      <c r="J194" s="32"/>
      <c r="K194" s="30"/>
      <c r="L194" s="60"/>
    </row>
    <row r="195" spans="1:13" ht="20.100000000000001" customHeight="1" x14ac:dyDescent="0.3">
      <c r="A195" s="26"/>
      <c r="B195" s="28"/>
      <c r="C195" s="28"/>
      <c r="D195" s="28"/>
      <c r="E195" s="28"/>
      <c r="F195" s="28"/>
      <c r="G195" s="28"/>
      <c r="H195" s="28"/>
      <c r="I195" s="28"/>
      <c r="J195" s="32"/>
      <c r="K195" s="30"/>
      <c r="L195" s="60"/>
    </row>
    <row r="196" spans="1:13" ht="20.100000000000001" customHeight="1" x14ac:dyDescent="0.3">
      <c r="A196" s="26"/>
      <c r="B196" s="28"/>
      <c r="C196" s="28"/>
      <c r="D196" s="28"/>
      <c r="E196" s="28"/>
      <c r="F196" s="28"/>
      <c r="G196" s="28"/>
      <c r="H196" s="28"/>
      <c r="I196" s="28"/>
      <c r="J196" s="32"/>
      <c r="K196" s="30"/>
      <c r="L196" s="60"/>
    </row>
    <row r="197" spans="1:13" ht="20.100000000000001" customHeight="1" x14ac:dyDescent="0.3">
      <c r="A197" s="26"/>
      <c r="B197" s="28"/>
      <c r="C197" s="28"/>
      <c r="D197" s="28"/>
      <c r="E197" s="28"/>
      <c r="F197" s="28"/>
      <c r="G197" s="28"/>
      <c r="H197" s="28"/>
      <c r="I197" s="28"/>
      <c r="J197" s="32"/>
      <c r="K197" s="30"/>
      <c r="L197" s="60"/>
    </row>
    <row r="198" spans="1:13" ht="20.100000000000001" customHeight="1" x14ac:dyDescent="0.3">
      <c r="A198" s="26"/>
      <c r="B198" s="27"/>
      <c r="C198" s="27"/>
      <c r="D198" s="27"/>
      <c r="E198" s="27"/>
      <c r="F198" s="27"/>
      <c r="G198" s="50"/>
      <c r="H198" s="50"/>
      <c r="I198" s="50"/>
      <c r="J198" s="51"/>
      <c r="K198" s="41"/>
      <c r="L198" s="60"/>
    </row>
    <row r="199" spans="1:13" ht="20.100000000000001" customHeight="1" x14ac:dyDescent="0.3">
      <c r="A199" s="26"/>
      <c r="B199" s="27"/>
      <c r="C199" s="27"/>
      <c r="D199" s="27"/>
      <c r="E199" s="27"/>
      <c r="F199" s="27"/>
      <c r="G199" s="50"/>
      <c r="H199" s="50"/>
      <c r="I199" s="50"/>
      <c r="J199" s="51"/>
      <c r="K199" s="41"/>
      <c r="L199" s="60"/>
    </row>
    <row r="200" spans="1:13" ht="20.100000000000001" customHeight="1" x14ac:dyDescent="0.3">
      <c r="A200" s="26"/>
      <c r="B200" s="28"/>
      <c r="C200" s="28"/>
      <c r="D200" s="28"/>
      <c r="E200" s="28"/>
      <c r="F200" s="28"/>
      <c r="G200" s="28"/>
      <c r="H200" s="28"/>
      <c r="I200" s="28"/>
      <c r="J200" s="32"/>
      <c r="K200" s="30"/>
      <c r="L200" s="60"/>
    </row>
    <row r="201" spans="1:13" ht="20.100000000000001" customHeight="1" x14ac:dyDescent="0.3">
      <c r="A201" s="26"/>
      <c r="B201" s="28"/>
      <c r="C201" s="28"/>
      <c r="D201" s="28"/>
      <c r="E201" s="28"/>
      <c r="F201" s="28"/>
      <c r="G201" s="28"/>
      <c r="H201" s="28"/>
      <c r="I201" s="28"/>
      <c r="J201" s="32"/>
      <c r="K201" s="30"/>
      <c r="L201" s="60"/>
    </row>
    <row r="202" spans="1:13" ht="20.100000000000001" customHeight="1" x14ac:dyDescent="0.3">
      <c r="A202" s="26"/>
      <c r="B202" s="28"/>
      <c r="C202" s="28"/>
      <c r="D202" s="28"/>
      <c r="E202" s="28"/>
      <c r="F202" s="28"/>
      <c r="G202" s="28"/>
      <c r="H202" s="28"/>
      <c r="I202" s="28"/>
      <c r="J202" s="32"/>
      <c r="K202" s="30"/>
      <c r="L202" s="60"/>
    </row>
    <row r="203" spans="1:13" ht="20.100000000000001" customHeight="1" x14ac:dyDescent="0.3">
      <c r="A203" s="26"/>
      <c r="B203" s="28"/>
      <c r="C203" s="28"/>
      <c r="D203" s="28"/>
      <c r="E203" s="28"/>
      <c r="F203" s="28"/>
      <c r="G203" s="28"/>
      <c r="H203" s="28"/>
      <c r="I203" s="28"/>
      <c r="J203" s="32"/>
      <c r="K203" s="30"/>
      <c r="L203" s="60"/>
    </row>
    <row r="204" spans="1:13" ht="20.100000000000001" customHeight="1" x14ac:dyDescent="0.3">
      <c r="A204" s="26"/>
      <c r="B204" s="28"/>
      <c r="C204" s="28"/>
      <c r="D204" s="28"/>
      <c r="E204" s="28"/>
      <c r="F204" s="28"/>
      <c r="G204" s="28"/>
      <c r="H204" s="28"/>
      <c r="I204" s="28"/>
      <c r="J204" s="32"/>
      <c r="K204" s="30"/>
      <c r="L204" s="60"/>
    </row>
    <row r="205" spans="1:13" ht="20.100000000000001" customHeight="1" x14ac:dyDescent="0.3">
      <c r="A205" s="26"/>
      <c r="B205" s="28"/>
      <c r="C205" s="28"/>
      <c r="D205" s="28"/>
      <c r="E205" s="28"/>
      <c r="F205" s="28"/>
      <c r="G205" s="28"/>
      <c r="H205" s="28"/>
      <c r="I205" s="28"/>
      <c r="J205" s="32"/>
      <c r="K205" s="30"/>
      <c r="L205" s="60"/>
    </row>
    <row r="206" spans="1:13" ht="20.100000000000001" customHeight="1" x14ac:dyDescent="0.3">
      <c r="A206" s="26"/>
      <c r="B206" s="28"/>
      <c r="C206" s="28"/>
      <c r="D206" s="28"/>
      <c r="E206" s="28"/>
      <c r="F206" s="28"/>
      <c r="G206" s="28"/>
      <c r="H206" s="28"/>
      <c r="I206" s="28"/>
      <c r="J206" s="32"/>
      <c r="K206" s="30"/>
      <c r="L206" s="60"/>
      <c r="M206" s="47"/>
    </row>
    <row r="207" spans="1:13" ht="20.100000000000001" customHeight="1" x14ac:dyDescent="0.3">
      <c r="A207" s="26"/>
      <c r="B207" s="28"/>
      <c r="C207" s="28"/>
      <c r="D207" s="28"/>
      <c r="E207" s="28"/>
      <c r="F207" s="28"/>
      <c r="G207" s="28"/>
      <c r="H207" s="28"/>
      <c r="I207" s="28"/>
      <c r="J207" s="32"/>
      <c r="K207" s="30"/>
      <c r="L207" s="60"/>
    </row>
    <row r="208" spans="1:13" ht="20.100000000000001" customHeight="1" x14ac:dyDescent="0.3">
      <c r="A208" s="26"/>
      <c r="B208" s="28"/>
      <c r="C208" s="28"/>
      <c r="D208" s="28"/>
      <c r="E208" s="28"/>
      <c r="F208" s="28"/>
      <c r="G208" s="28"/>
      <c r="H208" s="28"/>
      <c r="I208" s="28"/>
      <c r="J208" s="32"/>
      <c r="K208" s="30"/>
      <c r="L208" s="60"/>
    </row>
    <row r="209" spans="1:13" ht="20.100000000000001" customHeight="1" x14ac:dyDescent="0.3">
      <c r="A209" s="26"/>
      <c r="B209" s="28"/>
      <c r="C209" s="28"/>
      <c r="D209" s="28"/>
      <c r="E209" s="28"/>
      <c r="F209" s="28"/>
      <c r="G209" s="28"/>
      <c r="H209" s="28"/>
      <c r="I209" s="28"/>
      <c r="J209" s="32"/>
      <c r="K209" s="30"/>
      <c r="L209" s="60"/>
    </row>
    <row r="210" spans="1:13" ht="20.100000000000001" customHeight="1" x14ac:dyDescent="0.3">
      <c r="A210" s="26"/>
      <c r="B210" s="28"/>
      <c r="C210" s="28"/>
      <c r="D210" s="28"/>
      <c r="E210" s="28"/>
      <c r="F210" s="28"/>
      <c r="G210" s="28"/>
      <c r="H210" s="28"/>
      <c r="I210" s="28"/>
      <c r="J210" s="32"/>
      <c r="K210" s="30"/>
      <c r="L210" s="60"/>
    </row>
    <row r="211" spans="1:13" ht="20.100000000000001" customHeight="1" x14ac:dyDescent="0.3">
      <c r="A211" s="26"/>
      <c r="B211" s="28"/>
      <c r="C211" s="28"/>
      <c r="D211" s="28"/>
      <c r="E211" s="28"/>
      <c r="F211" s="28"/>
      <c r="G211" s="28"/>
      <c r="H211" s="28"/>
      <c r="I211" s="28"/>
      <c r="J211" s="32"/>
      <c r="K211" s="30"/>
      <c r="L211" s="60"/>
      <c r="M211" s="59"/>
    </row>
    <row r="212" spans="1:13" ht="20.100000000000001" customHeight="1" x14ac:dyDescent="0.3">
      <c r="A212" s="26"/>
      <c r="B212" s="28"/>
      <c r="C212" s="28"/>
      <c r="D212" s="28"/>
      <c r="E212" s="28"/>
      <c r="F212" s="28"/>
      <c r="G212" s="28"/>
      <c r="H212" s="28"/>
      <c r="I212" s="28"/>
      <c r="J212" s="32"/>
      <c r="K212" s="30"/>
      <c r="L212" s="60"/>
    </row>
    <row r="213" spans="1:13" ht="20.100000000000001" customHeight="1" x14ac:dyDescent="0.3">
      <c r="A213" s="26"/>
      <c r="B213" s="27"/>
      <c r="C213" s="27"/>
      <c r="D213" s="27"/>
      <c r="E213" s="27"/>
      <c r="F213" s="27"/>
      <c r="G213" s="50"/>
      <c r="H213" s="50"/>
      <c r="I213" s="50"/>
      <c r="J213" s="51"/>
      <c r="K213" s="41"/>
      <c r="L213" s="60"/>
    </row>
    <row r="214" spans="1:13" ht="20.100000000000001" customHeight="1" x14ac:dyDescent="0.3">
      <c r="A214" s="26"/>
      <c r="B214" s="28"/>
      <c r="C214" s="28"/>
      <c r="D214" s="28"/>
      <c r="E214" s="28"/>
      <c r="F214" s="28"/>
      <c r="G214" s="28"/>
      <c r="H214" s="28"/>
      <c r="I214" s="28"/>
      <c r="J214" s="32"/>
      <c r="K214" s="30"/>
      <c r="L214" s="60"/>
    </row>
    <row r="215" spans="1:13" ht="20.100000000000001" customHeight="1" x14ac:dyDescent="0.3">
      <c r="A215" s="26"/>
      <c r="B215" s="27"/>
      <c r="C215" s="27"/>
      <c r="D215" s="27"/>
      <c r="E215" s="27"/>
      <c r="F215" s="27"/>
      <c r="G215" s="50"/>
      <c r="H215" s="50"/>
      <c r="I215" s="50"/>
      <c r="J215" s="51"/>
      <c r="K215" s="41"/>
      <c r="L215" s="60"/>
    </row>
    <row r="216" spans="1:13" ht="20.100000000000001" customHeight="1" x14ac:dyDescent="0.3">
      <c r="A216" s="26"/>
      <c r="B216" s="27"/>
      <c r="C216" s="27"/>
      <c r="D216" s="27"/>
      <c r="E216" s="27"/>
      <c r="F216" s="27"/>
      <c r="G216" s="50"/>
      <c r="H216" s="50"/>
      <c r="I216" s="50"/>
      <c r="J216" s="51"/>
      <c r="K216" s="41"/>
      <c r="L216" s="60"/>
    </row>
    <row r="217" spans="1:13" ht="20.100000000000001" customHeight="1" x14ac:dyDescent="0.3">
      <c r="A217" s="26"/>
      <c r="B217" s="28"/>
      <c r="C217" s="28"/>
      <c r="D217" s="28"/>
      <c r="E217" s="28"/>
      <c r="F217" s="28"/>
      <c r="G217" s="28"/>
      <c r="H217" s="28"/>
      <c r="I217" s="28"/>
      <c r="J217" s="32"/>
      <c r="K217" s="30"/>
      <c r="L217" s="60"/>
    </row>
    <row r="218" spans="1:13" ht="20.100000000000001" customHeight="1" x14ac:dyDescent="0.3">
      <c r="A218" s="26"/>
      <c r="B218" s="28"/>
      <c r="C218" s="28"/>
      <c r="D218" s="28"/>
      <c r="E218" s="28"/>
      <c r="F218" s="28"/>
      <c r="G218" s="28"/>
      <c r="H218" s="28"/>
      <c r="I218" s="28"/>
      <c r="J218" s="32"/>
      <c r="K218" s="30"/>
      <c r="L218" s="60"/>
    </row>
    <row r="219" spans="1:13" ht="20.100000000000001" customHeight="1" x14ac:dyDescent="0.3">
      <c r="A219" s="26"/>
      <c r="B219" s="28"/>
      <c r="C219" s="28"/>
      <c r="D219" s="28"/>
      <c r="E219" s="28"/>
      <c r="F219" s="28"/>
      <c r="G219" s="28"/>
      <c r="H219" s="28"/>
      <c r="I219" s="28"/>
      <c r="J219" s="32"/>
      <c r="K219" s="30"/>
      <c r="L219" s="60"/>
    </row>
    <row r="220" spans="1:13" ht="20.100000000000001" customHeight="1" x14ac:dyDescent="0.3">
      <c r="F220" s="67"/>
    </row>
    <row r="221" spans="1:13" ht="20.100000000000001" customHeight="1" x14ac:dyDescent="0.3">
      <c r="F221" s="67"/>
    </row>
    <row r="222" spans="1:13" ht="20.100000000000001" customHeight="1" x14ac:dyDescent="0.3">
      <c r="F222" s="67"/>
    </row>
  </sheetData>
  <mergeCells count="1">
    <mergeCell ref="A1:L3"/>
  </mergeCells>
  <phoneticPr fontId="3" type="noConversion"/>
  <conditionalFormatting sqref="F49:F56 A58:K59 M71 A71:K74 A86:K96 A98:K98 A100:K102 A105:K107 A113:K116 A124:K126 M125 A141:K143 A156:K157 A170:K173 A201:K205">
    <cfRule type="containsText" dxfId="16" priority="7" operator="containsText" text="2022">
      <formula>NOT(ISERROR(SEARCH("2022",A49)))</formula>
    </cfRule>
  </conditionalFormatting>
  <conditionalFormatting sqref="F111:F112">
    <cfRule type="duplicateValues" dxfId="15" priority="6"/>
  </conditionalFormatting>
  <conditionalFormatting sqref="F113">
    <cfRule type="duplicateValues" dxfId="14" priority="3"/>
  </conditionalFormatting>
  <conditionalFormatting sqref="F114:F116">
    <cfRule type="duplicateValues" dxfId="13" priority="2"/>
  </conditionalFormatting>
  <conditionalFormatting sqref="F124:H124">
    <cfRule type="duplicateValues" dxfId="12" priority="1"/>
  </conditionalFormatting>
  <conditionalFormatting sqref="H111:H112">
    <cfRule type="duplicateValues" dxfId="11" priority="5"/>
  </conditionalFormatting>
  <conditionalFormatting sqref="J111:J112">
    <cfRule type="duplicateValues" dxfId="10" priority="4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2"/>
  <sheetViews>
    <sheetView zoomScale="85" zoomScaleNormal="85" workbookViewId="0">
      <pane ySplit="4" topLeftCell="A5" activePane="bottomLeft" state="frozen"/>
      <selection activeCell="B10" sqref="B10:L10"/>
      <selection pane="bottomLeft" activeCell="O17" sqref="O17"/>
    </sheetView>
  </sheetViews>
  <sheetFormatPr defaultColWidth="9" defaultRowHeight="20.100000000000001" customHeight="1" x14ac:dyDescent="0.3"/>
  <cols>
    <col min="1" max="6" width="8.625" customWidth="1"/>
    <col min="7" max="7" width="12.625" customWidth="1"/>
    <col min="8" max="8" width="16.25" bestFit="1" customWidth="1"/>
    <col min="9" max="9" width="10.625" customWidth="1"/>
    <col min="10" max="10" width="14.75" customWidth="1"/>
    <col min="11" max="12" width="9.625" customWidth="1"/>
    <col min="13" max="13" width="10.625" bestFit="1" customWidth="1"/>
    <col min="14" max="14" width="9.25" customWidth="1"/>
    <col min="15" max="15" width="11.625" customWidth="1"/>
    <col min="16" max="16" width="1.625" customWidth="1"/>
    <col min="17" max="17" width="9.75" customWidth="1"/>
    <col min="18" max="18" width="11.625" customWidth="1"/>
  </cols>
  <sheetData>
    <row r="1" spans="1:19" ht="20.100000000000001" customHeight="1" x14ac:dyDescent="0.3">
      <c r="A1" s="125" t="s">
        <v>247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9" ht="20.100000000000001" customHeight="1" x14ac:dyDescent="0.3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</row>
    <row r="3" spans="1:19" ht="20.100000000000001" customHeight="1" x14ac:dyDescent="0.3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9"/>
      <c r="N3" s="20" t="s">
        <v>0</v>
      </c>
      <c r="O3" s="10">
        <f>SUM(K3:K9892)</f>
        <v>1080000</v>
      </c>
      <c r="P3" s="11"/>
      <c r="Q3" s="20" t="s">
        <v>1</v>
      </c>
      <c r="R3" s="10">
        <f>SUM(L3:L9892)</f>
        <v>1170000</v>
      </c>
      <c r="S3" s="21"/>
    </row>
    <row r="4" spans="1:19" ht="20.100000000000001" customHeight="1" x14ac:dyDescent="0.3">
      <c r="A4" s="22" t="s">
        <v>8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253</v>
      </c>
      <c r="H4" s="22" t="s">
        <v>15</v>
      </c>
      <c r="I4" s="22" t="s">
        <v>16</v>
      </c>
      <c r="J4" s="23" t="s">
        <v>17</v>
      </c>
      <c r="K4" s="22" t="s">
        <v>0</v>
      </c>
      <c r="L4" s="22" t="s">
        <v>1</v>
      </c>
      <c r="M4" s="24"/>
      <c r="N4" s="25"/>
      <c r="O4" s="25"/>
      <c r="P4" s="25"/>
      <c r="Q4" s="25"/>
      <c r="R4" s="25"/>
      <c r="S4" s="24"/>
    </row>
    <row r="5" spans="1:19" ht="20.100000000000001" customHeight="1" x14ac:dyDescent="0.3">
      <c r="A5" s="39" t="s">
        <v>248</v>
      </c>
      <c r="B5" s="28" t="s">
        <v>249</v>
      </c>
      <c r="C5" s="28" t="s">
        <v>250</v>
      </c>
      <c r="D5" s="28" t="s">
        <v>133</v>
      </c>
      <c r="E5" s="28"/>
      <c r="F5" s="28" t="s">
        <v>251</v>
      </c>
      <c r="G5" s="28" t="s">
        <v>254</v>
      </c>
      <c r="H5" s="28"/>
      <c r="I5" s="28"/>
      <c r="J5" s="32"/>
      <c r="K5" s="31">
        <f>120000*G5</f>
        <v>480000</v>
      </c>
      <c r="L5" s="33">
        <f>130000*G5</f>
        <v>520000</v>
      </c>
    </row>
    <row r="6" spans="1:19" ht="20.100000000000001" customHeight="1" x14ac:dyDescent="0.3">
      <c r="A6" s="39" t="s">
        <v>248</v>
      </c>
      <c r="B6" s="28" t="s">
        <v>249</v>
      </c>
      <c r="C6" s="28" t="s">
        <v>250</v>
      </c>
      <c r="D6" s="28" t="s">
        <v>133</v>
      </c>
      <c r="E6" s="28"/>
      <c r="F6" s="28" t="s">
        <v>252</v>
      </c>
      <c r="G6" s="28" t="s">
        <v>255</v>
      </c>
      <c r="H6" s="28"/>
      <c r="I6" s="28"/>
      <c r="J6" s="32"/>
      <c r="K6" s="31">
        <f>120000*G6</f>
        <v>600000</v>
      </c>
      <c r="L6" s="33">
        <f>130000*G6</f>
        <v>650000</v>
      </c>
    </row>
    <row r="7" spans="1:19" ht="20.100000000000001" customHeight="1" x14ac:dyDescent="0.3">
      <c r="A7" s="26"/>
      <c r="B7" s="28"/>
      <c r="C7" s="28"/>
      <c r="D7" s="28"/>
      <c r="E7" s="28"/>
      <c r="F7" s="28"/>
      <c r="G7" s="28"/>
      <c r="H7" s="28"/>
      <c r="I7" s="28"/>
      <c r="J7" s="32"/>
      <c r="K7" s="31"/>
      <c r="L7" s="33"/>
    </row>
    <row r="8" spans="1:19" ht="20.100000000000001" customHeight="1" x14ac:dyDescent="0.3">
      <c r="A8" s="26"/>
      <c r="B8" s="28"/>
      <c r="C8" s="28"/>
      <c r="D8" s="28"/>
      <c r="E8" s="28"/>
      <c r="F8" s="28"/>
      <c r="G8" s="28"/>
      <c r="H8" s="28"/>
      <c r="I8" s="28"/>
      <c r="J8" s="32"/>
      <c r="K8" s="31"/>
      <c r="L8" s="33"/>
    </row>
    <row r="9" spans="1:19" ht="20.100000000000001" customHeight="1" x14ac:dyDescent="0.3">
      <c r="A9" s="26"/>
      <c r="B9" s="28"/>
      <c r="C9" s="28"/>
      <c r="D9" s="28"/>
      <c r="E9" s="28"/>
      <c r="F9" s="28"/>
      <c r="G9" s="28"/>
      <c r="H9" s="28"/>
      <c r="I9" s="28"/>
      <c r="J9" s="32"/>
      <c r="K9" s="31"/>
      <c r="L9" s="33"/>
    </row>
    <row r="10" spans="1:19" ht="20.100000000000001" customHeight="1" x14ac:dyDescent="0.3">
      <c r="A10" s="26"/>
      <c r="B10" s="28"/>
      <c r="C10" s="28"/>
      <c r="D10" s="28"/>
      <c r="E10" s="28"/>
      <c r="F10" s="28"/>
      <c r="G10" s="28"/>
      <c r="H10" s="28"/>
      <c r="I10" s="28"/>
      <c r="J10" s="32"/>
      <c r="K10" s="31"/>
      <c r="L10" s="33"/>
    </row>
    <row r="11" spans="1:19" ht="20.100000000000001" customHeight="1" x14ac:dyDescent="0.3">
      <c r="A11" s="26"/>
      <c r="B11" s="28"/>
      <c r="C11" s="28"/>
      <c r="D11" s="28"/>
      <c r="E11" s="28"/>
      <c r="F11" s="28"/>
      <c r="G11" s="28"/>
      <c r="H11" s="28"/>
      <c r="I11" s="28"/>
      <c r="J11" s="32"/>
      <c r="K11" s="31"/>
      <c r="L11" s="33"/>
    </row>
    <row r="12" spans="1:19" ht="20.100000000000001" customHeight="1" x14ac:dyDescent="0.3">
      <c r="A12" s="26"/>
      <c r="B12" s="28"/>
      <c r="C12" s="28"/>
      <c r="D12" s="28"/>
      <c r="E12" s="28"/>
      <c r="F12" s="28"/>
      <c r="G12" s="28"/>
      <c r="H12" s="28"/>
      <c r="I12" s="28"/>
      <c r="J12" s="32"/>
      <c r="K12" s="31"/>
      <c r="L12" s="33"/>
      <c r="M12" s="35"/>
    </row>
    <row r="13" spans="1:19" ht="20.100000000000001" customHeight="1" x14ac:dyDescent="0.3">
      <c r="A13" s="26"/>
      <c r="B13" s="28"/>
      <c r="C13" s="28"/>
      <c r="D13" s="28"/>
      <c r="E13" s="28"/>
      <c r="F13" s="28"/>
      <c r="G13" s="28"/>
      <c r="H13" s="28"/>
      <c r="I13" s="28"/>
      <c r="J13" s="32"/>
      <c r="K13" s="31"/>
      <c r="L13" s="33"/>
    </row>
    <row r="14" spans="1:19" ht="20.100000000000001" customHeight="1" x14ac:dyDescent="0.3">
      <c r="A14" s="26"/>
      <c r="B14" s="28"/>
      <c r="C14" s="28"/>
      <c r="D14" s="28"/>
      <c r="E14" s="28"/>
      <c r="F14" s="28"/>
      <c r="G14" s="28"/>
      <c r="H14" s="28"/>
      <c r="I14" s="28"/>
      <c r="J14" s="32"/>
      <c r="K14" s="31"/>
      <c r="L14" s="33"/>
      <c r="M14" s="34"/>
    </row>
    <row r="15" spans="1:19" ht="20.100000000000001" customHeight="1" x14ac:dyDescent="0.3">
      <c r="A15" s="26"/>
      <c r="B15" s="28"/>
      <c r="C15" s="28"/>
      <c r="D15" s="28"/>
      <c r="E15" s="28"/>
      <c r="F15" s="28"/>
      <c r="G15" s="28"/>
      <c r="H15" s="28"/>
      <c r="I15" s="28"/>
      <c r="J15" s="32"/>
      <c r="K15" s="31"/>
      <c r="L15" s="33"/>
    </row>
    <row r="16" spans="1:19" ht="20.100000000000001" customHeight="1" x14ac:dyDescent="0.3">
      <c r="A16" s="26"/>
      <c r="B16" s="28"/>
      <c r="C16" s="28"/>
      <c r="D16" s="28"/>
      <c r="E16" s="28"/>
      <c r="F16" s="28"/>
      <c r="G16" s="28"/>
      <c r="H16" s="28"/>
      <c r="I16" s="28"/>
      <c r="J16" s="32"/>
      <c r="K16" s="31"/>
      <c r="L16" s="33"/>
    </row>
    <row r="17" spans="1:13" ht="20.100000000000001" customHeight="1" x14ac:dyDescent="0.3">
      <c r="A17" s="26"/>
      <c r="B17" s="28"/>
      <c r="C17" s="28"/>
      <c r="D17" s="28"/>
      <c r="E17" s="28"/>
      <c r="F17" s="28"/>
      <c r="G17" s="28"/>
      <c r="H17" s="28"/>
      <c r="I17" s="28"/>
      <c r="J17" s="32"/>
      <c r="K17" s="31"/>
      <c r="L17" s="33"/>
    </row>
    <row r="18" spans="1:13" ht="20.100000000000001" customHeight="1" x14ac:dyDescent="0.3">
      <c r="A18" s="26"/>
      <c r="B18" s="28"/>
      <c r="C18" s="28"/>
      <c r="D18" s="28"/>
      <c r="E18" s="28"/>
      <c r="F18" s="28"/>
      <c r="G18" s="28"/>
      <c r="H18" s="28"/>
      <c r="I18" s="28"/>
      <c r="J18" s="32"/>
      <c r="K18" s="31"/>
      <c r="L18" s="33"/>
      <c r="M18" s="34"/>
    </row>
    <row r="19" spans="1:13" ht="20.100000000000001" customHeight="1" x14ac:dyDescent="0.3">
      <c r="A19" s="26"/>
      <c r="B19" s="28"/>
      <c r="C19" s="28"/>
      <c r="D19" s="28"/>
      <c r="E19" s="28"/>
      <c r="F19" s="28"/>
      <c r="G19" s="28"/>
      <c r="H19" s="28"/>
      <c r="I19" s="28"/>
      <c r="J19" s="32"/>
      <c r="K19" s="31"/>
      <c r="L19" s="33"/>
    </row>
    <row r="20" spans="1:13" ht="20.100000000000001" customHeight="1" x14ac:dyDescent="0.3">
      <c r="A20" s="26"/>
      <c r="B20" s="28"/>
      <c r="C20" s="28"/>
      <c r="D20" s="28"/>
      <c r="E20" s="28"/>
      <c r="F20" s="28"/>
      <c r="G20" s="28"/>
      <c r="H20" s="28"/>
      <c r="I20" s="28"/>
      <c r="J20" s="32"/>
      <c r="K20" s="31"/>
      <c r="L20" s="33"/>
    </row>
    <row r="21" spans="1:13" ht="20.100000000000001" customHeight="1" x14ac:dyDescent="0.3">
      <c r="A21" s="26"/>
      <c r="B21" s="28"/>
      <c r="C21" s="28"/>
      <c r="D21" s="28"/>
      <c r="E21" s="28"/>
      <c r="F21" s="28"/>
      <c r="G21" s="28"/>
      <c r="H21" s="28"/>
      <c r="I21" s="28"/>
      <c r="J21" s="32"/>
      <c r="K21" s="31"/>
      <c r="L21" s="33"/>
      <c r="M21" s="58"/>
    </row>
    <row r="22" spans="1:13" ht="20.100000000000001" customHeight="1" x14ac:dyDescent="0.3">
      <c r="A22" s="26"/>
      <c r="B22" s="28"/>
      <c r="C22" s="28"/>
      <c r="D22" s="28"/>
      <c r="E22" s="28"/>
      <c r="F22" s="28"/>
      <c r="G22" s="28"/>
      <c r="H22" s="28"/>
      <c r="I22" s="28"/>
      <c r="J22" s="32"/>
      <c r="K22" s="31"/>
      <c r="L22" s="33"/>
      <c r="M22" s="58"/>
    </row>
    <row r="23" spans="1:13" ht="20.100000000000001" customHeight="1" x14ac:dyDescent="0.3">
      <c r="A23" s="26"/>
      <c r="B23" s="28"/>
      <c r="C23" s="28"/>
      <c r="D23" s="28"/>
      <c r="E23" s="28"/>
      <c r="F23" s="28"/>
      <c r="G23" s="28"/>
      <c r="H23" s="28"/>
      <c r="I23" s="28"/>
      <c r="J23" s="32"/>
      <c r="K23" s="31"/>
      <c r="L23" s="33"/>
      <c r="M23" s="58"/>
    </row>
    <row r="24" spans="1:13" ht="20.100000000000001" customHeight="1" x14ac:dyDescent="0.3">
      <c r="A24" s="26"/>
      <c r="B24" s="28"/>
      <c r="C24" s="28"/>
      <c r="D24" s="28"/>
      <c r="E24" s="28"/>
      <c r="F24" s="28"/>
      <c r="G24" s="28"/>
      <c r="H24" s="28"/>
      <c r="I24" s="28"/>
      <c r="J24" s="32"/>
      <c r="K24" s="31"/>
      <c r="L24" s="33"/>
    </row>
    <row r="25" spans="1:13" ht="20.100000000000001" customHeight="1" x14ac:dyDescent="0.3">
      <c r="A25" s="26"/>
      <c r="B25" s="28"/>
      <c r="C25" s="28"/>
      <c r="D25" s="28"/>
      <c r="E25" s="28"/>
      <c r="F25" s="28"/>
      <c r="G25" s="28"/>
      <c r="H25" s="28"/>
      <c r="I25" s="28"/>
      <c r="J25" s="32"/>
      <c r="K25" s="31"/>
      <c r="L25" s="33"/>
    </row>
    <row r="26" spans="1:13" ht="20.100000000000001" customHeight="1" x14ac:dyDescent="0.3">
      <c r="A26" s="26"/>
      <c r="B26" s="28"/>
      <c r="C26" s="28"/>
      <c r="D26" s="28"/>
      <c r="E26" s="28"/>
      <c r="F26" s="28"/>
      <c r="G26" s="28"/>
      <c r="H26" s="28"/>
      <c r="I26" s="28"/>
      <c r="J26" s="32"/>
      <c r="K26" s="31"/>
      <c r="L26" s="33"/>
    </row>
    <row r="27" spans="1:13" ht="20.100000000000001" customHeight="1" x14ac:dyDescent="0.3">
      <c r="A27" s="26"/>
      <c r="B27" s="28"/>
      <c r="C27" s="28"/>
      <c r="D27" s="28"/>
      <c r="E27" s="28"/>
      <c r="F27" s="28"/>
      <c r="G27" s="28"/>
      <c r="H27" s="28"/>
      <c r="I27" s="28"/>
      <c r="J27" s="32"/>
      <c r="K27" s="31"/>
      <c r="L27" s="33"/>
    </row>
    <row r="28" spans="1:13" ht="20.100000000000001" customHeight="1" x14ac:dyDescent="0.3">
      <c r="A28" s="26"/>
      <c r="B28" s="28"/>
      <c r="C28" s="28"/>
      <c r="D28" s="28"/>
      <c r="E28" s="28"/>
      <c r="F28" s="28"/>
      <c r="G28" s="28"/>
      <c r="H28" s="28"/>
      <c r="I28" s="28"/>
      <c r="J28" s="32"/>
      <c r="K28" s="31"/>
      <c r="L28" s="33"/>
      <c r="M28" s="59"/>
    </row>
    <row r="29" spans="1:13" ht="20.100000000000001" customHeight="1" x14ac:dyDescent="0.3">
      <c r="A29" s="26"/>
      <c r="B29" s="28"/>
      <c r="C29" s="28"/>
      <c r="D29" s="28"/>
      <c r="E29" s="28"/>
      <c r="F29" s="28"/>
      <c r="G29" s="28"/>
      <c r="H29" s="28"/>
      <c r="I29" s="28"/>
      <c r="J29" s="32"/>
      <c r="K29" s="31"/>
      <c r="L29" s="33"/>
    </row>
    <row r="30" spans="1:13" ht="20.100000000000001" customHeight="1" x14ac:dyDescent="0.3">
      <c r="A30" s="26"/>
      <c r="B30" s="28"/>
      <c r="C30" s="28"/>
      <c r="D30" s="28"/>
      <c r="E30" s="28"/>
      <c r="F30" s="28"/>
      <c r="G30" s="28"/>
      <c r="H30" s="28"/>
      <c r="I30" s="28"/>
      <c r="J30" s="32"/>
      <c r="K30" s="31"/>
      <c r="L30" s="33"/>
    </row>
    <row r="31" spans="1:13" ht="20.100000000000001" customHeight="1" x14ac:dyDescent="0.3">
      <c r="A31" s="26"/>
      <c r="B31" s="28"/>
      <c r="C31" s="28"/>
      <c r="D31" s="28"/>
      <c r="E31" s="28"/>
      <c r="F31" s="28"/>
      <c r="G31" s="28"/>
      <c r="H31" s="28"/>
      <c r="I31" s="28"/>
      <c r="J31" s="32"/>
      <c r="K31" s="31"/>
      <c r="L31" s="33"/>
    </row>
    <row r="32" spans="1:13" ht="20.100000000000001" customHeight="1" x14ac:dyDescent="0.3">
      <c r="A32" s="26"/>
      <c r="B32" s="28"/>
      <c r="C32" s="28"/>
      <c r="D32" s="28"/>
      <c r="E32" s="28"/>
      <c r="F32" s="28"/>
      <c r="G32" s="28"/>
      <c r="H32" s="28"/>
      <c r="I32" s="28"/>
      <c r="J32" s="32"/>
      <c r="K32" s="31"/>
      <c r="L32" s="33"/>
    </row>
    <row r="33" spans="1:13" ht="20.100000000000001" customHeight="1" x14ac:dyDescent="0.3">
      <c r="A33" s="26"/>
      <c r="B33" s="28"/>
      <c r="C33" s="28"/>
      <c r="D33" s="28"/>
      <c r="E33" s="28"/>
      <c r="F33" s="28"/>
      <c r="G33" s="28"/>
      <c r="H33" s="28"/>
      <c r="I33" s="28"/>
      <c r="J33" s="32"/>
      <c r="K33" s="31"/>
      <c r="L33" s="33"/>
    </row>
    <row r="34" spans="1:13" ht="20.65" customHeight="1" x14ac:dyDescent="0.3">
      <c r="A34" s="26"/>
      <c r="B34" s="28"/>
      <c r="C34" s="28"/>
      <c r="D34" s="28"/>
      <c r="E34" s="28"/>
      <c r="F34" s="28"/>
      <c r="G34" s="28"/>
      <c r="H34" s="28"/>
      <c r="I34" s="28"/>
      <c r="J34" s="32"/>
      <c r="K34" s="31"/>
      <c r="L34" s="33"/>
    </row>
    <row r="35" spans="1:13" ht="20.100000000000001" customHeight="1" x14ac:dyDescent="0.3">
      <c r="A35" s="26"/>
      <c r="B35" s="28"/>
      <c r="C35" s="28"/>
      <c r="D35" s="28"/>
      <c r="E35" s="28"/>
      <c r="F35" s="28"/>
      <c r="G35" s="28"/>
      <c r="H35" s="28"/>
      <c r="I35" s="28"/>
      <c r="J35" s="32"/>
      <c r="K35" s="31"/>
      <c r="L35" s="33"/>
    </row>
    <row r="36" spans="1:13" ht="20.100000000000001" customHeight="1" x14ac:dyDescent="0.3">
      <c r="A36" s="26"/>
      <c r="B36" s="28"/>
      <c r="C36" s="28"/>
      <c r="D36" s="28"/>
      <c r="E36" s="28"/>
      <c r="F36" s="28"/>
      <c r="G36" s="28"/>
      <c r="H36" s="28"/>
      <c r="I36" s="28"/>
      <c r="J36" s="32"/>
      <c r="K36" s="31"/>
      <c r="L36" s="33"/>
    </row>
    <row r="37" spans="1:13" ht="20.100000000000001" customHeight="1" x14ac:dyDescent="0.3">
      <c r="A37" s="26"/>
      <c r="B37" s="28"/>
      <c r="C37" s="28"/>
      <c r="D37" s="28"/>
      <c r="E37" s="27"/>
      <c r="F37" s="28"/>
      <c r="G37" s="28"/>
      <c r="H37" s="28"/>
      <c r="I37" s="28"/>
      <c r="J37" s="32"/>
      <c r="K37" s="31"/>
      <c r="L37" s="33"/>
    </row>
    <row r="38" spans="1:13" ht="20.100000000000001" customHeight="1" x14ac:dyDescent="0.3">
      <c r="A38" s="26"/>
      <c r="B38" s="28"/>
      <c r="C38" s="28"/>
      <c r="D38" s="28"/>
      <c r="E38" s="27"/>
      <c r="F38" s="28"/>
      <c r="G38" s="28"/>
      <c r="H38" s="28"/>
      <c r="I38" s="28"/>
      <c r="J38" s="32"/>
      <c r="K38" s="31"/>
      <c r="L38" s="33"/>
      <c r="M38" s="34"/>
    </row>
    <row r="39" spans="1:13" ht="20.100000000000001" customHeight="1" x14ac:dyDescent="0.3">
      <c r="A39" s="26"/>
      <c r="B39" s="28"/>
      <c r="C39" s="28"/>
      <c r="D39" s="28"/>
      <c r="E39" s="28"/>
      <c r="F39" s="28"/>
      <c r="G39" s="28"/>
      <c r="H39" s="28"/>
      <c r="I39" s="28"/>
      <c r="J39" s="32"/>
      <c r="K39" s="31"/>
      <c r="L39" s="33"/>
    </row>
    <row r="40" spans="1:13" ht="20.100000000000001" customHeight="1" x14ac:dyDescent="0.3">
      <c r="A40" s="26"/>
      <c r="B40" s="28"/>
      <c r="C40" s="28"/>
      <c r="D40" s="28"/>
      <c r="E40" s="28"/>
      <c r="F40" s="28"/>
      <c r="G40" s="28"/>
      <c r="H40" s="28"/>
      <c r="I40" s="28"/>
      <c r="J40" s="32"/>
      <c r="K40" s="31"/>
      <c r="L40" s="33"/>
    </row>
    <row r="41" spans="1:13" ht="20.100000000000001" customHeight="1" x14ac:dyDescent="0.3">
      <c r="A41" s="26"/>
      <c r="B41" s="28"/>
      <c r="C41" s="28"/>
      <c r="D41" s="28"/>
      <c r="E41" s="28"/>
      <c r="F41" s="28"/>
      <c r="G41" s="28"/>
      <c r="H41" s="28"/>
      <c r="I41" s="28"/>
      <c r="J41" s="32"/>
      <c r="K41" s="31"/>
      <c r="L41" s="33"/>
    </row>
    <row r="42" spans="1:13" ht="20.100000000000001" customHeight="1" x14ac:dyDescent="0.3">
      <c r="A42" s="26"/>
      <c r="B42" s="28"/>
      <c r="C42" s="28"/>
      <c r="D42" s="28"/>
      <c r="E42" s="28"/>
      <c r="F42" s="28"/>
      <c r="G42" s="28"/>
      <c r="H42" s="28"/>
      <c r="I42" s="28"/>
      <c r="J42" s="32"/>
      <c r="K42" s="31"/>
      <c r="L42" s="33"/>
    </row>
    <row r="43" spans="1:13" ht="20.100000000000001" customHeight="1" x14ac:dyDescent="0.3">
      <c r="A43" s="26"/>
      <c r="B43" s="28"/>
      <c r="C43" s="28"/>
      <c r="D43" s="28"/>
      <c r="E43" s="27"/>
      <c r="F43" s="28"/>
      <c r="G43" s="28"/>
      <c r="H43" s="28"/>
      <c r="I43" s="28"/>
      <c r="J43" s="32"/>
      <c r="K43" s="31"/>
      <c r="L43" s="33"/>
    </row>
    <row r="44" spans="1:13" ht="20.100000000000001" customHeight="1" x14ac:dyDescent="0.3">
      <c r="A44" s="26"/>
      <c r="B44" s="28"/>
      <c r="C44" s="28"/>
      <c r="D44" s="28"/>
      <c r="E44" s="28"/>
      <c r="F44" s="28"/>
      <c r="G44" s="28"/>
      <c r="H44" s="28"/>
      <c r="I44" s="28"/>
      <c r="J44" s="32"/>
      <c r="K44" s="31"/>
      <c r="L44" s="33"/>
    </row>
    <row r="45" spans="1:13" ht="20.100000000000001" customHeight="1" x14ac:dyDescent="0.3">
      <c r="A45" s="26"/>
      <c r="B45" s="28"/>
      <c r="C45" s="28"/>
      <c r="D45" s="28"/>
      <c r="E45" s="28"/>
      <c r="F45" s="28"/>
      <c r="G45" s="28"/>
      <c r="H45" s="28"/>
      <c r="I45" s="28"/>
      <c r="J45" s="32"/>
      <c r="K45" s="31"/>
      <c r="L45" s="33"/>
    </row>
    <row r="46" spans="1:13" ht="20.100000000000001" customHeight="1" x14ac:dyDescent="0.3">
      <c r="A46" s="26"/>
      <c r="B46" s="28"/>
      <c r="C46" s="28"/>
      <c r="D46" s="28"/>
      <c r="E46" s="27"/>
      <c r="F46" s="28"/>
      <c r="G46" s="28"/>
      <c r="H46" s="28"/>
      <c r="I46" s="28"/>
      <c r="J46" s="32"/>
      <c r="K46" s="31"/>
      <c r="L46" s="33"/>
    </row>
    <row r="47" spans="1:13" ht="20.100000000000001" customHeight="1" x14ac:dyDescent="0.3">
      <c r="A47" s="26"/>
      <c r="B47" s="28"/>
      <c r="C47" s="28"/>
      <c r="D47" s="28"/>
      <c r="E47" s="28"/>
      <c r="F47" s="28"/>
      <c r="G47" s="28"/>
      <c r="H47" s="28"/>
      <c r="I47" s="28"/>
      <c r="J47" s="32"/>
      <c r="K47" s="31"/>
      <c r="L47" s="33"/>
      <c r="M47" s="47"/>
    </row>
    <row r="48" spans="1:13" ht="20.100000000000001" customHeight="1" x14ac:dyDescent="0.3">
      <c r="A48" s="26"/>
      <c r="B48" s="28"/>
      <c r="C48" s="28"/>
      <c r="D48" s="28"/>
      <c r="E48" s="28"/>
      <c r="F48" s="28"/>
      <c r="G48" s="28"/>
      <c r="H48" s="28"/>
      <c r="I48" s="28"/>
      <c r="J48" s="32"/>
      <c r="K48" s="31"/>
      <c r="L48" s="33"/>
      <c r="M48" s="47"/>
    </row>
    <row r="49" spans="1:13" ht="20.100000000000001" customHeight="1" x14ac:dyDescent="0.3">
      <c r="A49" s="26"/>
      <c r="B49" s="28"/>
      <c r="C49" s="28"/>
      <c r="D49" s="28"/>
      <c r="E49" s="28"/>
      <c r="F49" s="27"/>
      <c r="G49" s="28"/>
      <c r="H49" s="28"/>
      <c r="I49" s="28"/>
      <c r="J49" s="32"/>
      <c r="K49" s="30"/>
      <c r="L49" s="60"/>
    </row>
    <row r="50" spans="1:13" ht="20.100000000000001" customHeight="1" x14ac:dyDescent="0.3">
      <c r="A50" s="26"/>
      <c r="B50" s="28"/>
      <c r="C50" s="28"/>
      <c r="D50" s="28"/>
      <c r="E50" s="28"/>
      <c r="F50" s="28"/>
      <c r="G50" s="28"/>
      <c r="H50" s="28"/>
      <c r="I50" s="28"/>
      <c r="J50" s="32"/>
      <c r="K50" s="30"/>
      <c r="L50" s="60"/>
      <c r="M50" s="59"/>
    </row>
    <row r="51" spans="1:13" ht="20.100000000000001" customHeight="1" x14ac:dyDescent="0.3">
      <c r="A51" s="26"/>
      <c r="B51" s="28"/>
      <c r="C51" s="28"/>
      <c r="D51" s="28"/>
      <c r="E51" s="28"/>
      <c r="F51" s="27"/>
      <c r="G51" s="28"/>
      <c r="H51" s="28"/>
      <c r="I51" s="28"/>
      <c r="J51" s="32"/>
      <c r="K51" s="30"/>
      <c r="L51" s="60"/>
    </row>
    <row r="52" spans="1:13" ht="20.100000000000001" customHeight="1" x14ac:dyDescent="0.3">
      <c r="A52" s="26"/>
      <c r="B52" s="28"/>
      <c r="C52" s="28"/>
      <c r="D52" s="28"/>
      <c r="E52" s="28"/>
      <c r="F52" s="28"/>
      <c r="G52" s="28"/>
      <c r="H52" s="28"/>
      <c r="I52" s="28"/>
      <c r="J52" s="32"/>
      <c r="K52" s="30"/>
      <c r="L52" s="60"/>
      <c r="M52" s="59"/>
    </row>
    <row r="53" spans="1:13" ht="20.100000000000001" customHeight="1" x14ac:dyDescent="0.3">
      <c r="A53" s="26"/>
      <c r="B53" s="28"/>
      <c r="C53" s="28"/>
      <c r="D53" s="28"/>
      <c r="E53" s="28"/>
      <c r="F53" s="27"/>
      <c r="G53" s="28"/>
      <c r="H53" s="28"/>
      <c r="I53" s="28"/>
      <c r="J53" s="32"/>
      <c r="K53" s="30"/>
      <c r="L53" s="60"/>
    </row>
    <row r="54" spans="1:13" ht="20.100000000000001" customHeight="1" x14ac:dyDescent="0.3">
      <c r="A54" s="26"/>
      <c r="B54" s="27"/>
      <c r="C54" s="27"/>
      <c r="D54" s="27"/>
      <c r="E54" s="27"/>
      <c r="F54" s="27"/>
      <c r="G54" s="50"/>
      <c r="H54" s="50"/>
      <c r="I54" s="50"/>
      <c r="J54" s="51"/>
      <c r="K54" s="41"/>
      <c r="L54" s="60"/>
    </row>
    <row r="55" spans="1:13" ht="20.100000000000001" customHeight="1" x14ac:dyDescent="0.3">
      <c r="A55" s="26"/>
      <c r="B55" s="27"/>
      <c r="C55" s="27"/>
      <c r="D55" s="27"/>
      <c r="E55" s="27"/>
      <c r="F55" s="27"/>
      <c r="G55" s="50"/>
      <c r="H55" s="50"/>
      <c r="I55" s="50"/>
      <c r="J55" s="51"/>
      <c r="K55" s="41"/>
      <c r="L55" s="60"/>
    </row>
    <row r="56" spans="1:13" ht="20.100000000000001" customHeight="1" x14ac:dyDescent="0.3">
      <c r="A56" s="26"/>
      <c r="B56" s="27"/>
      <c r="C56" s="27"/>
      <c r="D56" s="27"/>
      <c r="E56" s="27"/>
      <c r="F56" s="27"/>
      <c r="G56" s="50"/>
      <c r="H56" s="50"/>
      <c r="I56" s="50"/>
      <c r="J56" s="51"/>
      <c r="K56" s="41"/>
      <c r="L56" s="60"/>
    </row>
    <row r="57" spans="1:13" ht="20.100000000000001" customHeight="1" x14ac:dyDescent="0.3">
      <c r="A57" s="26"/>
      <c r="B57" s="28"/>
      <c r="C57" s="28"/>
      <c r="D57" s="28"/>
      <c r="E57" s="28"/>
      <c r="F57" s="28"/>
      <c r="G57" s="28"/>
      <c r="H57" s="28"/>
      <c r="I57" s="28"/>
      <c r="J57" s="32"/>
      <c r="K57" s="30"/>
      <c r="L57" s="60"/>
    </row>
    <row r="58" spans="1:13" ht="20.100000000000001" customHeight="1" x14ac:dyDescent="0.3">
      <c r="A58" s="26"/>
      <c r="B58" s="28"/>
      <c r="C58" s="28"/>
      <c r="D58" s="28"/>
      <c r="E58" s="28"/>
      <c r="F58" s="28"/>
      <c r="G58" s="28"/>
      <c r="H58" s="28"/>
      <c r="I58" s="28"/>
      <c r="J58" s="32"/>
      <c r="K58" s="30"/>
      <c r="L58" s="60"/>
    </row>
    <row r="59" spans="1:13" ht="20.100000000000001" customHeight="1" x14ac:dyDescent="0.3">
      <c r="A59" s="26"/>
      <c r="B59" s="28"/>
      <c r="C59" s="28"/>
      <c r="D59" s="28"/>
      <c r="E59" s="28"/>
      <c r="F59" s="28"/>
      <c r="G59" s="28"/>
      <c r="H59" s="28"/>
      <c r="I59" s="28"/>
      <c r="J59" s="32"/>
      <c r="K59" s="30"/>
      <c r="L59" s="60"/>
    </row>
    <row r="60" spans="1:13" ht="20.100000000000001" customHeight="1" x14ac:dyDescent="0.3">
      <c r="A60" s="26"/>
      <c r="B60" s="28"/>
      <c r="C60" s="28"/>
      <c r="D60" s="28"/>
      <c r="E60" s="28"/>
      <c r="F60" s="28"/>
      <c r="G60" s="28"/>
      <c r="H60" s="28"/>
      <c r="I60" s="28"/>
      <c r="J60" s="32"/>
      <c r="K60" s="30"/>
      <c r="L60" s="60"/>
      <c r="M60" s="47"/>
    </row>
    <row r="61" spans="1:13" ht="20.100000000000001" customHeight="1" x14ac:dyDescent="0.3">
      <c r="A61" s="26"/>
      <c r="B61" s="28"/>
      <c r="C61" s="28"/>
      <c r="D61" s="28"/>
      <c r="E61" s="28"/>
      <c r="F61" s="28"/>
      <c r="G61" s="28"/>
      <c r="H61" s="28"/>
      <c r="I61" s="28"/>
      <c r="J61" s="32"/>
      <c r="K61" s="30"/>
      <c r="L61" s="60"/>
    </row>
    <row r="62" spans="1:13" ht="20.100000000000001" customHeight="1" x14ac:dyDescent="0.3">
      <c r="A62" s="26"/>
      <c r="B62" s="28"/>
      <c r="C62" s="28"/>
      <c r="D62" s="28"/>
      <c r="E62" s="28"/>
      <c r="F62" s="28"/>
      <c r="G62" s="28"/>
      <c r="H62" s="28"/>
      <c r="I62" s="28"/>
      <c r="J62" s="32"/>
      <c r="K62" s="30"/>
      <c r="L62" s="60"/>
      <c r="M62" s="59"/>
    </row>
    <row r="63" spans="1:13" ht="20.100000000000001" customHeight="1" x14ac:dyDescent="0.3">
      <c r="A63" s="26"/>
      <c r="B63" s="28"/>
      <c r="C63" s="28"/>
      <c r="D63" s="28"/>
      <c r="E63" s="28"/>
      <c r="F63" s="28"/>
      <c r="G63" s="28"/>
      <c r="H63" s="28"/>
      <c r="I63" s="28"/>
      <c r="J63" s="32"/>
      <c r="K63" s="30"/>
      <c r="L63" s="60"/>
    </row>
    <row r="64" spans="1:13" ht="20.100000000000001" customHeight="1" x14ac:dyDescent="0.3">
      <c r="A64" s="26"/>
      <c r="B64" s="28"/>
      <c r="C64" s="28"/>
      <c r="D64" s="28"/>
      <c r="E64" s="28"/>
      <c r="F64" s="28"/>
      <c r="G64" s="28"/>
      <c r="H64" s="28"/>
      <c r="I64" s="28"/>
      <c r="J64" s="32"/>
      <c r="K64" s="30"/>
      <c r="L64" s="60"/>
    </row>
    <row r="65" spans="1:13" ht="20.100000000000001" customHeight="1" x14ac:dyDescent="0.3">
      <c r="A65" s="26"/>
      <c r="B65" s="28"/>
      <c r="C65" s="28"/>
      <c r="D65" s="28"/>
      <c r="E65" s="28"/>
      <c r="F65" s="28"/>
      <c r="G65" s="28"/>
      <c r="H65" s="28"/>
      <c r="I65" s="28"/>
      <c r="J65" s="32"/>
      <c r="K65" s="30"/>
      <c r="L65" s="60"/>
    </row>
    <row r="66" spans="1:13" ht="20.100000000000001" customHeight="1" x14ac:dyDescent="0.3">
      <c r="A66" s="26"/>
      <c r="B66" s="28"/>
      <c r="C66" s="28"/>
      <c r="D66" s="28"/>
      <c r="E66" s="28"/>
      <c r="F66" s="28"/>
      <c r="G66" s="28"/>
      <c r="H66" s="28"/>
      <c r="I66" s="28"/>
      <c r="J66" s="32"/>
      <c r="K66" s="30"/>
      <c r="L66" s="60"/>
    </row>
    <row r="67" spans="1:13" ht="20.100000000000001" customHeight="1" x14ac:dyDescent="0.3">
      <c r="A67" s="26"/>
      <c r="B67" s="28"/>
      <c r="C67" s="28"/>
      <c r="D67" s="28"/>
      <c r="E67" s="28"/>
      <c r="F67" s="28"/>
      <c r="G67" s="28"/>
      <c r="H67" s="28"/>
      <c r="I67" s="28"/>
      <c r="J67" s="32"/>
      <c r="K67" s="30"/>
      <c r="L67" s="60"/>
    </row>
    <row r="68" spans="1:13" ht="20.100000000000001" customHeight="1" x14ac:dyDescent="0.3">
      <c r="A68" s="26"/>
      <c r="B68" s="27"/>
      <c r="C68" s="27"/>
      <c r="D68" s="27"/>
      <c r="E68" s="27"/>
      <c r="F68" s="27"/>
      <c r="G68" s="50"/>
      <c r="H68" s="50"/>
      <c r="I68" s="50"/>
      <c r="J68" s="51"/>
      <c r="K68" s="41"/>
      <c r="L68" s="60"/>
    </row>
    <row r="69" spans="1:13" ht="20.100000000000001" customHeight="1" x14ac:dyDescent="0.3">
      <c r="A69" s="26"/>
      <c r="B69" s="27"/>
      <c r="C69" s="27"/>
      <c r="D69" s="27"/>
      <c r="E69" s="27"/>
      <c r="F69" s="27"/>
      <c r="G69" s="50"/>
      <c r="H69" s="50"/>
      <c r="I69" s="50"/>
      <c r="J69" s="51"/>
      <c r="K69" s="41"/>
      <c r="L69" s="60"/>
    </row>
    <row r="70" spans="1:13" ht="20.100000000000001" customHeight="1" x14ac:dyDescent="0.3">
      <c r="A70" s="26"/>
      <c r="B70" s="28"/>
      <c r="C70" s="28"/>
      <c r="D70" s="28"/>
      <c r="E70" s="28"/>
      <c r="F70" s="28"/>
      <c r="G70" s="28"/>
      <c r="H70" s="28"/>
      <c r="I70" s="28"/>
      <c r="J70" s="32"/>
      <c r="K70" s="30"/>
      <c r="L70" s="60"/>
    </row>
    <row r="71" spans="1:13" ht="20.100000000000001" customHeight="1" x14ac:dyDescent="0.3">
      <c r="A71" s="26"/>
      <c r="B71" s="28"/>
      <c r="C71" s="28"/>
      <c r="D71" s="28"/>
      <c r="E71" s="28"/>
      <c r="F71" s="28"/>
      <c r="G71" s="28"/>
      <c r="H71" s="28"/>
      <c r="I71" s="28"/>
      <c r="J71" s="32"/>
      <c r="K71" s="30"/>
      <c r="L71" s="60"/>
      <c r="M71" s="47"/>
    </row>
    <row r="72" spans="1:13" ht="20.100000000000001" customHeight="1" x14ac:dyDescent="0.3">
      <c r="A72" s="26"/>
      <c r="B72" s="28"/>
      <c r="C72" s="28"/>
      <c r="D72" s="28"/>
      <c r="E72" s="28"/>
      <c r="F72" s="28"/>
      <c r="G72" s="28"/>
      <c r="H72" s="28"/>
      <c r="I72" s="28"/>
      <c r="J72" s="32"/>
      <c r="K72" s="30"/>
      <c r="L72" s="60"/>
    </row>
    <row r="73" spans="1:13" ht="20.100000000000001" customHeight="1" x14ac:dyDescent="0.3">
      <c r="A73" s="26"/>
      <c r="B73" s="28"/>
      <c r="C73" s="28"/>
      <c r="D73" s="28"/>
      <c r="E73" s="28"/>
      <c r="F73" s="28"/>
      <c r="G73" s="28"/>
      <c r="H73" s="28"/>
      <c r="I73" s="28"/>
      <c r="J73" s="32"/>
      <c r="K73" s="30"/>
      <c r="L73" s="60"/>
    </row>
    <row r="74" spans="1:13" ht="20.100000000000001" customHeight="1" x14ac:dyDescent="0.3">
      <c r="A74" s="26"/>
      <c r="B74" s="28"/>
      <c r="C74" s="28"/>
      <c r="D74" s="28"/>
      <c r="E74" s="28"/>
      <c r="F74" s="28"/>
      <c r="G74" s="28"/>
      <c r="H74" s="28"/>
      <c r="I74" s="28"/>
      <c r="J74" s="32"/>
      <c r="K74" s="30"/>
      <c r="L74" s="60"/>
    </row>
    <row r="75" spans="1:13" ht="20.100000000000001" customHeight="1" x14ac:dyDescent="0.3">
      <c r="A75" s="26"/>
      <c r="B75" s="28"/>
      <c r="C75" s="28"/>
      <c r="D75" s="28"/>
      <c r="E75" s="28"/>
      <c r="F75" s="28"/>
      <c r="G75" s="28"/>
      <c r="H75" s="28"/>
      <c r="I75" s="28"/>
      <c r="J75" s="32"/>
      <c r="K75" s="30"/>
      <c r="L75" s="60"/>
      <c r="M75" s="61"/>
    </row>
    <row r="76" spans="1:13" ht="20.100000000000001" customHeight="1" x14ac:dyDescent="0.3">
      <c r="A76" s="26"/>
      <c r="B76" s="28"/>
      <c r="C76" s="28"/>
      <c r="D76" s="28"/>
      <c r="E76" s="28"/>
      <c r="F76" s="28"/>
      <c r="G76" s="28"/>
      <c r="H76" s="28"/>
      <c r="I76" s="28"/>
      <c r="J76" s="32"/>
      <c r="K76" s="30"/>
      <c r="L76" s="60"/>
    </row>
    <row r="77" spans="1:13" ht="20.100000000000001" customHeight="1" x14ac:dyDescent="0.3">
      <c r="A77" s="26"/>
      <c r="B77" s="28"/>
      <c r="C77" s="28"/>
      <c r="D77" s="28"/>
      <c r="E77" s="28"/>
      <c r="F77" s="28"/>
      <c r="G77" s="28"/>
      <c r="H77" s="28"/>
      <c r="I77" s="28"/>
      <c r="J77" s="32"/>
      <c r="K77" s="30"/>
      <c r="L77" s="60"/>
    </row>
    <row r="78" spans="1:13" ht="20.100000000000001" customHeight="1" x14ac:dyDescent="0.3">
      <c r="A78" s="26"/>
      <c r="B78" s="28"/>
      <c r="C78" s="28"/>
      <c r="D78" s="28"/>
      <c r="E78" s="28"/>
      <c r="F78" s="28"/>
      <c r="G78" s="28"/>
      <c r="H78" s="28"/>
      <c r="I78" s="28"/>
      <c r="J78" s="32"/>
      <c r="K78" s="30"/>
      <c r="L78" s="60"/>
    </row>
    <row r="79" spans="1:13" ht="20.100000000000001" customHeight="1" x14ac:dyDescent="0.3">
      <c r="A79" s="26"/>
      <c r="B79" s="28"/>
      <c r="C79" s="28"/>
      <c r="D79" s="28"/>
      <c r="E79" s="28"/>
      <c r="F79" s="28"/>
      <c r="G79" s="28"/>
      <c r="H79" s="28"/>
      <c r="I79" s="28"/>
      <c r="J79" s="32"/>
      <c r="K79" s="30"/>
      <c r="L79" s="60"/>
    </row>
    <row r="80" spans="1:13" ht="20.100000000000001" customHeight="1" x14ac:dyDescent="0.3">
      <c r="A80" s="26"/>
      <c r="B80" s="28"/>
      <c r="C80" s="28"/>
      <c r="D80" s="28"/>
      <c r="E80" s="28"/>
      <c r="F80" s="28"/>
      <c r="G80" s="28"/>
      <c r="H80" s="28"/>
      <c r="I80" s="28"/>
      <c r="J80" s="32"/>
      <c r="K80" s="30"/>
      <c r="L80" s="60"/>
    </row>
    <row r="81" spans="1:13" ht="20.100000000000001" customHeight="1" x14ac:dyDescent="0.3">
      <c r="A81" s="26"/>
      <c r="B81" s="27"/>
      <c r="C81" s="27"/>
      <c r="D81" s="27"/>
      <c r="E81" s="27"/>
      <c r="F81" s="27"/>
      <c r="G81" s="50"/>
      <c r="H81" s="50"/>
      <c r="I81" s="50"/>
      <c r="J81" s="51"/>
      <c r="K81" s="33"/>
      <c r="L81" s="60"/>
      <c r="M81" s="59"/>
    </row>
    <row r="82" spans="1:13" ht="20.100000000000001" customHeight="1" x14ac:dyDescent="0.3">
      <c r="A82" s="26"/>
      <c r="B82" s="27"/>
      <c r="C82" s="27"/>
      <c r="D82" s="27"/>
      <c r="E82" s="27"/>
      <c r="F82" s="27"/>
      <c r="G82" s="50"/>
      <c r="H82" s="50"/>
      <c r="I82" s="50"/>
      <c r="J82" s="51"/>
      <c r="K82" s="33"/>
      <c r="L82" s="60"/>
    </row>
    <row r="83" spans="1:13" ht="20.100000000000001" customHeight="1" x14ac:dyDescent="0.3">
      <c r="A83" s="26"/>
      <c r="B83" s="27"/>
      <c r="C83" s="27"/>
      <c r="D83" s="27"/>
      <c r="E83" s="27"/>
      <c r="F83" s="27"/>
      <c r="G83" s="50"/>
      <c r="H83" s="50"/>
      <c r="I83" s="50"/>
      <c r="J83" s="51"/>
      <c r="K83" s="33"/>
      <c r="L83" s="60"/>
    </row>
    <row r="84" spans="1:13" ht="20.100000000000001" customHeight="1" x14ac:dyDescent="0.3">
      <c r="A84" s="26"/>
      <c r="B84" s="27"/>
      <c r="C84" s="27"/>
      <c r="D84" s="27"/>
      <c r="E84" s="27"/>
      <c r="F84" s="27"/>
      <c r="G84" s="50"/>
      <c r="H84" s="50"/>
      <c r="I84" s="50"/>
      <c r="J84" s="51"/>
      <c r="K84" s="33"/>
      <c r="L84" s="60"/>
    </row>
    <row r="85" spans="1:13" ht="20.100000000000001" customHeight="1" x14ac:dyDescent="0.3">
      <c r="A85" s="26"/>
      <c r="B85" s="28"/>
      <c r="C85" s="28"/>
      <c r="D85" s="28"/>
      <c r="E85" s="28"/>
      <c r="F85" s="28"/>
      <c r="G85" s="28"/>
      <c r="H85" s="28"/>
      <c r="I85" s="28"/>
      <c r="J85" s="32"/>
      <c r="K85" s="30"/>
      <c r="L85" s="60"/>
    </row>
    <row r="86" spans="1:13" ht="20.100000000000001" customHeight="1" x14ac:dyDescent="0.3">
      <c r="A86" s="26"/>
      <c r="B86" s="27"/>
      <c r="C86" s="27"/>
      <c r="D86" s="27"/>
      <c r="E86" s="27"/>
      <c r="F86" s="27"/>
      <c r="G86" s="50"/>
      <c r="H86" s="50"/>
      <c r="I86" s="50"/>
      <c r="J86" s="51"/>
      <c r="K86" s="41"/>
      <c r="L86" s="60"/>
    </row>
    <row r="87" spans="1:13" ht="20.100000000000001" customHeight="1" x14ac:dyDescent="0.3">
      <c r="A87" s="26"/>
      <c r="B87" s="27"/>
      <c r="C87" s="27"/>
      <c r="D87" s="27"/>
      <c r="E87" s="27"/>
      <c r="F87" s="27"/>
      <c r="G87" s="50"/>
      <c r="H87" s="50"/>
      <c r="I87" s="50"/>
      <c r="J87" s="51"/>
      <c r="K87" s="41"/>
      <c r="L87" s="60"/>
    </row>
    <row r="88" spans="1:13" ht="20.100000000000001" customHeight="1" x14ac:dyDescent="0.3">
      <c r="A88" s="26"/>
      <c r="B88" s="27"/>
      <c r="C88" s="27"/>
      <c r="D88" s="27"/>
      <c r="E88" s="27"/>
      <c r="F88" s="27"/>
      <c r="G88" s="50"/>
      <c r="H88" s="50"/>
      <c r="I88" s="50"/>
      <c r="J88" s="51"/>
      <c r="K88" s="41"/>
      <c r="L88" s="60"/>
    </row>
    <row r="89" spans="1:13" ht="20.100000000000001" customHeight="1" x14ac:dyDescent="0.3">
      <c r="A89" s="26"/>
      <c r="B89" s="27"/>
      <c r="C89" s="27"/>
      <c r="D89" s="27"/>
      <c r="E89" s="27"/>
      <c r="F89" s="27"/>
      <c r="G89" s="50"/>
      <c r="H89" s="50"/>
      <c r="I89" s="50"/>
      <c r="J89" s="51"/>
      <c r="K89" s="41"/>
      <c r="L89" s="60"/>
    </row>
    <row r="90" spans="1:13" ht="20.100000000000001" customHeight="1" x14ac:dyDescent="0.3">
      <c r="A90" s="26"/>
      <c r="B90" s="27"/>
      <c r="C90" s="27"/>
      <c r="D90" s="27"/>
      <c r="E90" s="27"/>
      <c r="F90" s="27"/>
      <c r="G90" s="50"/>
      <c r="H90" s="50"/>
      <c r="I90" s="50"/>
      <c r="J90" s="51"/>
      <c r="K90" s="41"/>
      <c r="L90" s="60"/>
    </row>
    <row r="91" spans="1:13" ht="20.100000000000001" customHeight="1" x14ac:dyDescent="0.3">
      <c r="A91" s="26"/>
      <c r="B91" s="27"/>
      <c r="C91" s="27"/>
      <c r="D91" s="27"/>
      <c r="E91" s="27"/>
      <c r="F91" s="27"/>
      <c r="G91" s="50"/>
      <c r="H91" s="50"/>
      <c r="I91" s="50"/>
      <c r="J91" s="51"/>
      <c r="K91" s="41"/>
      <c r="L91" s="60"/>
    </row>
    <row r="92" spans="1:13" ht="20.100000000000001" customHeight="1" x14ac:dyDescent="0.3">
      <c r="A92" s="26"/>
      <c r="B92" s="27"/>
      <c r="C92" s="27"/>
      <c r="D92" s="27"/>
      <c r="E92" s="27"/>
      <c r="F92" s="27"/>
      <c r="G92" s="50"/>
      <c r="H92" s="50"/>
      <c r="I92" s="50"/>
      <c r="J92" s="51"/>
      <c r="K92" s="41"/>
      <c r="L92" s="60"/>
    </row>
    <row r="93" spans="1:13" ht="20.100000000000001" customHeight="1" x14ac:dyDescent="0.3">
      <c r="A93" s="26"/>
      <c r="B93" s="27"/>
      <c r="C93" s="27"/>
      <c r="D93" s="27"/>
      <c r="E93" s="27"/>
      <c r="F93" s="27"/>
      <c r="G93" s="50"/>
      <c r="H93" s="50"/>
      <c r="I93" s="50"/>
      <c r="J93" s="51"/>
      <c r="K93" s="41"/>
      <c r="L93" s="60"/>
    </row>
    <row r="94" spans="1:13" ht="20.100000000000001" customHeight="1" x14ac:dyDescent="0.3">
      <c r="A94" s="26"/>
      <c r="B94" s="27"/>
      <c r="C94" s="27"/>
      <c r="D94" s="27"/>
      <c r="E94" s="27"/>
      <c r="F94" s="27"/>
      <c r="G94" s="50"/>
      <c r="H94" s="50"/>
      <c r="I94" s="50"/>
      <c r="J94" s="51"/>
      <c r="K94" s="41"/>
      <c r="L94" s="60"/>
    </row>
    <row r="95" spans="1:13" ht="20.100000000000001" customHeight="1" x14ac:dyDescent="0.3">
      <c r="A95" s="26"/>
      <c r="B95" s="27"/>
      <c r="C95" s="27"/>
      <c r="D95" s="27"/>
      <c r="E95" s="27"/>
      <c r="F95" s="27"/>
      <c r="G95" s="50"/>
      <c r="H95" s="50"/>
      <c r="I95" s="50"/>
      <c r="J95" s="51"/>
      <c r="K95" s="41"/>
      <c r="L95" s="60"/>
    </row>
    <row r="96" spans="1:13" ht="20.100000000000001" customHeight="1" x14ac:dyDescent="0.3">
      <c r="A96" s="26"/>
      <c r="B96" s="27"/>
      <c r="C96" s="27"/>
      <c r="D96" s="27"/>
      <c r="E96" s="27"/>
      <c r="F96" s="27"/>
      <c r="G96" s="50"/>
      <c r="H96" s="50"/>
      <c r="I96" s="50"/>
      <c r="J96" s="51"/>
      <c r="K96" s="41"/>
      <c r="L96" s="60"/>
    </row>
    <row r="97" spans="1:13" ht="20.100000000000001" customHeight="1" x14ac:dyDescent="0.3">
      <c r="A97" s="26"/>
      <c r="B97" s="28"/>
      <c r="C97" s="28"/>
      <c r="D97" s="28"/>
      <c r="E97" s="28"/>
      <c r="F97" s="28"/>
      <c r="G97" s="28"/>
      <c r="H97" s="28"/>
      <c r="I97" s="28"/>
      <c r="J97" s="32"/>
      <c r="K97" s="30"/>
      <c r="L97" s="60"/>
    </row>
    <row r="98" spans="1:13" ht="20.100000000000001" customHeight="1" x14ac:dyDescent="0.3">
      <c r="A98" s="26"/>
      <c r="B98" s="27"/>
      <c r="C98" s="27"/>
      <c r="D98" s="27"/>
      <c r="E98" s="27"/>
      <c r="F98" s="27"/>
      <c r="G98" s="50"/>
      <c r="H98" s="50"/>
      <c r="I98" s="50"/>
      <c r="J98" s="51"/>
      <c r="K98" s="41"/>
      <c r="L98" s="60"/>
    </row>
    <row r="99" spans="1:13" ht="20.100000000000001" customHeight="1" x14ac:dyDescent="0.3">
      <c r="A99" s="26"/>
      <c r="B99" s="28"/>
      <c r="C99" s="28"/>
      <c r="D99" s="28"/>
      <c r="E99" s="28"/>
      <c r="F99" s="28"/>
      <c r="G99" s="28"/>
      <c r="H99" s="28"/>
      <c r="I99" s="28"/>
      <c r="J99" s="32"/>
      <c r="K99" s="30"/>
      <c r="L99" s="60"/>
    </row>
    <row r="100" spans="1:13" ht="20.100000000000001" customHeight="1" x14ac:dyDescent="0.3">
      <c r="A100" s="26"/>
      <c r="B100" s="27"/>
      <c r="C100" s="27"/>
      <c r="D100" s="27"/>
      <c r="E100" s="27"/>
      <c r="F100" s="27"/>
      <c r="G100" s="50"/>
      <c r="H100" s="50"/>
      <c r="I100" s="50"/>
      <c r="J100" s="51"/>
      <c r="K100" s="41"/>
      <c r="L100" s="60"/>
    </row>
    <row r="101" spans="1:13" ht="20.100000000000001" customHeight="1" x14ac:dyDescent="0.3">
      <c r="A101" s="26"/>
      <c r="B101" s="27"/>
      <c r="C101" s="27"/>
      <c r="D101" s="27"/>
      <c r="E101" s="27"/>
      <c r="F101" s="27"/>
      <c r="G101" s="50"/>
      <c r="H101" s="50"/>
      <c r="I101" s="50"/>
      <c r="J101" s="51"/>
      <c r="K101" s="41"/>
      <c r="L101" s="60"/>
    </row>
    <row r="102" spans="1:13" ht="20.100000000000001" customHeight="1" x14ac:dyDescent="0.3">
      <c r="A102" s="26"/>
      <c r="B102" s="27"/>
      <c r="C102" s="27"/>
      <c r="D102" s="27"/>
      <c r="E102" s="27"/>
      <c r="F102" s="27"/>
      <c r="G102" s="50"/>
      <c r="H102" s="50"/>
      <c r="I102" s="50"/>
      <c r="J102" s="51"/>
      <c r="K102" s="41"/>
      <c r="L102" s="60"/>
    </row>
    <row r="103" spans="1:13" ht="20.100000000000001" customHeight="1" x14ac:dyDescent="0.3">
      <c r="A103" s="26"/>
      <c r="B103" s="28"/>
      <c r="C103" s="28"/>
      <c r="D103" s="28"/>
      <c r="E103" s="28"/>
      <c r="F103" s="28"/>
      <c r="G103" s="28"/>
      <c r="H103" s="28"/>
      <c r="I103" s="28"/>
      <c r="J103" s="32"/>
      <c r="K103" s="30"/>
      <c r="L103" s="60"/>
    </row>
    <row r="104" spans="1:13" ht="20.100000000000001" customHeight="1" x14ac:dyDescent="0.3">
      <c r="A104" s="26"/>
      <c r="B104" s="28"/>
      <c r="C104" s="28"/>
      <c r="D104" s="28"/>
      <c r="E104" s="28"/>
      <c r="F104" s="28"/>
      <c r="G104" s="28"/>
      <c r="H104" s="28"/>
      <c r="I104" s="28"/>
      <c r="J104" s="32"/>
      <c r="K104" s="30"/>
      <c r="L104" s="60"/>
    </row>
    <row r="105" spans="1:13" ht="20.100000000000001" customHeight="1" x14ac:dyDescent="0.3">
      <c r="A105" s="26"/>
      <c r="B105" s="28"/>
      <c r="C105" s="28"/>
      <c r="D105" s="28"/>
      <c r="E105" s="28"/>
      <c r="F105" s="28"/>
      <c r="G105" s="28"/>
      <c r="H105" s="28"/>
      <c r="I105" s="28"/>
      <c r="J105" s="32"/>
      <c r="K105" s="30"/>
      <c r="L105" s="60"/>
    </row>
    <row r="106" spans="1:13" ht="20.100000000000001" customHeight="1" x14ac:dyDescent="0.3">
      <c r="A106" s="26"/>
      <c r="B106" s="28"/>
      <c r="C106" s="28"/>
      <c r="D106" s="28"/>
      <c r="E106" s="28"/>
      <c r="F106" s="28"/>
      <c r="G106" s="28"/>
      <c r="H106" s="28"/>
      <c r="I106" s="28"/>
      <c r="J106" s="32"/>
      <c r="K106" s="30"/>
      <c r="L106" s="60"/>
      <c r="M106" s="59"/>
    </row>
    <row r="107" spans="1:13" ht="20.100000000000001" customHeight="1" x14ac:dyDescent="0.3">
      <c r="A107" s="26"/>
      <c r="B107" s="28"/>
      <c r="C107" s="28"/>
      <c r="D107" s="28"/>
      <c r="E107" s="28"/>
      <c r="F107" s="28"/>
      <c r="G107" s="28"/>
      <c r="H107" s="28"/>
      <c r="I107" s="28"/>
      <c r="J107" s="32"/>
      <c r="K107" s="30"/>
      <c r="L107" s="60"/>
    </row>
    <row r="108" spans="1:13" ht="20.100000000000001" customHeight="1" x14ac:dyDescent="0.3">
      <c r="A108" s="26"/>
      <c r="B108" s="28"/>
      <c r="C108" s="28"/>
      <c r="D108" s="28"/>
      <c r="E108" s="28"/>
      <c r="F108" s="28"/>
      <c r="G108" s="28"/>
      <c r="H108" s="28"/>
      <c r="I108" s="28"/>
      <c r="J108" s="32"/>
      <c r="K108" s="30"/>
      <c r="L108" s="60"/>
      <c r="M108" s="47"/>
    </row>
    <row r="109" spans="1:13" ht="20.100000000000001" customHeight="1" x14ac:dyDescent="0.3">
      <c r="A109" s="26"/>
      <c r="B109" s="28"/>
      <c r="C109" s="28"/>
      <c r="D109" s="28"/>
      <c r="E109" s="28"/>
      <c r="F109" s="28"/>
      <c r="G109" s="28"/>
      <c r="H109" s="28"/>
      <c r="I109" s="28"/>
      <c r="J109" s="32"/>
      <c r="K109" s="30"/>
      <c r="L109" s="60"/>
    </row>
    <row r="110" spans="1:13" ht="20.100000000000001" customHeight="1" x14ac:dyDescent="0.3">
      <c r="A110" s="26"/>
      <c r="B110" s="27"/>
      <c r="C110" s="27"/>
      <c r="D110" s="27"/>
      <c r="E110" s="27"/>
      <c r="F110" s="27"/>
      <c r="G110" s="50"/>
      <c r="H110" s="50"/>
      <c r="I110" s="50"/>
      <c r="J110" s="51"/>
      <c r="K110" s="41"/>
      <c r="L110" s="60"/>
    </row>
    <row r="111" spans="1:13" ht="20.100000000000001" customHeight="1" x14ac:dyDescent="0.3">
      <c r="A111" s="26"/>
      <c r="B111" s="27"/>
      <c r="C111" s="27"/>
      <c r="D111" s="27"/>
      <c r="E111" s="27"/>
      <c r="F111" s="27"/>
      <c r="G111" s="50"/>
      <c r="H111" s="50"/>
      <c r="I111" s="50"/>
      <c r="J111" s="51"/>
      <c r="K111" s="41"/>
      <c r="L111" s="60"/>
    </row>
    <row r="112" spans="1:13" ht="20.100000000000001" customHeight="1" x14ac:dyDescent="0.3">
      <c r="A112" s="26"/>
      <c r="B112" s="27"/>
      <c r="C112" s="27"/>
      <c r="D112" s="27"/>
      <c r="E112" s="27"/>
      <c r="F112" s="27"/>
      <c r="G112" s="50"/>
      <c r="H112" s="50"/>
      <c r="I112" s="50"/>
      <c r="J112" s="51"/>
      <c r="K112" s="41"/>
      <c r="L112" s="60"/>
    </row>
    <row r="113" spans="1:13" ht="20.100000000000001" customHeight="1" x14ac:dyDescent="0.3">
      <c r="A113" s="26"/>
      <c r="B113" s="27"/>
      <c r="C113" s="27"/>
      <c r="D113" s="27"/>
      <c r="E113" s="27"/>
      <c r="F113" s="27"/>
      <c r="G113" s="50"/>
      <c r="H113" s="50"/>
      <c r="I113" s="50"/>
      <c r="J113" s="51"/>
      <c r="K113" s="41"/>
      <c r="L113" s="60"/>
    </row>
    <row r="114" spans="1:13" ht="20.100000000000001" customHeight="1" x14ac:dyDescent="0.3">
      <c r="A114" s="26"/>
      <c r="B114" s="27"/>
      <c r="C114" s="27"/>
      <c r="D114" s="27"/>
      <c r="E114" s="27"/>
      <c r="F114" s="27"/>
      <c r="G114" s="50"/>
      <c r="H114" s="50"/>
      <c r="I114" s="50"/>
      <c r="J114" s="51"/>
      <c r="K114" s="41"/>
      <c r="L114" s="60"/>
    </row>
    <row r="115" spans="1:13" ht="20.100000000000001" customHeight="1" x14ac:dyDescent="0.3">
      <c r="A115" s="26"/>
      <c r="B115" s="27"/>
      <c r="C115" s="27"/>
      <c r="D115" s="27"/>
      <c r="E115" s="27"/>
      <c r="F115" s="27"/>
      <c r="G115" s="50"/>
      <c r="H115" s="50"/>
      <c r="I115" s="50"/>
      <c r="J115" s="51"/>
      <c r="K115" s="41"/>
      <c r="L115" s="60"/>
    </row>
    <row r="116" spans="1:13" ht="20.100000000000001" customHeight="1" x14ac:dyDescent="0.3">
      <c r="A116" s="26"/>
      <c r="B116" s="27"/>
      <c r="C116" s="27"/>
      <c r="D116" s="27"/>
      <c r="E116" s="27"/>
      <c r="F116" s="27"/>
      <c r="G116" s="50"/>
      <c r="H116" s="50"/>
      <c r="I116" s="50"/>
      <c r="J116" s="51"/>
      <c r="K116" s="41"/>
      <c r="L116" s="60"/>
    </row>
    <row r="117" spans="1:13" ht="20.100000000000001" customHeight="1" x14ac:dyDescent="0.3">
      <c r="A117" s="26"/>
      <c r="B117" s="28"/>
      <c r="C117" s="28"/>
      <c r="D117" s="28"/>
      <c r="E117" s="28"/>
      <c r="F117" s="28"/>
      <c r="G117" s="28"/>
      <c r="H117" s="28"/>
      <c r="I117" s="28"/>
      <c r="J117" s="32"/>
      <c r="K117" s="30"/>
      <c r="L117" s="60"/>
      <c r="M117" s="47"/>
    </row>
    <row r="118" spans="1:13" ht="20.100000000000001" customHeight="1" x14ac:dyDescent="0.3">
      <c r="A118" s="26"/>
      <c r="B118" s="28"/>
      <c r="C118" s="28"/>
      <c r="D118" s="28"/>
      <c r="E118" s="28"/>
      <c r="F118" s="28"/>
      <c r="G118" s="28"/>
      <c r="H118" s="28"/>
      <c r="I118" s="28"/>
      <c r="J118" s="32"/>
      <c r="K118" s="30"/>
      <c r="L118" s="60"/>
    </row>
    <row r="119" spans="1:13" ht="20.100000000000001" customHeight="1" x14ac:dyDescent="0.3">
      <c r="A119" s="26"/>
      <c r="B119" s="28"/>
      <c r="C119" s="28"/>
      <c r="D119" s="28"/>
      <c r="E119" s="28"/>
      <c r="F119" s="28"/>
      <c r="G119" s="28"/>
      <c r="H119" s="28"/>
      <c r="I119" s="28"/>
      <c r="J119" s="32"/>
      <c r="K119" s="30"/>
      <c r="L119" s="60"/>
      <c r="M119" s="35"/>
    </row>
    <row r="120" spans="1:13" ht="20.100000000000001" customHeight="1" x14ac:dyDescent="0.3">
      <c r="A120" s="26"/>
      <c r="B120" s="28"/>
      <c r="C120" s="28"/>
      <c r="D120" s="28"/>
      <c r="E120" s="28"/>
      <c r="F120" s="28"/>
      <c r="G120" s="28"/>
      <c r="H120" s="28"/>
      <c r="I120" s="28"/>
      <c r="J120" s="32"/>
      <c r="K120" s="30"/>
      <c r="L120" s="60"/>
      <c r="M120" s="61"/>
    </row>
    <row r="121" spans="1:13" ht="20.100000000000001" customHeight="1" x14ac:dyDescent="0.3">
      <c r="A121" s="26"/>
      <c r="B121" s="28"/>
      <c r="C121" s="28"/>
      <c r="D121" s="28"/>
      <c r="E121" s="28"/>
      <c r="F121" s="28"/>
      <c r="G121" s="28"/>
      <c r="H121" s="28"/>
      <c r="I121" s="28"/>
      <c r="J121" s="32"/>
      <c r="K121" s="30"/>
      <c r="L121" s="60"/>
      <c r="M121" s="36"/>
    </row>
    <row r="122" spans="1:13" ht="20.100000000000001" customHeight="1" x14ac:dyDescent="0.3">
      <c r="A122" s="26"/>
      <c r="B122" s="27"/>
      <c r="C122" s="27"/>
      <c r="D122" s="27"/>
      <c r="E122" s="27"/>
      <c r="F122" s="27"/>
      <c r="G122" s="50"/>
      <c r="H122" s="50"/>
      <c r="I122" s="50"/>
      <c r="J122" s="51"/>
      <c r="K122" s="62"/>
      <c r="L122" s="60"/>
    </row>
    <row r="123" spans="1:13" ht="20.100000000000001" customHeight="1" x14ac:dyDescent="0.3">
      <c r="A123" s="26"/>
      <c r="B123" s="28"/>
      <c r="C123" s="28"/>
      <c r="D123" s="28"/>
      <c r="E123" s="28"/>
      <c r="F123" s="28"/>
      <c r="G123" s="28"/>
      <c r="H123" s="28"/>
      <c r="I123" s="28"/>
      <c r="J123" s="32"/>
      <c r="K123" s="30"/>
      <c r="L123" s="60"/>
    </row>
    <row r="124" spans="1:13" ht="20.100000000000001" customHeight="1" x14ac:dyDescent="0.3">
      <c r="A124" s="26"/>
      <c r="B124" s="28"/>
      <c r="C124" s="28"/>
      <c r="D124" s="28"/>
      <c r="E124" s="28"/>
      <c r="F124" s="28"/>
      <c r="G124" s="28"/>
      <c r="H124" s="28"/>
      <c r="I124" s="28"/>
      <c r="J124" s="32"/>
      <c r="K124" s="30"/>
      <c r="L124" s="60"/>
    </row>
    <row r="125" spans="1:13" ht="20.100000000000001" customHeight="1" x14ac:dyDescent="0.3">
      <c r="A125" s="26"/>
      <c r="B125" s="28"/>
      <c r="C125" s="28"/>
      <c r="D125" s="28"/>
      <c r="E125" s="28"/>
      <c r="F125" s="28"/>
      <c r="G125" s="28"/>
      <c r="H125" s="28"/>
      <c r="I125" s="28"/>
      <c r="J125" s="32"/>
      <c r="K125" s="30"/>
      <c r="L125" s="60"/>
      <c r="M125" s="63"/>
    </row>
    <row r="126" spans="1:13" ht="20.100000000000001" customHeight="1" x14ac:dyDescent="0.3">
      <c r="A126" s="26"/>
      <c r="B126" s="28"/>
      <c r="C126" s="28"/>
      <c r="D126" s="28"/>
      <c r="E126" s="28"/>
      <c r="F126" s="28"/>
      <c r="G126" s="28"/>
      <c r="H126" s="28"/>
      <c r="I126" s="28"/>
      <c r="J126" s="32"/>
      <c r="K126" s="30"/>
      <c r="L126" s="60"/>
      <c r="M126" s="64"/>
    </row>
    <row r="127" spans="1:13" ht="20.100000000000001" customHeight="1" x14ac:dyDescent="0.3">
      <c r="A127" s="26"/>
      <c r="B127" s="28"/>
      <c r="C127" s="28"/>
      <c r="D127" s="28"/>
      <c r="E127" s="28"/>
      <c r="F127" s="28"/>
      <c r="G127" s="28"/>
      <c r="H127" s="28"/>
      <c r="I127" s="28"/>
      <c r="J127" s="32"/>
      <c r="K127" s="30"/>
      <c r="L127" s="60"/>
      <c r="M127" s="63"/>
    </row>
    <row r="128" spans="1:13" ht="20.100000000000001" customHeight="1" x14ac:dyDescent="0.3">
      <c r="A128" s="26"/>
      <c r="B128" s="28"/>
      <c r="C128" s="28"/>
      <c r="D128" s="28"/>
      <c r="E128" s="28"/>
      <c r="F128" s="28"/>
      <c r="G128" s="28"/>
      <c r="H128" s="28"/>
      <c r="I128" s="28"/>
      <c r="J128" s="32"/>
      <c r="K128" s="30"/>
      <c r="L128" s="60"/>
      <c r="M128" s="63"/>
    </row>
    <row r="129" spans="1:13" ht="20.100000000000001" customHeight="1" x14ac:dyDescent="0.3">
      <c r="A129" s="26"/>
      <c r="B129" s="28"/>
      <c r="C129" s="28"/>
      <c r="D129" s="28"/>
      <c r="E129" s="28"/>
      <c r="F129" s="28"/>
      <c r="G129" s="28"/>
      <c r="H129" s="28"/>
      <c r="I129" s="28"/>
      <c r="J129" s="32"/>
      <c r="K129" s="30"/>
      <c r="L129" s="60"/>
      <c r="M129" s="63"/>
    </row>
    <row r="130" spans="1:13" ht="20.100000000000001" customHeight="1" x14ac:dyDescent="0.3">
      <c r="A130" s="26"/>
      <c r="B130" s="28"/>
      <c r="C130" s="28"/>
      <c r="D130" s="28"/>
      <c r="E130" s="28"/>
      <c r="F130" s="28"/>
      <c r="G130" s="28"/>
      <c r="H130" s="28"/>
      <c r="I130" s="28"/>
      <c r="J130" s="32"/>
      <c r="K130" s="30"/>
      <c r="L130" s="60"/>
      <c r="M130" s="63"/>
    </row>
    <row r="131" spans="1:13" ht="20.100000000000001" customHeight="1" x14ac:dyDescent="0.3">
      <c r="A131" s="26"/>
      <c r="B131" s="28"/>
      <c r="C131" s="28"/>
      <c r="D131" s="28"/>
      <c r="E131" s="28"/>
      <c r="F131" s="28"/>
      <c r="G131" s="28"/>
      <c r="H131" s="28"/>
      <c r="I131" s="28"/>
      <c r="J131" s="32"/>
      <c r="K131" s="30"/>
      <c r="L131" s="60"/>
      <c r="M131" s="63"/>
    </row>
    <row r="132" spans="1:13" ht="20.100000000000001" customHeight="1" x14ac:dyDescent="0.3">
      <c r="A132" s="26"/>
      <c r="B132" s="28"/>
      <c r="C132" s="28"/>
      <c r="D132" s="28"/>
      <c r="E132" s="28"/>
      <c r="F132" s="28"/>
      <c r="G132" s="28"/>
      <c r="H132" s="28"/>
      <c r="I132" s="28"/>
      <c r="J132" s="32"/>
      <c r="K132" s="30"/>
      <c r="L132" s="60"/>
      <c r="M132" s="65"/>
    </row>
    <row r="133" spans="1:13" ht="20.100000000000001" customHeight="1" x14ac:dyDescent="0.3">
      <c r="A133" s="26"/>
      <c r="B133" s="28"/>
      <c r="C133" s="28"/>
      <c r="D133" s="28"/>
      <c r="E133" s="28"/>
      <c r="F133" s="28"/>
      <c r="G133" s="28"/>
      <c r="H133" s="28"/>
      <c r="I133" s="28"/>
      <c r="J133" s="32"/>
      <c r="K133" s="30"/>
      <c r="L133" s="60"/>
      <c r="M133" s="63"/>
    </row>
    <row r="134" spans="1:13" ht="20.100000000000001" customHeight="1" x14ac:dyDescent="0.3">
      <c r="A134" s="26"/>
      <c r="B134" s="28"/>
      <c r="C134" s="28"/>
      <c r="D134" s="28"/>
      <c r="E134" s="28"/>
      <c r="F134" s="28"/>
      <c r="G134" s="28"/>
      <c r="H134" s="28"/>
      <c r="I134" s="28"/>
      <c r="J134" s="32"/>
      <c r="K134" s="30"/>
      <c r="L134" s="60"/>
      <c r="M134" s="63"/>
    </row>
    <row r="135" spans="1:13" ht="20.100000000000001" customHeight="1" x14ac:dyDescent="0.3">
      <c r="A135" s="26"/>
      <c r="B135" s="28"/>
      <c r="C135" s="28"/>
      <c r="D135" s="28"/>
      <c r="E135" s="28"/>
      <c r="F135" s="28"/>
      <c r="G135" s="28"/>
      <c r="H135" s="28"/>
      <c r="I135" s="28"/>
      <c r="J135" s="32"/>
      <c r="K135" s="30"/>
      <c r="L135" s="60"/>
      <c r="M135" s="47"/>
    </row>
    <row r="136" spans="1:13" ht="20.100000000000001" customHeight="1" x14ac:dyDescent="0.3">
      <c r="A136" s="26"/>
      <c r="B136" s="27"/>
      <c r="C136" s="27"/>
      <c r="D136" s="27"/>
      <c r="E136" s="27"/>
      <c r="F136" s="27"/>
      <c r="G136" s="50"/>
      <c r="H136" s="50"/>
      <c r="I136" s="50"/>
      <c r="J136" s="51"/>
      <c r="K136" s="41"/>
      <c r="L136" s="60"/>
      <c r="M136" s="47"/>
    </row>
    <row r="137" spans="1:13" ht="20.100000000000001" customHeight="1" x14ac:dyDescent="0.3">
      <c r="A137" s="26"/>
      <c r="B137" s="27"/>
      <c r="C137" s="27"/>
      <c r="D137" s="27"/>
      <c r="E137" s="27"/>
      <c r="F137" s="27"/>
      <c r="G137" s="50"/>
      <c r="H137" s="50"/>
      <c r="I137" s="50"/>
      <c r="J137" s="51"/>
      <c r="K137" s="41"/>
      <c r="L137" s="60"/>
      <c r="M137" s="66"/>
    </row>
    <row r="138" spans="1:13" ht="20.100000000000001" customHeight="1" x14ac:dyDescent="0.3">
      <c r="A138" s="26"/>
      <c r="B138" s="28"/>
      <c r="C138" s="28"/>
      <c r="D138" s="28"/>
      <c r="E138" s="28"/>
      <c r="F138" s="28"/>
      <c r="G138" s="28"/>
      <c r="H138" s="28"/>
      <c r="I138" s="28"/>
      <c r="J138" s="32"/>
      <c r="K138" s="30"/>
      <c r="L138" s="60"/>
    </row>
    <row r="139" spans="1:13" ht="20.100000000000001" customHeight="1" x14ac:dyDescent="0.3">
      <c r="A139" s="26"/>
      <c r="B139" s="28"/>
      <c r="C139" s="28"/>
      <c r="D139" s="28"/>
      <c r="E139" s="28"/>
      <c r="F139" s="28"/>
      <c r="G139" s="28"/>
      <c r="H139" s="28"/>
      <c r="I139" s="28"/>
      <c r="J139" s="32"/>
      <c r="K139" s="30"/>
      <c r="L139" s="60"/>
    </row>
    <row r="140" spans="1:13" ht="20.100000000000001" customHeight="1" x14ac:dyDescent="0.3">
      <c r="A140" s="26"/>
      <c r="B140" s="28"/>
      <c r="C140" s="28"/>
      <c r="D140" s="28"/>
      <c r="E140" s="28"/>
      <c r="F140" s="28"/>
      <c r="G140" s="28"/>
      <c r="H140" s="28"/>
      <c r="I140" s="28"/>
      <c r="J140" s="32"/>
      <c r="K140" s="30"/>
      <c r="L140" s="60"/>
    </row>
    <row r="141" spans="1:13" ht="20.100000000000001" customHeight="1" x14ac:dyDescent="0.3">
      <c r="A141" s="26"/>
      <c r="B141" s="28"/>
      <c r="C141" s="28"/>
      <c r="D141" s="28"/>
      <c r="E141" s="28"/>
      <c r="F141" s="28"/>
      <c r="G141" s="28"/>
      <c r="H141" s="28"/>
      <c r="I141" s="28"/>
      <c r="J141" s="32"/>
      <c r="K141" s="30"/>
      <c r="L141" s="60"/>
      <c r="M141" s="59"/>
    </row>
    <row r="142" spans="1:13" ht="20.100000000000001" customHeight="1" x14ac:dyDescent="0.3">
      <c r="A142" s="26"/>
      <c r="B142" s="28"/>
      <c r="C142" s="28"/>
      <c r="D142" s="28"/>
      <c r="E142" s="28"/>
      <c r="F142" s="28"/>
      <c r="G142" s="28"/>
      <c r="H142" s="28"/>
      <c r="I142" s="28"/>
      <c r="J142" s="32"/>
      <c r="K142" s="30"/>
      <c r="L142" s="60"/>
      <c r="M142" s="59"/>
    </row>
    <row r="143" spans="1:13" ht="20.100000000000001" customHeight="1" x14ac:dyDescent="0.3">
      <c r="A143" s="26"/>
      <c r="B143" s="28"/>
      <c r="C143" s="28"/>
      <c r="D143" s="28"/>
      <c r="E143" s="28"/>
      <c r="F143" s="28"/>
      <c r="G143" s="28"/>
      <c r="H143" s="28"/>
      <c r="I143" s="28"/>
      <c r="J143" s="32"/>
      <c r="K143" s="30"/>
      <c r="L143" s="60"/>
      <c r="M143" s="59"/>
    </row>
    <row r="144" spans="1:13" ht="20.100000000000001" customHeight="1" x14ac:dyDescent="0.3">
      <c r="A144" s="26"/>
      <c r="B144" s="28"/>
      <c r="C144" s="28"/>
      <c r="D144" s="28"/>
      <c r="E144" s="28"/>
      <c r="F144" s="28"/>
      <c r="G144" s="28"/>
      <c r="H144" s="28"/>
      <c r="I144" s="28"/>
      <c r="J144" s="32"/>
      <c r="K144" s="30"/>
      <c r="L144" s="60"/>
      <c r="M144" s="61"/>
    </row>
    <row r="145" spans="1:13" ht="20.100000000000001" customHeight="1" x14ac:dyDescent="0.3">
      <c r="A145" s="26"/>
      <c r="B145" s="28"/>
      <c r="C145" s="28"/>
      <c r="D145" s="28"/>
      <c r="E145" s="28"/>
      <c r="F145" s="28"/>
      <c r="G145" s="28"/>
      <c r="H145" s="28"/>
      <c r="I145" s="28"/>
      <c r="J145" s="32"/>
      <c r="K145" s="30"/>
      <c r="L145" s="60"/>
      <c r="M145" s="61"/>
    </row>
    <row r="146" spans="1:13" ht="20.100000000000001" customHeight="1" x14ac:dyDescent="0.3">
      <c r="A146" s="26"/>
      <c r="B146" s="28"/>
      <c r="C146" s="28"/>
      <c r="D146" s="28"/>
      <c r="E146" s="28"/>
      <c r="F146" s="28"/>
      <c r="G146" s="28"/>
      <c r="H146" s="28"/>
      <c r="I146" s="28"/>
      <c r="J146" s="32"/>
      <c r="K146" s="30"/>
      <c r="L146" s="60"/>
      <c r="M146" s="61"/>
    </row>
    <row r="147" spans="1:13" ht="20.100000000000001" customHeight="1" x14ac:dyDescent="0.3">
      <c r="A147" s="26"/>
      <c r="B147" s="28"/>
      <c r="C147" s="28"/>
      <c r="D147" s="28"/>
      <c r="E147" s="28"/>
      <c r="F147" s="28"/>
      <c r="G147" s="28"/>
      <c r="H147" s="28"/>
      <c r="I147" s="28"/>
      <c r="J147" s="32"/>
      <c r="K147" s="30"/>
      <c r="L147" s="60"/>
      <c r="M147" s="61"/>
    </row>
    <row r="148" spans="1:13" ht="20.100000000000001" customHeight="1" x14ac:dyDescent="0.3">
      <c r="A148" s="26"/>
      <c r="B148" s="28"/>
      <c r="C148" s="28"/>
      <c r="D148" s="28"/>
      <c r="E148" s="28"/>
      <c r="F148" s="28"/>
      <c r="G148" s="28"/>
      <c r="H148" s="28"/>
      <c r="I148" s="28"/>
      <c r="J148" s="32"/>
      <c r="K148" s="30"/>
      <c r="L148" s="60"/>
      <c r="M148" s="61"/>
    </row>
    <row r="149" spans="1:13" ht="20.100000000000001" customHeight="1" x14ac:dyDescent="0.3">
      <c r="A149" s="26"/>
      <c r="B149" s="28"/>
      <c r="C149" s="28"/>
      <c r="D149" s="28"/>
      <c r="E149" s="28"/>
      <c r="F149" s="28"/>
      <c r="G149" s="28"/>
      <c r="H149" s="28"/>
      <c r="I149" s="28"/>
      <c r="J149" s="32"/>
      <c r="K149" s="30"/>
      <c r="L149" s="60"/>
      <c r="M149" s="61"/>
    </row>
    <row r="150" spans="1:13" ht="20.100000000000001" customHeight="1" x14ac:dyDescent="0.3">
      <c r="A150" s="26"/>
      <c r="B150" s="27"/>
      <c r="C150" s="27"/>
      <c r="D150" s="27"/>
      <c r="E150" s="27"/>
      <c r="F150" s="27"/>
      <c r="G150" s="50"/>
      <c r="H150" s="50"/>
      <c r="I150" s="50"/>
      <c r="J150" s="51"/>
      <c r="K150" s="41"/>
      <c r="L150" s="60"/>
      <c r="M150" s="47"/>
    </row>
    <row r="151" spans="1:13" ht="20.100000000000001" customHeight="1" x14ac:dyDescent="0.3">
      <c r="A151" s="26"/>
      <c r="B151" s="27"/>
      <c r="C151" s="27"/>
      <c r="D151" s="27"/>
      <c r="E151" s="27"/>
      <c r="F151" s="27"/>
      <c r="G151" s="50"/>
      <c r="H151" s="50"/>
      <c r="I151" s="50"/>
      <c r="J151" s="51"/>
      <c r="K151" s="41"/>
      <c r="L151" s="60"/>
      <c r="M151" s="47"/>
    </row>
    <row r="152" spans="1:13" ht="20.100000000000001" customHeight="1" x14ac:dyDescent="0.3">
      <c r="A152" s="26"/>
      <c r="B152" s="27"/>
      <c r="C152" s="27"/>
      <c r="D152" s="27"/>
      <c r="E152" s="27"/>
      <c r="F152" s="27"/>
      <c r="G152" s="50"/>
      <c r="H152" s="50"/>
      <c r="I152" s="50"/>
      <c r="J152" s="51"/>
      <c r="K152" s="41"/>
      <c r="L152" s="60"/>
      <c r="M152" s="47"/>
    </row>
    <row r="153" spans="1:13" ht="20.100000000000001" customHeight="1" x14ac:dyDescent="0.3">
      <c r="A153" s="26"/>
      <c r="B153" s="27"/>
      <c r="C153" s="27"/>
      <c r="D153" s="27"/>
      <c r="E153" s="27"/>
      <c r="F153" s="27"/>
      <c r="G153" s="50"/>
      <c r="H153" s="50"/>
      <c r="I153" s="50"/>
      <c r="J153" s="51"/>
      <c r="K153" s="41"/>
      <c r="L153" s="60"/>
    </row>
    <row r="154" spans="1:13" ht="20.100000000000001" customHeight="1" x14ac:dyDescent="0.3">
      <c r="A154" s="26"/>
      <c r="B154" s="28"/>
      <c r="C154" s="28"/>
      <c r="D154" s="28"/>
      <c r="E154" s="28"/>
      <c r="F154" s="28"/>
      <c r="G154" s="28"/>
      <c r="H154" s="28"/>
      <c r="I154" s="28"/>
      <c r="J154" s="32"/>
      <c r="K154" s="30"/>
      <c r="L154" s="60"/>
    </row>
    <row r="155" spans="1:13" ht="20.100000000000001" customHeight="1" x14ac:dyDescent="0.3">
      <c r="A155" s="26"/>
      <c r="B155" s="28"/>
      <c r="C155" s="28"/>
      <c r="D155" s="28"/>
      <c r="E155" s="28"/>
      <c r="F155" s="28"/>
      <c r="G155" s="28"/>
      <c r="H155" s="28"/>
      <c r="I155" s="28"/>
      <c r="J155" s="32"/>
      <c r="K155" s="30"/>
      <c r="L155" s="60"/>
    </row>
    <row r="156" spans="1:13" ht="20.100000000000001" customHeight="1" x14ac:dyDescent="0.3">
      <c r="A156" s="26"/>
      <c r="B156" s="28"/>
      <c r="C156" s="28"/>
      <c r="D156" s="28"/>
      <c r="E156" s="28"/>
      <c r="F156" s="28"/>
      <c r="G156" s="28"/>
      <c r="H156" s="28"/>
      <c r="I156" s="28"/>
      <c r="J156" s="32"/>
      <c r="K156" s="30"/>
      <c r="L156" s="60"/>
    </row>
    <row r="157" spans="1:13" ht="20.100000000000001" customHeight="1" x14ac:dyDescent="0.3">
      <c r="A157" s="26"/>
      <c r="B157" s="28"/>
      <c r="C157" s="28"/>
      <c r="D157" s="28"/>
      <c r="E157" s="28"/>
      <c r="F157" s="28"/>
      <c r="G157" s="28"/>
      <c r="H157" s="28"/>
      <c r="I157" s="28"/>
      <c r="J157" s="32"/>
      <c r="K157" s="30"/>
      <c r="L157" s="60"/>
      <c r="M157" s="59"/>
    </row>
    <row r="158" spans="1:13" ht="20.100000000000001" customHeight="1" x14ac:dyDescent="0.3">
      <c r="A158" s="26"/>
      <c r="B158" s="28"/>
      <c r="C158" s="28"/>
      <c r="D158" s="28"/>
      <c r="E158" s="28"/>
      <c r="F158" s="28"/>
      <c r="G158" s="28"/>
      <c r="H158" s="28"/>
      <c r="I158" s="28"/>
      <c r="J158" s="32"/>
      <c r="K158" s="30"/>
      <c r="L158" s="60"/>
      <c r="M158" s="61"/>
    </row>
    <row r="159" spans="1:13" ht="20.100000000000001" customHeight="1" x14ac:dyDescent="0.3">
      <c r="A159" s="26"/>
      <c r="B159" s="28"/>
      <c r="C159" s="28"/>
      <c r="D159" s="28"/>
      <c r="E159" s="28"/>
      <c r="F159" s="28"/>
      <c r="G159" s="28"/>
      <c r="H159" s="28"/>
      <c r="I159" s="28"/>
      <c r="J159" s="32"/>
      <c r="K159" s="30"/>
      <c r="L159" s="60"/>
      <c r="M159" s="61"/>
    </row>
    <row r="160" spans="1:13" ht="20.100000000000001" customHeight="1" x14ac:dyDescent="0.3">
      <c r="A160" s="26"/>
      <c r="B160" s="28"/>
      <c r="C160" s="28"/>
      <c r="D160" s="28"/>
      <c r="E160" s="28"/>
      <c r="F160" s="28"/>
      <c r="G160" s="28"/>
      <c r="H160" s="28"/>
      <c r="I160" s="28"/>
      <c r="J160" s="32"/>
      <c r="K160" s="30"/>
      <c r="L160" s="60"/>
      <c r="M160" s="61"/>
    </row>
    <row r="161" spans="1:13" ht="20.100000000000001" customHeight="1" x14ac:dyDescent="0.3">
      <c r="A161" s="26"/>
      <c r="B161" s="28"/>
      <c r="C161" s="28"/>
      <c r="D161" s="28"/>
      <c r="E161" s="28"/>
      <c r="F161" s="28"/>
      <c r="G161" s="28"/>
      <c r="H161" s="28"/>
      <c r="I161" s="28"/>
      <c r="J161" s="32"/>
      <c r="K161" s="30"/>
      <c r="L161" s="60"/>
      <c r="M161" s="61"/>
    </row>
    <row r="162" spans="1:13" ht="20.100000000000001" customHeight="1" x14ac:dyDescent="0.3">
      <c r="A162" s="26"/>
      <c r="B162" s="28"/>
      <c r="C162" s="28"/>
      <c r="D162" s="28"/>
      <c r="E162" s="28"/>
      <c r="F162" s="28"/>
      <c r="G162" s="28"/>
      <c r="H162" s="28"/>
      <c r="I162" s="28"/>
      <c r="J162" s="32"/>
      <c r="K162" s="30"/>
      <c r="L162" s="60"/>
      <c r="M162" s="61"/>
    </row>
    <row r="163" spans="1:13" ht="20.100000000000001" customHeight="1" x14ac:dyDescent="0.3">
      <c r="A163" s="26"/>
      <c r="B163" s="28"/>
      <c r="C163" s="28"/>
      <c r="D163" s="28"/>
      <c r="E163" s="28"/>
      <c r="F163" s="28"/>
      <c r="G163" s="28"/>
      <c r="H163" s="28"/>
      <c r="I163" s="28"/>
      <c r="J163" s="32"/>
      <c r="K163" s="30"/>
      <c r="L163" s="60"/>
      <c r="M163" s="61"/>
    </row>
    <row r="164" spans="1:13" ht="20.100000000000001" customHeight="1" x14ac:dyDescent="0.3">
      <c r="A164" s="26"/>
      <c r="B164" s="28"/>
      <c r="C164" s="28"/>
      <c r="D164" s="28"/>
      <c r="E164" s="28"/>
      <c r="F164" s="28"/>
      <c r="G164" s="28"/>
      <c r="H164" s="28"/>
      <c r="I164" s="28"/>
      <c r="J164" s="32"/>
      <c r="K164" s="30"/>
      <c r="L164" s="60"/>
      <c r="M164" s="61"/>
    </row>
    <row r="165" spans="1:13" ht="20.100000000000001" customHeight="1" x14ac:dyDescent="0.3">
      <c r="A165" s="26"/>
      <c r="B165" s="28"/>
      <c r="C165" s="28"/>
      <c r="D165" s="28"/>
      <c r="E165" s="28"/>
      <c r="F165" s="28"/>
      <c r="G165" s="28"/>
      <c r="H165" s="28"/>
      <c r="I165" s="28"/>
      <c r="J165" s="32"/>
      <c r="K165" s="30"/>
      <c r="L165" s="60"/>
      <c r="M165" s="61"/>
    </row>
    <row r="166" spans="1:13" ht="20.100000000000001" customHeight="1" x14ac:dyDescent="0.3">
      <c r="A166" s="26"/>
      <c r="B166" s="28"/>
      <c r="C166" s="28"/>
      <c r="D166" s="28"/>
      <c r="E166" s="28"/>
      <c r="F166" s="28"/>
      <c r="G166" s="28"/>
      <c r="H166" s="28"/>
      <c r="I166" s="28"/>
      <c r="J166" s="32"/>
      <c r="K166" s="30"/>
      <c r="L166" s="60"/>
      <c r="M166" s="61"/>
    </row>
    <row r="167" spans="1:13" ht="20.100000000000001" customHeight="1" x14ac:dyDescent="0.3">
      <c r="A167" s="26"/>
      <c r="B167" s="28"/>
      <c r="C167" s="28"/>
      <c r="D167" s="28"/>
      <c r="E167" s="28"/>
      <c r="F167" s="28"/>
      <c r="G167" s="28"/>
      <c r="H167" s="28"/>
      <c r="I167" s="28"/>
      <c r="J167" s="32"/>
      <c r="K167" s="30"/>
      <c r="L167" s="60"/>
      <c r="M167" s="61"/>
    </row>
    <row r="168" spans="1:13" ht="20.100000000000001" customHeight="1" x14ac:dyDescent="0.3">
      <c r="A168" s="26"/>
      <c r="B168" s="27"/>
      <c r="C168" s="27"/>
      <c r="D168" s="27"/>
      <c r="E168" s="27"/>
      <c r="F168" s="27"/>
      <c r="G168" s="50"/>
      <c r="H168" s="50"/>
      <c r="I168" s="50"/>
      <c r="J168" s="51"/>
      <c r="K168" s="41"/>
      <c r="L168" s="60"/>
      <c r="M168" s="47"/>
    </row>
    <row r="169" spans="1:13" ht="20.100000000000001" customHeight="1" x14ac:dyDescent="0.3">
      <c r="A169" s="26"/>
      <c r="B169" s="28"/>
      <c r="C169" s="28"/>
      <c r="D169" s="28"/>
      <c r="E169" s="28"/>
      <c r="F169" s="28"/>
      <c r="G169" s="28"/>
      <c r="H169" s="28"/>
      <c r="I169" s="28"/>
      <c r="J169" s="32"/>
      <c r="K169" s="30"/>
      <c r="L169" s="60"/>
    </row>
    <row r="170" spans="1:13" ht="20.100000000000001" customHeight="1" x14ac:dyDescent="0.3">
      <c r="A170" s="26"/>
      <c r="B170" s="28"/>
      <c r="C170" s="28"/>
      <c r="D170" s="28"/>
      <c r="E170" s="28"/>
      <c r="F170" s="28"/>
      <c r="G170" s="28"/>
      <c r="H170" s="28"/>
      <c r="I170" s="28"/>
      <c r="J170" s="32"/>
      <c r="K170" s="30"/>
      <c r="L170" s="60"/>
      <c r="M170" s="35"/>
    </row>
    <row r="171" spans="1:13" ht="20.100000000000001" customHeight="1" x14ac:dyDescent="0.3">
      <c r="A171" s="26"/>
      <c r="B171" s="28"/>
      <c r="C171" s="28"/>
      <c r="D171" s="28"/>
      <c r="E171" s="28"/>
      <c r="F171" s="28"/>
      <c r="G171" s="28"/>
      <c r="H171" s="28"/>
      <c r="I171" s="28"/>
      <c r="J171" s="32"/>
      <c r="K171" s="30"/>
      <c r="L171" s="60"/>
      <c r="M171" s="35"/>
    </row>
    <row r="172" spans="1:13" ht="20.100000000000001" customHeight="1" x14ac:dyDescent="0.3">
      <c r="A172" s="26"/>
      <c r="B172" s="28"/>
      <c r="C172" s="28"/>
      <c r="D172" s="28"/>
      <c r="E172" s="28"/>
      <c r="F172" s="28"/>
      <c r="G172" s="28"/>
      <c r="H172" s="28"/>
      <c r="I172" s="28"/>
      <c r="J172" s="32"/>
      <c r="K172" s="30"/>
      <c r="L172" s="60"/>
      <c r="M172" s="35"/>
    </row>
    <row r="173" spans="1:13" ht="20.100000000000001" customHeight="1" x14ac:dyDescent="0.3">
      <c r="A173" s="26"/>
      <c r="B173" s="28"/>
      <c r="C173" s="28"/>
      <c r="D173" s="28"/>
      <c r="E173" s="28"/>
      <c r="F173" s="28"/>
      <c r="G173" s="28"/>
      <c r="H173" s="28"/>
      <c r="I173" s="28"/>
      <c r="J173" s="32"/>
      <c r="K173" s="30"/>
      <c r="L173" s="60"/>
      <c r="M173" s="35"/>
    </row>
    <row r="174" spans="1:13" ht="20.100000000000001" customHeight="1" x14ac:dyDescent="0.3">
      <c r="A174" s="26"/>
      <c r="B174" s="28"/>
      <c r="C174" s="28"/>
      <c r="D174" s="28"/>
      <c r="E174" s="28"/>
      <c r="F174" s="28"/>
      <c r="G174" s="28"/>
      <c r="H174" s="28"/>
      <c r="I174" s="28"/>
      <c r="J174" s="32"/>
      <c r="K174" s="30"/>
      <c r="L174" s="60"/>
      <c r="M174" s="36"/>
    </row>
    <row r="175" spans="1:13" ht="20.100000000000001" customHeight="1" x14ac:dyDescent="0.3">
      <c r="A175" s="26"/>
      <c r="B175" s="28"/>
      <c r="C175" s="28"/>
      <c r="D175" s="28"/>
      <c r="E175" s="28"/>
      <c r="F175" s="28"/>
      <c r="G175" s="28"/>
      <c r="H175" s="28"/>
      <c r="I175" s="28"/>
      <c r="J175" s="32"/>
      <c r="K175" s="30"/>
      <c r="L175" s="60"/>
      <c r="M175" s="36"/>
    </row>
    <row r="176" spans="1:13" ht="20.100000000000001" customHeight="1" x14ac:dyDescent="0.3">
      <c r="A176" s="26"/>
      <c r="B176" s="28"/>
      <c r="C176" s="28"/>
      <c r="D176" s="28"/>
      <c r="E176" s="28"/>
      <c r="F176" s="28"/>
      <c r="G176" s="28"/>
      <c r="H176" s="28"/>
      <c r="I176" s="28"/>
      <c r="J176" s="32"/>
      <c r="K176" s="30"/>
      <c r="L176" s="60"/>
      <c r="M176" s="36"/>
    </row>
    <row r="177" spans="1:13" ht="20.100000000000001" customHeight="1" x14ac:dyDescent="0.3">
      <c r="A177" s="26"/>
      <c r="B177" s="28"/>
      <c r="C177" s="28"/>
      <c r="D177" s="28"/>
      <c r="E177" s="28"/>
      <c r="F177" s="28"/>
      <c r="G177" s="28"/>
      <c r="H177" s="28"/>
      <c r="I177" s="28"/>
      <c r="J177" s="32"/>
      <c r="K177" s="30"/>
      <c r="L177" s="60"/>
      <c r="M177" s="61"/>
    </row>
    <row r="178" spans="1:13" ht="20.100000000000001" customHeight="1" x14ac:dyDescent="0.3">
      <c r="A178" s="26"/>
      <c r="B178" s="28"/>
      <c r="C178" s="28"/>
      <c r="D178" s="28"/>
      <c r="E178" s="28"/>
      <c r="F178" s="28"/>
      <c r="G178" s="28"/>
      <c r="H178" s="28"/>
      <c r="I178" s="28"/>
      <c r="J178" s="32"/>
      <c r="K178" s="30"/>
      <c r="L178" s="60"/>
      <c r="M178" s="36"/>
    </row>
    <row r="179" spans="1:13" ht="20.100000000000001" customHeight="1" x14ac:dyDescent="0.3">
      <c r="A179" s="26"/>
      <c r="B179" s="28"/>
      <c r="C179" s="28"/>
      <c r="D179" s="28"/>
      <c r="E179" s="28"/>
      <c r="F179" s="28"/>
      <c r="G179" s="28"/>
      <c r="H179" s="28"/>
      <c r="I179" s="28"/>
      <c r="J179" s="32"/>
      <c r="K179" s="30"/>
      <c r="L179" s="60"/>
      <c r="M179" s="36"/>
    </row>
    <row r="180" spans="1:13" ht="20.100000000000001" customHeight="1" x14ac:dyDescent="0.3">
      <c r="A180" s="26"/>
      <c r="B180" s="28"/>
      <c r="C180" s="28"/>
      <c r="D180" s="28"/>
      <c r="E180" s="28"/>
      <c r="F180" s="28"/>
      <c r="G180" s="28"/>
      <c r="H180" s="28"/>
      <c r="I180" s="28"/>
      <c r="J180" s="32"/>
      <c r="K180" s="30"/>
      <c r="L180" s="60"/>
      <c r="M180" s="36"/>
    </row>
    <row r="181" spans="1:13" ht="20.100000000000001" customHeight="1" x14ac:dyDescent="0.3">
      <c r="A181" s="26"/>
      <c r="B181" s="27"/>
      <c r="C181" s="27"/>
      <c r="D181" s="27"/>
      <c r="E181" s="27"/>
      <c r="F181" s="27"/>
      <c r="G181" s="50"/>
      <c r="H181" s="50"/>
      <c r="I181" s="50"/>
      <c r="J181" s="51"/>
      <c r="K181" s="41"/>
      <c r="L181" s="60"/>
      <c r="M181" s="47"/>
    </row>
    <row r="182" spans="1:13" ht="20.100000000000001" customHeight="1" x14ac:dyDescent="0.3">
      <c r="A182" s="26"/>
      <c r="B182" s="27"/>
      <c r="C182" s="27"/>
      <c r="D182" s="27"/>
      <c r="E182" s="27"/>
      <c r="F182" s="27"/>
      <c r="G182" s="50"/>
      <c r="H182" s="50"/>
      <c r="I182" s="50"/>
      <c r="J182" s="51"/>
      <c r="K182" s="41"/>
      <c r="L182" s="60"/>
      <c r="M182" s="47"/>
    </row>
    <row r="183" spans="1:13" ht="20.100000000000001" customHeight="1" x14ac:dyDescent="0.3">
      <c r="A183" s="26"/>
      <c r="B183" s="28"/>
      <c r="C183" s="28"/>
      <c r="D183" s="28"/>
      <c r="E183" s="28"/>
      <c r="F183" s="28"/>
      <c r="G183" s="28"/>
      <c r="H183" s="28"/>
      <c r="I183" s="28"/>
      <c r="J183" s="32"/>
      <c r="K183" s="30"/>
      <c r="L183" s="60"/>
      <c r="M183" s="36"/>
    </row>
    <row r="184" spans="1:13" ht="20.100000000000001" customHeight="1" x14ac:dyDescent="0.3">
      <c r="A184" s="26"/>
      <c r="B184" s="27"/>
      <c r="C184" s="27"/>
      <c r="D184" s="27"/>
      <c r="E184" s="27"/>
      <c r="F184" s="27"/>
      <c r="G184" s="50"/>
      <c r="H184" s="50"/>
      <c r="I184" s="50"/>
      <c r="J184" s="51"/>
      <c r="K184" s="41"/>
      <c r="L184" s="60"/>
      <c r="M184" s="47"/>
    </row>
    <row r="185" spans="1:13" ht="20.100000000000001" customHeight="1" x14ac:dyDescent="0.3">
      <c r="A185" s="26"/>
      <c r="B185" s="27"/>
      <c r="C185" s="27"/>
      <c r="D185" s="27"/>
      <c r="E185" s="27"/>
      <c r="F185" s="27"/>
      <c r="G185" s="50"/>
      <c r="H185" s="50"/>
      <c r="I185" s="50"/>
      <c r="J185" s="51"/>
      <c r="K185" s="41"/>
      <c r="L185" s="60"/>
      <c r="M185" s="47"/>
    </row>
    <row r="186" spans="1:13" ht="20.100000000000001" customHeight="1" x14ac:dyDescent="0.3">
      <c r="A186" s="26"/>
      <c r="B186" s="28"/>
      <c r="C186" s="28"/>
      <c r="D186" s="28"/>
      <c r="E186" s="28"/>
      <c r="F186" s="28"/>
      <c r="G186" s="28"/>
      <c r="H186" s="28"/>
      <c r="I186" s="28"/>
      <c r="J186" s="32"/>
      <c r="K186" s="30"/>
      <c r="L186" s="60"/>
      <c r="M186" s="36"/>
    </row>
    <row r="187" spans="1:13" ht="20.100000000000001" customHeight="1" x14ac:dyDescent="0.3">
      <c r="A187" s="26"/>
      <c r="B187" s="28"/>
      <c r="C187" s="28"/>
      <c r="D187" s="28"/>
      <c r="E187" s="28"/>
      <c r="F187" s="28"/>
      <c r="G187" s="28"/>
      <c r="H187" s="28"/>
      <c r="I187" s="28"/>
      <c r="J187" s="32"/>
      <c r="K187" s="30"/>
      <c r="L187" s="60"/>
      <c r="M187" s="47"/>
    </row>
    <row r="188" spans="1:13" ht="20.100000000000001" customHeight="1" x14ac:dyDescent="0.3">
      <c r="A188" s="26"/>
      <c r="B188" s="28"/>
      <c r="C188" s="28"/>
      <c r="D188" s="28"/>
      <c r="E188" s="28"/>
      <c r="F188" s="28"/>
      <c r="G188" s="28"/>
      <c r="H188" s="28"/>
      <c r="I188" s="28"/>
      <c r="J188" s="32"/>
      <c r="K188" s="30"/>
      <c r="L188" s="60"/>
    </row>
    <row r="189" spans="1:13" ht="20.100000000000001" customHeight="1" x14ac:dyDescent="0.3">
      <c r="A189" s="26"/>
      <c r="B189" s="28"/>
      <c r="C189" s="28"/>
      <c r="D189" s="28"/>
      <c r="E189" s="28"/>
      <c r="F189" s="28"/>
      <c r="G189" s="28"/>
      <c r="H189" s="28"/>
      <c r="I189" s="28"/>
      <c r="J189" s="32"/>
      <c r="K189" s="30"/>
      <c r="L189" s="60"/>
    </row>
    <row r="190" spans="1:13" ht="20.100000000000001" customHeight="1" x14ac:dyDescent="0.3">
      <c r="A190" s="26"/>
      <c r="B190" s="28"/>
      <c r="C190" s="28"/>
      <c r="D190" s="28"/>
      <c r="E190" s="28"/>
      <c r="F190" s="28"/>
      <c r="G190" s="28"/>
      <c r="H190" s="28"/>
      <c r="I190" s="28"/>
      <c r="J190" s="32"/>
      <c r="K190" s="30"/>
      <c r="L190" s="60"/>
    </row>
    <row r="191" spans="1:13" ht="20.100000000000001" customHeight="1" x14ac:dyDescent="0.3">
      <c r="A191" s="26"/>
      <c r="B191" s="28"/>
      <c r="C191" s="28"/>
      <c r="D191" s="28"/>
      <c r="E191" s="28"/>
      <c r="F191" s="28"/>
      <c r="G191" s="28"/>
      <c r="H191" s="28"/>
      <c r="I191" s="28"/>
      <c r="J191" s="32"/>
      <c r="K191" s="30"/>
      <c r="L191" s="60"/>
    </row>
    <row r="192" spans="1:13" ht="20.100000000000001" customHeight="1" x14ac:dyDescent="0.3">
      <c r="A192" s="26"/>
      <c r="B192" s="28"/>
      <c r="C192" s="28"/>
      <c r="D192" s="28"/>
      <c r="E192" s="28"/>
      <c r="F192" s="28"/>
      <c r="G192" s="28"/>
      <c r="H192" s="28"/>
      <c r="I192" s="28"/>
      <c r="J192" s="32"/>
      <c r="K192" s="30"/>
      <c r="L192" s="60"/>
    </row>
    <row r="193" spans="1:13" ht="20.100000000000001" customHeight="1" x14ac:dyDescent="0.3">
      <c r="A193" s="26"/>
      <c r="B193" s="28"/>
      <c r="C193" s="28"/>
      <c r="D193" s="28"/>
      <c r="E193" s="28"/>
      <c r="F193" s="28"/>
      <c r="G193" s="28"/>
      <c r="H193" s="28"/>
      <c r="I193" s="28"/>
      <c r="J193" s="32"/>
      <c r="K193" s="30"/>
      <c r="L193" s="60"/>
      <c r="M193" s="59"/>
    </row>
    <row r="194" spans="1:13" ht="20.100000000000001" customHeight="1" x14ac:dyDescent="0.3">
      <c r="A194" s="26"/>
      <c r="B194" s="28"/>
      <c r="C194" s="28"/>
      <c r="D194" s="28"/>
      <c r="E194" s="28"/>
      <c r="F194" s="28"/>
      <c r="G194" s="28"/>
      <c r="H194" s="28"/>
      <c r="I194" s="28"/>
      <c r="J194" s="32"/>
      <c r="K194" s="30"/>
      <c r="L194" s="60"/>
    </row>
    <row r="195" spans="1:13" ht="20.100000000000001" customHeight="1" x14ac:dyDescent="0.3">
      <c r="A195" s="26"/>
      <c r="B195" s="28"/>
      <c r="C195" s="28"/>
      <c r="D195" s="28"/>
      <c r="E195" s="28"/>
      <c r="F195" s="28"/>
      <c r="G195" s="28"/>
      <c r="H195" s="28"/>
      <c r="I195" s="28"/>
      <c r="J195" s="32"/>
      <c r="K195" s="30"/>
      <c r="L195" s="60"/>
    </row>
    <row r="196" spans="1:13" ht="20.100000000000001" customHeight="1" x14ac:dyDescent="0.3">
      <c r="A196" s="26"/>
      <c r="B196" s="28"/>
      <c r="C196" s="28"/>
      <c r="D196" s="28"/>
      <c r="E196" s="28"/>
      <c r="F196" s="28"/>
      <c r="G196" s="28"/>
      <c r="H196" s="28"/>
      <c r="I196" s="28"/>
      <c r="J196" s="32"/>
      <c r="K196" s="30"/>
      <c r="L196" s="60"/>
    </row>
    <row r="197" spans="1:13" ht="20.100000000000001" customHeight="1" x14ac:dyDescent="0.3">
      <c r="A197" s="26"/>
      <c r="B197" s="28"/>
      <c r="C197" s="28"/>
      <c r="D197" s="28"/>
      <c r="E197" s="28"/>
      <c r="F197" s="28"/>
      <c r="G197" s="28"/>
      <c r="H197" s="28"/>
      <c r="I197" s="28"/>
      <c r="J197" s="32"/>
      <c r="K197" s="30"/>
      <c r="L197" s="60"/>
    </row>
    <row r="198" spans="1:13" ht="20.100000000000001" customHeight="1" x14ac:dyDescent="0.3">
      <c r="A198" s="26"/>
      <c r="B198" s="27"/>
      <c r="C198" s="27"/>
      <c r="D198" s="27"/>
      <c r="E198" s="27"/>
      <c r="F198" s="27"/>
      <c r="G198" s="50"/>
      <c r="H198" s="50"/>
      <c r="I198" s="50"/>
      <c r="J198" s="51"/>
      <c r="K198" s="41"/>
      <c r="L198" s="60"/>
    </row>
    <row r="199" spans="1:13" ht="20.100000000000001" customHeight="1" x14ac:dyDescent="0.3">
      <c r="A199" s="26"/>
      <c r="B199" s="27"/>
      <c r="C199" s="27"/>
      <c r="D199" s="27"/>
      <c r="E199" s="27"/>
      <c r="F199" s="27"/>
      <c r="G199" s="50"/>
      <c r="H199" s="50"/>
      <c r="I199" s="50"/>
      <c r="J199" s="51"/>
      <c r="K199" s="41"/>
      <c r="L199" s="60"/>
    </row>
    <row r="200" spans="1:13" ht="20.100000000000001" customHeight="1" x14ac:dyDescent="0.3">
      <c r="A200" s="26"/>
      <c r="B200" s="28"/>
      <c r="C200" s="28"/>
      <c r="D200" s="28"/>
      <c r="E200" s="28"/>
      <c r="F200" s="28"/>
      <c r="G200" s="28"/>
      <c r="H200" s="28"/>
      <c r="I200" s="28"/>
      <c r="J200" s="32"/>
      <c r="K200" s="30"/>
      <c r="L200" s="60"/>
    </row>
    <row r="201" spans="1:13" ht="20.100000000000001" customHeight="1" x14ac:dyDescent="0.3">
      <c r="A201" s="26"/>
      <c r="B201" s="28"/>
      <c r="C201" s="28"/>
      <c r="D201" s="28"/>
      <c r="E201" s="28"/>
      <c r="F201" s="28"/>
      <c r="G201" s="28"/>
      <c r="H201" s="28"/>
      <c r="I201" s="28"/>
      <c r="J201" s="32"/>
      <c r="K201" s="30"/>
      <c r="L201" s="60"/>
    </row>
    <row r="202" spans="1:13" ht="20.100000000000001" customHeight="1" x14ac:dyDescent="0.3">
      <c r="A202" s="26"/>
      <c r="B202" s="28"/>
      <c r="C202" s="28"/>
      <c r="D202" s="28"/>
      <c r="E202" s="28"/>
      <c r="F202" s="28"/>
      <c r="G202" s="28"/>
      <c r="H202" s="28"/>
      <c r="I202" s="28"/>
      <c r="J202" s="32"/>
      <c r="K202" s="30"/>
      <c r="L202" s="60"/>
    </row>
    <row r="203" spans="1:13" ht="20.100000000000001" customHeight="1" x14ac:dyDescent="0.3">
      <c r="A203" s="26"/>
      <c r="B203" s="28"/>
      <c r="C203" s="28"/>
      <c r="D203" s="28"/>
      <c r="E203" s="28"/>
      <c r="F203" s="28"/>
      <c r="G203" s="28"/>
      <c r="H203" s="28"/>
      <c r="I203" s="28"/>
      <c r="J203" s="32"/>
      <c r="K203" s="30"/>
      <c r="L203" s="60"/>
    </row>
    <row r="204" spans="1:13" ht="20.100000000000001" customHeight="1" x14ac:dyDescent="0.3">
      <c r="A204" s="26"/>
      <c r="B204" s="28"/>
      <c r="C204" s="28"/>
      <c r="D204" s="28"/>
      <c r="E204" s="28"/>
      <c r="F204" s="28"/>
      <c r="G204" s="28"/>
      <c r="H204" s="28"/>
      <c r="I204" s="28"/>
      <c r="J204" s="32"/>
      <c r="K204" s="30"/>
      <c r="L204" s="60"/>
    </row>
    <row r="205" spans="1:13" ht="20.100000000000001" customHeight="1" x14ac:dyDescent="0.3">
      <c r="A205" s="26"/>
      <c r="B205" s="28"/>
      <c r="C205" s="28"/>
      <c r="D205" s="28"/>
      <c r="E205" s="28"/>
      <c r="F205" s="28"/>
      <c r="G205" s="28"/>
      <c r="H205" s="28"/>
      <c r="I205" s="28"/>
      <c r="J205" s="32"/>
      <c r="K205" s="30"/>
      <c r="L205" s="60"/>
    </row>
    <row r="206" spans="1:13" ht="20.100000000000001" customHeight="1" x14ac:dyDescent="0.3">
      <c r="A206" s="26"/>
      <c r="B206" s="28"/>
      <c r="C206" s="28"/>
      <c r="D206" s="28"/>
      <c r="E206" s="28"/>
      <c r="F206" s="28"/>
      <c r="G206" s="28"/>
      <c r="H206" s="28"/>
      <c r="I206" s="28"/>
      <c r="J206" s="32"/>
      <c r="K206" s="30"/>
      <c r="L206" s="60"/>
      <c r="M206" s="47"/>
    </row>
    <row r="207" spans="1:13" ht="20.100000000000001" customHeight="1" x14ac:dyDescent="0.3">
      <c r="A207" s="26"/>
      <c r="B207" s="28"/>
      <c r="C207" s="28"/>
      <c r="D207" s="28"/>
      <c r="E207" s="28"/>
      <c r="F207" s="28"/>
      <c r="G207" s="28"/>
      <c r="H207" s="28"/>
      <c r="I207" s="28"/>
      <c r="J207" s="32"/>
      <c r="K207" s="30"/>
      <c r="L207" s="60"/>
    </row>
    <row r="208" spans="1:13" ht="20.100000000000001" customHeight="1" x14ac:dyDescent="0.3">
      <c r="A208" s="26"/>
      <c r="B208" s="28"/>
      <c r="C208" s="28"/>
      <c r="D208" s="28"/>
      <c r="E208" s="28"/>
      <c r="F208" s="28"/>
      <c r="G208" s="28"/>
      <c r="H208" s="28"/>
      <c r="I208" s="28"/>
      <c r="J208" s="32"/>
      <c r="K208" s="30"/>
      <c r="L208" s="60"/>
    </row>
    <row r="209" spans="1:13" ht="20.100000000000001" customHeight="1" x14ac:dyDescent="0.3">
      <c r="A209" s="26"/>
      <c r="B209" s="28"/>
      <c r="C209" s="28"/>
      <c r="D209" s="28"/>
      <c r="E209" s="28"/>
      <c r="F209" s="28"/>
      <c r="G209" s="28"/>
      <c r="H209" s="28"/>
      <c r="I209" s="28"/>
      <c r="J209" s="32"/>
      <c r="K209" s="30"/>
      <c r="L209" s="60"/>
    </row>
    <row r="210" spans="1:13" ht="20.100000000000001" customHeight="1" x14ac:dyDescent="0.3">
      <c r="A210" s="26"/>
      <c r="B210" s="28"/>
      <c r="C210" s="28"/>
      <c r="D210" s="28"/>
      <c r="E210" s="28"/>
      <c r="F210" s="28"/>
      <c r="G210" s="28"/>
      <c r="H210" s="28"/>
      <c r="I210" s="28"/>
      <c r="J210" s="32"/>
      <c r="K210" s="30"/>
      <c r="L210" s="60"/>
    </row>
    <row r="211" spans="1:13" ht="20.100000000000001" customHeight="1" x14ac:dyDescent="0.3">
      <c r="A211" s="26"/>
      <c r="B211" s="28"/>
      <c r="C211" s="28"/>
      <c r="D211" s="28"/>
      <c r="E211" s="28"/>
      <c r="F211" s="28"/>
      <c r="G211" s="28"/>
      <c r="H211" s="28"/>
      <c r="I211" s="28"/>
      <c r="J211" s="32"/>
      <c r="K211" s="30"/>
      <c r="L211" s="60"/>
      <c r="M211" s="59"/>
    </row>
    <row r="212" spans="1:13" ht="20.100000000000001" customHeight="1" x14ac:dyDescent="0.3">
      <c r="A212" s="26"/>
      <c r="B212" s="28"/>
      <c r="C212" s="28"/>
      <c r="D212" s="28"/>
      <c r="E212" s="28"/>
      <c r="F212" s="28"/>
      <c r="G212" s="28"/>
      <c r="H212" s="28"/>
      <c r="I212" s="28"/>
      <c r="J212" s="32"/>
      <c r="K212" s="30"/>
      <c r="L212" s="60"/>
    </row>
    <row r="213" spans="1:13" ht="20.100000000000001" customHeight="1" x14ac:dyDescent="0.3">
      <c r="A213" s="26"/>
      <c r="B213" s="27"/>
      <c r="C213" s="27"/>
      <c r="D213" s="27"/>
      <c r="E213" s="27"/>
      <c r="F213" s="27"/>
      <c r="G213" s="50"/>
      <c r="H213" s="50"/>
      <c r="I213" s="50"/>
      <c r="J213" s="51"/>
      <c r="K213" s="41"/>
      <c r="L213" s="60"/>
    </row>
    <row r="214" spans="1:13" ht="20.100000000000001" customHeight="1" x14ac:dyDescent="0.3">
      <c r="A214" s="26"/>
      <c r="B214" s="28"/>
      <c r="C214" s="28"/>
      <c r="D214" s="28"/>
      <c r="E214" s="28"/>
      <c r="F214" s="28"/>
      <c r="G214" s="28"/>
      <c r="H214" s="28"/>
      <c r="I214" s="28"/>
      <c r="J214" s="32"/>
      <c r="K214" s="30"/>
      <c r="L214" s="60"/>
    </row>
    <row r="215" spans="1:13" ht="20.100000000000001" customHeight="1" x14ac:dyDescent="0.3">
      <c r="A215" s="26"/>
      <c r="B215" s="27"/>
      <c r="C215" s="27"/>
      <c r="D215" s="27"/>
      <c r="E215" s="27"/>
      <c r="F215" s="27"/>
      <c r="G215" s="50"/>
      <c r="H215" s="50"/>
      <c r="I215" s="50"/>
      <c r="J215" s="51"/>
      <c r="K215" s="41"/>
      <c r="L215" s="60"/>
    </row>
    <row r="216" spans="1:13" ht="20.100000000000001" customHeight="1" x14ac:dyDescent="0.3">
      <c r="A216" s="26"/>
      <c r="B216" s="27"/>
      <c r="C216" s="27"/>
      <c r="D216" s="27"/>
      <c r="E216" s="27"/>
      <c r="F216" s="27"/>
      <c r="G216" s="50"/>
      <c r="H216" s="50"/>
      <c r="I216" s="50"/>
      <c r="J216" s="51"/>
      <c r="K216" s="41"/>
      <c r="L216" s="60"/>
    </row>
    <row r="217" spans="1:13" ht="20.100000000000001" customHeight="1" x14ac:dyDescent="0.3">
      <c r="A217" s="26"/>
      <c r="B217" s="28"/>
      <c r="C217" s="28"/>
      <c r="D217" s="28"/>
      <c r="E217" s="28"/>
      <c r="F217" s="28"/>
      <c r="G217" s="28"/>
      <c r="H217" s="28"/>
      <c r="I217" s="28"/>
      <c r="J217" s="32"/>
      <c r="K217" s="30"/>
      <c r="L217" s="60"/>
    </row>
    <row r="218" spans="1:13" ht="20.100000000000001" customHeight="1" x14ac:dyDescent="0.3">
      <c r="A218" s="26"/>
      <c r="B218" s="28"/>
      <c r="C218" s="28"/>
      <c r="D218" s="28"/>
      <c r="E218" s="28"/>
      <c r="F218" s="28"/>
      <c r="G218" s="28"/>
      <c r="H218" s="28"/>
      <c r="I218" s="28"/>
      <c r="J218" s="32"/>
      <c r="K218" s="30"/>
      <c r="L218" s="60"/>
    </row>
    <row r="219" spans="1:13" ht="20.100000000000001" customHeight="1" x14ac:dyDescent="0.3">
      <c r="A219" s="26"/>
      <c r="B219" s="28"/>
      <c r="C219" s="28"/>
      <c r="D219" s="28"/>
      <c r="E219" s="28"/>
      <c r="F219" s="28"/>
      <c r="G219" s="28"/>
      <c r="H219" s="28"/>
      <c r="I219" s="28"/>
      <c r="J219" s="32"/>
      <c r="K219" s="30"/>
      <c r="L219" s="60"/>
    </row>
    <row r="220" spans="1:13" ht="20.100000000000001" customHeight="1" x14ac:dyDescent="0.3">
      <c r="F220" s="67"/>
    </row>
    <row r="221" spans="1:13" ht="20.100000000000001" customHeight="1" x14ac:dyDescent="0.3">
      <c r="F221" s="67"/>
    </row>
    <row r="222" spans="1:13" ht="20.100000000000001" customHeight="1" x14ac:dyDescent="0.3">
      <c r="F222" s="67"/>
    </row>
  </sheetData>
  <mergeCells count="1">
    <mergeCell ref="A1:L3"/>
  </mergeCells>
  <phoneticPr fontId="3" type="noConversion"/>
  <conditionalFormatting sqref="F49:F56 A58:K59 M71 A71:K74 A86:K96 A98:K98 A100:K102 A105:K107 A113:K116 A124:K126 M125 A141:K143 A156:K157 A170:K173 A201:K205">
    <cfRule type="containsText" dxfId="9" priority="7" operator="containsText" text="2022">
      <formula>NOT(ISERROR(SEARCH("2022",A49)))</formula>
    </cfRule>
  </conditionalFormatting>
  <conditionalFormatting sqref="F111:F112">
    <cfRule type="duplicateValues" dxfId="8" priority="6"/>
  </conditionalFormatting>
  <conditionalFormatting sqref="F113">
    <cfRule type="duplicateValues" dxfId="7" priority="3"/>
  </conditionalFormatting>
  <conditionalFormatting sqref="F114:F116">
    <cfRule type="duplicateValues" dxfId="6" priority="2"/>
  </conditionalFormatting>
  <conditionalFormatting sqref="F124:H124">
    <cfRule type="duplicateValues" dxfId="5" priority="1"/>
  </conditionalFormatting>
  <conditionalFormatting sqref="H111:H112">
    <cfRule type="duplicateValues" dxfId="4" priority="5"/>
  </conditionalFormatting>
  <conditionalFormatting sqref="J111:J112">
    <cfRule type="duplicateValues" dxfId="3" priority="4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297"/>
  <sheetViews>
    <sheetView zoomScale="85" zoomScaleNormal="85" workbookViewId="0">
      <pane ySplit="4" topLeftCell="A5" activePane="bottomLeft" state="frozen"/>
      <selection activeCell="B29" sqref="B29:L29"/>
      <selection pane="bottomLeft" activeCell="K4" sqref="K4:P4"/>
    </sheetView>
  </sheetViews>
  <sheetFormatPr defaultColWidth="9" defaultRowHeight="20.100000000000001" customHeight="1" x14ac:dyDescent="0.3"/>
  <cols>
    <col min="1" max="1" width="15.25" bestFit="1" customWidth="1"/>
    <col min="2" max="5" width="8.625" customWidth="1"/>
    <col min="6" max="6" width="11.625" customWidth="1"/>
    <col min="7" max="7" width="12.625" customWidth="1"/>
    <col min="8" max="8" width="16.25" customWidth="1"/>
    <col min="9" max="9" width="10.25" customWidth="1"/>
    <col min="10" max="10" width="14.625" customWidth="1"/>
    <col min="11" max="12" width="9.625" style="71" customWidth="1"/>
    <col min="13" max="13" width="9" style="71"/>
    <col min="14" max="15" width="11.625" customWidth="1"/>
    <col min="16" max="16" width="10.625" customWidth="1"/>
    <col min="17" max="17" width="11.625" customWidth="1"/>
    <col min="19" max="19" width="10.875" bestFit="1" customWidth="1"/>
  </cols>
  <sheetData>
    <row r="1" spans="1:19" ht="20.100000000000001" customHeight="1" x14ac:dyDescent="0.3">
      <c r="A1" s="125" t="s">
        <v>21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20" t="s">
        <v>0</v>
      </c>
      <c r="O1" s="10">
        <f>SUM(K3:K9442)</f>
        <v>58526840</v>
      </c>
      <c r="P1" s="20" t="s">
        <v>1</v>
      </c>
      <c r="Q1" s="10">
        <f>SUM(L3:L9442)</f>
        <v>70429850</v>
      </c>
      <c r="R1" s="20" t="s">
        <v>41</v>
      </c>
      <c r="S1" s="10">
        <f>SUM(P1:P9442)</f>
        <v>11903010</v>
      </c>
    </row>
    <row r="2" spans="1:19" ht="20.100000000000001" customHeight="1" x14ac:dyDescent="0.3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</row>
    <row r="3" spans="1:19" ht="20.100000000000001" customHeight="1" x14ac:dyDescent="0.3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</row>
    <row r="4" spans="1:19" ht="20.100000000000001" customHeight="1" x14ac:dyDescent="0.3">
      <c r="A4" s="22" t="s">
        <v>8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14</v>
      </c>
      <c r="H4" s="22" t="s">
        <v>15</v>
      </c>
      <c r="I4" s="22" t="s">
        <v>16</v>
      </c>
      <c r="J4" s="23" t="s">
        <v>17</v>
      </c>
      <c r="K4" s="69" t="s">
        <v>0</v>
      </c>
      <c r="L4" s="69" t="s">
        <v>1</v>
      </c>
      <c r="M4" s="69" t="s">
        <v>23</v>
      </c>
      <c r="N4" s="25" t="s">
        <v>306</v>
      </c>
      <c r="O4" s="25" t="s">
        <v>18</v>
      </c>
      <c r="P4" s="25" t="s">
        <v>25</v>
      </c>
      <c r="Q4" s="25"/>
    </row>
    <row r="5" spans="1:19" ht="20.100000000000001" customHeight="1" x14ac:dyDescent="0.3">
      <c r="A5" s="39" t="s">
        <v>44</v>
      </c>
      <c r="B5" s="27" t="s">
        <v>45</v>
      </c>
      <c r="C5" s="27" t="s">
        <v>46</v>
      </c>
      <c r="D5" s="27" t="s">
        <v>133</v>
      </c>
      <c r="E5" s="27"/>
      <c r="F5" s="27" t="s">
        <v>139</v>
      </c>
      <c r="G5" s="27"/>
      <c r="H5" s="27"/>
      <c r="I5" s="27" t="s">
        <v>58</v>
      </c>
      <c r="J5" s="40">
        <v>47940104348839</v>
      </c>
      <c r="K5" s="73">
        <v>550000</v>
      </c>
      <c r="L5" s="72">
        <v>650000</v>
      </c>
      <c r="M5" s="70"/>
      <c r="N5" s="44"/>
      <c r="O5" s="43" t="s">
        <v>192</v>
      </c>
      <c r="P5" s="18">
        <f>L5-K5</f>
        <v>100000</v>
      </c>
    </row>
    <row r="6" spans="1:19" ht="20.100000000000001" customHeight="1" x14ac:dyDescent="0.3">
      <c r="A6" s="39" t="s">
        <v>44</v>
      </c>
      <c r="B6" s="27" t="s">
        <v>45</v>
      </c>
      <c r="C6" s="27" t="s">
        <v>46</v>
      </c>
      <c r="D6" s="27" t="s">
        <v>133</v>
      </c>
      <c r="E6" s="27"/>
      <c r="F6" s="27" t="s">
        <v>140</v>
      </c>
      <c r="G6" s="27"/>
      <c r="H6" s="27"/>
      <c r="I6" s="27" t="s">
        <v>72</v>
      </c>
      <c r="J6" s="40">
        <v>35491018079107</v>
      </c>
      <c r="K6" s="73">
        <v>550000</v>
      </c>
      <c r="L6" s="72">
        <v>550000</v>
      </c>
      <c r="M6" s="70"/>
      <c r="N6" s="44"/>
      <c r="O6" s="43" t="s">
        <v>192</v>
      </c>
      <c r="P6" s="18">
        <f t="shared" ref="P6:P69" si="0">L6-K6</f>
        <v>0</v>
      </c>
    </row>
    <row r="7" spans="1:19" ht="20.100000000000001" customHeight="1" x14ac:dyDescent="0.3">
      <c r="A7" s="39" t="s">
        <v>44</v>
      </c>
      <c r="B7" s="27" t="s">
        <v>45</v>
      </c>
      <c r="C7" s="27" t="s">
        <v>46</v>
      </c>
      <c r="D7" s="27" t="s">
        <v>133</v>
      </c>
      <c r="E7" s="27"/>
      <c r="F7" s="27" t="s">
        <v>141</v>
      </c>
      <c r="G7" s="27"/>
      <c r="H7" s="27"/>
      <c r="I7" s="27" t="s">
        <v>72</v>
      </c>
      <c r="J7" s="40">
        <v>23391065673307</v>
      </c>
      <c r="K7" s="73">
        <v>536900</v>
      </c>
      <c r="L7" s="72">
        <v>636900</v>
      </c>
      <c r="M7" s="70"/>
      <c r="N7" s="44"/>
      <c r="O7" s="43" t="s">
        <v>192</v>
      </c>
      <c r="P7" s="18">
        <f t="shared" si="0"/>
        <v>100000</v>
      </c>
    </row>
    <row r="8" spans="1:19" ht="20.100000000000001" customHeight="1" x14ac:dyDescent="0.3">
      <c r="A8" s="39" t="s">
        <v>44</v>
      </c>
      <c r="B8" s="27" t="s">
        <v>45</v>
      </c>
      <c r="C8" s="27" t="s">
        <v>46</v>
      </c>
      <c r="D8" s="27" t="s">
        <v>133</v>
      </c>
      <c r="E8" s="27"/>
      <c r="F8" s="27" t="s">
        <v>142</v>
      </c>
      <c r="G8" s="27"/>
      <c r="H8" s="27"/>
      <c r="I8" s="27" t="s">
        <v>72</v>
      </c>
      <c r="J8" s="40">
        <v>23391065673307</v>
      </c>
      <c r="K8" s="73">
        <v>437500</v>
      </c>
      <c r="L8" s="72">
        <v>517500</v>
      </c>
      <c r="M8" s="70"/>
      <c r="N8" s="44"/>
      <c r="O8" s="43" t="s">
        <v>192</v>
      </c>
      <c r="P8" s="18">
        <f t="shared" si="0"/>
        <v>80000</v>
      </c>
    </row>
    <row r="9" spans="1:19" ht="20.100000000000001" customHeight="1" x14ac:dyDescent="0.3">
      <c r="A9" s="39" t="s">
        <v>44</v>
      </c>
      <c r="B9" s="27" t="s">
        <v>45</v>
      </c>
      <c r="C9" s="27" t="s">
        <v>46</v>
      </c>
      <c r="D9" s="27" t="s">
        <v>133</v>
      </c>
      <c r="E9" s="27"/>
      <c r="F9" s="27" t="s">
        <v>143</v>
      </c>
      <c r="G9" s="27"/>
      <c r="H9" s="27"/>
      <c r="I9" s="27" t="s">
        <v>72</v>
      </c>
      <c r="J9" s="40">
        <v>29991054312107</v>
      </c>
      <c r="K9" s="73">
        <v>427700</v>
      </c>
      <c r="L9" s="72">
        <v>527700</v>
      </c>
      <c r="M9" s="70"/>
      <c r="N9" s="44"/>
      <c r="O9" s="43" t="s">
        <v>192</v>
      </c>
      <c r="P9" s="18">
        <f t="shared" si="0"/>
        <v>100000</v>
      </c>
    </row>
    <row r="10" spans="1:19" ht="20.100000000000001" customHeight="1" x14ac:dyDescent="0.3">
      <c r="A10" s="39" t="s">
        <v>44</v>
      </c>
      <c r="B10" s="27" t="s">
        <v>45</v>
      </c>
      <c r="C10" s="27" t="s">
        <v>46</v>
      </c>
      <c r="D10" s="27" t="s">
        <v>133</v>
      </c>
      <c r="E10" s="27"/>
      <c r="F10" s="27" t="s">
        <v>144</v>
      </c>
      <c r="G10" s="27"/>
      <c r="H10" s="27"/>
      <c r="I10" s="27" t="s">
        <v>72</v>
      </c>
      <c r="J10" s="40">
        <v>23391063977607</v>
      </c>
      <c r="K10" s="73">
        <v>424900</v>
      </c>
      <c r="L10" s="72">
        <v>524900</v>
      </c>
      <c r="M10" s="70"/>
      <c r="N10" s="44"/>
      <c r="O10" s="43" t="s">
        <v>192</v>
      </c>
      <c r="P10" s="18">
        <f t="shared" si="0"/>
        <v>100000</v>
      </c>
    </row>
    <row r="11" spans="1:19" ht="20.100000000000001" customHeight="1" x14ac:dyDescent="0.3">
      <c r="A11" s="39" t="s">
        <v>44</v>
      </c>
      <c r="B11" s="27" t="s">
        <v>45</v>
      </c>
      <c r="C11" s="27" t="s">
        <v>46</v>
      </c>
      <c r="D11" s="27" t="s">
        <v>133</v>
      </c>
      <c r="E11" s="27"/>
      <c r="F11" s="27" t="s">
        <v>145</v>
      </c>
      <c r="G11" s="27"/>
      <c r="H11" s="27"/>
      <c r="I11" s="27" t="s">
        <v>72</v>
      </c>
      <c r="J11" s="40">
        <v>23391049813107</v>
      </c>
      <c r="K11" s="73">
        <v>217000</v>
      </c>
      <c r="L11" s="72">
        <v>267000</v>
      </c>
      <c r="M11" s="70"/>
      <c r="N11" s="44"/>
      <c r="O11" s="43" t="s">
        <v>192</v>
      </c>
      <c r="P11" s="18">
        <f t="shared" si="0"/>
        <v>50000</v>
      </c>
    </row>
    <row r="12" spans="1:19" ht="20.100000000000001" customHeight="1" x14ac:dyDescent="0.3">
      <c r="A12" s="39" t="s">
        <v>44</v>
      </c>
      <c r="B12" s="27" t="s">
        <v>45</v>
      </c>
      <c r="C12" s="27" t="s">
        <v>46</v>
      </c>
      <c r="D12" s="27" t="s">
        <v>133</v>
      </c>
      <c r="E12" s="27"/>
      <c r="F12" s="27" t="s">
        <v>146</v>
      </c>
      <c r="G12" s="27"/>
      <c r="H12" s="27"/>
      <c r="I12" s="27" t="s">
        <v>51</v>
      </c>
      <c r="J12" s="40">
        <v>3561594870383</v>
      </c>
      <c r="K12" s="73">
        <v>105000</v>
      </c>
      <c r="L12" s="72">
        <v>130000</v>
      </c>
      <c r="M12" s="70"/>
      <c r="N12" s="44"/>
      <c r="O12" s="43" t="s">
        <v>192</v>
      </c>
      <c r="P12" s="18">
        <f t="shared" si="0"/>
        <v>25000</v>
      </c>
    </row>
    <row r="13" spans="1:19" ht="20.100000000000001" customHeight="1" x14ac:dyDescent="0.3">
      <c r="A13" s="39" t="s">
        <v>44</v>
      </c>
      <c r="B13" s="27" t="s">
        <v>45</v>
      </c>
      <c r="C13" s="27" t="s">
        <v>46</v>
      </c>
      <c r="D13" s="27" t="s">
        <v>133</v>
      </c>
      <c r="E13" s="27"/>
      <c r="F13" s="27" t="s">
        <v>147</v>
      </c>
      <c r="G13" s="27"/>
      <c r="H13" s="27"/>
      <c r="I13" s="27" t="s">
        <v>51</v>
      </c>
      <c r="J13" s="40">
        <v>3561626523273</v>
      </c>
      <c r="K13" s="73">
        <v>210000</v>
      </c>
      <c r="L13" s="72">
        <v>260000</v>
      </c>
      <c r="M13" s="70"/>
      <c r="N13" s="44"/>
      <c r="O13" s="43" t="s">
        <v>192</v>
      </c>
      <c r="P13" s="18">
        <f t="shared" si="0"/>
        <v>50000</v>
      </c>
    </row>
    <row r="14" spans="1:19" ht="20.100000000000001" customHeight="1" x14ac:dyDescent="0.3">
      <c r="A14" s="39" t="s">
        <v>44</v>
      </c>
      <c r="B14" s="27" t="s">
        <v>45</v>
      </c>
      <c r="C14" s="27" t="s">
        <v>46</v>
      </c>
      <c r="D14" s="27" t="s">
        <v>133</v>
      </c>
      <c r="E14" s="27"/>
      <c r="F14" s="27" t="s">
        <v>148</v>
      </c>
      <c r="G14" s="27"/>
      <c r="H14" s="27"/>
      <c r="I14" s="27" t="s">
        <v>72</v>
      </c>
      <c r="J14" s="40">
        <v>68091053420107</v>
      </c>
      <c r="K14" s="73">
        <v>210000</v>
      </c>
      <c r="L14" s="72">
        <v>260000</v>
      </c>
      <c r="M14" s="70"/>
      <c r="N14" s="44"/>
      <c r="O14" s="43" t="s">
        <v>192</v>
      </c>
      <c r="P14" s="18">
        <f t="shared" si="0"/>
        <v>50000</v>
      </c>
    </row>
    <row r="15" spans="1:19" ht="20.100000000000001" customHeight="1" x14ac:dyDescent="0.3">
      <c r="A15" s="39" t="s">
        <v>44</v>
      </c>
      <c r="B15" s="27" t="s">
        <v>45</v>
      </c>
      <c r="C15" s="27" t="s">
        <v>46</v>
      </c>
      <c r="D15" s="27" t="s">
        <v>133</v>
      </c>
      <c r="E15" s="27"/>
      <c r="F15" s="27" t="s">
        <v>149</v>
      </c>
      <c r="G15" s="27"/>
      <c r="H15" s="27"/>
      <c r="I15" s="27" t="s">
        <v>72</v>
      </c>
      <c r="J15" s="40">
        <v>57191056846807</v>
      </c>
      <c r="K15" s="73">
        <v>536900</v>
      </c>
      <c r="L15" s="72">
        <v>636900</v>
      </c>
      <c r="M15" s="70"/>
      <c r="N15" s="44"/>
      <c r="O15" s="43" t="s">
        <v>192</v>
      </c>
      <c r="P15" s="18">
        <f t="shared" si="0"/>
        <v>100000</v>
      </c>
    </row>
    <row r="16" spans="1:19" ht="20.100000000000001" customHeight="1" x14ac:dyDescent="0.3">
      <c r="A16" s="39" t="s">
        <v>44</v>
      </c>
      <c r="B16" s="27" t="s">
        <v>45</v>
      </c>
      <c r="C16" s="27" t="s">
        <v>46</v>
      </c>
      <c r="D16" s="27" t="s">
        <v>133</v>
      </c>
      <c r="E16" s="27"/>
      <c r="F16" s="27" t="s">
        <v>150</v>
      </c>
      <c r="G16" s="27"/>
      <c r="H16" s="27"/>
      <c r="I16" s="27" t="s">
        <v>72</v>
      </c>
      <c r="J16" s="40">
        <v>39891066942107</v>
      </c>
      <c r="K16" s="73">
        <v>525000</v>
      </c>
      <c r="L16" s="72">
        <v>625000</v>
      </c>
      <c r="M16" s="70"/>
      <c r="N16" s="44"/>
      <c r="O16" s="43" t="s">
        <v>192</v>
      </c>
      <c r="P16" s="18">
        <f t="shared" si="0"/>
        <v>100000</v>
      </c>
    </row>
    <row r="17" spans="1:16" ht="20.100000000000001" customHeight="1" x14ac:dyDescent="0.3">
      <c r="A17" s="39" t="s">
        <v>44</v>
      </c>
      <c r="B17" s="27" t="s">
        <v>45</v>
      </c>
      <c r="C17" s="27" t="s">
        <v>46</v>
      </c>
      <c r="D17" s="27" t="s">
        <v>133</v>
      </c>
      <c r="E17" s="27"/>
      <c r="F17" s="27" t="s">
        <v>151</v>
      </c>
      <c r="G17" s="27"/>
      <c r="H17" s="27"/>
      <c r="I17" s="27" t="s">
        <v>72</v>
      </c>
      <c r="J17" s="40">
        <v>39891066942107</v>
      </c>
      <c r="K17" s="73">
        <v>525000</v>
      </c>
      <c r="L17" s="72">
        <v>625000</v>
      </c>
      <c r="M17" s="70"/>
      <c r="N17" s="44"/>
      <c r="O17" s="43" t="s">
        <v>192</v>
      </c>
      <c r="P17" s="18">
        <f t="shared" si="0"/>
        <v>100000</v>
      </c>
    </row>
    <row r="18" spans="1:16" ht="20.100000000000001" customHeight="1" x14ac:dyDescent="0.3">
      <c r="A18" s="39" t="s">
        <v>44</v>
      </c>
      <c r="B18" s="27" t="s">
        <v>45</v>
      </c>
      <c r="C18" s="27" t="s">
        <v>46</v>
      </c>
      <c r="D18" s="27" t="s">
        <v>133</v>
      </c>
      <c r="E18" s="27"/>
      <c r="F18" s="27" t="s">
        <v>152</v>
      </c>
      <c r="G18" s="27"/>
      <c r="H18" s="27"/>
      <c r="I18" s="27" t="s">
        <v>51</v>
      </c>
      <c r="J18" s="40">
        <v>3560935626623</v>
      </c>
      <c r="K18" s="73">
        <v>427000</v>
      </c>
      <c r="L18" s="72">
        <v>527000</v>
      </c>
      <c r="M18" s="70"/>
      <c r="N18" s="44"/>
      <c r="O18" s="43" t="s">
        <v>192</v>
      </c>
      <c r="P18" s="18">
        <f t="shared" si="0"/>
        <v>100000</v>
      </c>
    </row>
    <row r="19" spans="1:16" ht="20.100000000000001" customHeight="1" x14ac:dyDescent="0.3">
      <c r="A19" s="39" t="s">
        <v>44</v>
      </c>
      <c r="B19" s="27" t="s">
        <v>45</v>
      </c>
      <c r="C19" s="27" t="s">
        <v>46</v>
      </c>
      <c r="D19" s="27" t="s">
        <v>133</v>
      </c>
      <c r="E19" s="27"/>
      <c r="F19" s="27" t="s">
        <v>153</v>
      </c>
      <c r="G19" s="27"/>
      <c r="H19" s="27"/>
      <c r="I19" s="27" t="s">
        <v>188</v>
      </c>
      <c r="J19" s="40">
        <v>36110662801011</v>
      </c>
      <c r="K19" s="73">
        <v>427700</v>
      </c>
      <c r="L19" s="72">
        <v>527700</v>
      </c>
      <c r="M19" s="70"/>
      <c r="N19" s="44"/>
      <c r="O19" s="43" t="s">
        <v>192</v>
      </c>
      <c r="P19" s="18">
        <f t="shared" si="0"/>
        <v>100000</v>
      </c>
    </row>
    <row r="20" spans="1:16" ht="20.100000000000001" customHeight="1" x14ac:dyDescent="0.3">
      <c r="A20" s="39" t="s">
        <v>44</v>
      </c>
      <c r="B20" s="27" t="s">
        <v>45</v>
      </c>
      <c r="C20" s="27" t="s">
        <v>46</v>
      </c>
      <c r="D20" s="27" t="s">
        <v>133</v>
      </c>
      <c r="E20" s="27"/>
      <c r="F20" s="27" t="s">
        <v>154</v>
      </c>
      <c r="G20" s="27"/>
      <c r="H20" s="27"/>
      <c r="I20" s="27" t="s">
        <v>51</v>
      </c>
      <c r="J20" s="40">
        <v>3512536253663</v>
      </c>
      <c r="K20" s="73">
        <v>427700</v>
      </c>
      <c r="L20" s="72">
        <v>527700</v>
      </c>
      <c r="M20" s="70"/>
      <c r="N20" s="44"/>
      <c r="O20" s="43" t="s">
        <v>192</v>
      </c>
      <c r="P20" s="18">
        <f t="shared" si="0"/>
        <v>100000</v>
      </c>
    </row>
    <row r="21" spans="1:16" ht="20.100000000000001" customHeight="1" x14ac:dyDescent="0.3">
      <c r="A21" s="39" t="s">
        <v>44</v>
      </c>
      <c r="B21" s="27" t="s">
        <v>45</v>
      </c>
      <c r="C21" s="27" t="s">
        <v>46</v>
      </c>
      <c r="D21" s="27" t="s">
        <v>133</v>
      </c>
      <c r="E21" s="27"/>
      <c r="F21" s="27" t="s">
        <v>155</v>
      </c>
      <c r="G21" s="27"/>
      <c r="H21" s="27"/>
      <c r="I21" s="27" t="s">
        <v>55</v>
      </c>
      <c r="J21" s="40">
        <v>1002863255436</v>
      </c>
      <c r="K21" s="73">
        <v>543200</v>
      </c>
      <c r="L21" s="72">
        <v>668200</v>
      </c>
      <c r="M21" s="70"/>
      <c r="N21" s="44"/>
      <c r="O21" s="43" t="s">
        <v>192</v>
      </c>
      <c r="P21" s="18">
        <f t="shared" si="0"/>
        <v>125000</v>
      </c>
    </row>
    <row r="22" spans="1:16" ht="20.100000000000001" customHeight="1" x14ac:dyDescent="0.3">
      <c r="A22" s="39" t="s">
        <v>44</v>
      </c>
      <c r="B22" s="27" t="s">
        <v>45</v>
      </c>
      <c r="C22" s="27" t="s">
        <v>46</v>
      </c>
      <c r="D22" s="27" t="s">
        <v>133</v>
      </c>
      <c r="E22" s="27"/>
      <c r="F22" s="27" t="s">
        <v>156</v>
      </c>
      <c r="G22" s="27"/>
      <c r="H22" s="27"/>
      <c r="I22" s="27" t="s">
        <v>72</v>
      </c>
      <c r="J22" s="40">
        <v>23391067991707</v>
      </c>
      <c r="K22" s="73">
        <v>351400</v>
      </c>
      <c r="L22" s="72">
        <v>411400</v>
      </c>
      <c r="M22" s="70"/>
      <c r="N22" s="44"/>
      <c r="O22" s="43" t="s">
        <v>192</v>
      </c>
      <c r="P22" s="18">
        <f t="shared" si="0"/>
        <v>60000</v>
      </c>
    </row>
    <row r="23" spans="1:16" ht="20.100000000000001" customHeight="1" x14ac:dyDescent="0.3">
      <c r="A23" s="39" t="s">
        <v>44</v>
      </c>
      <c r="B23" s="27" t="s">
        <v>45</v>
      </c>
      <c r="C23" s="27" t="s">
        <v>46</v>
      </c>
      <c r="D23" s="27" t="s">
        <v>133</v>
      </c>
      <c r="E23" s="27"/>
      <c r="F23" s="27" t="s">
        <v>157</v>
      </c>
      <c r="G23" s="27"/>
      <c r="H23" s="27"/>
      <c r="I23" s="27" t="s">
        <v>72</v>
      </c>
      <c r="J23" s="40">
        <v>23391053112107</v>
      </c>
      <c r="K23" s="73">
        <v>105000</v>
      </c>
      <c r="L23" s="72">
        <v>125000</v>
      </c>
      <c r="M23" s="70"/>
      <c r="N23" s="44"/>
      <c r="O23" s="43" t="s">
        <v>192</v>
      </c>
      <c r="P23" s="18">
        <f t="shared" si="0"/>
        <v>20000</v>
      </c>
    </row>
    <row r="24" spans="1:16" ht="20.100000000000001" customHeight="1" x14ac:dyDescent="0.3">
      <c r="A24" s="39" t="s">
        <v>44</v>
      </c>
      <c r="B24" s="27" t="s">
        <v>45</v>
      </c>
      <c r="C24" s="27" t="s">
        <v>46</v>
      </c>
      <c r="D24" s="27" t="s">
        <v>133</v>
      </c>
      <c r="E24" s="27"/>
      <c r="F24" s="27" t="s">
        <v>158</v>
      </c>
      <c r="G24" s="27"/>
      <c r="H24" s="27"/>
      <c r="I24" s="27" t="s">
        <v>72</v>
      </c>
      <c r="J24" s="40">
        <v>11692214377437</v>
      </c>
      <c r="K24" s="73">
        <v>525000</v>
      </c>
      <c r="L24" s="72">
        <v>625000</v>
      </c>
      <c r="M24" s="70"/>
      <c r="N24" s="44"/>
      <c r="O24" s="43" t="s">
        <v>192</v>
      </c>
      <c r="P24" s="18">
        <f t="shared" si="0"/>
        <v>100000</v>
      </c>
    </row>
    <row r="25" spans="1:16" ht="20.100000000000001" customHeight="1" x14ac:dyDescent="0.3">
      <c r="A25" s="39" t="s">
        <v>44</v>
      </c>
      <c r="B25" s="27" t="s">
        <v>45</v>
      </c>
      <c r="C25" s="27" t="s">
        <v>46</v>
      </c>
      <c r="D25" s="27" t="s">
        <v>133</v>
      </c>
      <c r="E25" s="27"/>
      <c r="F25" s="27" t="s">
        <v>159</v>
      </c>
      <c r="G25" s="27"/>
      <c r="H25" s="27"/>
      <c r="I25" s="27" t="s">
        <v>72</v>
      </c>
      <c r="J25" s="40">
        <v>23391064161907</v>
      </c>
      <c r="K25" s="73">
        <v>424900</v>
      </c>
      <c r="L25" s="72">
        <v>504900</v>
      </c>
      <c r="M25" s="70"/>
      <c r="N25" s="44"/>
      <c r="O25" s="43" t="s">
        <v>192</v>
      </c>
      <c r="P25" s="18">
        <f t="shared" si="0"/>
        <v>80000</v>
      </c>
    </row>
    <row r="26" spans="1:16" ht="20.100000000000001" customHeight="1" x14ac:dyDescent="0.3">
      <c r="A26" s="39" t="s">
        <v>44</v>
      </c>
      <c r="B26" s="27" t="s">
        <v>45</v>
      </c>
      <c r="C26" s="27" t="s">
        <v>46</v>
      </c>
      <c r="D26" s="27" t="s">
        <v>133</v>
      </c>
      <c r="E26" s="27"/>
      <c r="F26" s="27" t="s">
        <v>160</v>
      </c>
      <c r="G26" s="27"/>
      <c r="H26" s="27"/>
      <c r="I26" s="27" t="s">
        <v>58</v>
      </c>
      <c r="J26" s="40">
        <v>29250201308193</v>
      </c>
      <c r="K26" s="73">
        <v>525000</v>
      </c>
      <c r="L26" s="72">
        <v>625000</v>
      </c>
      <c r="M26" s="70"/>
      <c r="N26" s="44"/>
      <c r="O26" s="43" t="s">
        <v>192</v>
      </c>
      <c r="P26" s="18">
        <f t="shared" si="0"/>
        <v>100000</v>
      </c>
    </row>
    <row r="27" spans="1:16" ht="20.100000000000001" customHeight="1" x14ac:dyDescent="0.3">
      <c r="A27" s="39" t="s">
        <v>44</v>
      </c>
      <c r="B27" s="27" t="s">
        <v>45</v>
      </c>
      <c r="C27" s="27" t="s">
        <v>46</v>
      </c>
      <c r="D27" s="27" t="s">
        <v>133</v>
      </c>
      <c r="E27" s="27"/>
      <c r="F27" s="27" t="s">
        <v>161</v>
      </c>
      <c r="G27" s="27"/>
      <c r="H27" s="27"/>
      <c r="I27" s="27" t="s">
        <v>76</v>
      </c>
      <c r="J27" s="40">
        <v>100089184707</v>
      </c>
      <c r="K27" s="73">
        <v>315000</v>
      </c>
      <c r="L27" s="72">
        <v>375000</v>
      </c>
      <c r="M27" s="70"/>
      <c r="N27" s="44"/>
      <c r="O27" s="43" t="s">
        <v>192</v>
      </c>
      <c r="P27" s="18">
        <f t="shared" si="0"/>
        <v>60000</v>
      </c>
    </row>
    <row r="28" spans="1:16" ht="20.100000000000001" customHeight="1" x14ac:dyDescent="0.3">
      <c r="A28" s="39" t="s">
        <v>44</v>
      </c>
      <c r="B28" s="27" t="s">
        <v>45</v>
      </c>
      <c r="C28" s="27" t="s">
        <v>46</v>
      </c>
      <c r="D28" s="27" t="s">
        <v>133</v>
      </c>
      <c r="E28" s="27"/>
      <c r="F28" s="27" t="s">
        <v>162</v>
      </c>
      <c r="G28" s="27"/>
      <c r="H28" s="27"/>
      <c r="I28" s="27" t="s">
        <v>76</v>
      </c>
      <c r="J28" s="40">
        <v>100248207200</v>
      </c>
      <c r="K28" s="73">
        <v>210000</v>
      </c>
      <c r="L28" s="72">
        <v>250000</v>
      </c>
      <c r="M28" s="70"/>
      <c r="N28" s="44"/>
      <c r="O28" s="43" t="s">
        <v>192</v>
      </c>
      <c r="P28" s="18">
        <f t="shared" si="0"/>
        <v>40000</v>
      </c>
    </row>
    <row r="29" spans="1:16" ht="20.100000000000001" customHeight="1" x14ac:dyDescent="0.3">
      <c r="A29" s="39" t="s">
        <v>44</v>
      </c>
      <c r="B29" s="27" t="s">
        <v>45</v>
      </c>
      <c r="C29" s="27" t="s">
        <v>46</v>
      </c>
      <c r="D29" s="27" t="s">
        <v>133</v>
      </c>
      <c r="E29" s="27"/>
      <c r="F29" s="27" t="s">
        <v>163</v>
      </c>
      <c r="G29" s="27"/>
      <c r="H29" s="27"/>
      <c r="I29" s="27" t="s">
        <v>55</v>
      </c>
      <c r="J29" s="40">
        <v>1002761382905</v>
      </c>
      <c r="K29" s="73">
        <v>210000</v>
      </c>
      <c r="L29" s="72">
        <v>260000</v>
      </c>
      <c r="M29" s="70"/>
      <c r="N29" s="44"/>
      <c r="O29" s="43" t="s">
        <v>192</v>
      </c>
      <c r="P29" s="18">
        <f t="shared" si="0"/>
        <v>50000</v>
      </c>
    </row>
    <row r="30" spans="1:16" ht="20.100000000000001" customHeight="1" x14ac:dyDescent="0.3">
      <c r="A30" s="39" t="s">
        <v>44</v>
      </c>
      <c r="B30" s="27" t="s">
        <v>45</v>
      </c>
      <c r="C30" s="27" t="s">
        <v>46</v>
      </c>
      <c r="D30" s="27" t="s">
        <v>133</v>
      </c>
      <c r="E30" s="27"/>
      <c r="F30" s="27" t="s">
        <v>164</v>
      </c>
      <c r="G30" s="27"/>
      <c r="H30" s="27"/>
      <c r="I30" s="27" t="s">
        <v>72</v>
      </c>
      <c r="J30" s="40">
        <v>60491096318007</v>
      </c>
      <c r="K30" s="73">
        <v>210000</v>
      </c>
      <c r="L30" s="72">
        <v>250000</v>
      </c>
      <c r="M30" s="70"/>
      <c r="N30" s="44"/>
      <c r="O30" s="43" t="s">
        <v>192</v>
      </c>
      <c r="P30" s="18">
        <f t="shared" si="0"/>
        <v>40000</v>
      </c>
    </row>
    <row r="31" spans="1:16" ht="20.100000000000001" customHeight="1" x14ac:dyDescent="0.3">
      <c r="A31" s="39" t="s">
        <v>44</v>
      </c>
      <c r="B31" s="27" t="s">
        <v>45</v>
      </c>
      <c r="C31" s="27" t="s">
        <v>46</v>
      </c>
      <c r="D31" s="27" t="s">
        <v>133</v>
      </c>
      <c r="E31" s="27"/>
      <c r="F31" s="27" t="s">
        <v>165</v>
      </c>
      <c r="G31" s="27"/>
      <c r="H31" s="27"/>
      <c r="I31" s="27" t="s">
        <v>76</v>
      </c>
      <c r="J31" s="40">
        <v>100178321014</v>
      </c>
      <c r="K31" s="73">
        <v>324450</v>
      </c>
      <c r="L31" s="72">
        <v>384450</v>
      </c>
      <c r="M31" s="70"/>
      <c r="N31" s="44"/>
      <c r="O31" s="43" t="s">
        <v>192</v>
      </c>
      <c r="P31" s="18">
        <f t="shared" si="0"/>
        <v>60000</v>
      </c>
    </row>
    <row r="32" spans="1:16" ht="20.100000000000001" customHeight="1" x14ac:dyDescent="0.3">
      <c r="A32" s="39" t="s">
        <v>44</v>
      </c>
      <c r="B32" s="27" t="s">
        <v>45</v>
      </c>
      <c r="C32" s="27" t="s">
        <v>46</v>
      </c>
      <c r="D32" s="27" t="s">
        <v>133</v>
      </c>
      <c r="E32" s="27"/>
      <c r="F32" s="27" t="s">
        <v>166</v>
      </c>
      <c r="G32" s="27"/>
      <c r="H32" s="27"/>
      <c r="I32" s="27" t="s">
        <v>189</v>
      </c>
      <c r="J32" s="40">
        <v>50902008559049</v>
      </c>
      <c r="K32" s="73">
        <v>315000</v>
      </c>
      <c r="L32" s="72">
        <v>375000</v>
      </c>
      <c r="M32" s="70"/>
      <c r="N32" s="44"/>
      <c r="O32" s="43" t="s">
        <v>192</v>
      </c>
      <c r="P32" s="18">
        <f t="shared" si="0"/>
        <v>60000</v>
      </c>
    </row>
    <row r="33" spans="1:17" ht="20.100000000000001" customHeight="1" x14ac:dyDescent="0.3">
      <c r="A33" s="39" t="s">
        <v>44</v>
      </c>
      <c r="B33" s="27" t="s">
        <v>45</v>
      </c>
      <c r="C33" s="27" t="s">
        <v>46</v>
      </c>
      <c r="D33" s="27" t="s">
        <v>133</v>
      </c>
      <c r="E33" s="27"/>
      <c r="F33" s="27" t="s">
        <v>168</v>
      </c>
      <c r="G33" s="27"/>
      <c r="H33" s="27"/>
      <c r="I33" s="27" t="s">
        <v>188</v>
      </c>
      <c r="J33" s="40">
        <v>40107855201013</v>
      </c>
      <c r="K33" s="73">
        <v>525000</v>
      </c>
      <c r="L33" s="72">
        <v>625000</v>
      </c>
      <c r="M33" s="70"/>
      <c r="N33" s="44"/>
      <c r="O33" s="43" t="s">
        <v>192</v>
      </c>
      <c r="P33" s="18">
        <f t="shared" si="0"/>
        <v>100000</v>
      </c>
    </row>
    <row r="34" spans="1:17" ht="20.100000000000001" customHeight="1" x14ac:dyDescent="0.3">
      <c r="A34" s="39" t="s">
        <v>44</v>
      </c>
      <c r="B34" s="27" t="s">
        <v>45</v>
      </c>
      <c r="C34" s="27" t="s">
        <v>46</v>
      </c>
      <c r="D34" s="27" t="s">
        <v>133</v>
      </c>
      <c r="E34" s="27"/>
      <c r="F34" s="27" t="s">
        <v>169</v>
      </c>
      <c r="G34" s="27"/>
      <c r="H34" s="27"/>
      <c r="I34" s="27" t="s">
        <v>189</v>
      </c>
      <c r="J34" s="40">
        <v>50902008580346</v>
      </c>
      <c r="K34" s="73">
        <v>210000</v>
      </c>
      <c r="L34" s="72">
        <v>250000</v>
      </c>
      <c r="M34" s="70"/>
      <c r="N34" s="44"/>
      <c r="O34" s="43" t="s">
        <v>192</v>
      </c>
      <c r="P34" s="18">
        <f t="shared" si="0"/>
        <v>40000</v>
      </c>
    </row>
    <row r="35" spans="1:17" ht="20.100000000000001" customHeight="1" x14ac:dyDescent="0.3">
      <c r="A35" s="39" t="s">
        <v>44</v>
      </c>
      <c r="B35" s="27" t="s">
        <v>45</v>
      </c>
      <c r="C35" s="27" t="s">
        <v>46</v>
      </c>
      <c r="D35" s="27" t="s">
        <v>133</v>
      </c>
      <c r="E35" s="27"/>
      <c r="F35" s="27" t="s">
        <v>170</v>
      </c>
      <c r="G35" s="27"/>
      <c r="H35" s="27"/>
      <c r="I35" s="27" t="s">
        <v>76</v>
      </c>
      <c r="J35" s="40">
        <v>100067984361</v>
      </c>
      <c r="K35" s="73">
        <v>346000</v>
      </c>
      <c r="L35" s="72">
        <v>406000</v>
      </c>
      <c r="M35" s="70"/>
      <c r="N35" s="44"/>
      <c r="O35" s="43" t="s">
        <v>192</v>
      </c>
      <c r="P35" s="18">
        <f t="shared" si="0"/>
        <v>60000</v>
      </c>
    </row>
    <row r="36" spans="1:17" ht="20.100000000000001" customHeight="1" x14ac:dyDescent="0.3">
      <c r="A36" s="39" t="s">
        <v>44</v>
      </c>
      <c r="B36" s="27" t="s">
        <v>45</v>
      </c>
      <c r="C36" s="27" t="s">
        <v>46</v>
      </c>
      <c r="D36" s="27" t="s">
        <v>133</v>
      </c>
      <c r="E36" s="27"/>
      <c r="F36" s="27" t="s">
        <v>171</v>
      </c>
      <c r="G36" s="27"/>
      <c r="H36" s="27"/>
      <c r="I36" s="27" t="s">
        <v>62</v>
      </c>
      <c r="J36" s="40">
        <v>9500021266780</v>
      </c>
      <c r="K36" s="73">
        <v>217700</v>
      </c>
      <c r="L36" s="72">
        <v>257700</v>
      </c>
      <c r="M36" s="70"/>
      <c r="N36" s="44"/>
      <c r="O36" s="43" t="s">
        <v>192</v>
      </c>
      <c r="P36" s="18">
        <f t="shared" si="0"/>
        <v>40000</v>
      </c>
    </row>
    <row r="37" spans="1:17" ht="20.100000000000001" customHeight="1" x14ac:dyDescent="0.3">
      <c r="A37" s="39" t="s">
        <v>44</v>
      </c>
      <c r="B37" s="27" t="s">
        <v>45</v>
      </c>
      <c r="C37" s="27" t="s">
        <v>46</v>
      </c>
      <c r="D37" s="27" t="s">
        <v>133</v>
      </c>
      <c r="E37" s="27"/>
      <c r="F37" s="27" t="s">
        <v>172</v>
      </c>
      <c r="G37" s="27"/>
      <c r="H37" s="27"/>
      <c r="I37" s="27" t="s">
        <v>76</v>
      </c>
      <c r="J37" s="40">
        <v>100079961208</v>
      </c>
      <c r="K37" s="73">
        <v>315000</v>
      </c>
      <c r="L37" s="72">
        <v>375000</v>
      </c>
      <c r="M37" s="70"/>
      <c r="N37" s="44"/>
      <c r="O37" s="43" t="s">
        <v>192</v>
      </c>
      <c r="P37" s="18">
        <f t="shared" si="0"/>
        <v>60000</v>
      </c>
    </row>
    <row r="38" spans="1:17" ht="20.100000000000001" customHeight="1" x14ac:dyDescent="0.3">
      <c r="A38" s="39" t="s">
        <v>44</v>
      </c>
      <c r="B38" s="27" t="s">
        <v>45</v>
      </c>
      <c r="C38" s="27" t="s">
        <v>46</v>
      </c>
      <c r="D38" s="27" t="s">
        <v>133</v>
      </c>
      <c r="E38" s="27"/>
      <c r="F38" s="27" t="s">
        <v>173</v>
      </c>
      <c r="G38" s="27"/>
      <c r="H38" s="27"/>
      <c r="I38" s="27" t="s">
        <v>62</v>
      </c>
      <c r="J38" s="40">
        <v>9100054762487</v>
      </c>
      <c r="K38" s="41">
        <v>105000</v>
      </c>
      <c r="L38" s="42">
        <v>125000</v>
      </c>
      <c r="M38" s="70"/>
      <c r="N38" s="44"/>
      <c r="O38" s="43" t="s">
        <v>192</v>
      </c>
      <c r="P38" s="18">
        <f t="shared" si="0"/>
        <v>20000</v>
      </c>
      <c r="Q38" s="45"/>
    </row>
    <row r="39" spans="1:17" ht="20.100000000000001" customHeight="1" x14ac:dyDescent="0.3">
      <c r="A39" s="39" t="s">
        <v>44</v>
      </c>
      <c r="B39" s="27" t="s">
        <v>45</v>
      </c>
      <c r="C39" s="27" t="s">
        <v>46</v>
      </c>
      <c r="D39" s="27" t="s">
        <v>133</v>
      </c>
      <c r="E39" s="27"/>
      <c r="F39" s="27" t="s">
        <v>174</v>
      </c>
      <c r="G39" s="27"/>
      <c r="H39" s="27"/>
      <c r="I39" s="27" t="s">
        <v>76</v>
      </c>
      <c r="J39" s="40">
        <v>100234627084</v>
      </c>
      <c r="K39" s="41">
        <v>210000</v>
      </c>
      <c r="L39" s="42">
        <v>250000</v>
      </c>
      <c r="M39" s="70"/>
      <c r="N39" s="44"/>
      <c r="O39" s="43" t="s">
        <v>192</v>
      </c>
      <c r="P39" s="18">
        <f t="shared" si="0"/>
        <v>40000</v>
      </c>
    </row>
    <row r="40" spans="1:17" ht="20.100000000000001" customHeight="1" x14ac:dyDescent="0.3">
      <c r="A40" s="39" t="s">
        <v>44</v>
      </c>
      <c r="B40" s="27" t="s">
        <v>45</v>
      </c>
      <c r="C40" s="27" t="s">
        <v>46</v>
      </c>
      <c r="D40" s="27" t="s">
        <v>133</v>
      </c>
      <c r="E40" s="27"/>
      <c r="F40" s="27" t="s">
        <v>175</v>
      </c>
      <c r="G40" s="27"/>
      <c r="H40" s="27"/>
      <c r="I40" s="27" t="s">
        <v>72</v>
      </c>
      <c r="J40" s="40">
        <v>11692175176737</v>
      </c>
      <c r="K40" s="41">
        <v>210000</v>
      </c>
      <c r="L40" s="42">
        <v>250000</v>
      </c>
      <c r="M40" s="70"/>
      <c r="N40" s="44"/>
      <c r="O40" s="43" t="s">
        <v>192</v>
      </c>
      <c r="P40" s="18">
        <f t="shared" si="0"/>
        <v>40000</v>
      </c>
    </row>
    <row r="41" spans="1:17" ht="20.100000000000001" customHeight="1" x14ac:dyDescent="0.3">
      <c r="A41" s="39" t="s">
        <v>44</v>
      </c>
      <c r="B41" s="27" t="s">
        <v>45</v>
      </c>
      <c r="C41" s="27" t="s">
        <v>46</v>
      </c>
      <c r="D41" s="27" t="s">
        <v>133</v>
      </c>
      <c r="E41" s="27"/>
      <c r="F41" s="27" t="s">
        <v>176</v>
      </c>
      <c r="G41" s="27"/>
      <c r="H41" s="27"/>
      <c r="I41" s="27" t="s">
        <v>72</v>
      </c>
      <c r="J41" s="40">
        <v>14491071441007</v>
      </c>
      <c r="K41" s="41">
        <v>315000</v>
      </c>
      <c r="L41" s="42">
        <v>375000</v>
      </c>
      <c r="M41" s="70"/>
      <c r="N41" s="44"/>
      <c r="O41" s="43" t="s">
        <v>192</v>
      </c>
      <c r="P41" s="18">
        <f t="shared" si="0"/>
        <v>60000</v>
      </c>
      <c r="Q41" s="45"/>
    </row>
    <row r="42" spans="1:17" ht="20.100000000000001" customHeight="1" x14ac:dyDescent="0.3">
      <c r="A42" s="39" t="s">
        <v>44</v>
      </c>
      <c r="B42" s="27" t="s">
        <v>45</v>
      </c>
      <c r="C42" s="27" t="s">
        <v>46</v>
      </c>
      <c r="D42" s="27" t="s">
        <v>133</v>
      </c>
      <c r="E42" s="27"/>
      <c r="F42" s="27" t="s">
        <v>177</v>
      </c>
      <c r="G42" s="27"/>
      <c r="H42" s="27"/>
      <c r="I42" s="27" t="s">
        <v>62</v>
      </c>
      <c r="J42" s="40">
        <v>9201032272886</v>
      </c>
      <c r="K42" s="41">
        <v>105000</v>
      </c>
      <c r="L42" s="42">
        <v>125000</v>
      </c>
      <c r="M42" s="70"/>
      <c r="N42" s="44"/>
      <c r="O42" s="43" t="s">
        <v>192</v>
      </c>
      <c r="P42" s="18">
        <f t="shared" si="0"/>
        <v>20000</v>
      </c>
    </row>
    <row r="43" spans="1:17" ht="20.100000000000001" customHeight="1" x14ac:dyDescent="0.3">
      <c r="A43" s="39" t="s">
        <v>44</v>
      </c>
      <c r="B43" s="27" t="s">
        <v>45</v>
      </c>
      <c r="C43" s="27" t="s">
        <v>46</v>
      </c>
      <c r="D43" s="27" t="s">
        <v>133</v>
      </c>
      <c r="E43" s="27"/>
      <c r="F43" s="27" t="s">
        <v>178</v>
      </c>
      <c r="G43" s="27"/>
      <c r="H43" s="27"/>
      <c r="I43" s="27" t="s">
        <v>190</v>
      </c>
      <c r="J43" s="40">
        <v>9003302188567</v>
      </c>
      <c r="K43" s="41">
        <v>52500</v>
      </c>
      <c r="L43" s="42">
        <v>62500</v>
      </c>
      <c r="M43" s="70"/>
      <c r="N43" s="44"/>
      <c r="O43" s="43" t="s">
        <v>192</v>
      </c>
      <c r="P43" s="18">
        <f t="shared" si="0"/>
        <v>10000</v>
      </c>
    </row>
    <row r="44" spans="1:17" ht="20.100000000000001" customHeight="1" x14ac:dyDescent="0.3">
      <c r="A44" s="39" t="s">
        <v>44</v>
      </c>
      <c r="B44" s="27" t="s">
        <v>45</v>
      </c>
      <c r="C44" s="27" t="s">
        <v>46</v>
      </c>
      <c r="D44" s="27" t="s">
        <v>133</v>
      </c>
      <c r="E44" s="27"/>
      <c r="F44" s="27" t="s">
        <v>180</v>
      </c>
      <c r="G44" s="27"/>
      <c r="H44" s="27"/>
      <c r="I44" s="27" t="s">
        <v>62</v>
      </c>
      <c r="J44" s="40">
        <v>9100051571612</v>
      </c>
      <c r="K44" s="41">
        <v>105000</v>
      </c>
      <c r="L44" s="42">
        <v>125000</v>
      </c>
      <c r="M44" s="70"/>
      <c r="N44" s="44"/>
      <c r="O44" s="43" t="s">
        <v>192</v>
      </c>
      <c r="P44" s="18">
        <f t="shared" si="0"/>
        <v>20000</v>
      </c>
    </row>
    <row r="45" spans="1:17" ht="20.100000000000001" customHeight="1" x14ac:dyDescent="0.3">
      <c r="A45" s="39" t="s">
        <v>44</v>
      </c>
      <c r="B45" s="27" t="s">
        <v>45</v>
      </c>
      <c r="C45" s="27" t="s">
        <v>46</v>
      </c>
      <c r="D45" s="27" t="s">
        <v>133</v>
      </c>
      <c r="E45" s="27"/>
      <c r="F45" s="27" t="s">
        <v>181</v>
      </c>
      <c r="G45" s="27"/>
      <c r="H45" s="27"/>
      <c r="I45" s="27" t="s">
        <v>62</v>
      </c>
      <c r="J45" s="40">
        <v>9100058005944</v>
      </c>
      <c r="K45" s="73">
        <v>405000</v>
      </c>
      <c r="L45" s="72">
        <v>405000</v>
      </c>
      <c r="M45" s="70"/>
      <c r="N45" s="44"/>
      <c r="O45" s="43" t="s">
        <v>192</v>
      </c>
      <c r="P45" s="18">
        <f t="shared" si="0"/>
        <v>0</v>
      </c>
    </row>
    <row r="46" spans="1:17" ht="20.100000000000001" customHeight="1" x14ac:dyDescent="0.3">
      <c r="A46" s="39" t="s">
        <v>44</v>
      </c>
      <c r="B46" s="27" t="s">
        <v>45</v>
      </c>
      <c r="C46" s="27" t="s">
        <v>46</v>
      </c>
      <c r="D46" s="27" t="s">
        <v>193</v>
      </c>
      <c r="E46" s="27"/>
      <c r="F46" s="27" t="s">
        <v>179</v>
      </c>
      <c r="G46" s="27"/>
      <c r="H46" s="27"/>
      <c r="I46" s="27" t="s">
        <v>72</v>
      </c>
      <c r="J46" s="40">
        <v>19891033805907</v>
      </c>
      <c r="K46" s="73">
        <v>610000</v>
      </c>
      <c r="L46" s="72">
        <v>710000</v>
      </c>
      <c r="M46" s="70"/>
      <c r="N46" s="44"/>
      <c r="O46" s="43" t="s">
        <v>192</v>
      </c>
      <c r="P46" s="18">
        <f t="shared" si="0"/>
        <v>100000</v>
      </c>
    </row>
    <row r="47" spans="1:17" ht="20.100000000000001" customHeight="1" x14ac:dyDescent="0.3">
      <c r="A47" s="39" t="s">
        <v>44</v>
      </c>
      <c r="B47" s="27" t="s">
        <v>45</v>
      </c>
      <c r="C47" s="27" t="s">
        <v>46</v>
      </c>
      <c r="D47" s="27" t="s">
        <v>193</v>
      </c>
      <c r="E47" s="27"/>
      <c r="F47" s="27" t="s">
        <v>182</v>
      </c>
      <c r="G47" s="27"/>
      <c r="H47" s="27"/>
      <c r="I47" s="27" t="s">
        <v>62</v>
      </c>
      <c r="J47" s="40">
        <v>9500021276964</v>
      </c>
      <c r="K47" s="73">
        <v>695000</v>
      </c>
      <c r="L47" s="72">
        <v>795000</v>
      </c>
      <c r="M47" s="70"/>
      <c r="N47" s="44"/>
      <c r="O47" s="43" t="s">
        <v>192</v>
      </c>
      <c r="P47" s="18">
        <f t="shared" si="0"/>
        <v>100000</v>
      </c>
    </row>
    <row r="48" spans="1:17" ht="20.100000000000001" customHeight="1" x14ac:dyDescent="0.3">
      <c r="A48" s="39" t="s">
        <v>44</v>
      </c>
      <c r="B48" s="27" t="s">
        <v>45</v>
      </c>
      <c r="C48" s="27" t="s">
        <v>46</v>
      </c>
      <c r="D48" s="27" t="s">
        <v>193</v>
      </c>
      <c r="E48" s="27"/>
      <c r="F48" s="27" t="s">
        <v>183</v>
      </c>
      <c r="G48" s="27"/>
      <c r="H48" s="27"/>
      <c r="I48" s="27" t="s">
        <v>62</v>
      </c>
      <c r="J48" s="40">
        <v>9500020135065</v>
      </c>
      <c r="K48" s="73">
        <v>610000</v>
      </c>
      <c r="L48" s="72">
        <v>710000</v>
      </c>
      <c r="M48" s="70"/>
      <c r="N48" s="44"/>
      <c r="O48" s="43" t="s">
        <v>192</v>
      </c>
      <c r="P48" s="18">
        <f t="shared" si="0"/>
        <v>100000</v>
      </c>
    </row>
    <row r="49" spans="1:16" ht="20.100000000000001" customHeight="1" x14ac:dyDescent="0.3">
      <c r="A49" s="39" t="s">
        <v>44</v>
      </c>
      <c r="B49" s="27" t="s">
        <v>45</v>
      </c>
      <c r="C49" s="27" t="s">
        <v>46</v>
      </c>
      <c r="D49" s="27" t="s">
        <v>193</v>
      </c>
      <c r="E49" s="27"/>
      <c r="F49" s="27" t="s">
        <v>184</v>
      </c>
      <c r="G49" s="27"/>
      <c r="H49" s="27"/>
      <c r="I49" s="27" t="s">
        <v>72</v>
      </c>
      <c r="J49" s="40">
        <v>23391067820107</v>
      </c>
      <c r="K49" s="73">
        <v>695000</v>
      </c>
      <c r="L49" s="72">
        <v>795000</v>
      </c>
      <c r="M49" s="70"/>
      <c r="N49" s="44"/>
      <c r="O49" s="43" t="s">
        <v>192</v>
      </c>
      <c r="P49" s="18">
        <f t="shared" si="0"/>
        <v>100000</v>
      </c>
    </row>
    <row r="50" spans="1:16" ht="20.100000000000001" customHeight="1" x14ac:dyDescent="0.3">
      <c r="A50" s="39" t="s">
        <v>44</v>
      </c>
      <c r="B50" s="27" t="s">
        <v>45</v>
      </c>
      <c r="C50" s="27" t="s">
        <v>46</v>
      </c>
      <c r="D50" s="27" t="s">
        <v>193</v>
      </c>
      <c r="E50" s="27"/>
      <c r="F50" s="27" t="s">
        <v>167</v>
      </c>
      <c r="G50" s="27"/>
      <c r="H50" s="27"/>
      <c r="I50" s="27" t="s">
        <v>189</v>
      </c>
      <c r="J50" s="40">
        <v>50902008559025</v>
      </c>
      <c r="K50" s="73">
        <v>610000</v>
      </c>
      <c r="L50" s="72">
        <v>710000</v>
      </c>
      <c r="M50" s="70"/>
      <c r="N50" s="44"/>
      <c r="O50" s="43" t="s">
        <v>192</v>
      </c>
      <c r="P50" s="18">
        <f t="shared" si="0"/>
        <v>100000</v>
      </c>
    </row>
    <row r="51" spans="1:16" ht="20.100000000000001" customHeight="1" x14ac:dyDescent="0.3">
      <c r="A51" s="39" t="s">
        <v>44</v>
      </c>
      <c r="B51" s="27" t="s">
        <v>45</v>
      </c>
      <c r="C51" s="27" t="s">
        <v>46</v>
      </c>
      <c r="D51" s="27" t="s">
        <v>193</v>
      </c>
      <c r="E51" s="27"/>
      <c r="F51" s="27" t="s">
        <v>185</v>
      </c>
      <c r="G51" s="27"/>
      <c r="H51" s="27"/>
      <c r="I51" s="27" t="s">
        <v>191</v>
      </c>
      <c r="J51" s="40">
        <v>9100052197783</v>
      </c>
      <c r="K51" s="73">
        <v>610000</v>
      </c>
      <c r="L51" s="72">
        <v>710000</v>
      </c>
      <c r="M51" s="70"/>
      <c r="N51" s="44"/>
      <c r="O51" s="43" t="s">
        <v>192</v>
      </c>
      <c r="P51" s="18">
        <f t="shared" si="0"/>
        <v>100000</v>
      </c>
    </row>
    <row r="52" spans="1:16" ht="20.100000000000001" customHeight="1" x14ac:dyDescent="0.3">
      <c r="A52" s="39" t="s">
        <v>44</v>
      </c>
      <c r="B52" s="27" t="s">
        <v>45</v>
      </c>
      <c r="C52" s="27" t="s">
        <v>46</v>
      </c>
      <c r="D52" s="27" t="s">
        <v>193</v>
      </c>
      <c r="E52" s="27"/>
      <c r="F52" s="27" t="s">
        <v>186</v>
      </c>
      <c r="G52" s="27"/>
      <c r="H52" s="27"/>
      <c r="I52" s="27" t="s">
        <v>72</v>
      </c>
      <c r="J52" s="40">
        <v>14491076606707</v>
      </c>
      <c r="K52" s="73">
        <v>105000</v>
      </c>
      <c r="L52" s="72">
        <v>125000</v>
      </c>
      <c r="M52" s="70"/>
      <c r="N52" s="44"/>
      <c r="O52" s="43" t="s">
        <v>192</v>
      </c>
      <c r="P52" s="18">
        <f t="shared" si="0"/>
        <v>20000</v>
      </c>
    </row>
    <row r="53" spans="1:16" ht="20.100000000000001" customHeight="1" x14ac:dyDescent="0.3">
      <c r="A53" s="39" t="s">
        <v>44</v>
      </c>
      <c r="B53" s="27" t="s">
        <v>45</v>
      </c>
      <c r="C53" s="27" t="s">
        <v>46</v>
      </c>
      <c r="D53" s="27" t="s">
        <v>193</v>
      </c>
      <c r="E53" s="27"/>
      <c r="F53" s="27" t="s">
        <v>187</v>
      </c>
      <c r="G53" s="27"/>
      <c r="H53" s="27"/>
      <c r="I53" s="27" t="s">
        <v>51</v>
      </c>
      <c r="J53" s="40">
        <v>3020379742871</v>
      </c>
      <c r="K53" s="73">
        <v>525000</v>
      </c>
      <c r="L53" s="72">
        <v>625000</v>
      </c>
      <c r="M53" s="70"/>
      <c r="N53" s="44"/>
      <c r="O53" s="43" t="s">
        <v>192</v>
      </c>
      <c r="P53" s="18">
        <f t="shared" si="0"/>
        <v>100000</v>
      </c>
    </row>
    <row r="54" spans="1:16" ht="20.100000000000001" customHeight="1" x14ac:dyDescent="0.3">
      <c r="A54" s="39" t="s">
        <v>218</v>
      </c>
      <c r="B54" s="27" t="s">
        <v>45</v>
      </c>
      <c r="C54" s="27" t="s">
        <v>46</v>
      </c>
      <c r="D54" s="27" t="s">
        <v>133</v>
      </c>
      <c r="E54" s="27"/>
      <c r="F54" s="27" t="s">
        <v>139</v>
      </c>
      <c r="G54" s="27"/>
      <c r="H54" s="27"/>
      <c r="I54" s="27" t="s">
        <v>58</v>
      </c>
      <c r="J54" s="40">
        <v>47940104348839</v>
      </c>
      <c r="K54" s="73">
        <v>330000</v>
      </c>
      <c r="L54" s="72">
        <v>390000</v>
      </c>
      <c r="M54" s="70"/>
      <c r="N54" s="44"/>
      <c r="O54" s="43" t="s">
        <v>216</v>
      </c>
      <c r="P54" s="18">
        <f t="shared" si="0"/>
        <v>60000</v>
      </c>
    </row>
    <row r="55" spans="1:16" ht="20.100000000000001" customHeight="1" x14ac:dyDescent="0.3">
      <c r="A55" s="39" t="s">
        <v>218</v>
      </c>
      <c r="B55" s="27" t="s">
        <v>45</v>
      </c>
      <c r="C55" s="27" t="s">
        <v>46</v>
      </c>
      <c r="D55" s="27" t="s">
        <v>133</v>
      </c>
      <c r="E55" s="27"/>
      <c r="F55" s="27" t="s">
        <v>140</v>
      </c>
      <c r="G55" s="27"/>
      <c r="H55" s="27"/>
      <c r="I55" s="27" t="s">
        <v>72</v>
      </c>
      <c r="J55" s="40">
        <v>35491018079107</v>
      </c>
      <c r="K55" s="73">
        <v>550000</v>
      </c>
      <c r="L55" s="72">
        <v>550000</v>
      </c>
      <c r="M55" s="70"/>
      <c r="N55" s="44"/>
      <c r="O55" s="43" t="s">
        <v>216</v>
      </c>
      <c r="P55" s="18">
        <f t="shared" si="0"/>
        <v>0</v>
      </c>
    </row>
    <row r="56" spans="1:16" ht="20.100000000000001" customHeight="1" x14ac:dyDescent="0.3">
      <c r="A56" s="39" t="s">
        <v>218</v>
      </c>
      <c r="B56" s="27" t="s">
        <v>45</v>
      </c>
      <c r="C56" s="27" t="s">
        <v>46</v>
      </c>
      <c r="D56" s="27" t="s">
        <v>133</v>
      </c>
      <c r="E56" s="27"/>
      <c r="F56" s="27" t="s">
        <v>141</v>
      </c>
      <c r="G56" s="27"/>
      <c r="H56" s="27"/>
      <c r="I56" s="27" t="s">
        <v>72</v>
      </c>
      <c r="J56" s="40">
        <v>23391065673307</v>
      </c>
      <c r="K56" s="73">
        <v>604850</v>
      </c>
      <c r="L56" s="72">
        <v>753500</v>
      </c>
      <c r="M56" s="70">
        <v>28650</v>
      </c>
      <c r="N56" s="44" t="s">
        <v>243</v>
      </c>
      <c r="O56" s="43" t="s">
        <v>216</v>
      </c>
      <c r="P56" s="18">
        <f t="shared" si="0"/>
        <v>148650</v>
      </c>
    </row>
    <row r="57" spans="1:16" ht="20.100000000000001" customHeight="1" x14ac:dyDescent="0.3">
      <c r="A57" s="39" t="s">
        <v>218</v>
      </c>
      <c r="B57" s="27" t="s">
        <v>45</v>
      </c>
      <c r="C57" s="27" t="s">
        <v>46</v>
      </c>
      <c r="D57" s="27" t="s">
        <v>133</v>
      </c>
      <c r="E57" s="27"/>
      <c r="F57" s="27" t="s">
        <v>142</v>
      </c>
      <c r="G57" s="27"/>
      <c r="H57" s="27"/>
      <c r="I57" s="27" t="s">
        <v>72</v>
      </c>
      <c r="J57" s="40">
        <v>23391065673307</v>
      </c>
      <c r="K57" s="73">
        <v>604850</v>
      </c>
      <c r="L57" s="72">
        <v>753500</v>
      </c>
      <c r="M57" s="70">
        <v>28650</v>
      </c>
      <c r="N57" s="44" t="s">
        <v>243</v>
      </c>
      <c r="O57" s="43" t="s">
        <v>216</v>
      </c>
      <c r="P57" s="18">
        <f t="shared" si="0"/>
        <v>148650</v>
      </c>
    </row>
    <row r="58" spans="1:16" ht="20.100000000000001" customHeight="1" x14ac:dyDescent="0.3">
      <c r="A58" s="39" t="s">
        <v>218</v>
      </c>
      <c r="B58" s="27" t="s">
        <v>45</v>
      </c>
      <c r="C58" s="27" t="s">
        <v>46</v>
      </c>
      <c r="D58" s="27" t="s">
        <v>133</v>
      </c>
      <c r="E58" s="27"/>
      <c r="F58" s="27" t="s">
        <v>143</v>
      </c>
      <c r="G58" s="27"/>
      <c r="H58" s="27"/>
      <c r="I58" s="27" t="s">
        <v>72</v>
      </c>
      <c r="J58" s="40">
        <v>29991054312107</v>
      </c>
      <c r="K58" s="73">
        <v>318500</v>
      </c>
      <c r="L58" s="72">
        <v>393500</v>
      </c>
      <c r="M58" s="70"/>
      <c r="N58" s="44"/>
      <c r="O58" s="43" t="s">
        <v>216</v>
      </c>
      <c r="P58" s="18">
        <f t="shared" si="0"/>
        <v>75000</v>
      </c>
    </row>
    <row r="59" spans="1:16" ht="20.100000000000001" customHeight="1" x14ac:dyDescent="0.3">
      <c r="A59" s="39" t="s">
        <v>218</v>
      </c>
      <c r="B59" s="27" t="s">
        <v>45</v>
      </c>
      <c r="C59" s="27" t="s">
        <v>46</v>
      </c>
      <c r="D59" s="27" t="s">
        <v>133</v>
      </c>
      <c r="E59" s="27"/>
      <c r="F59" s="27" t="s">
        <v>144</v>
      </c>
      <c r="G59" s="27"/>
      <c r="H59" s="27"/>
      <c r="I59" s="27" t="s">
        <v>72</v>
      </c>
      <c r="J59" s="40">
        <v>23391063977607</v>
      </c>
      <c r="K59" s="73">
        <v>315000</v>
      </c>
      <c r="L59" s="72">
        <v>390000</v>
      </c>
      <c r="M59" s="70"/>
      <c r="N59" s="44"/>
      <c r="O59" s="43" t="s">
        <v>216</v>
      </c>
      <c r="P59" s="18">
        <f t="shared" si="0"/>
        <v>75000</v>
      </c>
    </row>
    <row r="60" spans="1:16" ht="20.100000000000001" customHeight="1" x14ac:dyDescent="0.3">
      <c r="A60" s="39" t="s">
        <v>218</v>
      </c>
      <c r="B60" s="27" t="s">
        <v>45</v>
      </c>
      <c r="C60" s="27" t="s">
        <v>46</v>
      </c>
      <c r="D60" s="27" t="s">
        <v>133</v>
      </c>
      <c r="E60" s="27"/>
      <c r="F60" s="27" t="s">
        <v>147</v>
      </c>
      <c r="G60" s="27"/>
      <c r="H60" s="27"/>
      <c r="I60" s="27" t="s">
        <v>51</v>
      </c>
      <c r="J60" s="40">
        <v>3561626523273</v>
      </c>
      <c r="K60" s="73">
        <v>317100</v>
      </c>
      <c r="L60" s="72">
        <v>392100</v>
      </c>
      <c r="M60" s="70"/>
      <c r="N60" s="44"/>
      <c r="O60" s="43" t="s">
        <v>216</v>
      </c>
      <c r="P60" s="18">
        <f t="shared" si="0"/>
        <v>75000</v>
      </c>
    </row>
    <row r="61" spans="1:16" ht="20.100000000000001" customHeight="1" x14ac:dyDescent="0.3">
      <c r="A61" s="39" t="s">
        <v>218</v>
      </c>
      <c r="B61" s="27" t="s">
        <v>45</v>
      </c>
      <c r="C61" s="27" t="s">
        <v>46</v>
      </c>
      <c r="D61" s="27" t="s">
        <v>133</v>
      </c>
      <c r="E61" s="27"/>
      <c r="F61" s="27" t="s">
        <v>148</v>
      </c>
      <c r="G61" s="27"/>
      <c r="H61" s="27"/>
      <c r="I61" s="27" t="s">
        <v>72</v>
      </c>
      <c r="J61" s="40">
        <v>68091053420107</v>
      </c>
      <c r="K61" s="73">
        <v>210000</v>
      </c>
      <c r="L61" s="72">
        <v>260000</v>
      </c>
      <c r="M61" s="70"/>
      <c r="N61" s="44"/>
      <c r="O61" s="43" t="s">
        <v>216</v>
      </c>
      <c r="P61" s="18">
        <f t="shared" si="0"/>
        <v>50000</v>
      </c>
    </row>
    <row r="62" spans="1:16" ht="20.100000000000001" customHeight="1" x14ac:dyDescent="0.3">
      <c r="A62" s="39" t="s">
        <v>218</v>
      </c>
      <c r="B62" s="27" t="s">
        <v>45</v>
      </c>
      <c r="C62" s="27" t="s">
        <v>46</v>
      </c>
      <c r="D62" s="27" t="s">
        <v>133</v>
      </c>
      <c r="E62" s="27"/>
      <c r="F62" s="27" t="s">
        <v>149</v>
      </c>
      <c r="G62" s="27"/>
      <c r="H62" s="27"/>
      <c r="I62" s="27" t="s">
        <v>72</v>
      </c>
      <c r="J62" s="40">
        <v>57191056846807</v>
      </c>
      <c r="K62" s="73">
        <v>676420</v>
      </c>
      <c r="L62" s="72">
        <v>877100</v>
      </c>
      <c r="M62" s="70">
        <v>60680</v>
      </c>
      <c r="N62" s="44" t="s">
        <v>243</v>
      </c>
      <c r="O62" s="43" t="s">
        <v>216</v>
      </c>
      <c r="P62" s="18">
        <f t="shared" si="0"/>
        <v>200680</v>
      </c>
    </row>
    <row r="63" spans="1:16" ht="20.100000000000001" customHeight="1" x14ac:dyDescent="0.3">
      <c r="A63" s="39" t="s">
        <v>218</v>
      </c>
      <c r="B63" s="27" t="s">
        <v>45</v>
      </c>
      <c r="C63" s="27" t="s">
        <v>46</v>
      </c>
      <c r="D63" s="27" t="s">
        <v>133</v>
      </c>
      <c r="E63" s="27"/>
      <c r="F63" s="27" t="s">
        <v>150</v>
      </c>
      <c r="G63" s="27"/>
      <c r="H63" s="27"/>
      <c r="I63" s="27" t="s">
        <v>72</v>
      </c>
      <c r="J63" s="40">
        <v>39891066942107</v>
      </c>
      <c r="K63" s="73">
        <v>642260</v>
      </c>
      <c r="L63" s="72">
        <v>875000</v>
      </c>
      <c r="M63" s="70">
        <v>92740</v>
      </c>
      <c r="N63" s="44" t="s">
        <v>243</v>
      </c>
      <c r="O63" s="43" t="s">
        <v>216</v>
      </c>
      <c r="P63" s="18">
        <f t="shared" si="0"/>
        <v>232740</v>
      </c>
    </row>
    <row r="64" spans="1:16" ht="20.100000000000001" customHeight="1" x14ac:dyDescent="0.3">
      <c r="A64" s="39" t="s">
        <v>218</v>
      </c>
      <c r="B64" s="27" t="s">
        <v>45</v>
      </c>
      <c r="C64" s="27" t="s">
        <v>46</v>
      </c>
      <c r="D64" s="27" t="s">
        <v>133</v>
      </c>
      <c r="E64" s="27"/>
      <c r="F64" s="27" t="s">
        <v>151</v>
      </c>
      <c r="G64" s="27"/>
      <c r="H64" s="27"/>
      <c r="I64" s="27" t="s">
        <v>72</v>
      </c>
      <c r="J64" s="40">
        <v>39891066942107</v>
      </c>
      <c r="K64" s="73">
        <v>642260</v>
      </c>
      <c r="L64" s="72">
        <v>875000</v>
      </c>
      <c r="M64" s="70">
        <v>92740</v>
      </c>
      <c r="N64" s="44" t="s">
        <v>243</v>
      </c>
      <c r="O64" s="43" t="s">
        <v>216</v>
      </c>
      <c r="P64" s="18">
        <f t="shared" si="0"/>
        <v>232740</v>
      </c>
    </row>
    <row r="65" spans="1:16" ht="20.100000000000001" customHeight="1" x14ac:dyDescent="0.3">
      <c r="A65" s="39" t="s">
        <v>218</v>
      </c>
      <c r="B65" s="27" t="s">
        <v>45</v>
      </c>
      <c r="C65" s="27" t="s">
        <v>46</v>
      </c>
      <c r="D65" s="27" t="s">
        <v>133</v>
      </c>
      <c r="E65" s="27"/>
      <c r="F65" s="27" t="s">
        <v>152</v>
      </c>
      <c r="G65" s="27"/>
      <c r="H65" s="27"/>
      <c r="I65" s="27" t="s">
        <v>51</v>
      </c>
      <c r="J65" s="40">
        <v>3560935626623</v>
      </c>
      <c r="K65" s="73">
        <v>420000</v>
      </c>
      <c r="L65" s="72">
        <v>520000</v>
      </c>
      <c r="M65" s="70"/>
      <c r="N65" s="44"/>
      <c r="O65" s="43" t="s">
        <v>216</v>
      </c>
      <c r="P65" s="18">
        <f t="shared" si="0"/>
        <v>100000</v>
      </c>
    </row>
    <row r="66" spans="1:16" ht="20.100000000000001" customHeight="1" x14ac:dyDescent="0.3">
      <c r="A66" s="39" t="s">
        <v>218</v>
      </c>
      <c r="B66" s="27" t="s">
        <v>45</v>
      </c>
      <c r="C66" s="27" t="s">
        <v>46</v>
      </c>
      <c r="D66" s="27" t="s">
        <v>133</v>
      </c>
      <c r="E66" s="27"/>
      <c r="F66" s="27" t="s">
        <v>153</v>
      </c>
      <c r="G66" s="27"/>
      <c r="H66" s="27"/>
      <c r="I66" s="27" t="s">
        <v>188</v>
      </c>
      <c r="J66" s="40">
        <v>36110662801011</v>
      </c>
      <c r="K66" s="73">
        <v>527100</v>
      </c>
      <c r="L66" s="72">
        <v>652100</v>
      </c>
      <c r="M66" s="70"/>
      <c r="N66" s="44"/>
      <c r="O66" s="43" t="s">
        <v>216</v>
      </c>
      <c r="P66" s="18">
        <f t="shared" si="0"/>
        <v>125000</v>
      </c>
    </row>
    <row r="67" spans="1:16" ht="20.100000000000001" customHeight="1" x14ac:dyDescent="0.3">
      <c r="A67" s="39" t="s">
        <v>218</v>
      </c>
      <c r="B67" s="27" t="s">
        <v>45</v>
      </c>
      <c r="C67" s="27" t="s">
        <v>46</v>
      </c>
      <c r="D67" s="27" t="s">
        <v>133</v>
      </c>
      <c r="E67" s="27"/>
      <c r="F67" s="27" t="s">
        <v>154</v>
      </c>
      <c r="G67" s="27"/>
      <c r="H67" s="27"/>
      <c r="I67" s="27" t="s">
        <v>51</v>
      </c>
      <c r="J67" s="40">
        <v>3512536253663</v>
      </c>
      <c r="K67" s="73">
        <v>536900</v>
      </c>
      <c r="L67" s="72">
        <v>661900</v>
      </c>
      <c r="M67" s="70"/>
      <c r="N67" s="44"/>
      <c r="O67" s="43" t="s">
        <v>216</v>
      </c>
      <c r="P67" s="18">
        <f t="shared" si="0"/>
        <v>125000</v>
      </c>
    </row>
    <row r="68" spans="1:16" ht="20.100000000000001" customHeight="1" x14ac:dyDescent="0.3">
      <c r="A68" s="39" t="s">
        <v>218</v>
      </c>
      <c r="B68" s="27" t="s">
        <v>45</v>
      </c>
      <c r="C68" s="27" t="s">
        <v>46</v>
      </c>
      <c r="D68" s="27" t="s">
        <v>133</v>
      </c>
      <c r="E68" s="27"/>
      <c r="F68" s="27" t="s">
        <v>155</v>
      </c>
      <c r="G68" s="27"/>
      <c r="H68" s="27"/>
      <c r="I68" s="27" t="s">
        <v>55</v>
      </c>
      <c r="J68" s="40">
        <v>1002863255436</v>
      </c>
      <c r="K68" s="73">
        <v>541100</v>
      </c>
      <c r="L68" s="72">
        <v>666100</v>
      </c>
      <c r="M68" s="70"/>
      <c r="N68" s="44"/>
      <c r="O68" s="43" t="s">
        <v>216</v>
      </c>
      <c r="P68" s="18">
        <f t="shared" si="0"/>
        <v>125000</v>
      </c>
    </row>
    <row r="69" spans="1:16" ht="20.100000000000001" customHeight="1" x14ac:dyDescent="0.3">
      <c r="A69" s="39" t="s">
        <v>218</v>
      </c>
      <c r="B69" s="27" t="s">
        <v>45</v>
      </c>
      <c r="C69" s="27" t="s">
        <v>46</v>
      </c>
      <c r="D69" s="27" t="s">
        <v>133</v>
      </c>
      <c r="E69" s="27"/>
      <c r="F69" s="27" t="s">
        <v>227</v>
      </c>
      <c r="G69" s="27"/>
      <c r="H69" s="27"/>
      <c r="I69" s="27" t="s">
        <v>58</v>
      </c>
      <c r="J69" s="40">
        <v>48460104164408</v>
      </c>
      <c r="K69" s="73">
        <v>105000</v>
      </c>
      <c r="L69" s="72">
        <v>125000</v>
      </c>
      <c r="M69" s="70"/>
      <c r="N69" s="44"/>
      <c r="O69" s="43" t="s">
        <v>216</v>
      </c>
      <c r="P69" s="18">
        <f t="shared" si="0"/>
        <v>20000</v>
      </c>
    </row>
    <row r="70" spans="1:16" ht="20.100000000000001" customHeight="1" x14ac:dyDescent="0.3">
      <c r="A70" s="39" t="s">
        <v>218</v>
      </c>
      <c r="B70" s="27" t="s">
        <v>45</v>
      </c>
      <c r="C70" s="27" t="s">
        <v>46</v>
      </c>
      <c r="D70" s="27" t="s">
        <v>133</v>
      </c>
      <c r="E70" s="27"/>
      <c r="F70" s="27" t="s">
        <v>228</v>
      </c>
      <c r="G70" s="27"/>
      <c r="H70" s="27"/>
      <c r="I70" s="27" t="s">
        <v>58</v>
      </c>
      <c r="J70" s="40">
        <v>48460104164862</v>
      </c>
      <c r="K70" s="73">
        <v>105000</v>
      </c>
      <c r="L70" s="72">
        <v>125000</v>
      </c>
      <c r="M70" s="70"/>
      <c r="N70" s="44"/>
      <c r="O70" s="43" t="s">
        <v>216</v>
      </c>
      <c r="P70" s="18">
        <f t="shared" ref="P70:P133" si="1">L70-K70</f>
        <v>20000</v>
      </c>
    </row>
    <row r="71" spans="1:16" ht="20.100000000000001" customHeight="1" x14ac:dyDescent="0.3">
      <c r="A71" s="39" t="s">
        <v>218</v>
      </c>
      <c r="B71" s="27" t="s">
        <v>45</v>
      </c>
      <c r="C71" s="27" t="s">
        <v>46</v>
      </c>
      <c r="D71" s="27" t="s">
        <v>133</v>
      </c>
      <c r="E71" s="27"/>
      <c r="F71" s="27" t="s">
        <v>229</v>
      </c>
      <c r="G71" s="27"/>
      <c r="H71" s="27"/>
      <c r="I71" s="27" t="s">
        <v>72</v>
      </c>
      <c r="J71" s="40">
        <v>63591097804107</v>
      </c>
      <c r="K71" s="73">
        <v>107100</v>
      </c>
      <c r="L71" s="72">
        <v>127100</v>
      </c>
      <c r="M71" s="70"/>
      <c r="N71" s="44"/>
      <c r="O71" s="43" t="s">
        <v>216</v>
      </c>
      <c r="P71" s="18">
        <f t="shared" si="1"/>
        <v>20000</v>
      </c>
    </row>
    <row r="72" spans="1:16" ht="20.100000000000001" customHeight="1" x14ac:dyDescent="0.3">
      <c r="A72" s="39" t="s">
        <v>218</v>
      </c>
      <c r="B72" s="27" t="s">
        <v>45</v>
      </c>
      <c r="C72" s="27" t="s">
        <v>46</v>
      </c>
      <c r="D72" s="27" t="s">
        <v>133</v>
      </c>
      <c r="E72" s="27"/>
      <c r="F72" s="27" t="s">
        <v>156</v>
      </c>
      <c r="G72" s="27"/>
      <c r="H72" s="27"/>
      <c r="I72" s="27" t="s">
        <v>72</v>
      </c>
      <c r="J72" s="40">
        <v>23391067991707</v>
      </c>
      <c r="K72" s="73">
        <v>548100</v>
      </c>
      <c r="L72" s="72">
        <v>648100</v>
      </c>
      <c r="M72" s="70"/>
      <c r="N72" s="44"/>
      <c r="O72" s="43" t="s">
        <v>216</v>
      </c>
      <c r="P72" s="18">
        <f t="shared" si="1"/>
        <v>100000</v>
      </c>
    </row>
    <row r="73" spans="1:16" ht="20.100000000000001" customHeight="1" x14ac:dyDescent="0.3">
      <c r="A73" s="39" t="s">
        <v>218</v>
      </c>
      <c r="B73" s="27" t="s">
        <v>45</v>
      </c>
      <c r="C73" s="27" t="s">
        <v>46</v>
      </c>
      <c r="D73" s="27" t="s">
        <v>133</v>
      </c>
      <c r="E73" s="27"/>
      <c r="F73" s="27" t="s">
        <v>230</v>
      </c>
      <c r="G73" s="27"/>
      <c r="H73" s="27"/>
      <c r="I73" s="27" t="s">
        <v>62</v>
      </c>
      <c r="J73" s="40">
        <v>9105205337638</v>
      </c>
      <c r="K73" s="73">
        <v>208500</v>
      </c>
      <c r="L73" s="72">
        <v>228500</v>
      </c>
      <c r="M73" s="70"/>
      <c r="N73" s="44"/>
      <c r="O73" s="43" t="s">
        <v>216</v>
      </c>
      <c r="P73" s="18">
        <f t="shared" si="1"/>
        <v>20000</v>
      </c>
    </row>
    <row r="74" spans="1:16" ht="20.100000000000001" customHeight="1" x14ac:dyDescent="0.3">
      <c r="A74" s="39" t="s">
        <v>218</v>
      </c>
      <c r="B74" s="27" t="s">
        <v>45</v>
      </c>
      <c r="C74" s="27" t="s">
        <v>46</v>
      </c>
      <c r="D74" s="27" t="s">
        <v>133</v>
      </c>
      <c r="E74" s="27"/>
      <c r="F74" s="27" t="s">
        <v>231</v>
      </c>
      <c r="G74" s="27"/>
      <c r="H74" s="27"/>
      <c r="I74" s="27" t="s">
        <v>62</v>
      </c>
      <c r="J74" s="40">
        <v>9105205209318</v>
      </c>
      <c r="K74" s="73">
        <v>208500</v>
      </c>
      <c r="L74" s="72">
        <v>228500</v>
      </c>
      <c r="M74" s="70"/>
      <c r="N74" s="44"/>
      <c r="O74" s="43" t="s">
        <v>216</v>
      </c>
      <c r="P74" s="18">
        <f t="shared" si="1"/>
        <v>20000</v>
      </c>
    </row>
    <row r="75" spans="1:16" ht="20.100000000000001" customHeight="1" x14ac:dyDescent="0.3">
      <c r="A75" s="39" t="s">
        <v>218</v>
      </c>
      <c r="B75" s="27" t="s">
        <v>45</v>
      </c>
      <c r="C75" s="27" t="s">
        <v>46</v>
      </c>
      <c r="D75" s="27" t="s">
        <v>133</v>
      </c>
      <c r="E75" s="27"/>
      <c r="F75" s="27" t="s">
        <v>232</v>
      </c>
      <c r="G75" s="27"/>
      <c r="H75" s="27"/>
      <c r="I75" s="27" t="s">
        <v>72</v>
      </c>
      <c r="J75" s="40">
        <v>23391053112107</v>
      </c>
      <c r="K75" s="73">
        <v>105000</v>
      </c>
      <c r="L75" s="72">
        <v>125000</v>
      </c>
      <c r="M75" s="70"/>
      <c r="N75" s="44"/>
      <c r="O75" s="43" t="s">
        <v>216</v>
      </c>
      <c r="P75" s="18">
        <f t="shared" si="1"/>
        <v>20000</v>
      </c>
    </row>
    <row r="76" spans="1:16" ht="20.100000000000001" customHeight="1" x14ac:dyDescent="0.3">
      <c r="A76" s="39" t="s">
        <v>218</v>
      </c>
      <c r="B76" s="27" t="s">
        <v>45</v>
      </c>
      <c r="C76" s="27" t="s">
        <v>46</v>
      </c>
      <c r="D76" s="27" t="s">
        <v>133</v>
      </c>
      <c r="E76" s="27"/>
      <c r="F76" s="27" t="s">
        <v>157</v>
      </c>
      <c r="G76" s="27"/>
      <c r="H76" s="27"/>
      <c r="I76" s="27" t="s">
        <v>72</v>
      </c>
      <c r="J76" s="40">
        <v>23391053112107</v>
      </c>
      <c r="K76" s="73">
        <v>105000</v>
      </c>
      <c r="L76" s="72">
        <v>125000</v>
      </c>
      <c r="M76" s="70"/>
      <c r="N76" s="44"/>
      <c r="O76" s="43" t="s">
        <v>216</v>
      </c>
      <c r="P76" s="18">
        <f t="shared" si="1"/>
        <v>20000</v>
      </c>
    </row>
    <row r="77" spans="1:16" ht="20.100000000000001" customHeight="1" x14ac:dyDescent="0.3">
      <c r="A77" s="39" t="s">
        <v>218</v>
      </c>
      <c r="B77" s="27" t="s">
        <v>45</v>
      </c>
      <c r="C77" s="27" t="s">
        <v>46</v>
      </c>
      <c r="D77" s="27" t="s">
        <v>133</v>
      </c>
      <c r="E77" s="27"/>
      <c r="F77" s="27" t="s">
        <v>233</v>
      </c>
      <c r="G77" s="27"/>
      <c r="H77" s="27"/>
      <c r="I77" s="27" t="s">
        <v>62</v>
      </c>
      <c r="J77" s="40">
        <v>9105205290345</v>
      </c>
      <c r="K77" s="73">
        <v>203500</v>
      </c>
      <c r="L77" s="72">
        <v>223500</v>
      </c>
      <c r="M77" s="70"/>
      <c r="N77" s="44"/>
      <c r="O77" s="43" t="s">
        <v>216</v>
      </c>
      <c r="P77" s="18">
        <f t="shared" si="1"/>
        <v>20000</v>
      </c>
    </row>
    <row r="78" spans="1:16" ht="20.100000000000001" customHeight="1" x14ac:dyDescent="0.3">
      <c r="A78" s="39" t="s">
        <v>218</v>
      </c>
      <c r="B78" s="27" t="s">
        <v>45</v>
      </c>
      <c r="C78" s="27" t="s">
        <v>46</v>
      </c>
      <c r="D78" s="27" t="s">
        <v>133</v>
      </c>
      <c r="E78" s="27"/>
      <c r="F78" s="27" t="s">
        <v>234</v>
      </c>
      <c r="G78" s="27"/>
      <c r="H78" s="27"/>
      <c r="I78" s="27" t="s">
        <v>62</v>
      </c>
      <c r="J78" s="40">
        <v>9105205209669</v>
      </c>
      <c r="K78" s="73">
        <v>98500</v>
      </c>
      <c r="L78" s="72">
        <v>98500</v>
      </c>
      <c r="M78" s="70"/>
      <c r="N78" s="44"/>
      <c r="O78" s="43" t="s">
        <v>216</v>
      </c>
      <c r="P78" s="18">
        <f t="shared" si="1"/>
        <v>0</v>
      </c>
    </row>
    <row r="79" spans="1:16" ht="20.100000000000001" customHeight="1" x14ac:dyDescent="0.3">
      <c r="A79" s="39" t="s">
        <v>218</v>
      </c>
      <c r="B79" s="27" t="s">
        <v>45</v>
      </c>
      <c r="C79" s="27" t="s">
        <v>46</v>
      </c>
      <c r="D79" s="27" t="s">
        <v>133</v>
      </c>
      <c r="E79" s="27"/>
      <c r="F79" s="27" t="s">
        <v>158</v>
      </c>
      <c r="G79" s="27"/>
      <c r="H79" s="27"/>
      <c r="I79" s="27" t="s">
        <v>72</v>
      </c>
      <c r="J79" s="40">
        <v>11692214377437</v>
      </c>
      <c r="K79" s="73">
        <v>630000</v>
      </c>
      <c r="L79" s="72">
        <v>750000</v>
      </c>
      <c r="M79" s="70"/>
      <c r="N79" s="44"/>
      <c r="O79" s="43" t="s">
        <v>216</v>
      </c>
      <c r="P79" s="18">
        <f t="shared" si="1"/>
        <v>120000</v>
      </c>
    </row>
    <row r="80" spans="1:16" ht="20.100000000000001" customHeight="1" x14ac:dyDescent="0.3">
      <c r="A80" s="39" t="s">
        <v>218</v>
      </c>
      <c r="B80" s="27" t="s">
        <v>45</v>
      </c>
      <c r="C80" s="27" t="s">
        <v>46</v>
      </c>
      <c r="D80" s="27" t="s">
        <v>133</v>
      </c>
      <c r="E80" s="27"/>
      <c r="F80" s="27" t="s">
        <v>159</v>
      </c>
      <c r="G80" s="27"/>
      <c r="H80" s="27"/>
      <c r="I80" s="27" t="s">
        <v>72</v>
      </c>
      <c r="J80" s="40">
        <v>23391064161907</v>
      </c>
      <c r="K80" s="73">
        <v>424200</v>
      </c>
      <c r="L80" s="72">
        <v>504200</v>
      </c>
      <c r="M80" s="70"/>
      <c r="N80" s="44"/>
      <c r="O80" s="43" t="s">
        <v>216</v>
      </c>
      <c r="P80" s="18">
        <f t="shared" si="1"/>
        <v>80000</v>
      </c>
    </row>
    <row r="81" spans="1:16" ht="20.100000000000001" customHeight="1" x14ac:dyDescent="0.3">
      <c r="A81" s="39" t="s">
        <v>218</v>
      </c>
      <c r="B81" s="27" t="s">
        <v>45</v>
      </c>
      <c r="C81" s="27" t="s">
        <v>46</v>
      </c>
      <c r="D81" s="27" t="s">
        <v>133</v>
      </c>
      <c r="E81" s="27"/>
      <c r="F81" s="27" t="s">
        <v>160</v>
      </c>
      <c r="G81" s="27"/>
      <c r="H81" s="27"/>
      <c r="I81" s="27" t="s">
        <v>58</v>
      </c>
      <c r="J81" s="40">
        <v>29250201308193</v>
      </c>
      <c r="K81" s="73">
        <v>631400</v>
      </c>
      <c r="L81" s="72">
        <v>751400</v>
      </c>
      <c r="M81" s="70"/>
      <c r="N81" s="44"/>
      <c r="O81" s="43" t="s">
        <v>216</v>
      </c>
      <c r="P81" s="18">
        <f t="shared" si="1"/>
        <v>120000</v>
      </c>
    </row>
    <row r="82" spans="1:16" ht="20.100000000000001" customHeight="1" x14ac:dyDescent="0.3">
      <c r="A82" s="39" t="s">
        <v>218</v>
      </c>
      <c r="B82" s="27" t="s">
        <v>45</v>
      </c>
      <c r="C82" s="27" t="s">
        <v>46</v>
      </c>
      <c r="D82" s="27" t="s">
        <v>133</v>
      </c>
      <c r="E82" s="27"/>
      <c r="F82" s="27" t="s">
        <v>161</v>
      </c>
      <c r="G82" s="27"/>
      <c r="H82" s="27"/>
      <c r="I82" s="27" t="s">
        <v>76</v>
      </c>
      <c r="J82" s="40">
        <v>100089184707</v>
      </c>
      <c r="K82" s="73">
        <v>210000</v>
      </c>
      <c r="L82" s="72">
        <v>250000</v>
      </c>
      <c r="M82" s="70"/>
      <c r="N82" s="44"/>
      <c r="O82" s="43" t="s">
        <v>216</v>
      </c>
      <c r="P82" s="18">
        <f t="shared" si="1"/>
        <v>40000</v>
      </c>
    </row>
    <row r="83" spans="1:16" ht="20.100000000000001" customHeight="1" x14ac:dyDescent="0.3">
      <c r="A83" s="39" t="s">
        <v>218</v>
      </c>
      <c r="B83" s="27" t="s">
        <v>45</v>
      </c>
      <c r="C83" s="27" t="s">
        <v>46</v>
      </c>
      <c r="D83" s="27" t="s">
        <v>133</v>
      </c>
      <c r="E83" s="27"/>
      <c r="F83" s="27" t="s">
        <v>162</v>
      </c>
      <c r="G83" s="27"/>
      <c r="H83" s="27"/>
      <c r="I83" s="27" t="s">
        <v>76</v>
      </c>
      <c r="J83" s="40">
        <v>100248207200</v>
      </c>
      <c r="K83" s="73">
        <v>315000</v>
      </c>
      <c r="L83" s="72">
        <v>375000</v>
      </c>
      <c r="M83" s="70"/>
      <c r="N83" s="44"/>
      <c r="O83" s="43" t="s">
        <v>216</v>
      </c>
      <c r="P83" s="18">
        <f t="shared" si="1"/>
        <v>60000</v>
      </c>
    </row>
    <row r="84" spans="1:16" ht="20.100000000000001" customHeight="1" x14ac:dyDescent="0.3">
      <c r="A84" s="39" t="s">
        <v>218</v>
      </c>
      <c r="B84" s="27" t="s">
        <v>45</v>
      </c>
      <c r="C84" s="27" t="s">
        <v>46</v>
      </c>
      <c r="D84" s="27" t="s">
        <v>133</v>
      </c>
      <c r="E84" s="27"/>
      <c r="F84" s="27" t="s">
        <v>163</v>
      </c>
      <c r="G84" s="27"/>
      <c r="H84" s="27"/>
      <c r="I84" s="27" t="s">
        <v>55</v>
      </c>
      <c r="J84" s="40">
        <v>1002761382905</v>
      </c>
      <c r="K84" s="73">
        <v>420000</v>
      </c>
      <c r="L84" s="72">
        <v>520000</v>
      </c>
      <c r="M84" s="70"/>
      <c r="N84" s="44"/>
      <c r="O84" s="43" t="s">
        <v>216</v>
      </c>
      <c r="P84" s="18">
        <f t="shared" si="1"/>
        <v>100000</v>
      </c>
    </row>
    <row r="85" spans="1:16" ht="20.100000000000001" customHeight="1" x14ac:dyDescent="0.3">
      <c r="A85" s="39" t="s">
        <v>218</v>
      </c>
      <c r="B85" s="27" t="s">
        <v>45</v>
      </c>
      <c r="C85" s="27" t="s">
        <v>46</v>
      </c>
      <c r="D85" s="27" t="s">
        <v>133</v>
      </c>
      <c r="E85" s="27"/>
      <c r="F85" s="27" t="s">
        <v>164</v>
      </c>
      <c r="G85" s="27"/>
      <c r="H85" s="27"/>
      <c r="I85" s="27" t="s">
        <v>72</v>
      </c>
      <c r="J85" s="40">
        <v>60491096318007</v>
      </c>
      <c r="K85" s="73">
        <v>210000</v>
      </c>
      <c r="L85" s="72">
        <v>250000</v>
      </c>
      <c r="M85" s="70"/>
      <c r="N85" s="44"/>
      <c r="O85" s="43" t="s">
        <v>216</v>
      </c>
      <c r="P85" s="18">
        <f t="shared" si="1"/>
        <v>40000</v>
      </c>
    </row>
    <row r="86" spans="1:16" ht="20.100000000000001" customHeight="1" x14ac:dyDescent="0.3">
      <c r="A86" s="39" t="s">
        <v>218</v>
      </c>
      <c r="B86" s="27" t="s">
        <v>45</v>
      </c>
      <c r="C86" s="27" t="s">
        <v>46</v>
      </c>
      <c r="D86" s="27" t="s">
        <v>133</v>
      </c>
      <c r="E86" s="27"/>
      <c r="F86" s="27" t="s">
        <v>235</v>
      </c>
      <c r="G86" s="27"/>
      <c r="H86" s="27"/>
      <c r="I86" s="27" t="s">
        <v>62</v>
      </c>
      <c r="J86" s="40">
        <v>9100050571420</v>
      </c>
      <c r="K86" s="73">
        <v>212100</v>
      </c>
      <c r="L86" s="72">
        <v>252100</v>
      </c>
      <c r="M86" s="70"/>
      <c r="N86" s="44"/>
      <c r="O86" s="43" t="s">
        <v>216</v>
      </c>
      <c r="P86" s="18">
        <f t="shared" si="1"/>
        <v>40000</v>
      </c>
    </row>
    <row r="87" spans="1:16" ht="20.100000000000001" customHeight="1" x14ac:dyDescent="0.3">
      <c r="A87" s="39" t="s">
        <v>218</v>
      </c>
      <c r="B87" s="27" t="s">
        <v>45</v>
      </c>
      <c r="C87" s="27" t="s">
        <v>46</v>
      </c>
      <c r="D87" s="27" t="s">
        <v>133</v>
      </c>
      <c r="E87" s="27"/>
      <c r="F87" s="27" t="s">
        <v>165</v>
      </c>
      <c r="G87" s="27"/>
      <c r="H87" s="27"/>
      <c r="I87" s="27" t="s">
        <v>76</v>
      </c>
      <c r="J87" s="40">
        <v>100178321014</v>
      </c>
      <c r="K87" s="73">
        <v>361810</v>
      </c>
      <c r="L87" s="72">
        <v>501400</v>
      </c>
      <c r="M87" s="70">
        <v>59590</v>
      </c>
      <c r="N87" s="44" t="s">
        <v>244</v>
      </c>
      <c r="O87" s="43" t="s">
        <v>216</v>
      </c>
      <c r="P87" s="18">
        <f t="shared" si="1"/>
        <v>139590</v>
      </c>
    </row>
    <row r="88" spans="1:16" ht="20.100000000000001" customHeight="1" x14ac:dyDescent="0.3">
      <c r="A88" s="39" t="s">
        <v>218</v>
      </c>
      <c r="B88" s="27" t="s">
        <v>45</v>
      </c>
      <c r="C88" s="27" t="s">
        <v>46</v>
      </c>
      <c r="D88" s="27" t="s">
        <v>133</v>
      </c>
      <c r="E88" s="27"/>
      <c r="F88" s="27" t="s">
        <v>166</v>
      </c>
      <c r="G88" s="27"/>
      <c r="H88" s="27"/>
      <c r="I88" s="27" t="s">
        <v>189</v>
      </c>
      <c r="J88" s="40">
        <v>50902008559049</v>
      </c>
      <c r="K88" s="73">
        <v>630000</v>
      </c>
      <c r="L88" s="72">
        <v>750000</v>
      </c>
      <c r="M88" s="70"/>
      <c r="N88" s="44"/>
      <c r="O88" s="43" t="s">
        <v>216</v>
      </c>
      <c r="P88" s="18">
        <f t="shared" si="1"/>
        <v>120000</v>
      </c>
    </row>
    <row r="89" spans="1:16" ht="20.100000000000001" customHeight="1" x14ac:dyDescent="0.3">
      <c r="A89" s="39" t="s">
        <v>218</v>
      </c>
      <c r="B89" s="27" t="s">
        <v>45</v>
      </c>
      <c r="C89" s="27" t="s">
        <v>46</v>
      </c>
      <c r="D89" s="27" t="s">
        <v>133</v>
      </c>
      <c r="E89" s="27"/>
      <c r="F89" s="27" t="s">
        <v>236</v>
      </c>
      <c r="G89" s="27"/>
      <c r="H89" s="27"/>
      <c r="I89" s="27" t="s">
        <v>55</v>
      </c>
      <c r="J89" s="40">
        <v>1002044889759</v>
      </c>
      <c r="K89" s="73">
        <v>105000</v>
      </c>
      <c r="L89" s="72">
        <v>130000</v>
      </c>
      <c r="M89" s="70"/>
      <c r="N89" s="44"/>
      <c r="O89" s="43" t="s">
        <v>216</v>
      </c>
      <c r="P89" s="18">
        <f t="shared" si="1"/>
        <v>25000</v>
      </c>
    </row>
    <row r="90" spans="1:16" ht="20.100000000000001" customHeight="1" x14ac:dyDescent="0.3">
      <c r="A90" s="39" t="s">
        <v>218</v>
      </c>
      <c r="B90" s="27" t="s">
        <v>45</v>
      </c>
      <c r="C90" s="27" t="s">
        <v>46</v>
      </c>
      <c r="D90" s="27" t="s">
        <v>133</v>
      </c>
      <c r="E90" s="27"/>
      <c r="F90" s="27" t="s">
        <v>168</v>
      </c>
      <c r="G90" s="27"/>
      <c r="H90" s="27"/>
      <c r="I90" s="27" t="s">
        <v>188</v>
      </c>
      <c r="J90" s="40">
        <v>40107855201013</v>
      </c>
      <c r="K90" s="73">
        <v>637000</v>
      </c>
      <c r="L90" s="72">
        <v>757000</v>
      </c>
      <c r="M90" s="70"/>
      <c r="N90" s="44"/>
      <c r="O90" s="43" t="s">
        <v>216</v>
      </c>
      <c r="P90" s="18">
        <f t="shared" si="1"/>
        <v>120000</v>
      </c>
    </row>
    <row r="91" spans="1:16" ht="20.100000000000001" customHeight="1" x14ac:dyDescent="0.3">
      <c r="A91" s="39" t="s">
        <v>218</v>
      </c>
      <c r="B91" s="27" t="s">
        <v>45</v>
      </c>
      <c r="C91" s="27" t="s">
        <v>46</v>
      </c>
      <c r="D91" s="27" t="s">
        <v>133</v>
      </c>
      <c r="E91" s="27"/>
      <c r="F91" s="27" t="s">
        <v>169</v>
      </c>
      <c r="G91" s="27"/>
      <c r="H91" s="27"/>
      <c r="I91" s="27" t="s">
        <v>189</v>
      </c>
      <c r="J91" s="40">
        <v>50902008580346</v>
      </c>
      <c r="K91" s="73">
        <v>210000</v>
      </c>
      <c r="L91" s="72">
        <v>250000</v>
      </c>
      <c r="M91" s="70"/>
      <c r="N91" s="44"/>
      <c r="O91" s="43" t="s">
        <v>216</v>
      </c>
      <c r="P91" s="18">
        <f t="shared" si="1"/>
        <v>40000</v>
      </c>
    </row>
    <row r="92" spans="1:16" ht="20.100000000000001" customHeight="1" x14ac:dyDescent="0.3">
      <c r="A92" s="39" t="s">
        <v>218</v>
      </c>
      <c r="B92" s="27" t="s">
        <v>45</v>
      </c>
      <c r="C92" s="27" t="s">
        <v>46</v>
      </c>
      <c r="D92" s="27" t="s">
        <v>133</v>
      </c>
      <c r="E92" s="27"/>
      <c r="F92" s="27" t="s">
        <v>170</v>
      </c>
      <c r="G92" s="27"/>
      <c r="H92" s="27"/>
      <c r="I92" s="27" t="s">
        <v>76</v>
      </c>
      <c r="J92" s="40">
        <v>100067984361</v>
      </c>
      <c r="K92" s="73">
        <v>279040</v>
      </c>
      <c r="L92" s="72">
        <v>382000</v>
      </c>
      <c r="M92" s="70">
        <v>42960</v>
      </c>
      <c r="N92" s="44" t="s">
        <v>244</v>
      </c>
      <c r="O92" s="43" t="s">
        <v>216</v>
      </c>
      <c r="P92" s="18">
        <f t="shared" si="1"/>
        <v>102960</v>
      </c>
    </row>
    <row r="93" spans="1:16" ht="20.100000000000001" customHeight="1" x14ac:dyDescent="0.3">
      <c r="A93" s="39" t="s">
        <v>218</v>
      </c>
      <c r="B93" s="27" t="s">
        <v>45</v>
      </c>
      <c r="C93" s="27" t="s">
        <v>46</v>
      </c>
      <c r="D93" s="27" t="s">
        <v>133</v>
      </c>
      <c r="E93" s="27"/>
      <c r="F93" s="27" t="s">
        <v>171</v>
      </c>
      <c r="G93" s="27"/>
      <c r="H93" s="27"/>
      <c r="I93" s="27" t="s">
        <v>62</v>
      </c>
      <c r="J93" s="40">
        <v>9500021266780</v>
      </c>
      <c r="K93" s="73">
        <v>210000</v>
      </c>
      <c r="L93" s="72">
        <v>250000</v>
      </c>
      <c r="M93" s="70"/>
      <c r="N93" s="44"/>
      <c r="O93" s="43" t="s">
        <v>216</v>
      </c>
      <c r="P93" s="18">
        <f t="shared" si="1"/>
        <v>40000</v>
      </c>
    </row>
    <row r="94" spans="1:16" ht="20.100000000000001" customHeight="1" x14ac:dyDescent="0.3">
      <c r="A94" s="39" t="s">
        <v>218</v>
      </c>
      <c r="B94" s="27" t="s">
        <v>45</v>
      </c>
      <c r="C94" s="27" t="s">
        <v>46</v>
      </c>
      <c r="D94" s="27" t="s">
        <v>133</v>
      </c>
      <c r="E94" s="27"/>
      <c r="F94" s="27" t="s">
        <v>237</v>
      </c>
      <c r="G94" s="27"/>
      <c r="H94" s="27"/>
      <c r="I94" s="27" t="s">
        <v>72</v>
      </c>
      <c r="J94" s="40">
        <v>23391064161907</v>
      </c>
      <c r="K94" s="73">
        <v>210000</v>
      </c>
      <c r="L94" s="72">
        <v>250000</v>
      </c>
      <c r="M94" s="70"/>
      <c r="N94" s="44"/>
      <c r="O94" s="43" t="s">
        <v>216</v>
      </c>
      <c r="P94" s="18">
        <f t="shared" si="1"/>
        <v>40000</v>
      </c>
    </row>
    <row r="95" spans="1:16" ht="20.100000000000001" customHeight="1" x14ac:dyDescent="0.3">
      <c r="A95" s="39" t="s">
        <v>218</v>
      </c>
      <c r="B95" s="27" t="s">
        <v>45</v>
      </c>
      <c r="C95" s="27" t="s">
        <v>46</v>
      </c>
      <c r="D95" s="27" t="s">
        <v>133</v>
      </c>
      <c r="E95" s="27"/>
      <c r="F95" s="27" t="s">
        <v>172</v>
      </c>
      <c r="G95" s="27"/>
      <c r="H95" s="27"/>
      <c r="I95" s="27" t="s">
        <v>76</v>
      </c>
      <c r="J95" s="40">
        <v>100079961208</v>
      </c>
      <c r="K95" s="73">
        <v>420000</v>
      </c>
      <c r="L95" s="72">
        <v>483000</v>
      </c>
      <c r="M95" s="70"/>
      <c r="N95" s="44"/>
      <c r="O95" s="43" t="s">
        <v>216</v>
      </c>
      <c r="P95" s="18">
        <f t="shared" si="1"/>
        <v>63000</v>
      </c>
    </row>
    <row r="96" spans="1:16" ht="20.100000000000001" customHeight="1" x14ac:dyDescent="0.3">
      <c r="A96" s="39" t="s">
        <v>218</v>
      </c>
      <c r="B96" s="27" t="s">
        <v>45</v>
      </c>
      <c r="C96" s="27" t="s">
        <v>46</v>
      </c>
      <c r="D96" s="27" t="s">
        <v>133</v>
      </c>
      <c r="E96" s="27"/>
      <c r="F96" s="27" t="s">
        <v>174</v>
      </c>
      <c r="G96" s="27"/>
      <c r="H96" s="27"/>
      <c r="I96" s="27" t="s">
        <v>76</v>
      </c>
      <c r="J96" s="40">
        <v>100234627084</v>
      </c>
      <c r="K96" s="73">
        <v>105000</v>
      </c>
      <c r="L96" s="72">
        <v>125000</v>
      </c>
      <c r="M96" s="70"/>
      <c r="N96" s="44"/>
      <c r="O96" s="43" t="s">
        <v>216</v>
      </c>
      <c r="P96" s="18">
        <f t="shared" si="1"/>
        <v>20000</v>
      </c>
    </row>
    <row r="97" spans="1:16" ht="20.100000000000001" customHeight="1" x14ac:dyDescent="0.3">
      <c r="A97" s="39" t="s">
        <v>218</v>
      </c>
      <c r="B97" s="27" t="s">
        <v>45</v>
      </c>
      <c r="C97" s="27" t="s">
        <v>46</v>
      </c>
      <c r="D97" s="27" t="s">
        <v>133</v>
      </c>
      <c r="E97" s="27"/>
      <c r="F97" s="27" t="s">
        <v>177</v>
      </c>
      <c r="G97" s="27"/>
      <c r="H97" s="27"/>
      <c r="I97" s="27" t="s">
        <v>62</v>
      </c>
      <c r="J97" s="40">
        <v>9201032272886</v>
      </c>
      <c r="K97" s="73">
        <v>315000</v>
      </c>
      <c r="L97" s="72">
        <v>364000</v>
      </c>
      <c r="M97" s="70"/>
      <c r="N97" s="44"/>
      <c r="O97" s="43" t="s">
        <v>216</v>
      </c>
      <c r="P97" s="18">
        <f t="shared" si="1"/>
        <v>49000</v>
      </c>
    </row>
    <row r="98" spans="1:16" ht="20.100000000000001" customHeight="1" x14ac:dyDescent="0.3">
      <c r="A98" s="39" t="s">
        <v>218</v>
      </c>
      <c r="B98" s="27" t="s">
        <v>45</v>
      </c>
      <c r="C98" s="27" t="s">
        <v>46</v>
      </c>
      <c r="D98" s="27" t="s">
        <v>133</v>
      </c>
      <c r="E98" s="27"/>
      <c r="F98" s="27" t="s">
        <v>238</v>
      </c>
      <c r="G98" s="27"/>
      <c r="H98" s="27"/>
      <c r="I98" s="27" t="s">
        <v>62</v>
      </c>
      <c r="J98" s="40">
        <v>9100051571612</v>
      </c>
      <c r="K98" s="73">
        <v>210000</v>
      </c>
      <c r="L98" s="72">
        <v>230000</v>
      </c>
      <c r="M98" s="70"/>
      <c r="N98" s="44"/>
      <c r="O98" s="43" t="s">
        <v>216</v>
      </c>
      <c r="P98" s="18">
        <f t="shared" si="1"/>
        <v>20000</v>
      </c>
    </row>
    <row r="99" spans="1:16" ht="20.100000000000001" customHeight="1" x14ac:dyDescent="0.3">
      <c r="A99" s="39" t="s">
        <v>218</v>
      </c>
      <c r="B99" s="27" t="s">
        <v>45</v>
      </c>
      <c r="C99" s="27" t="s">
        <v>46</v>
      </c>
      <c r="D99" s="27" t="s">
        <v>133</v>
      </c>
      <c r="E99" s="27"/>
      <c r="F99" s="27" t="s">
        <v>239</v>
      </c>
      <c r="G99" s="27"/>
      <c r="H99" s="27"/>
      <c r="I99" s="27" t="s">
        <v>72</v>
      </c>
      <c r="J99" s="40">
        <v>62191103417807</v>
      </c>
      <c r="K99" s="73">
        <v>105000</v>
      </c>
      <c r="L99" s="72">
        <v>111000</v>
      </c>
      <c r="M99" s="70"/>
      <c r="N99" s="44"/>
      <c r="O99" s="43" t="s">
        <v>216</v>
      </c>
      <c r="P99" s="18">
        <f t="shared" si="1"/>
        <v>6000</v>
      </c>
    </row>
    <row r="100" spans="1:16" ht="20.100000000000001" customHeight="1" x14ac:dyDescent="0.3">
      <c r="A100" s="39" t="s">
        <v>218</v>
      </c>
      <c r="B100" s="27" t="s">
        <v>45</v>
      </c>
      <c r="C100" s="27" t="s">
        <v>46</v>
      </c>
      <c r="D100" s="27" t="s">
        <v>133</v>
      </c>
      <c r="E100" s="27"/>
      <c r="F100" s="27" t="s">
        <v>240</v>
      </c>
      <c r="G100" s="27"/>
      <c r="H100" s="27"/>
      <c r="I100" s="27" t="s">
        <v>62</v>
      </c>
      <c r="J100" s="40">
        <v>9100058005944</v>
      </c>
      <c r="K100" s="73">
        <v>579000</v>
      </c>
      <c r="L100" s="72">
        <v>639000</v>
      </c>
      <c r="M100" s="70"/>
      <c r="N100" s="44"/>
      <c r="O100" s="43" t="s">
        <v>216</v>
      </c>
      <c r="P100" s="18">
        <f t="shared" si="1"/>
        <v>60000</v>
      </c>
    </row>
    <row r="101" spans="1:16" ht="20.100000000000001" customHeight="1" x14ac:dyDescent="0.3">
      <c r="A101" s="39" t="s">
        <v>218</v>
      </c>
      <c r="B101" s="27" t="s">
        <v>45</v>
      </c>
      <c r="C101" s="27" t="s">
        <v>46</v>
      </c>
      <c r="D101" s="27" t="s">
        <v>242</v>
      </c>
      <c r="E101" s="27"/>
      <c r="F101" s="27" t="s">
        <v>179</v>
      </c>
      <c r="G101" s="27"/>
      <c r="H101" s="27"/>
      <c r="I101" s="27" t="s">
        <v>72</v>
      </c>
      <c r="J101" s="40">
        <v>19891033805907</v>
      </c>
      <c r="K101" s="73">
        <v>667470</v>
      </c>
      <c r="L101" s="72">
        <v>795000</v>
      </c>
      <c r="M101" s="70">
        <v>27530</v>
      </c>
      <c r="N101" s="44" t="s">
        <v>243</v>
      </c>
      <c r="O101" s="43" t="s">
        <v>216</v>
      </c>
      <c r="P101" s="18">
        <f t="shared" si="1"/>
        <v>127530</v>
      </c>
    </row>
    <row r="102" spans="1:16" ht="20.100000000000001" customHeight="1" x14ac:dyDescent="0.3">
      <c r="A102" s="39" t="s">
        <v>218</v>
      </c>
      <c r="B102" s="27" t="s">
        <v>45</v>
      </c>
      <c r="C102" s="27" t="s">
        <v>46</v>
      </c>
      <c r="D102" s="27" t="s">
        <v>242</v>
      </c>
      <c r="E102" s="27"/>
      <c r="F102" s="27" t="s">
        <v>182</v>
      </c>
      <c r="G102" s="27"/>
      <c r="H102" s="27"/>
      <c r="I102" s="27" t="s">
        <v>72</v>
      </c>
      <c r="J102" s="40">
        <v>19891033805907</v>
      </c>
      <c r="K102" s="73">
        <v>667470</v>
      </c>
      <c r="L102" s="72">
        <v>795000</v>
      </c>
      <c r="M102" s="70">
        <v>27530</v>
      </c>
      <c r="N102" s="44" t="s">
        <v>243</v>
      </c>
      <c r="O102" s="43" t="s">
        <v>216</v>
      </c>
      <c r="P102" s="18">
        <f t="shared" si="1"/>
        <v>127530</v>
      </c>
    </row>
    <row r="103" spans="1:16" ht="20.100000000000001" customHeight="1" x14ac:dyDescent="0.3">
      <c r="A103" s="39" t="s">
        <v>218</v>
      </c>
      <c r="B103" s="27" t="s">
        <v>45</v>
      </c>
      <c r="C103" s="27" t="s">
        <v>46</v>
      </c>
      <c r="D103" s="27" t="s">
        <v>242</v>
      </c>
      <c r="E103" s="27"/>
      <c r="F103" s="27" t="s">
        <v>183</v>
      </c>
      <c r="G103" s="27"/>
      <c r="H103" s="27"/>
      <c r="I103" s="27" t="s">
        <v>62</v>
      </c>
      <c r="J103" s="40">
        <v>9500020135065</v>
      </c>
      <c r="K103" s="73">
        <v>695000</v>
      </c>
      <c r="L103" s="72">
        <v>795000</v>
      </c>
      <c r="M103" s="70"/>
      <c r="N103" s="44"/>
      <c r="O103" s="43" t="s">
        <v>216</v>
      </c>
      <c r="P103" s="18">
        <f t="shared" si="1"/>
        <v>100000</v>
      </c>
    </row>
    <row r="104" spans="1:16" ht="20.100000000000001" customHeight="1" x14ac:dyDescent="0.3">
      <c r="A104" s="39" t="s">
        <v>218</v>
      </c>
      <c r="B104" s="27" t="s">
        <v>45</v>
      </c>
      <c r="C104" s="27" t="s">
        <v>46</v>
      </c>
      <c r="D104" s="27" t="s">
        <v>242</v>
      </c>
      <c r="E104" s="27"/>
      <c r="F104" s="27" t="s">
        <v>184</v>
      </c>
      <c r="G104" s="27"/>
      <c r="H104" s="27"/>
      <c r="I104" s="27" t="s">
        <v>72</v>
      </c>
      <c r="J104" s="40">
        <v>23391067820107</v>
      </c>
      <c r="K104" s="73">
        <v>695000</v>
      </c>
      <c r="L104" s="72">
        <v>795000</v>
      </c>
      <c r="M104" s="70"/>
      <c r="N104" s="44"/>
      <c r="O104" s="43" t="s">
        <v>216</v>
      </c>
      <c r="P104" s="18">
        <f t="shared" si="1"/>
        <v>100000</v>
      </c>
    </row>
    <row r="105" spans="1:16" ht="20.100000000000001" customHeight="1" x14ac:dyDescent="0.3">
      <c r="A105" s="39" t="s">
        <v>218</v>
      </c>
      <c r="B105" s="27" t="s">
        <v>45</v>
      </c>
      <c r="C105" s="27" t="s">
        <v>46</v>
      </c>
      <c r="D105" s="27" t="s">
        <v>242</v>
      </c>
      <c r="E105" s="27"/>
      <c r="F105" s="27" t="s">
        <v>167</v>
      </c>
      <c r="G105" s="27"/>
      <c r="H105" s="27"/>
      <c r="I105" s="27" t="s">
        <v>189</v>
      </c>
      <c r="J105" s="40">
        <v>50902008559025</v>
      </c>
      <c r="K105" s="73">
        <v>584590</v>
      </c>
      <c r="L105" s="72">
        <v>795000</v>
      </c>
      <c r="M105" s="70">
        <v>110410</v>
      </c>
      <c r="N105" s="44" t="s">
        <v>245</v>
      </c>
      <c r="O105" s="43" t="s">
        <v>216</v>
      </c>
      <c r="P105" s="18">
        <f t="shared" si="1"/>
        <v>210410</v>
      </c>
    </row>
    <row r="106" spans="1:16" ht="20.100000000000001" customHeight="1" x14ac:dyDescent="0.3">
      <c r="A106" s="39" t="s">
        <v>218</v>
      </c>
      <c r="B106" s="27" t="s">
        <v>45</v>
      </c>
      <c r="C106" s="27" t="s">
        <v>46</v>
      </c>
      <c r="D106" s="27" t="s">
        <v>242</v>
      </c>
      <c r="E106" s="27"/>
      <c r="F106" s="27" t="s">
        <v>241</v>
      </c>
      <c r="G106" s="27"/>
      <c r="H106" s="27"/>
      <c r="I106" s="27" t="s">
        <v>62</v>
      </c>
      <c r="J106" s="40">
        <v>9100052197783</v>
      </c>
      <c r="K106" s="73">
        <v>649730</v>
      </c>
      <c r="L106" s="72">
        <v>880000</v>
      </c>
      <c r="M106" s="70">
        <v>130270</v>
      </c>
      <c r="N106" s="44" t="s">
        <v>244</v>
      </c>
      <c r="O106" s="43" t="s">
        <v>216</v>
      </c>
      <c r="P106" s="18">
        <f t="shared" si="1"/>
        <v>230270</v>
      </c>
    </row>
    <row r="107" spans="1:16" ht="20.100000000000001" customHeight="1" x14ac:dyDescent="0.3">
      <c r="A107" s="39" t="s">
        <v>218</v>
      </c>
      <c r="B107" s="27" t="s">
        <v>45</v>
      </c>
      <c r="C107" s="27" t="s">
        <v>46</v>
      </c>
      <c r="D107" s="27" t="s">
        <v>242</v>
      </c>
      <c r="E107" s="27"/>
      <c r="F107" s="27" t="s">
        <v>186</v>
      </c>
      <c r="G107" s="27"/>
      <c r="H107" s="27"/>
      <c r="I107" s="27" t="s">
        <v>72</v>
      </c>
      <c r="J107" s="40">
        <v>14491076606707</v>
      </c>
      <c r="K107" s="73">
        <v>315000</v>
      </c>
      <c r="L107" s="72">
        <v>375000</v>
      </c>
      <c r="M107" s="70"/>
      <c r="N107" s="44"/>
      <c r="O107" s="43" t="s">
        <v>216</v>
      </c>
      <c r="P107" s="18">
        <f t="shared" si="1"/>
        <v>60000</v>
      </c>
    </row>
    <row r="108" spans="1:16" ht="20.100000000000001" customHeight="1" x14ac:dyDescent="0.3">
      <c r="A108" s="39" t="s">
        <v>218</v>
      </c>
      <c r="B108" s="27" t="s">
        <v>45</v>
      </c>
      <c r="C108" s="27" t="s">
        <v>46</v>
      </c>
      <c r="D108" s="27" t="s">
        <v>242</v>
      </c>
      <c r="E108" s="27"/>
      <c r="F108" s="27" t="s">
        <v>187</v>
      </c>
      <c r="G108" s="27"/>
      <c r="H108" s="27"/>
      <c r="I108" s="27" t="s">
        <v>51</v>
      </c>
      <c r="J108" s="40">
        <v>3020379742871</v>
      </c>
      <c r="K108" s="73">
        <v>105000</v>
      </c>
      <c r="L108" s="72">
        <v>125000</v>
      </c>
      <c r="M108" s="70"/>
      <c r="N108" s="44"/>
      <c r="O108" s="43" t="s">
        <v>216</v>
      </c>
      <c r="P108" s="18">
        <f t="shared" si="1"/>
        <v>20000</v>
      </c>
    </row>
    <row r="109" spans="1:16" ht="20.100000000000001" customHeight="1" x14ac:dyDescent="0.3">
      <c r="A109" s="39" t="s">
        <v>277</v>
      </c>
      <c r="B109" s="27" t="s">
        <v>45</v>
      </c>
      <c r="C109" s="27" t="s">
        <v>46</v>
      </c>
      <c r="D109" s="27" t="s">
        <v>133</v>
      </c>
      <c r="E109" s="27"/>
      <c r="F109" s="27" t="s">
        <v>139</v>
      </c>
      <c r="G109" s="27"/>
      <c r="H109" s="27"/>
      <c r="I109" s="27" t="s">
        <v>58</v>
      </c>
      <c r="J109" s="40">
        <v>47940104348839</v>
      </c>
      <c r="K109" s="73">
        <v>440000</v>
      </c>
      <c r="L109" s="72">
        <v>520000</v>
      </c>
      <c r="M109" s="70"/>
      <c r="N109" s="44"/>
      <c r="O109" s="93" t="s">
        <v>271</v>
      </c>
      <c r="P109" s="18">
        <f t="shared" si="1"/>
        <v>80000</v>
      </c>
    </row>
    <row r="110" spans="1:16" ht="20.100000000000001" customHeight="1" x14ac:dyDescent="0.3">
      <c r="A110" s="39" t="s">
        <v>277</v>
      </c>
      <c r="B110" s="27" t="s">
        <v>45</v>
      </c>
      <c r="C110" s="27" t="s">
        <v>46</v>
      </c>
      <c r="D110" s="27" t="s">
        <v>133</v>
      </c>
      <c r="E110" s="27"/>
      <c r="F110" s="27" t="s">
        <v>140</v>
      </c>
      <c r="G110" s="27"/>
      <c r="H110" s="27"/>
      <c r="I110" s="27" t="s">
        <v>72</v>
      </c>
      <c r="J110" s="40">
        <v>35491018079107</v>
      </c>
      <c r="K110" s="73">
        <v>440000</v>
      </c>
      <c r="L110" s="72">
        <v>440000</v>
      </c>
      <c r="M110" s="70"/>
      <c r="N110" s="44"/>
      <c r="O110" s="93" t="s">
        <v>271</v>
      </c>
      <c r="P110" s="18">
        <f t="shared" si="1"/>
        <v>0</v>
      </c>
    </row>
    <row r="111" spans="1:16" ht="20.100000000000001" customHeight="1" x14ac:dyDescent="0.3">
      <c r="A111" s="39" t="s">
        <v>277</v>
      </c>
      <c r="B111" s="27" t="s">
        <v>45</v>
      </c>
      <c r="C111" s="27" t="s">
        <v>46</v>
      </c>
      <c r="D111" s="27" t="s">
        <v>133</v>
      </c>
      <c r="E111" s="27"/>
      <c r="F111" s="27" t="s">
        <v>141</v>
      </c>
      <c r="G111" s="27"/>
      <c r="H111" s="27"/>
      <c r="I111" s="27" t="s">
        <v>72</v>
      </c>
      <c r="J111" s="40">
        <v>23391065673307</v>
      </c>
      <c r="K111" s="73">
        <v>525000</v>
      </c>
      <c r="L111" s="72">
        <v>625000</v>
      </c>
      <c r="M111" s="70"/>
      <c r="N111" s="44"/>
      <c r="O111" s="93" t="s">
        <v>271</v>
      </c>
      <c r="P111" s="18">
        <f t="shared" si="1"/>
        <v>100000</v>
      </c>
    </row>
    <row r="112" spans="1:16" ht="20.100000000000001" customHeight="1" x14ac:dyDescent="0.3">
      <c r="A112" s="39" t="s">
        <v>277</v>
      </c>
      <c r="B112" s="27" t="s">
        <v>45</v>
      </c>
      <c r="C112" s="27" t="s">
        <v>46</v>
      </c>
      <c r="D112" s="27" t="s">
        <v>133</v>
      </c>
      <c r="E112" s="27"/>
      <c r="F112" s="27" t="s">
        <v>142</v>
      </c>
      <c r="G112" s="27"/>
      <c r="H112" s="27"/>
      <c r="I112" s="27" t="s">
        <v>72</v>
      </c>
      <c r="J112" s="40">
        <v>23391065673307</v>
      </c>
      <c r="K112" s="73">
        <v>630000</v>
      </c>
      <c r="L112" s="72">
        <v>750000</v>
      </c>
      <c r="M112" s="70"/>
      <c r="N112" s="44"/>
      <c r="O112" s="93" t="s">
        <v>271</v>
      </c>
      <c r="P112" s="18">
        <f t="shared" si="1"/>
        <v>120000</v>
      </c>
    </row>
    <row r="113" spans="1:16" ht="20.100000000000001" customHeight="1" x14ac:dyDescent="0.3">
      <c r="A113" s="39" t="s">
        <v>277</v>
      </c>
      <c r="B113" s="27" t="s">
        <v>45</v>
      </c>
      <c r="C113" s="27" t="s">
        <v>46</v>
      </c>
      <c r="D113" s="27" t="s">
        <v>133</v>
      </c>
      <c r="E113" s="27"/>
      <c r="F113" s="27" t="s">
        <v>143</v>
      </c>
      <c r="G113" s="27"/>
      <c r="H113" s="27"/>
      <c r="I113" s="27" t="s">
        <v>72</v>
      </c>
      <c r="J113" s="40">
        <v>29991054312107</v>
      </c>
      <c r="K113" s="73">
        <v>427700</v>
      </c>
      <c r="L113" s="72">
        <v>527700</v>
      </c>
      <c r="M113" s="70"/>
      <c r="N113" s="44"/>
      <c r="O113" s="93" t="s">
        <v>271</v>
      </c>
      <c r="P113" s="18">
        <f t="shared" si="1"/>
        <v>100000</v>
      </c>
    </row>
    <row r="114" spans="1:16" ht="20.100000000000001" customHeight="1" x14ac:dyDescent="0.3">
      <c r="A114" s="39" t="s">
        <v>277</v>
      </c>
      <c r="B114" s="27" t="s">
        <v>45</v>
      </c>
      <c r="C114" s="27" t="s">
        <v>46</v>
      </c>
      <c r="D114" s="27" t="s">
        <v>133</v>
      </c>
      <c r="E114" s="27"/>
      <c r="F114" s="27" t="s">
        <v>144</v>
      </c>
      <c r="G114" s="27"/>
      <c r="H114" s="27"/>
      <c r="I114" s="27" t="s">
        <v>72</v>
      </c>
      <c r="J114" s="40">
        <v>23391063977607</v>
      </c>
      <c r="K114" s="73">
        <v>434700</v>
      </c>
      <c r="L114" s="72">
        <v>534700</v>
      </c>
      <c r="M114" s="70"/>
      <c r="N114" s="44"/>
      <c r="O114" s="93" t="s">
        <v>271</v>
      </c>
      <c r="P114" s="18">
        <f t="shared" si="1"/>
        <v>100000</v>
      </c>
    </row>
    <row r="115" spans="1:16" ht="20.100000000000001" customHeight="1" x14ac:dyDescent="0.3">
      <c r="A115" s="39" t="s">
        <v>277</v>
      </c>
      <c r="B115" s="27" t="s">
        <v>45</v>
      </c>
      <c r="C115" s="27" t="s">
        <v>46</v>
      </c>
      <c r="D115" s="27" t="s">
        <v>133</v>
      </c>
      <c r="E115" s="27"/>
      <c r="F115" s="27" t="s">
        <v>145</v>
      </c>
      <c r="G115" s="27"/>
      <c r="H115" s="27"/>
      <c r="I115" s="27" t="s">
        <v>72</v>
      </c>
      <c r="J115" s="40">
        <v>23391049813107</v>
      </c>
      <c r="K115" s="73">
        <v>210000</v>
      </c>
      <c r="L115" s="72">
        <v>260000</v>
      </c>
      <c r="M115" s="70"/>
      <c r="N115" s="44"/>
      <c r="O115" s="93" t="s">
        <v>271</v>
      </c>
      <c r="P115" s="18">
        <f t="shared" si="1"/>
        <v>50000</v>
      </c>
    </row>
    <row r="116" spans="1:16" ht="20.100000000000001" customHeight="1" x14ac:dyDescent="0.3">
      <c r="A116" s="39" t="s">
        <v>277</v>
      </c>
      <c r="B116" s="27" t="s">
        <v>45</v>
      </c>
      <c r="C116" s="27" t="s">
        <v>46</v>
      </c>
      <c r="D116" s="27" t="s">
        <v>133</v>
      </c>
      <c r="E116" s="27"/>
      <c r="F116" s="27" t="s">
        <v>146</v>
      </c>
      <c r="G116" s="27"/>
      <c r="H116" s="27"/>
      <c r="I116" s="27" t="s">
        <v>51</v>
      </c>
      <c r="J116" s="40">
        <v>3561594870383</v>
      </c>
      <c r="K116" s="73">
        <v>105000</v>
      </c>
      <c r="L116" s="72">
        <v>130000</v>
      </c>
      <c r="M116" s="70"/>
      <c r="N116" s="44"/>
      <c r="O116" s="93" t="s">
        <v>271</v>
      </c>
      <c r="P116" s="18">
        <f t="shared" si="1"/>
        <v>25000</v>
      </c>
    </row>
    <row r="117" spans="1:16" ht="20.100000000000001" customHeight="1" x14ac:dyDescent="0.3">
      <c r="A117" s="39" t="s">
        <v>277</v>
      </c>
      <c r="B117" s="27" t="s">
        <v>45</v>
      </c>
      <c r="C117" s="27" t="s">
        <v>46</v>
      </c>
      <c r="D117" s="27" t="s">
        <v>133</v>
      </c>
      <c r="E117" s="27"/>
      <c r="F117" s="27" t="s">
        <v>147</v>
      </c>
      <c r="G117" s="27"/>
      <c r="H117" s="27"/>
      <c r="I117" s="27" t="s">
        <v>51</v>
      </c>
      <c r="J117" s="40">
        <v>3561626523273</v>
      </c>
      <c r="K117" s="73">
        <v>105000</v>
      </c>
      <c r="L117" s="72">
        <v>130000</v>
      </c>
      <c r="M117" s="70"/>
      <c r="N117" s="44"/>
      <c r="O117" s="93" t="s">
        <v>271</v>
      </c>
      <c r="P117" s="18">
        <f t="shared" si="1"/>
        <v>25000</v>
      </c>
    </row>
    <row r="118" spans="1:16" ht="20.100000000000001" customHeight="1" x14ac:dyDescent="0.3">
      <c r="A118" s="39" t="s">
        <v>277</v>
      </c>
      <c r="B118" s="27" t="s">
        <v>45</v>
      </c>
      <c r="C118" s="27" t="s">
        <v>46</v>
      </c>
      <c r="D118" s="27" t="s">
        <v>133</v>
      </c>
      <c r="E118" s="27"/>
      <c r="F118" s="27" t="s">
        <v>148</v>
      </c>
      <c r="G118" s="27"/>
      <c r="H118" s="27"/>
      <c r="I118" s="27" t="s">
        <v>72</v>
      </c>
      <c r="J118" s="40">
        <v>68091053420107</v>
      </c>
      <c r="K118" s="73">
        <v>107100</v>
      </c>
      <c r="L118" s="72">
        <v>132100</v>
      </c>
      <c r="M118" s="70"/>
      <c r="N118" s="44"/>
      <c r="O118" s="93" t="s">
        <v>271</v>
      </c>
      <c r="P118" s="18">
        <f t="shared" si="1"/>
        <v>25000</v>
      </c>
    </row>
    <row r="119" spans="1:16" ht="20.100000000000001" customHeight="1" x14ac:dyDescent="0.3">
      <c r="A119" s="39" t="s">
        <v>277</v>
      </c>
      <c r="B119" s="27" t="s">
        <v>45</v>
      </c>
      <c r="C119" s="27" t="s">
        <v>46</v>
      </c>
      <c r="D119" s="27" t="s">
        <v>133</v>
      </c>
      <c r="E119" s="27"/>
      <c r="F119" s="27" t="s">
        <v>149</v>
      </c>
      <c r="G119" s="27"/>
      <c r="H119" s="27"/>
      <c r="I119" s="27" t="s">
        <v>72</v>
      </c>
      <c r="J119" s="40">
        <v>57191056846807</v>
      </c>
      <c r="K119" s="73">
        <v>378840</v>
      </c>
      <c r="L119" s="72">
        <v>597400</v>
      </c>
      <c r="M119" s="70">
        <v>138560</v>
      </c>
      <c r="N119" s="44" t="s">
        <v>278</v>
      </c>
      <c r="O119" s="93" t="s">
        <v>271</v>
      </c>
      <c r="P119" s="18">
        <f t="shared" si="1"/>
        <v>218560</v>
      </c>
    </row>
    <row r="120" spans="1:16" ht="20.100000000000001" customHeight="1" x14ac:dyDescent="0.3">
      <c r="A120" s="39" t="s">
        <v>277</v>
      </c>
      <c r="B120" s="27" t="s">
        <v>45</v>
      </c>
      <c r="C120" s="27" t="s">
        <v>46</v>
      </c>
      <c r="D120" s="27" t="s">
        <v>133</v>
      </c>
      <c r="E120" s="27"/>
      <c r="F120" s="27" t="s">
        <v>150</v>
      </c>
      <c r="G120" s="27"/>
      <c r="H120" s="27"/>
      <c r="I120" s="27" t="s">
        <v>72</v>
      </c>
      <c r="J120" s="40">
        <v>39891066942107</v>
      </c>
      <c r="K120" s="73">
        <v>558390</v>
      </c>
      <c r="L120" s="72">
        <v>751400</v>
      </c>
      <c r="M120" s="70">
        <v>73010</v>
      </c>
      <c r="N120" s="44" t="s">
        <v>278</v>
      </c>
      <c r="O120" s="93" t="s">
        <v>271</v>
      </c>
      <c r="P120" s="18">
        <f t="shared" si="1"/>
        <v>193010</v>
      </c>
    </row>
    <row r="121" spans="1:16" ht="20.100000000000001" customHeight="1" x14ac:dyDescent="0.3">
      <c r="A121" s="39" t="s">
        <v>277</v>
      </c>
      <c r="B121" s="27" t="s">
        <v>45</v>
      </c>
      <c r="C121" s="27" t="s">
        <v>46</v>
      </c>
      <c r="D121" s="27" t="s">
        <v>133</v>
      </c>
      <c r="E121" s="27"/>
      <c r="F121" s="27" t="s">
        <v>151</v>
      </c>
      <c r="G121" s="27"/>
      <c r="H121" s="27"/>
      <c r="I121" s="27" t="s">
        <v>72</v>
      </c>
      <c r="J121" s="40">
        <v>39891066942107</v>
      </c>
      <c r="K121" s="73">
        <v>558390</v>
      </c>
      <c r="L121" s="72">
        <v>751400</v>
      </c>
      <c r="M121" s="70">
        <v>73010</v>
      </c>
      <c r="N121" s="44" t="s">
        <v>278</v>
      </c>
      <c r="O121" s="93" t="s">
        <v>271</v>
      </c>
      <c r="P121" s="18">
        <f t="shared" si="1"/>
        <v>193010</v>
      </c>
    </row>
    <row r="122" spans="1:16" ht="20.100000000000001" customHeight="1" x14ac:dyDescent="0.3">
      <c r="A122" s="39" t="s">
        <v>277</v>
      </c>
      <c r="B122" s="27" t="s">
        <v>45</v>
      </c>
      <c r="C122" s="27" t="s">
        <v>46</v>
      </c>
      <c r="D122" s="27" t="s">
        <v>133</v>
      </c>
      <c r="E122" s="27"/>
      <c r="F122" s="27" t="s">
        <v>152</v>
      </c>
      <c r="G122" s="27"/>
      <c r="H122" s="27"/>
      <c r="I122" s="27" t="s">
        <v>51</v>
      </c>
      <c r="J122" s="40">
        <v>3560935626623</v>
      </c>
      <c r="K122" s="73">
        <v>525000</v>
      </c>
      <c r="L122" s="72">
        <v>627000</v>
      </c>
      <c r="M122" s="70"/>
      <c r="N122" s="44"/>
      <c r="O122" s="93" t="s">
        <v>271</v>
      </c>
      <c r="P122" s="18">
        <f t="shared" si="1"/>
        <v>102000</v>
      </c>
    </row>
    <row r="123" spans="1:16" ht="20.100000000000001" customHeight="1" x14ac:dyDescent="0.3">
      <c r="A123" s="39" t="s">
        <v>277</v>
      </c>
      <c r="B123" s="27" t="s">
        <v>45</v>
      </c>
      <c r="C123" s="27" t="s">
        <v>46</v>
      </c>
      <c r="D123" s="27" t="s">
        <v>133</v>
      </c>
      <c r="E123" s="27"/>
      <c r="F123" s="27" t="s">
        <v>153</v>
      </c>
      <c r="G123" s="27"/>
      <c r="H123" s="27"/>
      <c r="I123" s="27" t="s">
        <v>188</v>
      </c>
      <c r="J123" s="40">
        <v>36110662801011</v>
      </c>
      <c r="K123" s="73">
        <v>641900</v>
      </c>
      <c r="L123" s="72">
        <v>791900</v>
      </c>
      <c r="M123" s="70"/>
      <c r="N123" s="44"/>
      <c r="O123" s="93" t="s">
        <v>271</v>
      </c>
      <c r="P123" s="18">
        <f t="shared" si="1"/>
        <v>150000</v>
      </c>
    </row>
    <row r="124" spans="1:16" ht="20.100000000000001" customHeight="1" x14ac:dyDescent="0.3">
      <c r="A124" s="39" t="s">
        <v>277</v>
      </c>
      <c r="B124" s="27" t="s">
        <v>45</v>
      </c>
      <c r="C124" s="27" t="s">
        <v>46</v>
      </c>
      <c r="D124" s="27" t="s">
        <v>133</v>
      </c>
      <c r="E124" s="27"/>
      <c r="F124" s="27" t="s">
        <v>154</v>
      </c>
      <c r="G124" s="27"/>
      <c r="H124" s="27"/>
      <c r="I124" s="27" t="s">
        <v>51</v>
      </c>
      <c r="J124" s="40">
        <v>3512536253663</v>
      </c>
      <c r="K124" s="73">
        <v>529200</v>
      </c>
      <c r="L124" s="72">
        <v>654200</v>
      </c>
      <c r="M124" s="70"/>
      <c r="N124" s="44"/>
      <c r="O124" s="93" t="s">
        <v>271</v>
      </c>
      <c r="P124" s="18">
        <f t="shared" si="1"/>
        <v>125000</v>
      </c>
    </row>
    <row r="125" spans="1:16" ht="20.100000000000001" customHeight="1" x14ac:dyDescent="0.3">
      <c r="A125" s="39" t="s">
        <v>277</v>
      </c>
      <c r="B125" s="27" t="s">
        <v>45</v>
      </c>
      <c r="C125" s="27" t="s">
        <v>46</v>
      </c>
      <c r="D125" s="27" t="s">
        <v>133</v>
      </c>
      <c r="E125" s="27"/>
      <c r="F125" s="27" t="s">
        <v>155</v>
      </c>
      <c r="G125" s="27"/>
      <c r="H125" s="27"/>
      <c r="I125" s="27" t="s">
        <v>55</v>
      </c>
      <c r="J125" s="40">
        <v>1002863255436</v>
      </c>
      <c r="K125" s="73">
        <v>443800</v>
      </c>
      <c r="L125" s="72">
        <v>543800</v>
      </c>
      <c r="M125" s="70"/>
      <c r="N125" s="44"/>
      <c r="O125" s="93" t="s">
        <v>271</v>
      </c>
      <c r="P125" s="18">
        <f t="shared" si="1"/>
        <v>100000</v>
      </c>
    </row>
    <row r="126" spans="1:16" ht="20.100000000000001" customHeight="1" x14ac:dyDescent="0.3">
      <c r="A126" s="39" t="s">
        <v>277</v>
      </c>
      <c r="B126" s="27" t="s">
        <v>45</v>
      </c>
      <c r="C126" s="27" t="s">
        <v>46</v>
      </c>
      <c r="D126" s="27" t="s">
        <v>133</v>
      </c>
      <c r="E126" s="27"/>
      <c r="F126" s="27" t="s">
        <v>156</v>
      </c>
      <c r="G126" s="27"/>
      <c r="H126" s="27"/>
      <c r="I126" s="27" t="s">
        <v>72</v>
      </c>
      <c r="J126" s="40">
        <v>23391067991707</v>
      </c>
      <c r="K126" s="73">
        <v>550900</v>
      </c>
      <c r="L126" s="72">
        <v>650900</v>
      </c>
      <c r="M126" s="70"/>
      <c r="N126" s="44"/>
      <c r="O126" s="93" t="s">
        <v>271</v>
      </c>
      <c r="P126" s="18">
        <f t="shared" si="1"/>
        <v>100000</v>
      </c>
    </row>
    <row r="127" spans="1:16" ht="20.100000000000001" customHeight="1" x14ac:dyDescent="0.3">
      <c r="A127" s="39" t="s">
        <v>277</v>
      </c>
      <c r="B127" s="27" t="s">
        <v>45</v>
      </c>
      <c r="C127" s="27" t="s">
        <v>46</v>
      </c>
      <c r="D127" s="27" t="s">
        <v>133</v>
      </c>
      <c r="E127" s="27"/>
      <c r="F127" s="27" t="s">
        <v>233</v>
      </c>
      <c r="G127" s="27"/>
      <c r="H127" s="27"/>
      <c r="I127" s="27" t="s">
        <v>62</v>
      </c>
      <c r="J127" s="40">
        <v>9105205290345</v>
      </c>
      <c r="K127" s="73">
        <v>49000</v>
      </c>
      <c r="L127" s="72">
        <v>49000</v>
      </c>
      <c r="M127" s="70"/>
      <c r="N127" s="44"/>
      <c r="O127" s="93" t="s">
        <v>271</v>
      </c>
      <c r="P127" s="18">
        <f t="shared" si="1"/>
        <v>0</v>
      </c>
    </row>
    <row r="128" spans="1:16" ht="20.100000000000001" customHeight="1" x14ac:dyDescent="0.3">
      <c r="A128" s="39" t="s">
        <v>277</v>
      </c>
      <c r="B128" s="27" t="s">
        <v>45</v>
      </c>
      <c r="C128" s="27" t="s">
        <v>46</v>
      </c>
      <c r="D128" s="27" t="s">
        <v>133</v>
      </c>
      <c r="E128" s="27"/>
      <c r="F128" s="27" t="s">
        <v>158</v>
      </c>
      <c r="G128" s="27"/>
      <c r="H128" s="27"/>
      <c r="I128" s="27" t="s">
        <v>72</v>
      </c>
      <c r="J128" s="40">
        <v>11692214377437</v>
      </c>
      <c r="K128" s="73">
        <v>536900</v>
      </c>
      <c r="L128" s="72">
        <v>636900</v>
      </c>
      <c r="M128" s="70"/>
      <c r="N128" s="44"/>
      <c r="O128" s="93" t="s">
        <v>271</v>
      </c>
      <c r="P128" s="18">
        <f t="shared" si="1"/>
        <v>100000</v>
      </c>
    </row>
    <row r="129" spans="1:16" ht="20.100000000000001" customHeight="1" x14ac:dyDescent="0.3">
      <c r="A129" s="39" t="s">
        <v>277</v>
      </c>
      <c r="B129" s="27" t="s">
        <v>45</v>
      </c>
      <c r="C129" s="27" t="s">
        <v>46</v>
      </c>
      <c r="D129" s="27" t="s">
        <v>133</v>
      </c>
      <c r="E129" s="27"/>
      <c r="F129" s="27" t="s">
        <v>159</v>
      </c>
      <c r="G129" s="27"/>
      <c r="H129" s="27"/>
      <c r="I129" s="27" t="s">
        <v>72</v>
      </c>
      <c r="J129" s="40">
        <v>23391064161907</v>
      </c>
      <c r="K129" s="73">
        <v>420000</v>
      </c>
      <c r="L129" s="72">
        <v>500000</v>
      </c>
      <c r="M129" s="70"/>
      <c r="N129" s="44"/>
      <c r="O129" s="93" t="s">
        <v>271</v>
      </c>
      <c r="P129" s="18">
        <f t="shared" si="1"/>
        <v>80000</v>
      </c>
    </row>
    <row r="130" spans="1:16" ht="20.100000000000001" customHeight="1" x14ac:dyDescent="0.3">
      <c r="A130" s="39" t="s">
        <v>277</v>
      </c>
      <c r="B130" s="27" t="s">
        <v>45</v>
      </c>
      <c r="C130" s="27" t="s">
        <v>46</v>
      </c>
      <c r="D130" s="27" t="s">
        <v>133</v>
      </c>
      <c r="E130" s="27"/>
      <c r="F130" s="27" t="s">
        <v>160</v>
      </c>
      <c r="G130" s="27"/>
      <c r="H130" s="27"/>
      <c r="I130" s="27" t="s">
        <v>58</v>
      </c>
      <c r="J130" s="40">
        <v>29250201308193</v>
      </c>
      <c r="K130" s="73">
        <v>641900</v>
      </c>
      <c r="L130" s="72">
        <v>761900</v>
      </c>
      <c r="M130" s="70"/>
      <c r="N130" s="44"/>
      <c r="O130" s="93" t="s">
        <v>271</v>
      </c>
      <c r="P130" s="18">
        <f t="shared" si="1"/>
        <v>120000</v>
      </c>
    </row>
    <row r="131" spans="1:16" ht="20.100000000000001" customHeight="1" x14ac:dyDescent="0.3">
      <c r="A131" s="39" t="s">
        <v>277</v>
      </c>
      <c r="B131" s="27" t="s">
        <v>45</v>
      </c>
      <c r="C131" s="27" t="s">
        <v>46</v>
      </c>
      <c r="D131" s="27" t="s">
        <v>133</v>
      </c>
      <c r="E131" s="27"/>
      <c r="F131" s="27" t="s">
        <v>161</v>
      </c>
      <c r="G131" s="27"/>
      <c r="H131" s="27"/>
      <c r="I131" s="27" t="s">
        <v>76</v>
      </c>
      <c r="J131" s="40">
        <v>100089184707</v>
      </c>
      <c r="K131" s="73">
        <v>105000</v>
      </c>
      <c r="L131" s="72">
        <v>125000</v>
      </c>
      <c r="M131" s="70"/>
      <c r="N131" s="44"/>
      <c r="O131" s="93" t="s">
        <v>271</v>
      </c>
      <c r="P131" s="18">
        <f t="shared" si="1"/>
        <v>20000</v>
      </c>
    </row>
    <row r="132" spans="1:16" ht="20.100000000000001" customHeight="1" x14ac:dyDescent="0.3">
      <c r="A132" s="39" t="s">
        <v>277</v>
      </c>
      <c r="B132" s="27" t="s">
        <v>45</v>
      </c>
      <c r="C132" s="27" t="s">
        <v>46</v>
      </c>
      <c r="D132" s="27" t="s">
        <v>133</v>
      </c>
      <c r="E132" s="27"/>
      <c r="F132" s="27" t="s">
        <v>162</v>
      </c>
      <c r="G132" s="27"/>
      <c r="H132" s="27"/>
      <c r="I132" s="27" t="s">
        <v>76</v>
      </c>
      <c r="J132" s="40">
        <v>100248207200</v>
      </c>
      <c r="K132" s="73">
        <v>210000</v>
      </c>
      <c r="L132" s="72">
        <v>250000</v>
      </c>
      <c r="M132" s="70"/>
      <c r="N132" s="44"/>
      <c r="O132" s="93" t="s">
        <v>271</v>
      </c>
      <c r="P132" s="18">
        <f t="shared" si="1"/>
        <v>40000</v>
      </c>
    </row>
    <row r="133" spans="1:16" ht="20.100000000000001" customHeight="1" x14ac:dyDescent="0.3">
      <c r="A133" s="39" t="s">
        <v>277</v>
      </c>
      <c r="B133" s="27" t="s">
        <v>45</v>
      </c>
      <c r="C133" s="27" t="s">
        <v>46</v>
      </c>
      <c r="D133" s="27" t="s">
        <v>133</v>
      </c>
      <c r="E133" s="27"/>
      <c r="F133" s="27" t="s">
        <v>163</v>
      </c>
      <c r="G133" s="27"/>
      <c r="H133" s="27"/>
      <c r="I133" s="27" t="s">
        <v>55</v>
      </c>
      <c r="J133" s="40">
        <v>1002761382905</v>
      </c>
      <c r="K133" s="73">
        <v>317100</v>
      </c>
      <c r="L133" s="72">
        <v>392100</v>
      </c>
      <c r="M133" s="70"/>
      <c r="N133" s="44"/>
      <c r="O133" s="93" t="s">
        <v>271</v>
      </c>
      <c r="P133" s="18">
        <f t="shared" si="1"/>
        <v>75000</v>
      </c>
    </row>
    <row r="134" spans="1:16" ht="20.100000000000001" customHeight="1" x14ac:dyDescent="0.3">
      <c r="A134" s="39" t="s">
        <v>277</v>
      </c>
      <c r="B134" s="27" t="s">
        <v>45</v>
      </c>
      <c r="C134" s="27" t="s">
        <v>46</v>
      </c>
      <c r="D134" s="27" t="s">
        <v>133</v>
      </c>
      <c r="E134" s="27"/>
      <c r="F134" s="27" t="s">
        <v>164</v>
      </c>
      <c r="G134" s="27"/>
      <c r="H134" s="27"/>
      <c r="I134" s="27" t="s">
        <v>72</v>
      </c>
      <c r="J134" s="40">
        <v>60491096318007</v>
      </c>
      <c r="K134" s="73">
        <v>210000</v>
      </c>
      <c r="L134" s="72">
        <v>250000</v>
      </c>
      <c r="M134" s="70"/>
      <c r="N134" s="44"/>
      <c r="O134" s="93" t="s">
        <v>271</v>
      </c>
      <c r="P134" s="18">
        <f t="shared" ref="P134:P159" si="2">L134-K134</f>
        <v>40000</v>
      </c>
    </row>
    <row r="135" spans="1:16" ht="20.100000000000001" customHeight="1" x14ac:dyDescent="0.3">
      <c r="A135" s="39" t="s">
        <v>277</v>
      </c>
      <c r="B135" s="27" t="s">
        <v>45</v>
      </c>
      <c r="C135" s="27" t="s">
        <v>46</v>
      </c>
      <c r="D135" s="27" t="s">
        <v>133</v>
      </c>
      <c r="E135" s="27"/>
      <c r="F135" s="27" t="s">
        <v>165</v>
      </c>
      <c r="G135" s="27"/>
      <c r="H135" s="27"/>
      <c r="I135" s="27" t="s">
        <v>76</v>
      </c>
      <c r="J135" s="40">
        <v>100178321014</v>
      </c>
      <c r="K135" s="73">
        <v>384540</v>
      </c>
      <c r="L135" s="72">
        <v>500000</v>
      </c>
      <c r="M135" s="70">
        <v>35460</v>
      </c>
      <c r="N135" s="44" t="s">
        <v>278</v>
      </c>
      <c r="O135" s="93" t="s">
        <v>271</v>
      </c>
      <c r="P135" s="18">
        <f t="shared" si="2"/>
        <v>115460</v>
      </c>
    </row>
    <row r="136" spans="1:16" ht="20.100000000000001" customHeight="1" x14ac:dyDescent="0.3">
      <c r="A136" s="39" t="s">
        <v>277</v>
      </c>
      <c r="B136" s="27" t="s">
        <v>45</v>
      </c>
      <c r="C136" s="27" t="s">
        <v>46</v>
      </c>
      <c r="D136" s="27" t="s">
        <v>133</v>
      </c>
      <c r="E136" s="27"/>
      <c r="F136" s="27" t="s">
        <v>166</v>
      </c>
      <c r="G136" s="27"/>
      <c r="H136" s="27"/>
      <c r="I136" s="27" t="s">
        <v>189</v>
      </c>
      <c r="J136" s="40">
        <v>50902008559049</v>
      </c>
      <c r="K136" s="73">
        <v>525000</v>
      </c>
      <c r="L136" s="72">
        <v>625000</v>
      </c>
      <c r="M136" s="70"/>
      <c r="N136" s="44"/>
      <c r="O136" s="93" t="s">
        <v>271</v>
      </c>
      <c r="P136" s="18">
        <f t="shared" si="2"/>
        <v>100000</v>
      </c>
    </row>
    <row r="137" spans="1:16" ht="20.100000000000001" customHeight="1" x14ac:dyDescent="0.3">
      <c r="A137" s="39" t="s">
        <v>277</v>
      </c>
      <c r="B137" s="27" t="s">
        <v>45</v>
      </c>
      <c r="C137" s="27" t="s">
        <v>46</v>
      </c>
      <c r="D137" s="27" t="s">
        <v>133</v>
      </c>
      <c r="E137" s="27"/>
      <c r="F137" s="27" t="s">
        <v>167</v>
      </c>
      <c r="G137" s="27"/>
      <c r="H137" s="27"/>
      <c r="I137" s="27" t="s">
        <v>189</v>
      </c>
      <c r="J137" s="40">
        <v>50902008559025</v>
      </c>
      <c r="K137" s="73">
        <v>105000</v>
      </c>
      <c r="L137" s="72">
        <v>125000</v>
      </c>
      <c r="M137" s="70"/>
      <c r="N137" s="44"/>
      <c r="O137" s="93" t="s">
        <v>271</v>
      </c>
      <c r="P137" s="18">
        <f t="shared" si="2"/>
        <v>20000</v>
      </c>
    </row>
    <row r="138" spans="1:16" ht="20.100000000000001" customHeight="1" x14ac:dyDescent="0.3">
      <c r="A138" s="39" t="s">
        <v>277</v>
      </c>
      <c r="B138" s="27" t="s">
        <v>45</v>
      </c>
      <c r="C138" s="27" t="s">
        <v>46</v>
      </c>
      <c r="D138" s="27" t="s">
        <v>133</v>
      </c>
      <c r="E138" s="27"/>
      <c r="F138" s="27" t="s">
        <v>168</v>
      </c>
      <c r="G138" s="27"/>
      <c r="H138" s="27"/>
      <c r="I138" s="27" t="s">
        <v>188</v>
      </c>
      <c r="J138" s="40">
        <v>40107855201013</v>
      </c>
      <c r="K138" s="73">
        <v>630000</v>
      </c>
      <c r="L138" s="72">
        <v>750000</v>
      </c>
      <c r="M138" s="70"/>
      <c r="N138" s="44"/>
      <c r="O138" s="93" t="s">
        <v>271</v>
      </c>
      <c r="P138" s="18">
        <f t="shared" si="2"/>
        <v>120000</v>
      </c>
    </row>
    <row r="139" spans="1:16" ht="20.100000000000001" customHeight="1" x14ac:dyDescent="0.3">
      <c r="A139" s="39" t="s">
        <v>277</v>
      </c>
      <c r="B139" s="27" t="s">
        <v>45</v>
      </c>
      <c r="C139" s="27" t="s">
        <v>46</v>
      </c>
      <c r="D139" s="27" t="s">
        <v>133</v>
      </c>
      <c r="E139" s="27"/>
      <c r="F139" s="27" t="s">
        <v>170</v>
      </c>
      <c r="G139" s="27"/>
      <c r="H139" s="27"/>
      <c r="I139" s="27" t="s">
        <v>76</v>
      </c>
      <c r="J139" s="40">
        <v>100067984361</v>
      </c>
      <c r="K139" s="73">
        <v>506670</v>
      </c>
      <c r="L139" s="72">
        <v>639000</v>
      </c>
      <c r="M139" s="70">
        <v>32330</v>
      </c>
      <c r="N139" s="44" t="s">
        <v>278</v>
      </c>
      <c r="O139" s="93" t="s">
        <v>271</v>
      </c>
      <c r="P139" s="18">
        <f t="shared" si="2"/>
        <v>132330</v>
      </c>
    </row>
    <row r="140" spans="1:16" ht="20.100000000000001" customHeight="1" x14ac:dyDescent="0.3">
      <c r="A140" s="39" t="s">
        <v>277</v>
      </c>
      <c r="B140" s="27" t="s">
        <v>45</v>
      </c>
      <c r="C140" s="27" t="s">
        <v>46</v>
      </c>
      <c r="D140" s="27" t="s">
        <v>133</v>
      </c>
      <c r="E140" s="27"/>
      <c r="F140" s="27" t="s">
        <v>171</v>
      </c>
      <c r="G140" s="27"/>
      <c r="H140" s="27"/>
      <c r="I140" s="27" t="s">
        <v>62</v>
      </c>
      <c r="J140" s="40">
        <v>9500021266780</v>
      </c>
      <c r="K140" s="73">
        <v>315000</v>
      </c>
      <c r="L140" s="72">
        <v>375000</v>
      </c>
      <c r="M140" s="70"/>
      <c r="N140" s="44"/>
      <c r="O140" s="93" t="s">
        <v>271</v>
      </c>
      <c r="P140" s="18">
        <f t="shared" si="2"/>
        <v>60000</v>
      </c>
    </row>
    <row r="141" spans="1:16" ht="20.100000000000001" customHeight="1" x14ac:dyDescent="0.3">
      <c r="A141" s="39" t="s">
        <v>277</v>
      </c>
      <c r="B141" s="27" t="s">
        <v>45</v>
      </c>
      <c r="C141" s="27" t="s">
        <v>46</v>
      </c>
      <c r="D141" s="27" t="s">
        <v>133</v>
      </c>
      <c r="E141" s="27"/>
      <c r="F141" s="27" t="s">
        <v>237</v>
      </c>
      <c r="G141" s="27"/>
      <c r="H141" s="27"/>
      <c r="I141" s="27" t="s">
        <v>72</v>
      </c>
      <c r="J141" s="40">
        <v>23391064161907</v>
      </c>
      <c r="K141" s="73">
        <v>105000</v>
      </c>
      <c r="L141" s="72">
        <v>125000</v>
      </c>
      <c r="M141" s="70"/>
      <c r="N141" s="44"/>
      <c r="O141" s="93" t="s">
        <v>271</v>
      </c>
      <c r="P141" s="18">
        <f t="shared" si="2"/>
        <v>20000</v>
      </c>
    </row>
    <row r="142" spans="1:16" ht="20.100000000000001" customHeight="1" x14ac:dyDescent="0.3">
      <c r="A142" s="39" t="s">
        <v>277</v>
      </c>
      <c r="B142" s="27" t="s">
        <v>45</v>
      </c>
      <c r="C142" s="27" t="s">
        <v>46</v>
      </c>
      <c r="D142" s="27" t="s">
        <v>133</v>
      </c>
      <c r="E142" s="27"/>
      <c r="F142" s="27" t="s">
        <v>172</v>
      </c>
      <c r="G142" s="27"/>
      <c r="H142" s="27"/>
      <c r="I142" s="27" t="s">
        <v>76</v>
      </c>
      <c r="J142" s="40">
        <v>100079961208</v>
      </c>
      <c r="K142" s="73">
        <v>360000</v>
      </c>
      <c r="L142" s="72">
        <v>420000</v>
      </c>
      <c r="M142" s="70"/>
      <c r="N142" s="44"/>
      <c r="O142" s="93" t="s">
        <v>271</v>
      </c>
      <c r="P142" s="18">
        <f t="shared" si="2"/>
        <v>60000</v>
      </c>
    </row>
    <row r="143" spans="1:16" ht="20.100000000000001" customHeight="1" x14ac:dyDescent="0.3">
      <c r="A143" s="39" t="s">
        <v>277</v>
      </c>
      <c r="B143" s="27" t="s">
        <v>45</v>
      </c>
      <c r="C143" s="27" t="s">
        <v>46</v>
      </c>
      <c r="D143" s="27" t="s">
        <v>133</v>
      </c>
      <c r="E143" s="27"/>
      <c r="F143" s="27" t="s">
        <v>174</v>
      </c>
      <c r="G143" s="27"/>
      <c r="H143" s="27"/>
      <c r="I143" s="27" t="s">
        <v>76</v>
      </c>
      <c r="J143" s="40">
        <v>100234627084</v>
      </c>
      <c r="K143" s="73">
        <v>210000</v>
      </c>
      <c r="L143" s="72">
        <v>250000</v>
      </c>
      <c r="M143" s="70"/>
      <c r="N143" s="44"/>
      <c r="O143" s="93" t="s">
        <v>271</v>
      </c>
      <c r="P143" s="18">
        <f t="shared" si="2"/>
        <v>40000</v>
      </c>
    </row>
    <row r="144" spans="1:16" ht="20.100000000000001" customHeight="1" x14ac:dyDescent="0.3">
      <c r="A144" s="39" t="s">
        <v>277</v>
      </c>
      <c r="B144" s="27" t="s">
        <v>45</v>
      </c>
      <c r="C144" s="27" t="s">
        <v>46</v>
      </c>
      <c r="D144" s="27" t="s">
        <v>133</v>
      </c>
      <c r="E144" s="27"/>
      <c r="F144" s="27" t="s">
        <v>241</v>
      </c>
      <c r="G144" s="27"/>
      <c r="H144" s="27"/>
      <c r="I144" s="27" t="s">
        <v>62</v>
      </c>
      <c r="J144" s="40">
        <v>9100052197783</v>
      </c>
      <c r="K144" s="73">
        <v>105000</v>
      </c>
      <c r="L144" s="72">
        <v>125000</v>
      </c>
      <c r="M144" s="70"/>
      <c r="N144" s="44"/>
      <c r="O144" s="93" t="s">
        <v>271</v>
      </c>
      <c r="P144" s="18">
        <f t="shared" si="2"/>
        <v>20000</v>
      </c>
    </row>
    <row r="145" spans="1:16" ht="20.100000000000001" customHeight="1" x14ac:dyDescent="0.3">
      <c r="A145" s="39" t="s">
        <v>277</v>
      </c>
      <c r="B145" s="27" t="s">
        <v>45</v>
      </c>
      <c r="C145" s="27" t="s">
        <v>46</v>
      </c>
      <c r="D145" s="27" t="s">
        <v>133</v>
      </c>
      <c r="E145" s="27"/>
      <c r="F145" s="27" t="s">
        <v>175</v>
      </c>
      <c r="G145" s="27"/>
      <c r="H145" s="27"/>
      <c r="I145" s="27" t="s">
        <v>72</v>
      </c>
      <c r="J145" s="40">
        <v>11692175176737</v>
      </c>
      <c r="K145" s="73">
        <v>315000</v>
      </c>
      <c r="L145" s="72">
        <v>375000</v>
      </c>
      <c r="M145" s="70"/>
      <c r="N145" s="44"/>
      <c r="O145" s="93" t="s">
        <v>271</v>
      </c>
      <c r="P145" s="18">
        <f t="shared" si="2"/>
        <v>60000</v>
      </c>
    </row>
    <row r="146" spans="1:16" ht="20.100000000000001" customHeight="1" x14ac:dyDescent="0.3">
      <c r="A146" s="39" t="s">
        <v>277</v>
      </c>
      <c r="B146" s="27" t="s">
        <v>45</v>
      </c>
      <c r="C146" s="27" t="s">
        <v>46</v>
      </c>
      <c r="D146" s="27" t="s">
        <v>133</v>
      </c>
      <c r="E146" s="27"/>
      <c r="F146" s="27" t="s">
        <v>177</v>
      </c>
      <c r="G146" s="27"/>
      <c r="H146" s="27"/>
      <c r="I146" s="27" t="s">
        <v>62</v>
      </c>
      <c r="J146" s="40">
        <v>9201032272886</v>
      </c>
      <c r="K146" s="73">
        <v>210000</v>
      </c>
      <c r="L146" s="72">
        <v>250000</v>
      </c>
      <c r="M146" s="70"/>
      <c r="N146" s="44"/>
      <c r="O146" s="93" t="s">
        <v>271</v>
      </c>
      <c r="P146" s="18">
        <f t="shared" si="2"/>
        <v>40000</v>
      </c>
    </row>
    <row r="147" spans="1:16" ht="20.100000000000001" customHeight="1" x14ac:dyDescent="0.3">
      <c r="A147" s="39" t="s">
        <v>277</v>
      </c>
      <c r="B147" s="27" t="s">
        <v>45</v>
      </c>
      <c r="C147" s="27" t="s">
        <v>46</v>
      </c>
      <c r="D147" s="27" t="s">
        <v>133</v>
      </c>
      <c r="E147" s="27"/>
      <c r="F147" s="27" t="s">
        <v>180</v>
      </c>
      <c r="G147" s="27"/>
      <c r="H147" s="27"/>
      <c r="I147" s="27" t="s">
        <v>62</v>
      </c>
      <c r="J147" s="40">
        <v>9100051571612</v>
      </c>
      <c r="K147" s="73">
        <v>210000</v>
      </c>
      <c r="L147" s="72">
        <v>250000</v>
      </c>
      <c r="M147" s="70"/>
      <c r="N147" s="44"/>
      <c r="O147" s="93" t="s">
        <v>271</v>
      </c>
      <c r="P147" s="18">
        <f t="shared" si="2"/>
        <v>40000</v>
      </c>
    </row>
    <row r="148" spans="1:16" ht="20.100000000000001" customHeight="1" x14ac:dyDescent="0.3">
      <c r="A148" s="39" t="s">
        <v>277</v>
      </c>
      <c r="B148" s="27" t="s">
        <v>45</v>
      </c>
      <c r="C148" s="27" t="s">
        <v>46</v>
      </c>
      <c r="D148" s="27" t="s">
        <v>133</v>
      </c>
      <c r="E148" s="27"/>
      <c r="F148" s="27" t="s">
        <v>138</v>
      </c>
      <c r="G148" s="27"/>
      <c r="H148" s="27"/>
      <c r="I148" s="27" t="s">
        <v>62</v>
      </c>
      <c r="J148" s="40">
        <v>9100058005944</v>
      </c>
      <c r="K148" s="73">
        <v>421400</v>
      </c>
      <c r="L148" s="72">
        <v>501400</v>
      </c>
      <c r="M148" s="70"/>
      <c r="N148" s="44"/>
      <c r="O148" s="93" t="s">
        <v>271</v>
      </c>
      <c r="P148" s="18">
        <f t="shared" si="2"/>
        <v>80000</v>
      </c>
    </row>
    <row r="149" spans="1:16" ht="20.100000000000001" customHeight="1" x14ac:dyDescent="0.3">
      <c r="A149" s="39" t="s">
        <v>277</v>
      </c>
      <c r="B149" s="27" t="s">
        <v>45</v>
      </c>
      <c r="C149" s="27" t="s">
        <v>46</v>
      </c>
      <c r="D149" s="27" t="s">
        <v>133</v>
      </c>
      <c r="E149" s="27"/>
      <c r="F149" s="27" t="s">
        <v>274</v>
      </c>
      <c r="G149" s="27"/>
      <c r="H149" s="27"/>
      <c r="I149" s="27" t="s">
        <v>62</v>
      </c>
      <c r="J149" s="40">
        <v>9105205267039</v>
      </c>
      <c r="K149" s="73">
        <v>482500</v>
      </c>
      <c r="L149" s="72">
        <v>497500</v>
      </c>
      <c r="M149" s="70"/>
      <c r="N149" s="44"/>
      <c r="O149" s="93" t="s">
        <v>271</v>
      </c>
      <c r="P149" s="18">
        <f t="shared" si="2"/>
        <v>15000</v>
      </c>
    </row>
    <row r="150" spans="1:16" ht="20.100000000000001" customHeight="1" x14ac:dyDescent="0.3">
      <c r="A150" s="39" t="s">
        <v>277</v>
      </c>
      <c r="B150" s="27" t="s">
        <v>45</v>
      </c>
      <c r="C150" s="27" t="s">
        <v>46</v>
      </c>
      <c r="D150" s="27" t="s">
        <v>133</v>
      </c>
      <c r="E150" s="27"/>
      <c r="F150" s="27" t="s">
        <v>275</v>
      </c>
      <c r="G150" s="27"/>
      <c r="H150" s="27"/>
      <c r="I150" s="27" t="s">
        <v>76</v>
      </c>
      <c r="J150" s="40">
        <v>100249233351</v>
      </c>
      <c r="K150" s="73">
        <v>210000</v>
      </c>
      <c r="L150" s="72">
        <v>222000.00000000003</v>
      </c>
      <c r="M150" s="70"/>
      <c r="N150" s="44"/>
      <c r="O150" s="93" t="s">
        <v>271</v>
      </c>
      <c r="P150" s="18">
        <f t="shared" si="2"/>
        <v>12000.000000000029</v>
      </c>
    </row>
    <row r="151" spans="1:16" ht="20.100000000000001" customHeight="1" x14ac:dyDescent="0.3">
      <c r="A151" s="39" t="s">
        <v>277</v>
      </c>
      <c r="B151" s="27" t="s">
        <v>45</v>
      </c>
      <c r="C151" s="27" t="s">
        <v>46</v>
      </c>
      <c r="D151" s="27" t="s">
        <v>193</v>
      </c>
      <c r="E151" s="27"/>
      <c r="F151" s="27" t="s">
        <v>179</v>
      </c>
      <c r="G151" s="27"/>
      <c r="H151" s="27"/>
      <c r="I151" s="27" t="s">
        <v>72</v>
      </c>
      <c r="J151" s="40">
        <v>19891033805907</v>
      </c>
      <c r="K151" s="73">
        <v>800000</v>
      </c>
      <c r="L151" s="72">
        <v>920000</v>
      </c>
      <c r="M151" s="70"/>
      <c r="N151" s="44"/>
      <c r="O151" s="93" t="s">
        <v>271</v>
      </c>
      <c r="P151" s="18">
        <f t="shared" si="2"/>
        <v>120000</v>
      </c>
    </row>
    <row r="152" spans="1:16" ht="20.100000000000001" customHeight="1" x14ac:dyDescent="0.3">
      <c r="A152" s="39" t="s">
        <v>277</v>
      </c>
      <c r="B152" s="27" t="s">
        <v>45</v>
      </c>
      <c r="C152" s="27" t="s">
        <v>46</v>
      </c>
      <c r="D152" s="27" t="s">
        <v>193</v>
      </c>
      <c r="E152" s="27"/>
      <c r="F152" s="27" t="s">
        <v>182</v>
      </c>
      <c r="G152" s="27"/>
      <c r="H152" s="27"/>
      <c r="I152" s="27" t="s">
        <v>72</v>
      </c>
      <c r="J152" s="40">
        <v>19891033805907</v>
      </c>
      <c r="K152" s="73">
        <v>295000</v>
      </c>
      <c r="L152" s="72">
        <v>335000</v>
      </c>
      <c r="M152" s="70"/>
      <c r="N152" s="44"/>
      <c r="O152" s="93" t="s">
        <v>271</v>
      </c>
      <c r="P152" s="18">
        <f t="shared" si="2"/>
        <v>40000</v>
      </c>
    </row>
    <row r="153" spans="1:16" ht="20.100000000000001" customHeight="1" x14ac:dyDescent="0.3">
      <c r="A153" s="39" t="s">
        <v>277</v>
      </c>
      <c r="B153" s="27" t="s">
        <v>45</v>
      </c>
      <c r="C153" s="27" t="s">
        <v>46</v>
      </c>
      <c r="D153" s="27" t="s">
        <v>193</v>
      </c>
      <c r="E153" s="27"/>
      <c r="F153" s="27" t="s">
        <v>183</v>
      </c>
      <c r="G153" s="27"/>
      <c r="H153" s="27"/>
      <c r="I153" s="27" t="s">
        <v>62</v>
      </c>
      <c r="J153" s="40">
        <v>9500020135065</v>
      </c>
      <c r="K153" s="73">
        <v>695000</v>
      </c>
      <c r="L153" s="72">
        <v>795000</v>
      </c>
      <c r="M153" s="70"/>
      <c r="N153" s="44"/>
      <c r="O153" s="93" t="s">
        <v>271</v>
      </c>
      <c r="P153" s="18">
        <f t="shared" si="2"/>
        <v>100000</v>
      </c>
    </row>
    <row r="154" spans="1:16" ht="20.100000000000001" customHeight="1" x14ac:dyDescent="0.3">
      <c r="A154" s="39" t="s">
        <v>277</v>
      </c>
      <c r="B154" s="27" t="s">
        <v>45</v>
      </c>
      <c r="C154" s="27" t="s">
        <v>46</v>
      </c>
      <c r="D154" s="27" t="s">
        <v>193</v>
      </c>
      <c r="E154" s="27"/>
      <c r="F154" s="27" t="s">
        <v>184</v>
      </c>
      <c r="G154" s="27"/>
      <c r="H154" s="27"/>
      <c r="I154" s="27" t="s">
        <v>72</v>
      </c>
      <c r="J154" s="40">
        <v>23391067820107</v>
      </c>
      <c r="K154" s="73">
        <v>800000</v>
      </c>
      <c r="L154" s="72">
        <v>920000</v>
      </c>
      <c r="M154" s="70"/>
      <c r="N154" s="44"/>
      <c r="O154" s="93" t="s">
        <v>271</v>
      </c>
      <c r="P154" s="18">
        <f t="shared" si="2"/>
        <v>120000</v>
      </c>
    </row>
    <row r="155" spans="1:16" ht="20.100000000000001" customHeight="1" x14ac:dyDescent="0.3">
      <c r="A155" s="39" t="s">
        <v>277</v>
      </c>
      <c r="B155" s="27" t="s">
        <v>45</v>
      </c>
      <c r="C155" s="27" t="s">
        <v>46</v>
      </c>
      <c r="D155" s="27" t="s">
        <v>193</v>
      </c>
      <c r="E155" s="27"/>
      <c r="F155" s="27" t="s">
        <v>167</v>
      </c>
      <c r="G155" s="27"/>
      <c r="H155" s="27"/>
      <c r="I155" s="27" t="s">
        <v>189</v>
      </c>
      <c r="J155" s="40">
        <v>50902008559025</v>
      </c>
      <c r="K155" s="73">
        <v>160820</v>
      </c>
      <c r="L155" s="72">
        <v>375000</v>
      </c>
      <c r="M155" s="70">
        <v>154180</v>
      </c>
      <c r="N155" s="44" t="s">
        <v>278</v>
      </c>
      <c r="O155" s="93" t="s">
        <v>271</v>
      </c>
      <c r="P155" s="18">
        <f t="shared" si="2"/>
        <v>214180</v>
      </c>
    </row>
    <row r="156" spans="1:16" ht="20.100000000000001" customHeight="1" x14ac:dyDescent="0.3">
      <c r="A156" s="39" t="s">
        <v>277</v>
      </c>
      <c r="B156" s="27" t="s">
        <v>45</v>
      </c>
      <c r="C156" s="27" t="s">
        <v>46</v>
      </c>
      <c r="D156" s="27" t="s">
        <v>193</v>
      </c>
      <c r="E156" s="27"/>
      <c r="F156" s="27" t="s">
        <v>241</v>
      </c>
      <c r="G156" s="27"/>
      <c r="H156" s="27"/>
      <c r="I156" s="27" t="s">
        <v>62</v>
      </c>
      <c r="J156" s="40">
        <v>9100052197783</v>
      </c>
      <c r="K156" s="73">
        <v>722290</v>
      </c>
      <c r="L156" s="72">
        <v>920000</v>
      </c>
      <c r="M156" s="70">
        <v>77710</v>
      </c>
      <c r="N156" s="44" t="s">
        <v>278</v>
      </c>
      <c r="O156" s="93" t="s">
        <v>271</v>
      </c>
      <c r="P156" s="18">
        <f t="shared" si="2"/>
        <v>197710</v>
      </c>
    </row>
    <row r="157" spans="1:16" ht="20.100000000000001" customHeight="1" x14ac:dyDescent="0.3">
      <c r="A157" s="39" t="s">
        <v>277</v>
      </c>
      <c r="B157" s="27" t="s">
        <v>45</v>
      </c>
      <c r="C157" s="27" t="s">
        <v>46</v>
      </c>
      <c r="D157" s="27" t="s">
        <v>193</v>
      </c>
      <c r="E157" s="27"/>
      <c r="F157" s="27" t="s">
        <v>186</v>
      </c>
      <c r="G157" s="27"/>
      <c r="H157" s="27"/>
      <c r="I157" s="27" t="s">
        <v>72</v>
      </c>
      <c r="J157" s="40">
        <v>14491076606707</v>
      </c>
      <c r="K157" s="73">
        <v>525000</v>
      </c>
      <c r="L157" s="72">
        <v>625000</v>
      </c>
      <c r="M157" s="70"/>
      <c r="N157" s="44"/>
      <c r="O157" s="93" t="s">
        <v>271</v>
      </c>
      <c r="P157" s="18">
        <f t="shared" si="2"/>
        <v>100000</v>
      </c>
    </row>
    <row r="158" spans="1:16" s="102" customFormat="1" ht="20.100000000000001" customHeight="1" x14ac:dyDescent="0.3">
      <c r="A158" s="94" t="s">
        <v>277</v>
      </c>
      <c r="B158" s="95" t="s">
        <v>45</v>
      </c>
      <c r="C158" s="95" t="s">
        <v>46</v>
      </c>
      <c r="D158" s="95" t="s">
        <v>193</v>
      </c>
      <c r="E158" s="95"/>
      <c r="F158" s="95" t="s">
        <v>187</v>
      </c>
      <c r="G158" s="95"/>
      <c r="H158" s="95"/>
      <c r="I158" s="95" t="s">
        <v>51</v>
      </c>
      <c r="J158" s="96">
        <v>3020379742871</v>
      </c>
      <c r="K158" s="97">
        <v>210000</v>
      </c>
      <c r="L158" s="98">
        <v>250000</v>
      </c>
      <c r="M158" s="99"/>
      <c r="N158" s="100" t="s">
        <v>279</v>
      </c>
      <c r="O158" s="101" t="s">
        <v>280</v>
      </c>
      <c r="P158" s="18">
        <f t="shared" si="2"/>
        <v>40000</v>
      </c>
    </row>
    <row r="159" spans="1:16" ht="20.100000000000001" customHeight="1" x14ac:dyDescent="0.3">
      <c r="A159" s="39" t="s">
        <v>277</v>
      </c>
      <c r="B159" s="27" t="s">
        <v>45</v>
      </c>
      <c r="C159" s="27" t="s">
        <v>46</v>
      </c>
      <c r="D159" s="27" t="s">
        <v>193</v>
      </c>
      <c r="E159" s="27"/>
      <c r="F159" s="27" t="s">
        <v>276</v>
      </c>
      <c r="G159" s="27"/>
      <c r="H159" s="27"/>
      <c r="I159" s="27" t="s">
        <v>76</v>
      </c>
      <c r="J159" s="40">
        <v>100220559166</v>
      </c>
      <c r="K159" s="73">
        <v>105000</v>
      </c>
      <c r="L159" s="72">
        <v>125000</v>
      </c>
      <c r="M159" s="70"/>
      <c r="N159" s="44"/>
      <c r="O159" s="93" t="s">
        <v>271</v>
      </c>
      <c r="P159" s="18">
        <f t="shared" si="2"/>
        <v>20000</v>
      </c>
    </row>
    <row r="160" spans="1:16" ht="20.100000000000001" customHeight="1" x14ac:dyDescent="0.3">
      <c r="A160" s="39"/>
      <c r="B160" s="27"/>
      <c r="C160" s="27"/>
      <c r="D160" s="27"/>
      <c r="E160" s="27"/>
      <c r="F160" s="27"/>
      <c r="G160" s="27"/>
      <c r="H160" s="27"/>
      <c r="I160" s="27"/>
      <c r="J160" s="40"/>
      <c r="K160" s="73"/>
      <c r="L160" s="72"/>
      <c r="M160" s="70"/>
      <c r="N160" s="44"/>
    </row>
    <row r="161" spans="1:14" ht="20.100000000000001" customHeight="1" x14ac:dyDescent="0.3">
      <c r="A161" s="39"/>
      <c r="B161" s="27"/>
      <c r="C161" s="27"/>
      <c r="D161" s="27"/>
      <c r="E161" s="27"/>
      <c r="F161" s="27"/>
      <c r="G161" s="27"/>
      <c r="H161" s="27"/>
      <c r="I161" s="27"/>
      <c r="J161" s="40"/>
      <c r="K161" s="73"/>
      <c r="L161" s="72"/>
      <c r="M161" s="70"/>
      <c r="N161" s="44"/>
    </row>
    <row r="162" spans="1:14" ht="20.100000000000001" customHeight="1" x14ac:dyDescent="0.3">
      <c r="A162" s="39"/>
      <c r="B162" s="27"/>
      <c r="C162" s="27"/>
      <c r="D162" s="27"/>
      <c r="E162" s="27"/>
      <c r="F162" s="27"/>
      <c r="G162" s="27"/>
      <c r="H162" s="27"/>
      <c r="I162" s="27"/>
      <c r="J162" s="40"/>
      <c r="K162" s="73"/>
      <c r="L162" s="72"/>
      <c r="M162" s="70"/>
      <c r="N162" s="44"/>
    </row>
    <row r="163" spans="1:14" ht="20.100000000000001" customHeight="1" x14ac:dyDescent="0.3">
      <c r="A163" s="39"/>
      <c r="B163" s="27"/>
      <c r="C163" s="27"/>
      <c r="D163" s="27"/>
      <c r="E163" s="27"/>
      <c r="F163" s="27"/>
      <c r="G163" s="27"/>
      <c r="H163" s="27"/>
      <c r="I163" s="27"/>
      <c r="J163" s="40"/>
      <c r="K163" s="73"/>
      <c r="L163" s="72"/>
      <c r="M163" s="70"/>
      <c r="N163" s="44"/>
    </row>
    <row r="164" spans="1:14" ht="20.100000000000001" customHeight="1" x14ac:dyDescent="0.3">
      <c r="A164" s="39"/>
      <c r="B164" s="27"/>
      <c r="C164" s="27"/>
      <c r="D164" s="27"/>
      <c r="E164" s="27"/>
      <c r="F164" s="27"/>
      <c r="G164" s="27"/>
      <c r="H164" s="27"/>
      <c r="I164" s="27"/>
      <c r="J164" s="40"/>
      <c r="K164" s="73"/>
      <c r="L164" s="72"/>
      <c r="M164" s="70"/>
      <c r="N164" s="44"/>
    </row>
    <row r="165" spans="1:14" ht="20.100000000000001" customHeight="1" x14ac:dyDescent="0.3">
      <c r="A165" s="39"/>
      <c r="B165" s="27"/>
      <c r="C165" s="27"/>
      <c r="D165" s="27"/>
      <c r="E165" s="27"/>
      <c r="F165" s="27"/>
      <c r="G165" s="27"/>
      <c r="H165" s="27"/>
      <c r="I165" s="27"/>
      <c r="J165" s="40"/>
      <c r="K165" s="73"/>
      <c r="L165" s="72"/>
      <c r="M165" s="70"/>
      <c r="N165" s="44"/>
    </row>
    <row r="166" spans="1:14" ht="20.100000000000001" customHeight="1" x14ac:dyDescent="0.3">
      <c r="A166" s="39"/>
      <c r="B166" s="27"/>
      <c r="C166" s="27"/>
      <c r="D166" s="27"/>
      <c r="E166" s="27"/>
      <c r="F166" s="27"/>
      <c r="G166" s="27"/>
      <c r="H166" s="27"/>
      <c r="I166" s="27"/>
      <c r="J166" s="40"/>
      <c r="K166" s="73"/>
      <c r="L166" s="72"/>
      <c r="M166" s="70"/>
      <c r="N166" s="44"/>
    </row>
    <row r="167" spans="1:14" ht="20.100000000000001" customHeight="1" x14ac:dyDescent="0.3">
      <c r="A167" s="39"/>
      <c r="B167" s="27"/>
      <c r="C167" s="27"/>
      <c r="D167" s="27"/>
      <c r="E167" s="27"/>
      <c r="F167" s="27"/>
      <c r="G167" s="27"/>
      <c r="H167" s="27"/>
      <c r="I167" s="27"/>
      <c r="J167" s="40"/>
      <c r="K167" s="73"/>
      <c r="L167" s="72"/>
      <c r="M167" s="70"/>
      <c r="N167" s="44"/>
    </row>
    <row r="168" spans="1:14" ht="20.100000000000001" customHeight="1" x14ac:dyDescent="0.3">
      <c r="A168" s="39"/>
      <c r="B168" s="27"/>
      <c r="C168" s="27"/>
      <c r="D168" s="27"/>
      <c r="E168" s="27"/>
      <c r="F168" s="27"/>
      <c r="G168" s="27"/>
      <c r="H168" s="27"/>
      <c r="I168" s="27"/>
      <c r="J168" s="40"/>
      <c r="K168" s="73"/>
      <c r="L168" s="72"/>
      <c r="M168" s="70"/>
      <c r="N168" s="44"/>
    </row>
    <row r="169" spans="1:14" ht="20.100000000000001" customHeight="1" x14ac:dyDescent="0.3">
      <c r="A169" s="39"/>
      <c r="B169" s="27"/>
      <c r="C169" s="27"/>
      <c r="D169" s="27"/>
      <c r="E169" s="27"/>
      <c r="F169" s="27"/>
      <c r="G169" s="27"/>
      <c r="H169" s="27"/>
      <c r="I169" s="27"/>
      <c r="J169" s="40"/>
      <c r="K169" s="73"/>
      <c r="L169" s="72"/>
      <c r="M169" s="70"/>
      <c r="N169" s="44"/>
    </row>
    <row r="170" spans="1:14" ht="20.100000000000001" customHeight="1" x14ac:dyDescent="0.3">
      <c r="A170" s="39"/>
      <c r="B170" s="27"/>
      <c r="C170" s="27"/>
      <c r="D170" s="27"/>
      <c r="E170" s="27"/>
      <c r="F170" s="27"/>
      <c r="G170" s="27"/>
      <c r="H170" s="27"/>
      <c r="I170" s="27"/>
      <c r="J170" s="40"/>
      <c r="K170" s="73"/>
      <c r="L170" s="72"/>
      <c r="M170" s="70"/>
      <c r="N170" s="44"/>
    </row>
    <row r="171" spans="1:14" ht="20.100000000000001" customHeight="1" x14ac:dyDescent="0.3">
      <c r="A171" s="39"/>
      <c r="B171" s="27"/>
      <c r="C171" s="27"/>
      <c r="D171" s="27"/>
      <c r="E171" s="27"/>
      <c r="F171" s="27"/>
      <c r="G171" s="27"/>
      <c r="H171" s="27"/>
      <c r="I171" s="27"/>
      <c r="J171" s="40"/>
      <c r="K171" s="73"/>
      <c r="L171" s="72"/>
      <c r="M171" s="70"/>
      <c r="N171" s="44"/>
    </row>
    <row r="172" spans="1:14" ht="20.100000000000001" customHeight="1" x14ac:dyDescent="0.3">
      <c r="A172" s="39"/>
      <c r="B172" s="27"/>
      <c r="C172" s="27"/>
      <c r="D172" s="27"/>
      <c r="E172" s="27"/>
      <c r="F172" s="27"/>
      <c r="G172" s="27"/>
      <c r="H172" s="27"/>
      <c r="I172" s="27"/>
      <c r="J172" s="40"/>
      <c r="K172" s="73"/>
      <c r="L172" s="72"/>
      <c r="M172" s="70"/>
      <c r="N172" s="44"/>
    </row>
    <row r="173" spans="1:14" ht="20.100000000000001" customHeight="1" x14ac:dyDescent="0.3">
      <c r="A173" s="39"/>
      <c r="B173" s="27"/>
      <c r="C173" s="27"/>
      <c r="D173" s="27"/>
      <c r="E173" s="27"/>
      <c r="F173" s="27"/>
      <c r="G173" s="27"/>
      <c r="H173" s="27"/>
      <c r="I173" s="27"/>
      <c r="J173" s="40"/>
      <c r="K173" s="73"/>
      <c r="L173" s="72"/>
      <c r="M173" s="70"/>
      <c r="N173" s="44"/>
    </row>
    <row r="174" spans="1:14" ht="20.100000000000001" customHeight="1" x14ac:dyDescent="0.3">
      <c r="A174" s="39"/>
      <c r="B174" s="27"/>
      <c r="C174" s="27"/>
      <c r="D174" s="27"/>
      <c r="E174" s="27"/>
      <c r="F174" s="27"/>
      <c r="G174" s="27"/>
      <c r="H174" s="27"/>
      <c r="I174" s="27"/>
      <c r="J174" s="40"/>
      <c r="K174" s="73"/>
      <c r="L174" s="72"/>
      <c r="M174" s="70"/>
      <c r="N174" s="44"/>
    </row>
    <row r="175" spans="1:14" ht="20.100000000000001" customHeight="1" x14ac:dyDescent="0.3">
      <c r="A175" s="39"/>
      <c r="B175" s="27"/>
      <c r="C175" s="27"/>
      <c r="D175" s="27"/>
      <c r="E175" s="27"/>
      <c r="F175" s="27"/>
      <c r="G175" s="27"/>
      <c r="H175" s="27"/>
      <c r="I175" s="27"/>
      <c r="J175" s="40"/>
      <c r="K175" s="73"/>
      <c r="L175" s="72"/>
      <c r="M175" s="70"/>
      <c r="N175" s="44"/>
    </row>
    <row r="176" spans="1:14" ht="20.100000000000001" customHeight="1" x14ac:dyDescent="0.3">
      <c r="A176" s="39"/>
      <c r="B176" s="27"/>
      <c r="C176" s="27"/>
      <c r="D176" s="27"/>
      <c r="E176" s="27"/>
      <c r="F176" s="27"/>
      <c r="G176" s="27"/>
      <c r="H176" s="27"/>
      <c r="I176" s="27"/>
      <c r="J176" s="40"/>
      <c r="K176" s="73"/>
      <c r="L176" s="72"/>
      <c r="M176" s="70"/>
      <c r="N176" s="44"/>
    </row>
    <row r="177" spans="1:14" ht="20.100000000000001" customHeight="1" x14ac:dyDescent="0.3">
      <c r="A177" s="39"/>
      <c r="B177" s="27"/>
      <c r="C177" s="27"/>
      <c r="D177" s="27"/>
      <c r="E177" s="27"/>
      <c r="F177" s="27"/>
      <c r="G177" s="27"/>
      <c r="H177" s="27"/>
      <c r="I177" s="27"/>
      <c r="J177" s="40"/>
      <c r="K177" s="73"/>
      <c r="L177" s="72"/>
      <c r="M177" s="70"/>
      <c r="N177" s="44"/>
    </row>
    <row r="178" spans="1:14" ht="20.100000000000001" customHeight="1" x14ac:dyDescent="0.3">
      <c r="A178" s="39"/>
      <c r="B178" s="27"/>
      <c r="C178" s="27"/>
      <c r="D178" s="27"/>
      <c r="E178" s="27"/>
      <c r="F178" s="27"/>
      <c r="G178" s="27"/>
      <c r="H178" s="27"/>
      <c r="I178" s="27"/>
      <c r="J178" s="40"/>
      <c r="K178" s="73"/>
      <c r="L178" s="72"/>
      <c r="M178" s="70"/>
      <c r="N178" s="44"/>
    </row>
    <row r="179" spans="1:14" ht="20.100000000000001" customHeight="1" x14ac:dyDescent="0.3">
      <c r="A179" s="39"/>
      <c r="B179" s="27"/>
      <c r="C179" s="27"/>
      <c r="D179" s="27"/>
      <c r="E179" s="27"/>
      <c r="F179" s="27"/>
      <c r="G179" s="27"/>
      <c r="H179" s="27"/>
      <c r="I179" s="27"/>
      <c r="J179" s="40"/>
      <c r="K179" s="73"/>
      <c r="L179" s="72"/>
      <c r="M179" s="70"/>
      <c r="N179" s="44"/>
    </row>
    <row r="180" spans="1:14" ht="20.100000000000001" customHeight="1" x14ac:dyDescent="0.3">
      <c r="A180" s="39"/>
      <c r="B180" s="27"/>
      <c r="C180" s="27"/>
      <c r="D180" s="27"/>
      <c r="E180" s="27"/>
      <c r="F180" s="27"/>
      <c r="G180" s="27"/>
      <c r="H180" s="27"/>
      <c r="I180" s="27"/>
      <c r="J180" s="40"/>
      <c r="K180" s="73"/>
      <c r="L180" s="72"/>
      <c r="M180" s="70"/>
      <c r="N180" s="44"/>
    </row>
    <row r="181" spans="1:14" ht="20.100000000000001" customHeight="1" x14ac:dyDescent="0.3">
      <c r="A181" s="39"/>
      <c r="B181" s="27"/>
      <c r="C181" s="27"/>
      <c r="D181" s="27"/>
      <c r="E181" s="27"/>
      <c r="F181" s="27"/>
      <c r="G181" s="27"/>
      <c r="H181" s="27"/>
      <c r="I181" s="27"/>
      <c r="J181" s="40"/>
      <c r="K181" s="73"/>
      <c r="L181" s="72"/>
      <c r="M181" s="70"/>
      <c r="N181" s="44"/>
    </row>
    <row r="182" spans="1:14" ht="20.100000000000001" customHeight="1" x14ac:dyDescent="0.3">
      <c r="A182" s="39"/>
      <c r="B182" s="27"/>
      <c r="C182" s="27"/>
      <c r="D182" s="27"/>
      <c r="E182" s="27"/>
      <c r="F182" s="27"/>
      <c r="G182" s="27"/>
      <c r="H182" s="27"/>
      <c r="I182" s="27"/>
      <c r="J182" s="40"/>
      <c r="K182" s="73"/>
      <c r="L182" s="72"/>
      <c r="M182" s="70"/>
      <c r="N182" s="44"/>
    </row>
    <row r="183" spans="1:14" ht="20.100000000000001" customHeight="1" x14ac:dyDescent="0.3">
      <c r="A183" s="39"/>
      <c r="B183" s="27"/>
      <c r="C183" s="27"/>
      <c r="D183" s="27"/>
      <c r="E183" s="27"/>
      <c r="F183" s="27"/>
      <c r="G183" s="27"/>
      <c r="H183" s="27"/>
      <c r="I183" s="27"/>
      <c r="J183" s="40"/>
      <c r="K183" s="73"/>
      <c r="L183" s="72"/>
      <c r="M183" s="70"/>
      <c r="N183" s="44"/>
    </row>
    <row r="184" spans="1:14" ht="20.100000000000001" customHeight="1" x14ac:dyDescent="0.3">
      <c r="A184" s="39"/>
      <c r="B184" s="27"/>
      <c r="C184" s="27"/>
      <c r="D184" s="27"/>
      <c r="E184" s="27"/>
      <c r="F184" s="27"/>
      <c r="G184" s="27"/>
      <c r="H184" s="27"/>
      <c r="I184" s="27"/>
      <c r="J184" s="40"/>
      <c r="K184" s="73"/>
      <c r="L184" s="72"/>
      <c r="M184" s="70"/>
      <c r="N184" s="44"/>
    </row>
    <row r="185" spans="1:14" ht="20.100000000000001" customHeight="1" x14ac:dyDescent="0.3">
      <c r="A185" s="39"/>
      <c r="B185" s="27"/>
      <c r="C185" s="27"/>
      <c r="D185" s="27"/>
      <c r="E185" s="27"/>
      <c r="F185" s="27"/>
      <c r="G185" s="27"/>
      <c r="H185" s="27"/>
      <c r="I185" s="27"/>
      <c r="J185" s="40"/>
      <c r="K185" s="73"/>
      <c r="L185" s="72"/>
      <c r="M185" s="70"/>
      <c r="N185" s="44"/>
    </row>
    <row r="186" spans="1:14" ht="20.100000000000001" customHeight="1" x14ac:dyDescent="0.3">
      <c r="A186" s="39"/>
      <c r="B186" s="27"/>
      <c r="C186" s="27"/>
      <c r="D186" s="27"/>
      <c r="E186" s="27"/>
      <c r="F186" s="27"/>
      <c r="G186" s="27"/>
      <c r="H186" s="27"/>
      <c r="I186" s="27"/>
      <c r="J186" s="40"/>
      <c r="K186" s="73"/>
      <c r="L186" s="72"/>
      <c r="M186" s="70"/>
      <c r="N186" s="44"/>
    </row>
    <row r="187" spans="1:14" ht="20.100000000000001" customHeight="1" x14ac:dyDescent="0.3">
      <c r="A187" s="39"/>
      <c r="B187" s="27"/>
      <c r="C187" s="27"/>
      <c r="D187" s="27"/>
      <c r="E187" s="27"/>
      <c r="F187" s="27"/>
      <c r="G187" s="27"/>
      <c r="H187" s="27"/>
      <c r="I187" s="27"/>
      <c r="J187" s="40"/>
      <c r="K187" s="73"/>
      <c r="L187" s="72"/>
      <c r="M187" s="70"/>
      <c r="N187" s="44"/>
    </row>
    <row r="188" spans="1:14" ht="20.100000000000001" customHeight="1" x14ac:dyDescent="0.3">
      <c r="A188" s="39"/>
      <c r="B188" s="27"/>
      <c r="C188" s="27"/>
      <c r="D188" s="27"/>
      <c r="E188" s="27"/>
      <c r="F188" s="27"/>
      <c r="G188" s="27"/>
      <c r="H188" s="27"/>
      <c r="I188" s="27"/>
      <c r="J188" s="40"/>
      <c r="K188" s="73"/>
      <c r="L188" s="72"/>
      <c r="M188" s="70"/>
      <c r="N188" s="44"/>
    </row>
    <row r="189" spans="1:14" ht="20.100000000000001" customHeight="1" x14ac:dyDescent="0.3">
      <c r="A189" s="39"/>
      <c r="B189" s="27"/>
      <c r="C189" s="27"/>
      <c r="D189" s="27"/>
      <c r="E189" s="27"/>
      <c r="F189" s="27"/>
      <c r="G189" s="27"/>
      <c r="H189" s="27"/>
      <c r="I189" s="27"/>
      <c r="J189" s="40"/>
      <c r="K189" s="73"/>
      <c r="L189" s="72"/>
      <c r="M189" s="70"/>
      <c r="N189" s="44"/>
    </row>
    <row r="190" spans="1:14" ht="20.100000000000001" customHeight="1" x14ac:dyDescent="0.3">
      <c r="A190" s="39"/>
      <c r="B190" s="27"/>
      <c r="C190" s="27"/>
      <c r="D190" s="27"/>
      <c r="E190" s="27"/>
      <c r="F190" s="27"/>
      <c r="G190" s="27"/>
      <c r="H190" s="27"/>
      <c r="I190" s="27"/>
      <c r="J190" s="40"/>
      <c r="K190" s="73"/>
      <c r="L190" s="72"/>
      <c r="M190" s="70"/>
      <c r="N190" s="44"/>
    </row>
    <row r="191" spans="1:14" ht="20.100000000000001" customHeight="1" x14ac:dyDescent="0.3">
      <c r="A191" s="39"/>
      <c r="B191" s="27"/>
      <c r="C191" s="27"/>
      <c r="D191" s="27"/>
      <c r="E191" s="27"/>
      <c r="F191" s="27"/>
      <c r="G191" s="27"/>
      <c r="H191" s="27"/>
      <c r="I191" s="27"/>
      <c r="J191" s="40"/>
      <c r="K191" s="73"/>
      <c r="L191" s="72"/>
      <c r="M191" s="70"/>
      <c r="N191" s="44"/>
    </row>
    <row r="192" spans="1:14" ht="20.100000000000001" customHeight="1" x14ac:dyDescent="0.3">
      <c r="A192" s="39"/>
      <c r="B192" s="27"/>
      <c r="C192" s="27"/>
      <c r="D192" s="27"/>
      <c r="E192" s="27"/>
      <c r="F192" s="27"/>
      <c r="G192" s="27"/>
      <c r="H192" s="27"/>
      <c r="I192" s="27"/>
      <c r="J192" s="40"/>
      <c r="K192" s="73"/>
      <c r="L192" s="72"/>
      <c r="M192" s="70"/>
      <c r="N192" s="44"/>
    </row>
    <row r="193" spans="1:14" ht="20.100000000000001" customHeight="1" x14ac:dyDescent="0.3">
      <c r="A193" s="39"/>
      <c r="B193" s="27"/>
      <c r="C193" s="27"/>
      <c r="D193" s="27"/>
      <c r="E193" s="27"/>
      <c r="F193" s="27"/>
      <c r="G193" s="27"/>
      <c r="H193" s="27"/>
      <c r="I193" s="27"/>
      <c r="J193" s="40"/>
      <c r="K193" s="73"/>
      <c r="L193" s="72"/>
      <c r="M193" s="70"/>
      <c r="N193" s="44"/>
    </row>
    <row r="194" spans="1:14" ht="20.100000000000001" customHeight="1" x14ac:dyDescent="0.3">
      <c r="A194" s="39"/>
      <c r="B194" s="27"/>
      <c r="C194" s="27"/>
      <c r="D194" s="27"/>
      <c r="E194" s="27"/>
      <c r="F194" s="27"/>
      <c r="G194" s="27"/>
      <c r="H194" s="27"/>
      <c r="I194" s="27"/>
      <c r="J194" s="40"/>
      <c r="K194" s="73"/>
      <c r="L194" s="72"/>
      <c r="M194" s="70"/>
      <c r="N194" s="44"/>
    </row>
    <row r="195" spans="1:14" ht="20.100000000000001" customHeight="1" x14ac:dyDescent="0.3">
      <c r="A195" s="39"/>
      <c r="B195" s="27"/>
      <c r="C195" s="27"/>
      <c r="D195" s="27"/>
      <c r="E195" s="27"/>
      <c r="F195" s="27"/>
      <c r="G195" s="27"/>
      <c r="H195" s="27"/>
      <c r="I195" s="27"/>
      <c r="J195" s="40"/>
      <c r="K195" s="73"/>
      <c r="L195" s="72"/>
      <c r="M195" s="70"/>
      <c r="N195" s="44"/>
    </row>
    <row r="196" spans="1:14" ht="20.100000000000001" customHeight="1" x14ac:dyDescent="0.3">
      <c r="A196" s="39"/>
      <c r="B196" s="27"/>
      <c r="C196" s="27"/>
      <c r="D196" s="27"/>
      <c r="E196" s="27"/>
      <c r="F196" s="27"/>
      <c r="G196" s="27"/>
      <c r="H196" s="27"/>
      <c r="I196" s="27"/>
      <c r="J196" s="40"/>
      <c r="K196" s="73"/>
      <c r="L196" s="72"/>
      <c r="M196" s="70"/>
      <c r="N196" s="44"/>
    </row>
    <row r="197" spans="1:14" ht="20.100000000000001" customHeight="1" x14ac:dyDescent="0.3">
      <c r="A197" s="39"/>
      <c r="B197" s="27"/>
      <c r="C197" s="27"/>
      <c r="D197" s="27"/>
      <c r="E197" s="27"/>
      <c r="F197" s="27"/>
      <c r="G197" s="27"/>
      <c r="H197" s="27"/>
      <c r="I197" s="27"/>
      <c r="J197" s="40"/>
      <c r="K197" s="73"/>
      <c r="L197" s="72"/>
      <c r="M197" s="70"/>
      <c r="N197" s="44"/>
    </row>
    <row r="198" spans="1:14" ht="20.100000000000001" customHeight="1" x14ac:dyDescent="0.3">
      <c r="A198" s="39"/>
      <c r="B198" s="27"/>
      <c r="C198" s="27"/>
      <c r="D198" s="27"/>
      <c r="E198" s="27"/>
      <c r="F198" s="27"/>
      <c r="G198" s="27"/>
      <c r="H198" s="27"/>
      <c r="I198" s="27"/>
      <c r="J198" s="40"/>
      <c r="K198" s="73"/>
      <c r="L198" s="72"/>
      <c r="M198" s="70"/>
      <c r="N198" s="44"/>
    </row>
    <row r="199" spans="1:14" ht="20.100000000000001" customHeight="1" x14ac:dyDescent="0.3">
      <c r="A199" s="39"/>
      <c r="B199" s="27"/>
      <c r="C199" s="27"/>
      <c r="D199" s="27"/>
      <c r="E199" s="27"/>
      <c r="F199" s="27"/>
      <c r="G199" s="27"/>
      <c r="H199" s="27"/>
      <c r="I199" s="27"/>
      <c r="J199" s="40"/>
      <c r="K199" s="73"/>
      <c r="L199" s="72"/>
      <c r="M199" s="70"/>
      <c r="N199" s="44"/>
    </row>
    <row r="200" spans="1:14" ht="20.100000000000001" customHeight="1" x14ac:dyDescent="0.3">
      <c r="A200" s="39"/>
      <c r="B200" s="27"/>
      <c r="C200" s="27"/>
      <c r="D200" s="27"/>
      <c r="E200" s="27"/>
      <c r="F200" s="27"/>
      <c r="G200" s="27"/>
      <c r="H200" s="27"/>
      <c r="I200" s="27"/>
      <c r="J200" s="40"/>
      <c r="K200" s="73"/>
      <c r="L200" s="72"/>
      <c r="M200" s="70"/>
      <c r="N200" s="44"/>
    </row>
    <row r="201" spans="1:14" ht="20.100000000000001" customHeight="1" x14ac:dyDescent="0.3">
      <c r="A201" s="39"/>
      <c r="B201" s="27"/>
      <c r="C201" s="27"/>
      <c r="D201" s="27"/>
      <c r="E201" s="27"/>
      <c r="F201" s="27"/>
      <c r="G201" s="27"/>
      <c r="H201" s="27"/>
      <c r="I201" s="27"/>
      <c r="J201" s="40"/>
      <c r="K201" s="73"/>
      <c r="L201" s="72"/>
      <c r="M201" s="70"/>
      <c r="N201" s="44"/>
    </row>
    <row r="202" spans="1:14" ht="20.100000000000001" customHeight="1" x14ac:dyDescent="0.3">
      <c r="A202" s="39"/>
      <c r="B202" s="27"/>
      <c r="C202" s="27"/>
      <c r="D202" s="27"/>
      <c r="E202" s="27"/>
      <c r="F202" s="27"/>
      <c r="G202" s="27"/>
      <c r="H202" s="27"/>
      <c r="I202" s="27"/>
      <c r="J202" s="40"/>
      <c r="K202" s="73"/>
      <c r="L202" s="72"/>
      <c r="M202" s="70"/>
      <c r="N202" s="44"/>
    </row>
    <row r="203" spans="1:14" ht="20.100000000000001" customHeight="1" x14ac:dyDescent="0.3">
      <c r="A203" s="39"/>
      <c r="B203" s="27"/>
      <c r="C203" s="27"/>
      <c r="D203" s="27"/>
      <c r="E203" s="27"/>
      <c r="F203" s="27"/>
      <c r="G203" s="27"/>
      <c r="H203" s="27"/>
      <c r="I203" s="27"/>
      <c r="J203" s="40"/>
      <c r="K203" s="73"/>
      <c r="L203" s="72"/>
      <c r="M203" s="70"/>
      <c r="N203" s="44"/>
    </row>
    <row r="204" spans="1:14" ht="20.100000000000001" customHeight="1" x14ac:dyDescent="0.3">
      <c r="A204" s="39"/>
      <c r="B204" s="27"/>
      <c r="C204" s="27"/>
      <c r="D204" s="27"/>
      <c r="E204" s="27"/>
      <c r="F204" s="27"/>
      <c r="G204" s="27"/>
      <c r="H204" s="27"/>
      <c r="I204" s="27"/>
      <c r="J204" s="40"/>
      <c r="K204" s="73"/>
      <c r="L204" s="72"/>
      <c r="M204" s="70"/>
      <c r="N204" s="44"/>
    </row>
    <row r="205" spans="1:14" ht="20.100000000000001" customHeight="1" x14ac:dyDescent="0.3">
      <c r="A205" s="39"/>
      <c r="B205" s="27"/>
      <c r="C205" s="27"/>
      <c r="D205" s="27"/>
      <c r="E205" s="27"/>
      <c r="F205" s="27"/>
      <c r="G205" s="27"/>
      <c r="H205" s="27"/>
      <c r="I205" s="27"/>
      <c r="J205" s="40"/>
      <c r="K205" s="73"/>
      <c r="L205" s="72"/>
      <c r="M205" s="70"/>
      <c r="N205" s="44"/>
    </row>
    <row r="206" spans="1:14" ht="20.100000000000001" customHeight="1" x14ac:dyDescent="0.3">
      <c r="A206" s="39"/>
      <c r="B206" s="27"/>
      <c r="C206" s="27"/>
      <c r="D206" s="27"/>
      <c r="E206" s="27"/>
      <c r="F206" s="27"/>
      <c r="G206" s="27"/>
      <c r="H206" s="27"/>
      <c r="I206" s="27"/>
      <c r="J206" s="40"/>
      <c r="K206" s="73"/>
      <c r="L206" s="72"/>
      <c r="M206" s="70"/>
      <c r="N206" s="44"/>
    </row>
    <row r="207" spans="1:14" ht="20.100000000000001" customHeight="1" x14ac:dyDescent="0.3">
      <c r="A207" s="39"/>
      <c r="B207" s="27"/>
      <c r="C207" s="27"/>
      <c r="D207" s="27"/>
      <c r="E207" s="27"/>
      <c r="F207" s="27"/>
      <c r="G207" s="27"/>
      <c r="H207" s="27"/>
      <c r="I207" s="27"/>
      <c r="J207" s="40"/>
      <c r="K207" s="73"/>
      <c r="L207" s="72"/>
      <c r="M207" s="70"/>
      <c r="N207" s="44"/>
    </row>
    <row r="208" spans="1:14" ht="20.100000000000001" customHeight="1" x14ac:dyDescent="0.3">
      <c r="A208" s="39"/>
      <c r="B208" s="27"/>
      <c r="C208" s="27"/>
      <c r="D208" s="27"/>
      <c r="E208" s="27"/>
      <c r="F208" s="27"/>
      <c r="G208" s="27"/>
      <c r="H208" s="27"/>
      <c r="I208" s="27"/>
      <c r="J208" s="40"/>
      <c r="K208" s="73"/>
      <c r="L208" s="72"/>
      <c r="M208" s="70"/>
      <c r="N208" s="44"/>
    </row>
    <row r="209" spans="1:14" ht="20.100000000000001" customHeight="1" x14ac:dyDescent="0.3">
      <c r="A209" s="39"/>
      <c r="B209" s="27"/>
      <c r="C209" s="27"/>
      <c r="D209" s="27"/>
      <c r="E209" s="27"/>
      <c r="F209" s="27"/>
      <c r="G209" s="27"/>
      <c r="H209" s="27"/>
      <c r="I209" s="27"/>
      <c r="J209" s="40"/>
      <c r="K209" s="73"/>
      <c r="L209" s="72"/>
      <c r="M209" s="70"/>
      <c r="N209" s="44"/>
    </row>
    <row r="210" spans="1:14" ht="20.100000000000001" customHeight="1" x14ac:dyDescent="0.3">
      <c r="A210" s="39"/>
      <c r="B210" s="27"/>
      <c r="C210" s="27"/>
      <c r="D210" s="27"/>
      <c r="E210" s="27"/>
      <c r="F210" s="27"/>
      <c r="G210" s="27"/>
      <c r="H210" s="27"/>
      <c r="I210" s="27"/>
      <c r="J210" s="40"/>
      <c r="K210" s="73"/>
      <c r="L210" s="72"/>
      <c r="M210" s="70"/>
      <c r="N210" s="44"/>
    </row>
    <row r="211" spans="1:14" ht="20.100000000000001" customHeight="1" x14ac:dyDescent="0.3">
      <c r="A211" s="39"/>
      <c r="B211" s="27"/>
      <c r="C211" s="27"/>
      <c r="D211" s="27"/>
      <c r="E211" s="27"/>
      <c r="F211" s="27"/>
      <c r="G211" s="27"/>
      <c r="H211" s="27"/>
      <c r="I211" s="27"/>
      <c r="J211" s="40"/>
      <c r="K211" s="73"/>
      <c r="L211" s="72"/>
      <c r="M211" s="70"/>
      <c r="N211" s="44"/>
    </row>
    <row r="212" spans="1:14" ht="20.100000000000001" customHeight="1" x14ac:dyDescent="0.3">
      <c r="A212" s="39"/>
      <c r="B212" s="27"/>
      <c r="C212" s="27"/>
      <c r="D212" s="27"/>
      <c r="E212" s="27"/>
      <c r="F212" s="27"/>
      <c r="G212" s="27"/>
      <c r="H212" s="27"/>
      <c r="I212" s="27"/>
      <c r="J212" s="40"/>
      <c r="K212" s="73"/>
      <c r="L212" s="72"/>
      <c r="M212" s="70"/>
      <c r="N212" s="44"/>
    </row>
    <row r="213" spans="1:14" ht="20.100000000000001" customHeight="1" x14ac:dyDescent="0.3">
      <c r="A213" s="39"/>
      <c r="B213" s="27"/>
      <c r="C213" s="27"/>
      <c r="D213" s="27"/>
      <c r="E213" s="27"/>
      <c r="F213" s="27"/>
      <c r="G213" s="27"/>
      <c r="H213" s="27"/>
      <c r="I213" s="27"/>
      <c r="J213" s="40"/>
      <c r="K213" s="73"/>
      <c r="L213" s="72"/>
      <c r="M213" s="70"/>
      <c r="N213" s="44"/>
    </row>
    <row r="214" spans="1:14" ht="20.100000000000001" customHeight="1" x14ac:dyDescent="0.3">
      <c r="A214" s="39"/>
      <c r="B214" s="27"/>
      <c r="C214" s="27"/>
      <c r="D214" s="27"/>
      <c r="E214" s="27"/>
      <c r="F214" s="27"/>
      <c r="G214" s="27"/>
      <c r="H214" s="27"/>
      <c r="I214" s="27"/>
      <c r="J214" s="40"/>
      <c r="K214" s="73"/>
      <c r="L214" s="72"/>
      <c r="M214" s="70"/>
      <c r="N214" s="44"/>
    </row>
    <row r="215" spans="1:14" ht="20.100000000000001" customHeight="1" x14ac:dyDescent="0.3">
      <c r="A215" s="39"/>
      <c r="B215" s="27"/>
      <c r="C215" s="27"/>
      <c r="D215" s="27"/>
      <c r="E215" s="27"/>
      <c r="F215" s="27"/>
      <c r="G215" s="27"/>
      <c r="H215" s="27"/>
      <c r="I215" s="27"/>
      <c r="J215" s="40"/>
      <c r="K215" s="73"/>
      <c r="L215" s="72"/>
      <c r="M215" s="70"/>
      <c r="N215" s="44"/>
    </row>
    <row r="216" spans="1:14" ht="20.100000000000001" customHeight="1" x14ac:dyDescent="0.3">
      <c r="A216" s="39"/>
      <c r="B216" s="27"/>
      <c r="C216" s="27"/>
      <c r="D216" s="27"/>
      <c r="E216" s="27"/>
      <c r="F216" s="27"/>
      <c r="G216" s="27"/>
      <c r="H216" s="27"/>
      <c r="I216" s="27"/>
      <c r="J216" s="40"/>
      <c r="K216" s="73"/>
      <c r="L216" s="72"/>
      <c r="M216" s="70"/>
      <c r="N216" s="44"/>
    </row>
    <row r="217" spans="1:14" ht="20.100000000000001" customHeight="1" x14ac:dyDescent="0.3">
      <c r="A217" s="39"/>
      <c r="B217" s="27"/>
      <c r="C217" s="27"/>
      <c r="D217" s="27"/>
      <c r="E217" s="27"/>
      <c r="F217" s="27"/>
      <c r="G217" s="27"/>
      <c r="H217" s="27"/>
      <c r="I217" s="27"/>
      <c r="J217" s="40"/>
      <c r="K217" s="73"/>
      <c r="L217" s="72"/>
      <c r="M217" s="70"/>
      <c r="N217" s="44"/>
    </row>
    <row r="218" spans="1:14" ht="20.100000000000001" customHeight="1" x14ac:dyDescent="0.3">
      <c r="A218" s="39"/>
      <c r="B218" s="27"/>
      <c r="C218" s="27"/>
      <c r="D218" s="27"/>
      <c r="E218" s="27"/>
      <c r="F218" s="27"/>
      <c r="G218" s="27"/>
      <c r="H218" s="27"/>
      <c r="I218" s="27"/>
      <c r="J218" s="40"/>
      <c r="K218" s="73"/>
      <c r="L218" s="72"/>
      <c r="M218" s="70"/>
      <c r="N218" s="44"/>
    </row>
    <row r="219" spans="1:14" ht="20.100000000000001" customHeight="1" x14ac:dyDescent="0.3">
      <c r="A219" s="39"/>
      <c r="B219" s="27"/>
      <c r="C219" s="27"/>
      <c r="D219" s="27"/>
      <c r="E219" s="27"/>
      <c r="F219" s="27"/>
      <c r="G219" s="27"/>
      <c r="H219" s="27"/>
      <c r="I219" s="27"/>
      <c r="J219" s="40"/>
      <c r="K219" s="73"/>
      <c r="L219" s="72"/>
      <c r="M219" s="70"/>
      <c r="N219" s="44"/>
    </row>
    <row r="220" spans="1:14" ht="20.100000000000001" customHeight="1" x14ac:dyDescent="0.3">
      <c r="A220" s="39"/>
      <c r="B220" s="27"/>
      <c r="C220" s="27"/>
      <c r="D220" s="27"/>
      <c r="E220" s="27"/>
      <c r="F220" s="27"/>
      <c r="G220" s="27"/>
      <c r="H220" s="27"/>
      <c r="I220" s="27"/>
      <c r="J220" s="40"/>
      <c r="K220" s="73"/>
      <c r="L220" s="72"/>
      <c r="M220" s="70"/>
      <c r="N220" s="44"/>
    </row>
    <row r="221" spans="1:14" ht="20.100000000000001" customHeight="1" x14ac:dyDescent="0.3">
      <c r="A221" s="39"/>
      <c r="B221" s="27"/>
      <c r="C221" s="27"/>
      <c r="D221" s="27"/>
      <c r="E221" s="27"/>
      <c r="F221" s="27"/>
      <c r="G221" s="27"/>
      <c r="H221" s="27"/>
      <c r="I221" s="27"/>
      <c r="J221" s="40"/>
      <c r="K221" s="73"/>
      <c r="L221" s="72"/>
      <c r="M221" s="70"/>
      <c r="N221" s="44"/>
    </row>
    <row r="222" spans="1:14" ht="20.100000000000001" customHeight="1" x14ac:dyDescent="0.3">
      <c r="A222" s="39"/>
      <c r="B222" s="27"/>
      <c r="C222" s="27"/>
      <c r="D222" s="27"/>
      <c r="E222" s="27"/>
      <c r="F222" s="27"/>
      <c r="G222" s="27"/>
      <c r="H222" s="27"/>
      <c r="I222" s="27"/>
      <c r="J222" s="40"/>
      <c r="K222" s="73"/>
      <c r="L222" s="72"/>
      <c r="M222" s="70"/>
      <c r="N222" s="44"/>
    </row>
    <row r="223" spans="1:14" ht="20.100000000000001" customHeight="1" x14ac:dyDescent="0.3">
      <c r="A223" s="39"/>
      <c r="B223" s="27"/>
      <c r="C223" s="27"/>
      <c r="D223" s="27"/>
      <c r="E223" s="27"/>
      <c r="F223" s="27"/>
      <c r="G223" s="27"/>
      <c r="H223" s="27"/>
      <c r="I223" s="27"/>
      <c r="J223" s="40"/>
      <c r="K223" s="73"/>
      <c r="L223" s="72"/>
      <c r="M223" s="70"/>
      <c r="N223" s="44"/>
    </row>
    <row r="224" spans="1:14" ht="20.100000000000001" customHeight="1" x14ac:dyDescent="0.3">
      <c r="A224" s="39"/>
      <c r="B224" s="27"/>
      <c r="C224" s="27"/>
      <c r="D224" s="27"/>
      <c r="E224" s="27"/>
      <c r="F224" s="27"/>
      <c r="G224" s="27"/>
      <c r="H224" s="27"/>
      <c r="I224" s="27"/>
      <c r="J224" s="40"/>
      <c r="K224" s="73"/>
      <c r="L224" s="72"/>
      <c r="M224" s="70"/>
      <c r="N224" s="44"/>
    </row>
    <row r="225" spans="1:14" ht="20.100000000000001" customHeight="1" x14ac:dyDescent="0.3">
      <c r="A225" s="39"/>
      <c r="B225" s="27"/>
      <c r="C225" s="27"/>
      <c r="D225" s="27"/>
      <c r="E225" s="27"/>
      <c r="F225" s="27"/>
      <c r="G225" s="27"/>
      <c r="H225" s="27"/>
      <c r="I225" s="27"/>
      <c r="J225" s="40"/>
      <c r="K225" s="73"/>
      <c r="L225" s="72"/>
      <c r="M225" s="70"/>
      <c r="N225" s="44"/>
    </row>
    <row r="226" spans="1:14" ht="20.100000000000001" customHeight="1" x14ac:dyDescent="0.3">
      <c r="A226" s="39"/>
      <c r="B226" s="27"/>
      <c r="C226" s="27"/>
      <c r="D226" s="27"/>
      <c r="E226" s="27"/>
      <c r="F226" s="27"/>
      <c r="G226" s="27"/>
      <c r="H226" s="27"/>
      <c r="I226" s="27"/>
      <c r="J226" s="40"/>
      <c r="K226" s="73"/>
      <c r="L226" s="72"/>
      <c r="M226" s="70"/>
      <c r="N226" s="44"/>
    </row>
    <row r="227" spans="1:14" ht="20.100000000000001" customHeight="1" x14ac:dyDescent="0.3">
      <c r="A227" s="39"/>
      <c r="B227" s="27"/>
      <c r="C227" s="27"/>
      <c r="D227" s="27"/>
      <c r="E227" s="27"/>
      <c r="F227" s="27"/>
      <c r="G227" s="27"/>
      <c r="H227" s="27"/>
      <c r="I227" s="27"/>
      <c r="J227" s="40"/>
      <c r="K227" s="73"/>
      <c r="L227" s="72"/>
      <c r="M227" s="70"/>
      <c r="N227" s="44"/>
    </row>
    <row r="228" spans="1:14" ht="20.100000000000001" customHeight="1" x14ac:dyDescent="0.3">
      <c r="A228" s="39"/>
      <c r="B228" s="27"/>
      <c r="C228" s="27"/>
      <c r="D228" s="27"/>
      <c r="E228" s="27"/>
      <c r="F228" s="27"/>
      <c r="G228" s="27"/>
      <c r="H228" s="27"/>
      <c r="I228" s="27"/>
      <c r="J228" s="40"/>
      <c r="K228" s="73"/>
      <c r="L228" s="72"/>
      <c r="M228" s="70"/>
      <c r="N228" s="44"/>
    </row>
    <row r="229" spans="1:14" ht="20.100000000000001" customHeight="1" x14ac:dyDescent="0.3">
      <c r="A229" s="39"/>
      <c r="B229" s="27"/>
      <c r="C229" s="27"/>
      <c r="D229" s="27"/>
      <c r="E229" s="27"/>
      <c r="F229" s="27"/>
      <c r="G229" s="27"/>
      <c r="H229" s="27"/>
      <c r="I229" s="27"/>
      <c r="J229" s="40"/>
      <c r="K229" s="73"/>
      <c r="L229" s="72"/>
      <c r="M229" s="70"/>
      <c r="N229" s="44"/>
    </row>
    <row r="230" spans="1:14" ht="20.100000000000001" customHeight="1" x14ac:dyDescent="0.3">
      <c r="A230" s="39"/>
      <c r="B230" s="27"/>
      <c r="C230" s="27"/>
      <c r="D230" s="27"/>
      <c r="E230" s="27"/>
      <c r="F230" s="27"/>
      <c r="G230" s="27"/>
      <c r="H230" s="27"/>
      <c r="I230" s="27"/>
      <c r="J230" s="40"/>
      <c r="K230" s="73"/>
      <c r="L230" s="72"/>
      <c r="M230" s="70"/>
      <c r="N230" s="44"/>
    </row>
    <row r="231" spans="1:14" ht="20.100000000000001" customHeight="1" x14ac:dyDescent="0.3">
      <c r="A231" s="39"/>
      <c r="B231" s="27"/>
      <c r="C231" s="27"/>
      <c r="D231" s="27"/>
      <c r="E231" s="27"/>
      <c r="F231" s="27"/>
      <c r="G231" s="27"/>
      <c r="H231" s="27"/>
      <c r="I231" s="27"/>
      <c r="J231" s="40"/>
      <c r="K231" s="73"/>
      <c r="L231" s="72"/>
      <c r="M231" s="70"/>
      <c r="N231" s="44"/>
    </row>
    <row r="232" spans="1:14" ht="20.100000000000001" customHeight="1" x14ac:dyDescent="0.3">
      <c r="A232" s="39"/>
      <c r="B232" s="27"/>
      <c r="C232" s="27"/>
      <c r="D232" s="27"/>
      <c r="E232" s="27"/>
      <c r="F232" s="27"/>
      <c r="G232" s="27"/>
      <c r="H232" s="27"/>
      <c r="I232" s="27"/>
      <c r="J232" s="40"/>
      <c r="K232" s="73"/>
      <c r="L232" s="72"/>
      <c r="M232" s="70"/>
      <c r="N232" s="44"/>
    </row>
    <row r="233" spans="1:14" ht="20.100000000000001" customHeight="1" x14ac:dyDescent="0.3">
      <c r="A233" s="39"/>
      <c r="B233" s="27"/>
      <c r="C233" s="27"/>
      <c r="D233" s="27"/>
      <c r="E233" s="27"/>
      <c r="F233" s="27"/>
      <c r="G233" s="27"/>
      <c r="H233" s="27"/>
      <c r="I233" s="27"/>
      <c r="J233" s="40"/>
      <c r="K233" s="73"/>
      <c r="L233" s="72"/>
      <c r="M233" s="70"/>
      <c r="N233" s="44"/>
    </row>
    <row r="234" spans="1:14" ht="20.100000000000001" customHeight="1" x14ac:dyDescent="0.3">
      <c r="A234" s="39"/>
      <c r="B234" s="27"/>
      <c r="C234" s="27"/>
      <c r="D234" s="27"/>
      <c r="E234" s="27"/>
      <c r="F234" s="27"/>
      <c r="G234" s="27"/>
      <c r="H234" s="27"/>
      <c r="I234" s="27"/>
      <c r="J234" s="40"/>
      <c r="K234" s="73"/>
      <c r="L234" s="72"/>
      <c r="M234" s="70"/>
      <c r="N234" s="44"/>
    </row>
    <row r="235" spans="1:14" ht="20.100000000000001" customHeight="1" x14ac:dyDescent="0.3">
      <c r="A235" s="39"/>
      <c r="B235" s="27"/>
      <c r="C235" s="27"/>
      <c r="D235" s="27"/>
      <c r="E235" s="27"/>
      <c r="F235" s="27"/>
      <c r="G235" s="27"/>
      <c r="H235" s="27"/>
      <c r="I235" s="27"/>
      <c r="J235" s="40"/>
      <c r="K235" s="73"/>
      <c r="L235" s="72"/>
      <c r="M235" s="70"/>
      <c r="N235" s="44"/>
    </row>
    <row r="236" spans="1:14" ht="20.100000000000001" customHeight="1" x14ac:dyDescent="0.3">
      <c r="A236" s="39"/>
      <c r="B236" s="27"/>
      <c r="C236" s="27"/>
      <c r="D236" s="27"/>
      <c r="E236" s="27"/>
      <c r="F236" s="27"/>
      <c r="G236" s="27"/>
      <c r="H236" s="27"/>
      <c r="I236" s="27"/>
      <c r="J236" s="40"/>
      <c r="K236" s="73"/>
      <c r="L236" s="72"/>
      <c r="M236" s="70"/>
      <c r="N236" s="44"/>
    </row>
    <row r="237" spans="1:14" ht="20.100000000000001" customHeight="1" x14ac:dyDescent="0.3">
      <c r="A237" s="39"/>
      <c r="B237" s="27"/>
      <c r="C237" s="27"/>
      <c r="D237" s="27"/>
      <c r="E237" s="27"/>
      <c r="F237" s="27"/>
      <c r="G237" s="27"/>
      <c r="H237" s="27"/>
      <c r="I237" s="27"/>
      <c r="J237" s="40"/>
      <c r="K237" s="73"/>
      <c r="L237" s="72"/>
      <c r="M237" s="70"/>
      <c r="N237" s="44"/>
    </row>
    <row r="238" spans="1:14" ht="20.100000000000001" customHeight="1" x14ac:dyDescent="0.3">
      <c r="A238" s="39"/>
      <c r="B238" s="27"/>
      <c r="C238" s="27"/>
      <c r="D238" s="27"/>
      <c r="E238" s="27"/>
      <c r="F238" s="27"/>
      <c r="G238" s="27"/>
      <c r="H238" s="27"/>
      <c r="I238" s="27"/>
      <c r="J238" s="40"/>
      <c r="K238" s="73"/>
      <c r="L238" s="72"/>
      <c r="M238" s="70"/>
      <c r="N238" s="44"/>
    </row>
    <row r="239" spans="1:14" ht="20.100000000000001" customHeight="1" x14ac:dyDescent="0.3">
      <c r="A239" s="39"/>
      <c r="B239" s="27"/>
      <c r="C239" s="27"/>
      <c r="D239" s="27"/>
      <c r="E239" s="27"/>
      <c r="F239" s="27"/>
      <c r="G239" s="27"/>
      <c r="H239" s="27"/>
      <c r="I239" s="27"/>
      <c r="J239" s="40"/>
      <c r="K239" s="73"/>
      <c r="L239" s="72"/>
      <c r="M239" s="70"/>
      <c r="N239" s="44"/>
    </row>
    <row r="240" spans="1:14" ht="20.100000000000001" customHeight="1" x14ac:dyDescent="0.3">
      <c r="A240" s="39"/>
      <c r="B240" s="27"/>
      <c r="C240" s="27"/>
      <c r="D240" s="27"/>
      <c r="E240" s="27"/>
      <c r="F240" s="27"/>
      <c r="G240" s="27"/>
      <c r="H240" s="27"/>
      <c r="I240" s="27"/>
      <c r="J240" s="40"/>
      <c r="K240" s="73"/>
      <c r="L240" s="72"/>
      <c r="M240" s="70"/>
      <c r="N240" s="44"/>
    </row>
    <row r="241" spans="1:14" ht="20.100000000000001" customHeight="1" x14ac:dyDescent="0.3">
      <c r="A241" s="39"/>
      <c r="B241" s="27"/>
      <c r="C241" s="27"/>
      <c r="D241" s="27"/>
      <c r="E241" s="27"/>
      <c r="F241" s="27"/>
      <c r="G241" s="27"/>
      <c r="H241" s="27"/>
      <c r="I241" s="27"/>
      <c r="J241" s="40"/>
      <c r="K241" s="73"/>
      <c r="L241" s="72"/>
      <c r="M241" s="70"/>
      <c r="N241" s="44"/>
    </row>
    <row r="242" spans="1:14" ht="20.100000000000001" customHeight="1" x14ac:dyDescent="0.3">
      <c r="A242" s="39"/>
      <c r="B242" s="27"/>
      <c r="C242" s="27"/>
      <c r="D242" s="27"/>
      <c r="E242" s="27"/>
      <c r="F242" s="27"/>
      <c r="G242" s="27"/>
      <c r="H242" s="27"/>
      <c r="I242" s="27"/>
      <c r="J242" s="40"/>
      <c r="K242" s="73"/>
      <c r="L242" s="72"/>
      <c r="M242" s="70"/>
      <c r="N242" s="44"/>
    </row>
    <row r="243" spans="1:14" ht="20.100000000000001" customHeight="1" x14ac:dyDescent="0.3">
      <c r="A243" s="39"/>
      <c r="B243" s="27"/>
      <c r="C243" s="27"/>
      <c r="D243" s="27"/>
      <c r="E243" s="27"/>
      <c r="F243" s="27"/>
      <c r="G243" s="27"/>
      <c r="H243" s="27"/>
      <c r="I243" s="27"/>
      <c r="J243" s="40"/>
      <c r="K243" s="73"/>
      <c r="L243" s="72"/>
      <c r="M243" s="70"/>
      <c r="N243" s="44"/>
    </row>
    <row r="244" spans="1:14" ht="20.100000000000001" customHeight="1" x14ac:dyDescent="0.3">
      <c r="A244" s="39"/>
      <c r="B244" s="27"/>
      <c r="C244" s="27"/>
      <c r="D244" s="27"/>
      <c r="E244" s="27"/>
      <c r="F244" s="27"/>
      <c r="G244" s="27"/>
      <c r="H244" s="27"/>
      <c r="I244" s="27"/>
      <c r="J244" s="40"/>
      <c r="K244" s="73"/>
      <c r="L244" s="72"/>
      <c r="M244" s="70"/>
      <c r="N244" s="44"/>
    </row>
    <row r="245" spans="1:14" ht="20.100000000000001" customHeight="1" x14ac:dyDescent="0.3">
      <c r="A245" s="39"/>
      <c r="B245" s="27"/>
      <c r="C245" s="27"/>
      <c r="D245" s="27"/>
      <c r="E245" s="27"/>
      <c r="F245" s="27"/>
      <c r="G245" s="27"/>
      <c r="H245" s="27"/>
      <c r="I245" s="27"/>
      <c r="J245" s="40"/>
      <c r="K245" s="73"/>
      <c r="L245" s="72"/>
      <c r="M245" s="70"/>
      <c r="N245" s="44"/>
    </row>
    <row r="246" spans="1:14" ht="20.100000000000001" customHeight="1" x14ac:dyDescent="0.3">
      <c r="A246" s="39"/>
      <c r="B246" s="27"/>
      <c r="C246" s="27"/>
      <c r="D246" s="27"/>
      <c r="E246" s="27"/>
      <c r="F246" s="27"/>
      <c r="G246" s="27"/>
      <c r="H246" s="27"/>
      <c r="I246" s="27"/>
      <c r="J246" s="40"/>
      <c r="K246" s="73"/>
      <c r="L246" s="72"/>
      <c r="M246" s="70"/>
      <c r="N246" s="44"/>
    </row>
    <row r="247" spans="1:14" ht="20.100000000000001" customHeight="1" x14ac:dyDescent="0.3">
      <c r="A247" s="39"/>
      <c r="B247" s="27"/>
      <c r="C247" s="27"/>
      <c r="D247" s="27"/>
      <c r="E247" s="27"/>
      <c r="F247" s="27"/>
      <c r="G247" s="27"/>
      <c r="H247" s="27"/>
      <c r="I247" s="27"/>
      <c r="J247" s="40"/>
      <c r="K247" s="73"/>
      <c r="L247" s="72"/>
      <c r="M247" s="70"/>
      <c r="N247" s="44"/>
    </row>
    <row r="248" spans="1:14" ht="20.100000000000001" customHeight="1" x14ac:dyDescent="0.3">
      <c r="A248" s="39"/>
      <c r="B248" s="27"/>
      <c r="C248" s="27"/>
      <c r="D248" s="27"/>
      <c r="E248" s="27"/>
      <c r="F248" s="27"/>
      <c r="G248" s="27"/>
      <c r="H248" s="27"/>
      <c r="I248" s="27"/>
      <c r="J248" s="40"/>
      <c r="K248" s="73"/>
      <c r="L248" s="72"/>
      <c r="M248" s="70"/>
      <c r="N248" s="44"/>
    </row>
    <row r="249" spans="1:14" ht="20.100000000000001" customHeight="1" x14ac:dyDescent="0.3">
      <c r="A249" s="39"/>
      <c r="B249" s="27"/>
      <c r="C249" s="27"/>
      <c r="D249" s="27"/>
      <c r="E249" s="27"/>
      <c r="F249" s="27"/>
      <c r="G249" s="27"/>
      <c r="H249" s="27"/>
      <c r="I249" s="27"/>
      <c r="J249" s="40"/>
      <c r="K249" s="73"/>
      <c r="L249" s="72"/>
      <c r="M249" s="70"/>
      <c r="N249" s="44"/>
    </row>
    <row r="250" spans="1:14" ht="20.100000000000001" customHeight="1" x14ac:dyDescent="0.3">
      <c r="A250" s="39"/>
      <c r="B250" s="27"/>
      <c r="C250" s="27"/>
      <c r="D250" s="27"/>
      <c r="E250" s="27"/>
      <c r="F250" s="27"/>
      <c r="G250" s="27"/>
      <c r="H250" s="27"/>
      <c r="I250" s="27"/>
      <c r="J250" s="40"/>
      <c r="K250" s="73"/>
      <c r="L250" s="72"/>
      <c r="M250" s="70"/>
      <c r="N250" s="44"/>
    </row>
    <row r="251" spans="1:14" ht="20.100000000000001" customHeight="1" x14ac:dyDescent="0.3">
      <c r="A251" s="39"/>
      <c r="B251" s="27"/>
      <c r="C251" s="27"/>
      <c r="D251" s="27"/>
      <c r="E251" s="27"/>
      <c r="F251" s="27"/>
      <c r="G251" s="27"/>
      <c r="H251" s="27"/>
      <c r="I251" s="27"/>
      <c r="J251" s="40"/>
      <c r="K251" s="73"/>
      <c r="L251" s="72"/>
      <c r="M251" s="70"/>
      <c r="N251" s="44"/>
    </row>
    <row r="252" spans="1:14" ht="20.100000000000001" customHeight="1" x14ac:dyDescent="0.3">
      <c r="A252" s="39"/>
      <c r="B252" s="27"/>
      <c r="C252" s="27"/>
      <c r="D252" s="27"/>
      <c r="E252" s="27"/>
      <c r="F252" s="27"/>
      <c r="G252" s="27"/>
      <c r="H252" s="27"/>
      <c r="I252" s="27"/>
      <c r="J252" s="40"/>
      <c r="K252" s="73"/>
      <c r="L252" s="72"/>
      <c r="M252" s="70"/>
      <c r="N252" s="44"/>
    </row>
    <row r="253" spans="1:14" ht="20.100000000000001" customHeight="1" x14ac:dyDescent="0.3">
      <c r="A253" s="39"/>
      <c r="B253" s="27"/>
      <c r="C253" s="27"/>
      <c r="D253" s="27"/>
      <c r="E253" s="27"/>
      <c r="F253" s="27"/>
      <c r="G253" s="27"/>
      <c r="H253" s="27"/>
      <c r="I253" s="27"/>
      <c r="J253" s="40"/>
      <c r="K253" s="73"/>
      <c r="L253" s="72"/>
      <c r="M253" s="70"/>
      <c r="N253" s="44"/>
    </row>
    <row r="254" spans="1:14" ht="20.100000000000001" customHeight="1" x14ac:dyDescent="0.3">
      <c r="A254" s="39"/>
      <c r="B254" s="27"/>
      <c r="C254" s="27"/>
      <c r="D254" s="27"/>
      <c r="E254" s="27"/>
      <c r="F254" s="27"/>
      <c r="G254" s="27"/>
      <c r="H254" s="27"/>
      <c r="I254" s="27"/>
      <c r="J254" s="40"/>
      <c r="K254" s="73"/>
      <c r="L254" s="72"/>
      <c r="M254" s="70"/>
      <c r="N254" s="44"/>
    </row>
    <row r="255" spans="1:14" ht="20.100000000000001" customHeight="1" x14ac:dyDescent="0.3">
      <c r="A255" s="39"/>
      <c r="B255" s="27"/>
      <c r="C255" s="27"/>
      <c r="D255" s="27"/>
      <c r="E255" s="27"/>
      <c r="F255" s="27"/>
      <c r="G255" s="27"/>
      <c r="H255" s="27"/>
      <c r="I255" s="27"/>
      <c r="J255" s="40"/>
      <c r="K255" s="73"/>
      <c r="L255" s="72"/>
      <c r="M255" s="70"/>
      <c r="N255" s="44"/>
    </row>
    <row r="256" spans="1:14" ht="20.100000000000001" customHeight="1" x14ac:dyDescent="0.3">
      <c r="A256" s="39"/>
      <c r="B256" s="27"/>
      <c r="C256" s="27"/>
      <c r="D256" s="27"/>
      <c r="E256" s="27"/>
      <c r="F256" s="27"/>
      <c r="G256" s="27"/>
      <c r="H256" s="27"/>
      <c r="I256" s="27"/>
      <c r="J256" s="40"/>
      <c r="K256" s="73"/>
      <c r="L256" s="72"/>
      <c r="M256" s="70"/>
      <c r="N256" s="44"/>
    </row>
    <row r="257" spans="1:14" ht="20.100000000000001" customHeight="1" x14ac:dyDescent="0.3">
      <c r="A257" s="39"/>
      <c r="B257" s="27"/>
      <c r="C257" s="27"/>
      <c r="D257" s="27"/>
      <c r="E257" s="27"/>
      <c r="F257" s="27"/>
      <c r="G257" s="27"/>
      <c r="H257" s="27"/>
      <c r="I257" s="27"/>
      <c r="J257" s="40"/>
      <c r="K257" s="73"/>
      <c r="L257" s="72"/>
      <c r="M257" s="70"/>
      <c r="N257" s="44"/>
    </row>
    <row r="258" spans="1:14" ht="20.100000000000001" customHeight="1" x14ac:dyDescent="0.3">
      <c r="A258" s="39"/>
      <c r="B258" s="27"/>
      <c r="C258" s="27"/>
      <c r="D258" s="27"/>
      <c r="E258" s="27"/>
      <c r="F258" s="27"/>
      <c r="G258" s="27"/>
      <c r="H258" s="27"/>
      <c r="I258" s="27"/>
      <c r="J258" s="40"/>
      <c r="K258" s="73"/>
      <c r="L258" s="72"/>
      <c r="M258" s="70"/>
      <c r="N258" s="44"/>
    </row>
    <row r="259" spans="1:14" ht="20.100000000000001" customHeight="1" x14ac:dyDescent="0.3">
      <c r="A259" s="39"/>
      <c r="B259" s="27"/>
      <c r="C259" s="27"/>
      <c r="D259" s="27"/>
      <c r="E259" s="27"/>
      <c r="F259" s="27"/>
      <c r="G259" s="27"/>
      <c r="H259" s="27"/>
      <c r="I259" s="27"/>
      <c r="J259" s="40"/>
      <c r="K259" s="73"/>
      <c r="L259" s="72"/>
      <c r="M259" s="70"/>
      <c r="N259" s="44"/>
    </row>
    <row r="260" spans="1:14" ht="20.100000000000001" customHeight="1" x14ac:dyDescent="0.3">
      <c r="A260" s="39"/>
      <c r="B260" s="27"/>
      <c r="C260" s="27"/>
      <c r="D260" s="27"/>
      <c r="E260" s="27"/>
      <c r="F260" s="27"/>
      <c r="G260" s="27"/>
      <c r="H260" s="27"/>
      <c r="I260" s="27"/>
      <c r="J260" s="40"/>
      <c r="K260" s="73"/>
      <c r="L260" s="72"/>
      <c r="M260" s="70"/>
      <c r="N260" s="44"/>
    </row>
    <row r="261" spans="1:14" ht="20.100000000000001" customHeight="1" x14ac:dyDescent="0.3">
      <c r="A261" s="39"/>
      <c r="B261" s="27"/>
      <c r="C261" s="27"/>
      <c r="D261" s="27"/>
      <c r="E261" s="27"/>
      <c r="F261" s="27"/>
      <c r="G261" s="27"/>
      <c r="H261" s="27"/>
      <c r="I261" s="27"/>
      <c r="J261" s="40"/>
      <c r="K261" s="73"/>
      <c r="L261" s="72"/>
      <c r="M261" s="70"/>
      <c r="N261" s="44"/>
    </row>
    <row r="262" spans="1:14" ht="20.100000000000001" customHeight="1" x14ac:dyDescent="0.3">
      <c r="A262" s="39"/>
      <c r="B262" s="27"/>
      <c r="C262" s="27"/>
      <c r="D262" s="27"/>
      <c r="E262" s="27"/>
      <c r="F262" s="27"/>
      <c r="G262" s="27"/>
      <c r="H262" s="27"/>
      <c r="I262" s="27"/>
      <c r="J262" s="40"/>
      <c r="K262" s="73"/>
      <c r="L262" s="72"/>
      <c r="M262" s="70"/>
      <c r="N262" s="44"/>
    </row>
    <row r="263" spans="1:14" ht="20.100000000000001" customHeight="1" x14ac:dyDescent="0.3">
      <c r="A263" s="39"/>
      <c r="B263" s="27"/>
      <c r="C263" s="27"/>
      <c r="D263" s="27"/>
      <c r="E263" s="27"/>
      <c r="F263" s="27"/>
      <c r="G263" s="27"/>
      <c r="H263" s="27"/>
      <c r="I263" s="27"/>
      <c r="J263" s="40"/>
      <c r="K263" s="73"/>
      <c r="L263" s="72"/>
      <c r="M263" s="70"/>
      <c r="N263" s="44"/>
    </row>
    <row r="264" spans="1:14" ht="20.100000000000001" customHeight="1" x14ac:dyDescent="0.3">
      <c r="A264" s="39"/>
      <c r="B264" s="27"/>
      <c r="C264" s="27"/>
      <c r="D264" s="27"/>
      <c r="E264" s="27"/>
      <c r="F264" s="27"/>
      <c r="G264" s="27"/>
      <c r="H264" s="27"/>
      <c r="I264" s="27"/>
      <c r="J264" s="40"/>
      <c r="K264" s="73"/>
      <c r="L264" s="72"/>
      <c r="M264" s="70"/>
      <c r="N264" s="44"/>
    </row>
    <row r="265" spans="1:14" ht="20.100000000000001" customHeight="1" x14ac:dyDescent="0.3">
      <c r="A265" s="39"/>
      <c r="B265" s="27"/>
      <c r="C265" s="27"/>
      <c r="D265" s="27"/>
      <c r="E265" s="27"/>
      <c r="F265" s="27"/>
      <c r="G265" s="27"/>
      <c r="H265" s="27"/>
      <c r="I265" s="27"/>
      <c r="J265" s="40"/>
      <c r="K265" s="73"/>
      <c r="L265" s="72"/>
      <c r="M265" s="70"/>
      <c r="N265" s="44"/>
    </row>
    <row r="266" spans="1:14" ht="20.100000000000001" customHeight="1" x14ac:dyDescent="0.3">
      <c r="A266" s="39"/>
      <c r="B266" s="27"/>
      <c r="C266" s="27"/>
      <c r="D266" s="27"/>
      <c r="E266" s="27"/>
      <c r="F266" s="27"/>
      <c r="G266" s="27"/>
      <c r="H266" s="27"/>
      <c r="I266" s="27"/>
      <c r="J266" s="40"/>
      <c r="K266" s="73"/>
      <c r="L266" s="72"/>
      <c r="M266" s="70"/>
      <c r="N266" s="44"/>
    </row>
    <row r="267" spans="1:14" ht="20.100000000000001" customHeight="1" x14ac:dyDescent="0.3">
      <c r="A267" s="39"/>
      <c r="B267" s="27"/>
      <c r="C267" s="27"/>
      <c r="D267" s="27"/>
      <c r="E267" s="27"/>
      <c r="F267" s="27"/>
      <c r="G267" s="27"/>
      <c r="H267" s="27"/>
      <c r="I267" s="27"/>
      <c r="J267" s="40"/>
      <c r="K267" s="73"/>
      <c r="L267" s="72"/>
      <c r="M267" s="70"/>
      <c r="N267" s="44"/>
    </row>
    <row r="268" spans="1:14" ht="20.100000000000001" customHeight="1" x14ac:dyDescent="0.3">
      <c r="A268" s="39"/>
      <c r="B268" s="27"/>
      <c r="C268" s="27"/>
      <c r="D268" s="27"/>
      <c r="E268" s="27"/>
      <c r="F268" s="27"/>
      <c r="G268" s="27"/>
      <c r="H268" s="27"/>
      <c r="I268" s="27"/>
      <c r="J268" s="40"/>
      <c r="K268" s="73"/>
      <c r="L268" s="72"/>
      <c r="M268" s="70"/>
      <c r="N268" s="44"/>
    </row>
    <row r="269" spans="1:14" ht="20.100000000000001" customHeight="1" x14ac:dyDescent="0.3">
      <c r="A269" s="39"/>
      <c r="B269" s="27"/>
      <c r="C269" s="27"/>
      <c r="D269" s="27"/>
      <c r="E269" s="27"/>
      <c r="F269" s="27"/>
      <c r="G269" s="27"/>
      <c r="H269" s="27"/>
      <c r="I269" s="27"/>
      <c r="J269" s="40"/>
      <c r="K269" s="73"/>
      <c r="L269" s="72"/>
      <c r="M269" s="70"/>
      <c r="N269" s="44"/>
    </row>
    <row r="270" spans="1:14" ht="20.100000000000001" customHeight="1" x14ac:dyDescent="0.3">
      <c r="A270" s="39"/>
      <c r="B270" s="27"/>
      <c r="C270" s="27"/>
      <c r="D270" s="27"/>
      <c r="E270" s="27"/>
      <c r="F270" s="27"/>
      <c r="G270" s="27"/>
      <c r="H270" s="27"/>
      <c r="I270" s="27"/>
      <c r="J270" s="40"/>
      <c r="K270" s="73"/>
      <c r="L270" s="72"/>
      <c r="M270" s="70"/>
      <c r="N270" s="44"/>
    </row>
    <row r="271" spans="1:14" ht="20.100000000000001" customHeight="1" x14ac:dyDescent="0.3">
      <c r="A271" s="39"/>
      <c r="B271" s="27"/>
      <c r="C271" s="27"/>
      <c r="D271" s="27"/>
      <c r="E271" s="27"/>
      <c r="F271" s="27"/>
      <c r="G271" s="27"/>
      <c r="H271" s="27"/>
      <c r="I271" s="27"/>
      <c r="J271" s="40"/>
      <c r="K271" s="73"/>
      <c r="L271" s="72"/>
      <c r="M271" s="70"/>
      <c r="N271" s="44"/>
    </row>
    <row r="272" spans="1:14" ht="20.100000000000001" customHeight="1" x14ac:dyDescent="0.3">
      <c r="A272" s="39"/>
      <c r="B272" s="27"/>
      <c r="C272" s="27"/>
      <c r="D272" s="27"/>
      <c r="E272" s="27"/>
      <c r="F272" s="27"/>
      <c r="G272" s="27"/>
      <c r="H272" s="27"/>
      <c r="I272" s="27"/>
      <c r="J272" s="40"/>
      <c r="K272" s="73"/>
      <c r="L272" s="72"/>
      <c r="M272" s="70"/>
      <c r="N272" s="44"/>
    </row>
    <row r="273" spans="1:14" ht="20.100000000000001" customHeight="1" x14ac:dyDescent="0.3">
      <c r="A273" s="39"/>
      <c r="B273" s="27"/>
      <c r="C273" s="27"/>
      <c r="D273" s="27"/>
      <c r="E273" s="27"/>
      <c r="F273" s="27"/>
      <c r="G273" s="27"/>
      <c r="H273" s="27"/>
      <c r="I273" s="27"/>
      <c r="J273" s="40"/>
      <c r="K273" s="73"/>
      <c r="L273" s="72"/>
      <c r="M273" s="70"/>
      <c r="N273" s="44"/>
    </row>
    <row r="274" spans="1:14" ht="20.100000000000001" customHeight="1" x14ac:dyDescent="0.3">
      <c r="A274" s="39"/>
      <c r="B274" s="27"/>
      <c r="C274" s="27"/>
      <c r="D274" s="27"/>
      <c r="E274" s="27"/>
      <c r="F274" s="27"/>
      <c r="G274" s="27"/>
      <c r="H274" s="27"/>
      <c r="I274" s="27"/>
      <c r="J274" s="40"/>
      <c r="K274" s="73"/>
      <c r="L274" s="72"/>
      <c r="M274" s="70"/>
      <c r="N274" s="44"/>
    </row>
    <row r="275" spans="1:14" ht="20.100000000000001" customHeight="1" x14ac:dyDescent="0.3">
      <c r="A275" s="39"/>
      <c r="B275" s="27"/>
      <c r="C275" s="27"/>
      <c r="D275" s="27"/>
      <c r="E275" s="27"/>
      <c r="F275" s="27"/>
      <c r="G275" s="27"/>
      <c r="H275" s="27"/>
      <c r="I275" s="27"/>
      <c r="J275" s="40"/>
      <c r="K275" s="73"/>
      <c r="L275" s="72"/>
      <c r="M275" s="70"/>
      <c r="N275" s="44"/>
    </row>
    <row r="276" spans="1:14" ht="20.100000000000001" customHeight="1" x14ac:dyDescent="0.3">
      <c r="A276" s="39"/>
      <c r="B276" s="27"/>
      <c r="C276" s="27"/>
      <c r="D276" s="27"/>
      <c r="E276" s="27"/>
      <c r="F276" s="27"/>
      <c r="G276" s="27"/>
      <c r="H276" s="27"/>
      <c r="I276" s="27"/>
      <c r="J276" s="40"/>
      <c r="K276" s="73"/>
      <c r="L276" s="72"/>
      <c r="M276" s="70"/>
      <c r="N276" s="44"/>
    </row>
    <row r="277" spans="1:14" ht="20.100000000000001" customHeight="1" x14ac:dyDescent="0.3">
      <c r="A277" s="39"/>
      <c r="B277" s="27"/>
      <c r="C277" s="27"/>
      <c r="D277" s="27"/>
      <c r="E277" s="27"/>
      <c r="F277" s="27"/>
      <c r="G277" s="27"/>
      <c r="H277" s="27"/>
      <c r="I277" s="27"/>
      <c r="J277" s="40"/>
      <c r="K277" s="73"/>
      <c r="L277" s="72"/>
      <c r="M277" s="70"/>
      <c r="N277" s="44"/>
    </row>
    <row r="278" spans="1:14" ht="20.100000000000001" customHeight="1" x14ac:dyDescent="0.3">
      <c r="A278" s="39"/>
      <c r="B278" s="27"/>
      <c r="C278" s="27"/>
      <c r="D278" s="27"/>
      <c r="E278" s="27"/>
      <c r="F278" s="27"/>
      <c r="G278" s="27"/>
      <c r="H278" s="27"/>
      <c r="I278" s="27"/>
      <c r="J278" s="40"/>
      <c r="K278" s="73"/>
      <c r="L278" s="72"/>
      <c r="M278" s="70"/>
      <c r="N278" s="44"/>
    </row>
    <row r="279" spans="1:14" ht="20.100000000000001" customHeight="1" x14ac:dyDescent="0.3">
      <c r="A279" s="39"/>
      <c r="B279" s="27"/>
      <c r="C279" s="27"/>
      <c r="D279" s="27"/>
      <c r="E279" s="27"/>
      <c r="F279" s="27"/>
      <c r="G279" s="27"/>
      <c r="H279" s="27"/>
      <c r="I279" s="27"/>
      <c r="J279" s="40"/>
      <c r="K279" s="73"/>
      <c r="L279" s="72"/>
      <c r="M279" s="70"/>
      <c r="N279" s="44"/>
    </row>
    <row r="280" spans="1:14" ht="20.100000000000001" customHeight="1" x14ac:dyDescent="0.3">
      <c r="A280" s="39"/>
      <c r="B280" s="27"/>
      <c r="C280" s="27"/>
      <c r="D280" s="27"/>
      <c r="E280" s="27"/>
      <c r="F280" s="27"/>
      <c r="G280" s="27"/>
      <c r="H280" s="27"/>
      <c r="I280" s="27"/>
      <c r="J280" s="40"/>
      <c r="K280" s="73"/>
      <c r="L280" s="72"/>
      <c r="M280" s="70"/>
      <c r="N280" s="44"/>
    </row>
    <row r="281" spans="1:14" ht="20.100000000000001" customHeight="1" x14ac:dyDescent="0.3">
      <c r="A281" s="39"/>
      <c r="B281" s="27"/>
      <c r="C281" s="27"/>
      <c r="D281" s="27"/>
      <c r="E281" s="27"/>
      <c r="F281" s="27"/>
      <c r="G281" s="27"/>
      <c r="H281" s="27"/>
      <c r="I281" s="27"/>
      <c r="J281" s="40"/>
      <c r="K281" s="73"/>
      <c r="L281" s="72"/>
      <c r="M281" s="70"/>
      <c r="N281" s="44"/>
    </row>
    <row r="282" spans="1:14" ht="20.100000000000001" customHeight="1" x14ac:dyDescent="0.3">
      <c r="A282" s="39"/>
      <c r="B282" s="27"/>
      <c r="C282" s="27"/>
      <c r="D282" s="27"/>
      <c r="E282" s="27"/>
      <c r="F282" s="27"/>
      <c r="G282" s="27"/>
      <c r="H282" s="27"/>
      <c r="I282" s="27"/>
      <c r="J282" s="40"/>
      <c r="K282" s="73"/>
      <c r="L282" s="72"/>
      <c r="M282" s="70"/>
      <c r="N282" s="44"/>
    </row>
    <row r="283" spans="1:14" ht="20.100000000000001" customHeight="1" x14ac:dyDescent="0.3">
      <c r="A283" s="39"/>
      <c r="B283" s="27"/>
      <c r="C283" s="27"/>
      <c r="D283" s="27"/>
      <c r="E283" s="27"/>
      <c r="F283" s="27"/>
      <c r="G283" s="27"/>
      <c r="H283" s="27"/>
      <c r="I283" s="27"/>
      <c r="J283" s="40"/>
      <c r="K283" s="73"/>
      <c r="L283" s="72"/>
      <c r="M283" s="70"/>
      <c r="N283" s="44"/>
    </row>
    <row r="284" spans="1:14" ht="20.100000000000001" customHeight="1" x14ac:dyDescent="0.3">
      <c r="A284" s="39"/>
      <c r="B284" s="27"/>
      <c r="C284" s="27"/>
      <c r="D284" s="27"/>
      <c r="E284" s="27"/>
      <c r="F284" s="27"/>
      <c r="G284" s="27"/>
      <c r="H284" s="27"/>
      <c r="I284" s="27"/>
      <c r="J284" s="40"/>
      <c r="K284" s="73"/>
      <c r="L284" s="72"/>
      <c r="M284" s="70"/>
      <c r="N284" s="44"/>
    </row>
    <row r="285" spans="1:14" ht="20.100000000000001" customHeight="1" x14ac:dyDescent="0.3">
      <c r="A285" s="39"/>
      <c r="B285" s="27"/>
      <c r="C285" s="27"/>
      <c r="D285" s="27"/>
      <c r="E285" s="27"/>
      <c r="F285" s="27"/>
      <c r="G285" s="27"/>
      <c r="H285" s="27"/>
      <c r="I285" s="27"/>
      <c r="J285" s="40"/>
      <c r="K285" s="73"/>
      <c r="L285" s="72"/>
      <c r="M285" s="70"/>
      <c r="N285" s="44"/>
    </row>
    <row r="286" spans="1:14" ht="20.100000000000001" customHeight="1" x14ac:dyDescent="0.3">
      <c r="A286" s="39"/>
      <c r="B286" s="27"/>
      <c r="C286" s="27"/>
      <c r="D286" s="27"/>
      <c r="E286" s="27"/>
      <c r="F286" s="27"/>
      <c r="G286" s="27"/>
      <c r="H286" s="27"/>
      <c r="I286" s="27"/>
      <c r="J286" s="40"/>
      <c r="K286" s="73"/>
      <c r="L286" s="72"/>
      <c r="M286" s="70"/>
      <c r="N286" s="44"/>
    </row>
    <row r="287" spans="1:14" ht="20.100000000000001" customHeight="1" x14ac:dyDescent="0.3">
      <c r="A287" s="39"/>
      <c r="B287" s="27"/>
      <c r="C287" s="27"/>
      <c r="D287" s="27"/>
      <c r="E287" s="27"/>
      <c r="F287" s="27"/>
      <c r="G287" s="27"/>
      <c r="H287" s="27"/>
      <c r="I287" s="27"/>
      <c r="J287" s="40"/>
      <c r="K287" s="73"/>
      <c r="L287" s="72"/>
      <c r="M287" s="70"/>
      <c r="N287" s="44"/>
    </row>
    <row r="288" spans="1:14" ht="20.100000000000001" customHeight="1" x14ac:dyDescent="0.3">
      <c r="A288" s="39"/>
      <c r="B288" s="27"/>
      <c r="C288" s="27"/>
      <c r="D288" s="27"/>
      <c r="E288" s="27"/>
      <c r="F288" s="27"/>
      <c r="G288" s="27"/>
      <c r="H288" s="27"/>
      <c r="I288" s="27"/>
      <c r="J288" s="40"/>
      <c r="K288" s="73"/>
      <c r="L288" s="72"/>
      <c r="M288" s="70"/>
      <c r="N288" s="44"/>
    </row>
    <row r="289" spans="1:14" ht="20.100000000000001" customHeight="1" x14ac:dyDescent="0.3">
      <c r="A289" s="39"/>
      <c r="B289" s="27"/>
      <c r="C289" s="27"/>
      <c r="D289" s="27"/>
      <c r="E289" s="27"/>
      <c r="F289" s="27"/>
      <c r="G289" s="27"/>
      <c r="H289" s="27"/>
      <c r="I289" s="27"/>
      <c r="J289" s="40"/>
      <c r="K289" s="73"/>
      <c r="L289" s="72"/>
      <c r="M289" s="70"/>
      <c r="N289" s="44"/>
    </row>
    <row r="290" spans="1:14" ht="20.100000000000001" customHeight="1" x14ac:dyDescent="0.3">
      <c r="A290" s="39"/>
      <c r="B290" s="27"/>
      <c r="C290" s="27"/>
      <c r="D290" s="27"/>
      <c r="E290" s="27"/>
      <c r="F290" s="27"/>
      <c r="G290" s="27"/>
      <c r="H290" s="27"/>
      <c r="I290" s="27"/>
      <c r="J290" s="40"/>
      <c r="K290" s="73"/>
      <c r="L290" s="72"/>
      <c r="M290" s="70"/>
      <c r="N290" s="44"/>
    </row>
    <row r="291" spans="1:14" ht="20.100000000000001" customHeight="1" x14ac:dyDescent="0.3">
      <c r="A291" s="39"/>
      <c r="B291" s="27"/>
      <c r="C291" s="27"/>
      <c r="D291" s="27"/>
      <c r="E291" s="27"/>
      <c r="F291" s="27"/>
      <c r="G291" s="27"/>
      <c r="H291" s="27"/>
      <c r="I291" s="27"/>
      <c r="J291" s="40"/>
      <c r="K291" s="73"/>
      <c r="L291" s="72"/>
      <c r="M291" s="70"/>
      <c r="N291" s="44"/>
    </row>
    <row r="292" spans="1:14" ht="20.100000000000001" customHeight="1" x14ac:dyDescent="0.3">
      <c r="A292" s="39"/>
      <c r="B292" s="27"/>
      <c r="C292" s="27"/>
      <c r="D292" s="27"/>
      <c r="E292" s="27"/>
      <c r="F292" s="27"/>
      <c r="G292" s="27"/>
      <c r="H292" s="27"/>
      <c r="I292" s="27"/>
      <c r="J292" s="40"/>
      <c r="K292" s="73"/>
      <c r="L292" s="72"/>
      <c r="M292" s="70"/>
      <c r="N292" s="44"/>
    </row>
    <row r="293" spans="1:14" ht="20.100000000000001" customHeight="1" x14ac:dyDescent="0.3">
      <c r="A293" s="39"/>
      <c r="B293" s="27"/>
      <c r="C293" s="27"/>
      <c r="D293" s="27"/>
      <c r="E293" s="27"/>
      <c r="F293" s="27"/>
      <c r="G293" s="27"/>
      <c r="H293" s="27"/>
      <c r="I293" s="27"/>
      <c r="J293" s="40"/>
      <c r="K293" s="73"/>
      <c r="L293" s="72"/>
      <c r="M293" s="70"/>
      <c r="N293" s="44"/>
    </row>
    <row r="294" spans="1:14" ht="20.100000000000001" customHeight="1" x14ac:dyDescent="0.3">
      <c r="A294" s="39"/>
      <c r="B294" s="27"/>
      <c r="C294" s="27"/>
      <c r="D294" s="27"/>
      <c r="E294" s="27"/>
      <c r="F294" s="27"/>
      <c r="G294" s="27"/>
      <c r="H294" s="27"/>
      <c r="I294" s="27"/>
      <c r="J294" s="40"/>
      <c r="K294" s="73"/>
      <c r="L294" s="72"/>
      <c r="M294" s="70"/>
      <c r="N294" s="44"/>
    </row>
    <row r="295" spans="1:14" ht="20.100000000000001" customHeight="1" x14ac:dyDescent="0.3">
      <c r="A295" s="39"/>
      <c r="B295" s="27"/>
      <c r="C295" s="27"/>
      <c r="D295" s="27"/>
      <c r="E295" s="27"/>
      <c r="F295" s="27"/>
      <c r="G295" s="27"/>
      <c r="H295" s="27"/>
      <c r="I295" s="27"/>
      <c r="J295" s="40"/>
      <c r="K295" s="73"/>
      <c r="L295" s="72"/>
      <c r="M295" s="70"/>
      <c r="N295" s="44"/>
    </row>
    <row r="296" spans="1:14" ht="20.100000000000001" customHeight="1" x14ac:dyDescent="0.3">
      <c r="A296" s="39"/>
      <c r="B296" s="27"/>
      <c r="C296" s="27"/>
      <c r="D296" s="27"/>
      <c r="E296" s="27"/>
      <c r="F296" s="27"/>
      <c r="G296" s="27"/>
      <c r="H296" s="27"/>
      <c r="I296" s="27"/>
      <c r="J296" s="40"/>
      <c r="K296" s="73"/>
      <c r="L296" s="72"/>
      <c r="M296" s="70"/>
      <c r="N296" s="44"/>
    </row>
    <row r="297" spans="1:14" ht="20.100000000000001" customHeight="1" x14ac:dyDescent="0.3">
      <c r="A297" s="39"/>
      <c r="B297" s="27"/>
      <c r="C297" s="27"/>
      <c r="D297" s="27"/>
      <c r="E297" s="27"/>
      <c r="F297" s="27"/>
      <c r="G297" s="27"/>
      <c r="H297" s="27"/>
      <c r="I297" s="27"/>
      <c r="J297" s="40"/>
      <c r="K297" s="73"/>
      <c r="L297" s="72"/>
      <c r="M297" s="70"/>
      <c r="N297" s="44"/>
    </row>
  </sheetData>
  <sortState ref="A3:S42">
    <sortCondition ref="A3:A42"/>
  </sortState>
  <mergeCells count="1">
    <mergeCell ref="A1:M3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S282"/>
  <sheetViews>
    <sheetView zoomScale="85" zoomScaleNormal="85" workbookViewId="0">
      <pane ySplit="4" topLeftCell="A5" activePane="bottomLeft" state="frozen"/>
      <selection activeCell="B29" sqref="B29:L29"/>
      <selection pane="bottomLeft" activeCell="S13" sqref="S13"/>
    </sheetView>
  </sheetViews>
  <sheetFormatPr defaultColWidth="9" defaultRowHeight="20.100000000000001" customHeight="1" x14ac:dyDescent="0.3"/>
  <cols>
    <col min="1" max="6" width="8.625" customWidth="1"/>
    <col min="7" max="7" width="12.625" customWidth="1"/>
    <col min="8" max="8" width="16.25" customWidth="1"/>
    <col min="9" max="9" width="10.25" customWidth="1"/>
    <col min="10" max="10" width="14.625" style="84" customWidth="1"/>
    <col min="11" max="12" width="9.625" customWidth="1"/>
    <col min="14" max="15" width="11.625" customWidth="1"/>
    <col min="16" max="16" width="10.625" customWidth="1"/>
    <col min="17" max="17" width="11.625" customWidth="1"/>
    <col min="19" max="19" width="11.5" bestFit="1" customWidth="1"/>
  </cols>
  <sheetData>
    <row r="1" spans="1:19" ht="20.100000000000001" customHeight="1" x14ac:dyDescent="0.3">
      <c r="A1" s="125" t="s">
        <v>20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20" t="s">
        <v>0</v>
      </c>
      <c r="O1" s="10">
        <f>SUM(K3:K9967)</f>
        <v>12455000</v>
      </c>
      <c r="P1" s="20" t="s">
        <v>1</v>
      </c>
      <c r="Q1" s="10">
        <f>SUM(L3:L9967)</f>
        <v>14915000</v>
      </c>
      <c r="R1" s="152" t="s">
        <v>307</v>
      </c>
      <c r="S1" s="150">
        <f>SUM(P5:P298)</f>
        <v>2460000</v>
      </c>
    </row>
    <row r="2" spans="1:19" ht="20.100000000000001" customHeight="1" x14ac:dyDescent="0.3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</row>
    <row r="3" spans="1:19" ht="20.100000000000001" customHeight="1" x14ac:dyDescent="0.3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</row>
    <row r="4" spans="1:19" ht="20.100000000000001" customHeight="1" x14ac:dyDescent="0.3">
      <c r="A4" s="11" t="s">
        <v>8</v>
      </c>
      <c r="B4" s="11" t="s">
        <v>9</v>
      </c>
      <c r="C4" s="11" t="s">
        <v>10</v>
      </c>
      <c r="D4" s="11" t="s">
        <v>11</v>
      </c>
      <c r="E4" s="11" t="s">
        <v>12</v>
      </c>
      <c r="F4" s="11" t="s">
        <v>13</v>
      </c>
      <c r="G4" s="11" t="s">
        <v>14</v>
      </c>
      <c r="H4" s="11" t="s">
        <v>15</v>
      </c>
      <c r="I4" s="11" t="s">
        <v>16</v>
      </c>
      <c r="J4" s="136" t="s">
        <v>17</v>
      </c>
      <c r="K4" s="137" t="s">
        <v>0</v>
      </c>
      <c r="L4" s="137" t="s">
        <v>1</v>
      </c>
      <c r="M4" s="137" t="s">
        <v>23</v>
      </c>
      <c r="N4" s="11" t="s">
        <v>306</v>
      </c>
      <c r="O4" s="11" t="s">
        <v>18</v>
      </c>
      <c r="P4" s="11" t="s">
        <v>25</v>
      </c>
      <c r="Q4" s="127"/>
      <c r="R4" s="151"/>
    </row>
    <row r="5" spans="1:19" ht="20.100000000000001" customHeight="1" x14ac:dyDescent="0.3">
      <c r="A5" s="138">
        <v>46113</v>
      </c>
      <c r="B5" s="139" t="s">
        <v>45</v>
      </c>
      <c r="C5" s="139" t="s">
        <v>47</v>
      </c>
      <c r="D5" s="139" t="s">
        <v>48</v>
      </c>
      <c r="E5" s="139"/>
      <c r="F5" s="139" t="s">
        <v>49</v>
      </c>
      <c r="G5" s="139" t="s">
        <v>50</v>
      </c>
      <c r="H5" s="139"/>
      <c r="I5" s="139" t="s">
        <v>51</v>
      </c>
      <c r="J5" s="140" t="s">
        <v>52</v>
      </c>
      <c r="K5" s="141">
        <v>100000</v>
      </c>
      <c r="L5" s="142">
        <v>120000</v>
      </c>
      <c r="M5" s="143"/>
      <c r="N5" s="144"/>
      <c r="O5" s="145" t="s">
        <v>82</v>
      </c>
      <c r="P5" s="150">
        <f>L5-K5</f>
        <v>20000</v>
      </c>
      <c r="R5" s="18"/>
    </row>
    <row r="6" spans="1:19" ht="20.100000000000001" customHeight="1" x14ac:dyDescent="0.3">
      <c r="A6" s="138">
        <v>46114</v>
      </c>
      <c r="B6" s="139" t="s">
        <v>45</v>
      </c>
      <c r="C6" s="139" t="s">
        <v>47</v>
      </c>
      <c r="D6" s="139" t="s">
        <v>48</v>
      </c>
      <c r="E6" s="139"/>
      <c r="F6" s="139" t="s">
        <v>49</v>
      </c>
      <c r="G6" s="139" t="s">
        <v>50</v>
      </c>
      <c r="H6" s="139"/>
      <c r="I6" s="139" t="s">
        <v>51</v>
      </c>
      <c r="J6" s="140" t="s">
        <v>52</v>
      </c>
      <c r="K6" s="141">
        <v>100000</v>
      </c>
      <c r="L6" s="142">
        <v>120000</v>
      </c>
      <c r="M6" s="143"/>
      <c r="N6" s="144"/>
      <c r="O6" s="145" t="s">
        <v>82</v>
      </c>
      <c r="P6" s="150">
        <f t="shared" ref="P6:P69" si="0">L6-K6</f>
        <v>20000</v>
      </c>
      <c r="Q6" s="45"/>
      <c r="R6" s="18"/>
    </row>
    <row r="7" spans="1:19" ht="20.100000000000001" customHeight="1" x14ac:dyDescent="0.3">
      <c r="A7" s="138">
        <v>46115</v>
      </c>
      <c r="B7" s="139" t="s">
        <v>45</v>
      </c>
      <c r="C7" s="139" t="s">
        <v>47</v>
      </c>
      <c r="D7" s="139" t="s">
        <v>48</v>
      </c>
      <c r="E7" s="139"/>
      <c r="F7" s="139" t="s">
        <v>49</v>
      </c>
      <c r="G7" s="139" t="s">
        <v>50</v>
      </c>
      <c r="H7" s="139"/>
      <c r="I7" s="139" t="s">
        <v>51</v>
      </c>
      <c r="J7" s="140" t="s">
        <v>52</v>
      </c>
      <c r="K7" s="141">
        <v>100000</v>
      </c>
      <c r="L7" s="142">
        <v>120000</v>
      </c>
      <c r="M7" s="143"/>
      <c r="N7" s="144"/>
      <c r="O7" s="145" t="s">
        <v>82</v>
      </c>
      <c r="P7" s="150">
        <f t="shared" si="0"/>
        <v>20000</v>
      </c>
      <c r="R7" s="18"/>
    </row>
    <row r="8" spans="1:19" ht="20.100000000000001" customHeight="1" x14ac:dyDescent="0.3">
      <c r="A8" s="146">
        <v>46113</v>
      </c>
      <c r="B8" s="139" t="s">
        <v>45</v>
      </c>
      <c r="C8" s="139" t="s">
        <v>47</v>
      </c>
      <c r="D8" s="139" t="s">
        <v>48</v>
      </c>
      <c r="E8" s="139"/>
      <c r="F8" s="139" t="s">
        <v>53</v>
      </c>
      <c r="G8" s="139" t="s">
        <v>54</v>
      </c>
      <c r="H8" s="139"/>
      <c r="I8" s="139" t="s">
        <v>55</v>
      </c>
      <c r="J8" s="140">
        <v>1002760342291</v>
      </c>
      <c r="K8" s="141">
        <v>100000</v>
      </c>
      <c r="L8" s="142">
        <v>120000</v>
      </c>
      <c r="M8" s="143"/>
      <c r="N8" s="144"/>
      <c r="O8" s="145" t="s">
        <v>82</v>
      </c>
      <c r="P8" s="150">
        <f t="shared" si="0"/>
        <v>20000</v>
      </c>
      <c r="R8" s="18"/>
    </row>
    <row r="9" spans="1:19" ht="20.100000000000001" customHeight="1" x14ac:dyDescent="0.3">
      <c r="A9" s="146">
        <v>46114</v>
      </c>
      <c r="B9" s="139" t="s">
        <v>45</v>
      </c>
      <c r="C9" s="139" t="s">
        <v>47</v>
      </c>
      <c r="D9" s="139" t="s">
        <v>48</v>
      </c>
      <c r="E9" s="139"/>
      <c r="F9" s="139" t="s">
        <v>53</v>
      </c>
      <c r="G9" s="139" t="s">
        <v>54</v>
      </c>
      <c r="H9" s="139"/>
      <c r="I9" s="139" t="s">
        <v>55</v>
      </c>
      <c r="J9" s="140">
        <v>1002760342291</v>
      </c>
      <c r="K9" s="141">
        <v>100000</v>
      </c>
      <c r="L9" s="142">
        <v>120000</v>
      </c>
      <c r="M9" s="143"/>
      <c r="N9" s="144"/>
      <c r="O9" s="145" t="s">
        <v>82</v>
      </c>
      <c r="P9" s="150">
        <f t="shared" si="0"/>
        <v>20000</v>
      </c>
      <c r="Q9" s="16"/>
      <c r="R9" s="18"/>
    </row>
    <row r="10" spans="1:19" ht="20.100000000000001" customHeight="1" x14ac:dyDescent="0.3">
      <c r="A10" s="138">
        <v>46116</v>
      </c>
      <c r="B10" s="139" t="s">
        <v>45</v>
      </c>
      <c r="C10" s="139" t="s">
        <v>47</v>
      </c>
      <c r="D10" s="139" t="s">
        <v>48</v>
      </c>
      <c r="E10" s="139"/>
      <c r="F10" s="139" t="s">
        <v>53</v>
      </c>
      <c r="G10" s="139" t="s">
        <v>54</v>
      </c>
      <c r="H10" s="139"/>
      <c r="I10" s="139" t="s">
        <v>55</v>
      </c>
      <c r="J10" s="140">
        <v>1002760342291</v>
      </c>
      <c r="K10" s="141">
        <v>100000</v>
      </c>
      <c r="L10" s="142">
        <v>120000</v>
      </c>
      <c r="M10" s="143"/>
      <c r="N10" s="144"/>
      <c r="O10" s="145" t="s">
        <v>82</v>
      </c>
      <c r="P10" s="150">
        <f t="shared" si="0"/>
        <v>20000</v>
      </c>
      <c r="R10" s="18"/>
    </row>
    <row r="11" spans="1:19" ht="20.100000000000001" customHeight="1" x14ac:dyDescent="0.3">
      <c r="A11" s="138">
        <v>46117</v>
      </c>
      <c r="B11" s="139" t="s">
        <v>45</v>
      </c>
      <c r="C11" s="139" t="s">
        <v>47</v>
      </c>
      <c r="D11" s="139" t="s">
        <v>48</v>
      </c>
      <c r="E11" s="139"/>
      <c r="F11" s="139" t="s">
        <v>53</v>
      </c>
      <c r="G11" s="139" t="s">
        <v>54</v>
      </c>
      <c r="H11" s="139"/>
      <c r="I11" s="139" t="s">
        <v>55</v>
      </c>
      <c r="J11" s="140">
        <v>1002760342291</v>
      </c>
      <c r="K11" s="141">
        <v>100000</v>
      </c>
      <c r="L11" s="142">
        <v>120000</v>
      </c>
      <c r="M11" s="143"/>
      <c r="N11" s="144"/>
      <c r="O11" s="145" t="s">
        <v>82</v>
      </c>
      <c r="P11" s="150">
        <f t="shared" si="0"/>
        <v>20000</v>
      </c>
      <c r="R11" s="18"/>
    </row>
    <row r="12" spans="1:19" ht="20.100000000000001" customHeight="1" x14ac:dyDescent="0.3">
      <c r="A12" s="138">
        <v>46113</v>
      </c>
      <c r="B12" s="139" t="s">
        <v>45</v>
      </c>
      <c r="C12" s="139" t="s">
        <v>47</v>
      </c>
      <c r="D12" s="139" t="s">
        <v>48</v>
      </c>
      <c r="E12" s="139"/>
      <c r="F12" s="139" t="s">
        <v>56</v>
      </c>
      <c r="G12" s="139" t="s">
        <v>57</v>
      </c>
      <c r="H12" s="139"/>
      <c r="I12" s="139" t="s">
        <v>58</v>
      </c>
      <c r="J12" s="140" t="s">
        <v>59</v>
      </c>
      <c r="K12" s="141">
        <v>100000</v>
      </c>
      <c r="L12" s="142">
        <v>120000</v>
      </c>
      <c r="M12" s="143"/>
      <c r="N12" s="144"/>
      <c r="O12" s="145" t="s">
        <v>82</v>
      </c>
      <c r="P12" s="150">
        <f t="shared" si="0"/>
        <v>20000</v>
      </c>
      <c r="R12" s="18"/>
    </row>
    <row r="13" spans="1:19" ht="20.100000000000001" customHeight="1" x14ac:dyDescent="0.3">
      <c r="A13" s="146">
        <v>46114</v>
      </c>
      <c r="B13" s="139" t="s">
        <v>45</v>
      </c>
      <c r="C13" s="139" t="s">
        <v>47</v>
      </c>
      <c r="D13" s="139" t="s">
        <v>48</v>
      </c>
      <c r="E13" s="139"/>
      <c r="F13" s="139" t="s">
        <v>56</v>
      </c>
      <c r="G13" s="139" t="s">
        <v>57</v>
      </c>
      <c r="H13" s="139"/>
      <c r="I13" s="139" t="s">
        <v>58</v>
      </c>
      <c r="J13" s="140" t="s">
        <v>59</v>
      </c>
      <c r="K13" s="141">
        <v>100000</v>
      </c>
      <c r="L13" s="142">
        <v>120000</v>
      </c>
      <c r="M13" s="143"/>
      <c r="N13" s="144"/>
      <c r="O13" s="145" t="s">
        <v>82</v>
      </c>
      <c r="P13" s="150">
        <f t="shared" si="0"/>
        <v>20000</v>
      </c>
      <c r="R13" s="18"/>
    </row>
    <row r="14" spans="1:19" ht="20.100000000000001" customHeight="1" x14ac:dyDescent="0.3">
      <c r="A14" s="146">
        <v>46115</v>
      </c>
      <c r="B14" s="139" t="s">
        <v>45</v>
      </c>
      <c r="C14" s="139" t="s">
        <v>47</v>
      </c>
      <c r="D14" s="139" t="s">
        <v>48</v>
      </c>
      <c r="E14" s="139"/>
      <c r="F14" s="139" t="s">
        <v>56</v>
      </c>
      <c r="G14" s="139" t="s">
        <v>57</v>
      </c>
      <c r="H14" s="139"/>
      <c r="I14" s="139" t="s">
        <v>58</v>
      </c>
      <c r="J14" s="140" t="s">
        <v>59</v>
      </c>
      <c r="K14" s="141">
        <v>100000</v>
      </c>
      <c r="L14" s="142">
        <v>120000</v>
      </c>
      <c r="M14" s="143"/>
      <c r="N14" s="144"/>
      <c r="O14" s="145" t="s">
        <v>82</v>
      </c>
      <c r="P14" s="150">
        <f t="shared" si="0"/>
        <v>20000</v>
      </c>
      <c r="R14" s="18"/>
    </row>
    <row r="15" spans="1:19" ht="20.100000000000001" customHeight="1" x14ac:dyDescent="0.3">
      <c r="A15" s="146">
        <v>46116</v>
      </c>
      <c r="B15" s="139" t="s">
        <v>45</v>
      </c>
      <c r="C15" s="139" t="s">
        <v>47</v>
      </c>
      <c r="D15" s="139" t="s">
        <v>48</v>
      </c>
      <c r="E15" s="139"/>
      <c r="F15" s="139" t="s">
        <v>56</v>
      </c>
      <c r="G15" s="139" t="s">
        <v>57</v>
      </c>
      <c r="H15" s="139"/>
      <c r="I15" s="139" t="s">
        <v>58</v>
      </c>
      <c r="J15" s="140" t="s">
        <v>59</v>
      </c>
      <c r="K15" s="141">
        <v>100000</v>
      </c>
      <c r="L15" s="142">
        <v>120000</v>
      </c>
      <c r="M15" s="143"/>
      <c r="N15" s="144"/>
      <c r="O15" s="145" t="s">
        <v>82</v>
      </c>
      <c r="P15" s="150">
        <f t="shared" si="0"/>
        <v>20000</v>
      </c>
      <c r="Q15" s="45"/>
      <c r="R15" s="18"/>
    </row>
    <row r="16" spans="1:19" ht="20.100000000000001" customHeight="1" x14ac:dyDescent="0.3">
      <c r="A16" s="138">
        <v>46117</v>
      </c>
      <c r="B16" s="139" t="s">
        <v>45</v>
      </c>
      <c r="C16" s="139" t="s">
        <v>47</v>
      </c>
      <c r="D16" s="139" t="s">
        <v>48</v>
      </c>
      <c r="E16" s="139"/>
      <c r="F16" s="139" t="s">
        <v>56</v>
      </c>
      <c r="G16" s="139" t="s">
        <v>57</v>
      </c>
      <c r="H16" s="139"/>
      <c r="I16" s="139" t="s">
        <v>58</v>
      </c>
      <c r="J16" s="140" t="s">
        <v>59</v>
      </c>
      <c r="K16" s="141">
        <v>100000</v>
      </c>
      <c r="L16" s="142">
        <v>120000</v>
      </c>
      <c r="M16" s="143"/>
      <c r="N16" s="144"/>
      <c r="O16" s="145" t="s">
        <v>82</v>
      </c>
      <c r="P16" s="150">
        <f t="shared" si="0"/>
        <v>20000</v>
      </c>
      <c r="R16" s="18"/>
    </row>
    <row r="17" spans="1:18" ht="20.100000000000001" customHeight="1" x14ac:dyDescent="0.3">
      <c r="A17" s="138">
        <v>46113</v>
      </c>
      <c r="B17" s="139" t="s">
        <v>45</v>
      </c>
      <c r="C17" s="139" t="s">
        <v>47</v>
      </c>
      <c r="D17" s="139" t="s">
        <v>48</v>
      </c>
      <c r="E17" s="139"/>
      <c r="F17" s="139" t="s">
        <v>60</v>
      </c>
      <c r="G17" s="139" t="s">
        <v>61</v>
      </c>
      <c r="H17" s="139"/>
      <c r="I17" s="139" t="s">
        <v>62</v>
      </c>
      <c r="J17" s="140" t="s">
        <v>63</v>
      </c>
      <c r="K17" s="141">
        <v>100000</v>
      </c>
      <c r="L17" s="142">
        <v>120000</v>
      </c>
      <c r="M17" s="143"/>
      <c r="N17" s="144"/>
      <c r="O17" s="145" t="s">
        <v>82</v>
      </c>
      <c r="P17" s="150">
        <f t="shared" si="0"/>
        <v>20000</v>
      </c>
      <c r="Q17" s="16"/>
      <c r="R17" s="18"/>
    </row>
    <row r="18" spans="1:18" ht="20.100000000000001" customHeight="1" x14ac:dyDescent="0.3">
      <c r="A18" s="146">
        <v>46116</v>
      </c>
      <c r="B18" s="139" t="s">
        <v>45</v>
      </c>
      <c r="C18" s="139" t="s">
        <v>47</v>
      </c>
      <c r="D18" s="139" t="s">
        <v>48</v>
      </c>
      <c r="E18" s="139"/>
      <c r="F18" s="139" t="s">
        <v>60</v>
      </c>
      <c r="G18" s="139" t="s">
        <v>61</v>
      </c>
      <c r="H18" s="139"/>
      <c r="I18" s="139" t="s">
        <v>62</v>
      </c>
      <c r="J18" s="140" t="s">
        <v>63</v>
      </c>
      <c r="K18" s="141">
        <v>100000</v>
      </c>
      <c r="L18" s="142">
        <v>120000</v>
      </c>
      <c r="M18" s="143"/>
      <c r="N18" s="144"/>
      <c r="O18" s="145" t="s">
        <v>82</v>
      </c>
      <c r="P18" s="150">
        <f t="shared" si="0"/>
        <v>20000</v>
      </c>
      <c r="Q18" s="45"/>
      <c r="R18" s="18"/>
    </row>
    <row r="19" spans="1:18" ht="20.100000000000001" customHeight="1" x14ac:dyDescent="0.3">
      <c r="A19" s="146">
        <v>46117</v>
      </c>
      <c r="B19" s="139" t="s">
        <v>45</v>
      </c>
      <c r="C19" s="139" t="s">
        <v>47</v>
      </c>
      <c r="D19" s="139" t="s">
        <v>48</v>
      </c>
      <c r="E19" s="139"/>
      <c r="F19" s="139" t="s">
        <v>60</v>
      </c>
      <c r="G19" s="139" t="s">
        <v>61</v>
      </c>
      <c r="H19" s="139"/>
      <c r="I19" s="139" t="s">
        <v>62</v>
      </c>
      <c r="J19" s="140" t="s">
        <v>63</v>
      </c>
      <c r="K19" s="141">
        <v>100000</v>
      </c>
      <c r="L19" s="142">
        <v>120000</v>
      </c>
      <c r="M19" s="143"/>
      <c r="N19" s="144"/>
      <c r="O19" s="145" t="s">
        <v>82</v>
      </c>
      <c r="P19" s="150">
        <f t="shared" si="0"/>
        <v>20000</v>
      </c>
      <c r="Q19" s="45"/>
      <c r="R19" s="18"/>
    </row>
    <row r="20" spans="1:18" ht="20.100000000000001" customHeight="1" x14ac:dyDescent="0.3">
      <c r="A20" s="146">
        <v>46114</v>
      </c>
      <c r="B20" s="139" t="s">
        <v>45</v>
      </c>
      <c r="C20" s="139" t="s">
        <v>47</v>
      </c>
      <c r="D20" s="139" t="s">
        <v>48</v>
      </c>
      <c r="E20" s="139"/>
      <c r="F20" s="139" t="s">
        <v>64</v>
      </c>
      <c r="G20" s="139" t="s">
        <v>65</v>
      </c>
      <c r="H20" s="139"/>
      <c r="I20" s="139" t="s">
        <v>58</v>
      </c>
      <c r="J20" s="140" t="s">
        <v>66</v>
      </c>
      <c r="K20" s="141">
        <v>100000</v>
      </c>
      <c r="L20" s="142">
        <v>120000</v>
      </c>
      <c r="M20" s="143"/>
      <c r="N20" s="144"/>
      <c r="O20" s="145" t="s">
        <v>82</v>
      </c>
      <c r="P20" s="150">
        <f t="shared" si="0"/>
        <v>20000</v>
      </c>
      <c r="R20" s="18"/>
    </row>
    <row r="21" spans="1:18" ht="20.100000000000001" customHeight="1" x14ac:dyDescent="0.3">
      <c r="A21" s="146">
        <v>46116</v>
      </c>
      <c r="B21" s="139" t="s">
        <v>45</v>
      </c>
      <c r="C21" s="139" t="s">
        <v>47</v>
      </c>
      <c r="D21" s="139" t="s">
        <v>48</v>
      </c>
      <c r="E21" s="139"/>
      <c r="F21" s="139" t="s">
        <v>64</v>
      </c>
      <c r="G21" s="139" t="s">
        <v>65</v>
      </c>
      <c r="H21" s="139"/>
      <c r="I21" s="139" t="s">
        <v>58</v>
      </c>
      <c r="J21" s="140" t="s">
        <v>66</v>
      </c>
      <c r="K21" s="141">
        <v>100000</v>
      </c>
      <c r="L21" s="142">
        <v>120000</v>
      </c>
      <c r="M21" s="143"/>
      <c r="N21" s="144"/>
      <c r="O21" s="145" t="s">
        <v>82</v>
      </c>
      <c r="P21" s="150">
        <f t="shared" si="0"/>
        <v>20000</v>
      </c>
      <c r="R21" s="18"/>
    </row>
    <row r="22" spans="1:18" ht="20.100000000000001" customHeight="1" x14ac:dyDescent="0.3">
      <c r="A22" s="146">
        <v>46117</v>
      </c>
      <c r="B22" s="139" t="s">
        <v>45</v>
      </c>
      <c r="C22" s="139" t="s">
        <v>47</v>
      </c>
      <c r="D22" s="139" t="s">
        <v>48</v>
      </c>
      <c r="E22" s="139"/>
      <c r="F22" s="139" t="s">
        <v>64</v>
      </c>
      <c r="G22" s="139" t="s">
        <v>65</v>
      </c>
      <c r="H22" s="139"/>
      <c r="I22" s="139" t="s">
        <v>58</v>
      </c>
      <c r="J22" s="140" t="s">
        <v>66</v>
      </c>
      <c r="K22" s="141">
        <v>100000</v>
      </c>
      <c r="L22" s="142">
        <v>120000</v>
      </c>
      <c r="M22" s="143"/>
      <c r="N22" s="144"/>
      <c r="O22" s="145" t="s">
        <v>82</v>
      </c>
      <c r="P22" s="150">
        <f t="shared" si="0"/>
        <v>20000</v>
      </c>
      <c r="R22" s="18"/>
    </row>
    <row r="23" spans="1:18" ht="20.100000000000001" customHeight="1" x14ac:dyDescent="0.3">
      <c r="A23" s="146">
        <v>46116</v>
      </c>
      <c r="B23" s="139" t="s">
        <v>45</v>
      </c>
      <c r="C23" s="139" t="s">
        <v>47</v>
      </c>
      <c r="D23" s="139" t="s">
        <v>48</v>
      </c>
      <c r="E23" s="139"/>
      <c r="F23" s="139" t="s">
        <v>67</v>
      </c>
      <c r="G23" s="139" t="s">
        <v>68</v>
      </c>
      <c r="H23" s="139"/>
      <c r="I23" s="139" t="s">
        <v>62</v>
      </c>
      <c r="J23" s="140" t="s">
        <v>69</v>
      </c>
      <c r="K23" s="141">
        <v>100000</v>
      </c>
      <c r="L23" s="142">
        <v>120000</v>
      </c>
      <c r="M23" s="143"/>
      <c r="N23" s="144"/>
      <c r="O23" s="145" t="s">
        <v>82</v>
      </c>
      <c r="P23" s="150">
        <f t="shared" si="0"/>
        <v>20000</v>
      </c>
      <c r="R23" s="18"/>
    </row>
    <row r="24" spans="1:18" ht="20.100000000000001" customHeight="1" x14ac:dyDescent="0.3">
      <c r="A24" s="146">
        <v>46117</v>
      </c>
      <c r="B24" s="139" t="s">
        <v>45</v>
      </c>
      <c r="C24" s="139" t="s">
        <v>47</v>
      </c>
      <c r="D24" s="139" t="s">
        <v>48</v>
      </c>
      <c r="E24" s="139"/>
      <c r="F24" s="139" t="s">
        <v>67</v>
      </c>
      <c r="G24" s="139" t="s">
        <v>68</v>
      </c>
      <c r="H24" s="139"/>
      <c r="I24" s="139" t="s">
        <v>62</v>
      </c>
      <c r="J24" s="140" t="s">
        <v>69</v>
      </c>
      <c r="K24" s="141">
        <v>100000</v>
      </c>
      <c r="L24" s="142">
        <v>120000</v>
      </c>
      <c r="M24" s="143"/>
      <c r="N24" s="144"/>
      <c r="O24" s="145" t="s">
        <v>82</v>
      </c>
      <c r="P24" s="150">
        <f t="shared" si="0"/>
        <v>20000</v>
      </c>
      <c r="R24" s="18"/>
    </row>
    <row r="25" spans="1:18" ht="20.100000000000001" customHeight="1" x14ac:dyDescent="0.3">
      <c r="A25" s="146">
        <v>46113</v>
      </c>
      <c r="B25" s="139" t="s">
        <v>45</v>
      </c>
      <c r="C25" s="139" t="s">
        <v>47</v>
      </c>
      <c r="D25" s="139" t="s">
        <v>48</v>
      </c>
      <c r="E25" s="139"/>
      <c r="F25" s="139" t="s">
        <v>70</v>
      </c>
      <c r="G25" s="139" t="s">
        <v>71</v>
      </c>
      <c r="H25" s="139"/>
      <c r="I25" s="139" t="s">
        <v>72</v>
      </c>
      <c r="J25" s="140" t="s">
        <v>73</v>
      </c>
      <c r="K25" s="141">
        <v>100000</v>
      </c>
      <c r="L25" s="142">
        <v>120000</v>
      </c>
      <c r="M25" s="143"/>
      <c r="N25" s="143"/>
      <c r="O25" s="145" t="s">
        <v>82</v>
      </c>
      <c r="P25" s="150">
        <f t="shared" si="0"/>
        <v>20000</v>
      </c>
      <c r="Q25" s="45"/>
      <c r="R25" s="18"/>
    </row>
    <row r="26" spans="1:18" ht="20.100000000000001" customHeight="1" x14ac:dyDescent="0.3">
      <c r="A26" s="146">
        <v>46114</v>
      </c>
      <c r="B26" s="139" t="s">
        <v>45</v>
      </c>
      <c r="C26" s="139" t="s">
        <v>47</v>
      </c>
      <c r="D26" s="139" t="s">
        <v>48</v>
      </c>
      <c r="E26" s="139"/>
      <c r="F26" s="139" t="s">
        <v>70</v>
      </c>
      <c r="G26" s="139" t="s">
        <v>71</v>
      </c>
      <c r="H26" s="139"/>
      <c r="I26" s="139" t="s">
        <v>72</v>
      </c>
      <c r="J26" s="140" t="s">
        <v>73</v>
      </c>
      <c r="K26" s="141">
        <v>100000</v>
      </c>
      <c r="L26" s="142">
        <v>120000</v>
      </c>
      <c r="M26" s="143"/>
      <c r="N26" s="144"/>
      <c r="O26" s="145" t="s">
        <v>82</v>
      </c>
      <c r="P26" s="150">
        <f t="shared" si="0"/>
        <v>20000</v>
      </c>
      <c r="R26" s="18"/>
    </row>
    <row r="27" spans="1:18" ht="20.100000000000001" customHeight="1" x14ac:dyDescent="0.3">
      <c r="A27" s="146">
        <v>46116</v>
      </c>
      <c r="B27" s="139" t="s">
        <v>45</v>
      </c>
      <c r="C27" s="139" t="s">
        <v>47</v>
      </c>
      <c r="D27" s="139" t="s">
        <v>48</v>
      </c>
      <c r="E27" s="139"/>
      <c r="F27" s="139" t="s">
        <v>70</v>
      </c>
      <c r="G27" s="139" t="s">
        <v>71</v>
      </c>
      <c r="H27" s="139"/>
      <c r="I27" s="139" t="s">
        <v>72</v>
      </c>
      <c r="J27" s="140" t="s">
        <v>73</v>
      </c>
      <c r="K27" s="141">
        <v>100000</v>
      </c>
      <c r="L27" s="142">
        <v>120000</v>
      </c>
      <c r="M27" s="143"/>
      <c r="N27" s="144"/>
      <c r="O27" s="145" t="s">
        <v>82</v>
      </c>
      <c r="P27" s="150">
        <f t="shared" si="0"/>
        <v>20000</v>
      </c>
      <c r="R27" s="18"/>
    </row>
    <row r="28" spans="1:18" ht="20.100000000000001" customHeight="1" x14ac:dyDescent="0.3">
      <c r="A28" s="138">
        <v>46117</v>
      </c>
      <c r="B28" s="139" t="s">
        <v>45</v>
      </c>
      <c r="C28" s="139" t="s">
        <v>47</v>
      </c>
      <c r="D28" s="139" t="s">
        <v>48</v>
      </c>
      <c r="E28" s="139"/>
      <c r="F28" s="139" t="s">
        <v>70</v>
      </c>
      <c r="G28" s="139" t="s">
        <v>71</v>
      </c>
      <c r="H28" s="139"/>
      <c r="I28" s="139" t="s">
        <v>72</v>
      </c>
      <c r="J28" s="140" t="s">
        <v>73</v>
      </c>
      <c r="K28" s="141">
        <v>100000</v>
      </c>
      <c r="L28" s="142">
        <v>120000</v>
      </c>
      <c r="M28" s="143"/>
      <c r="N28" s="144"/>
      <c r="O28" s="145" t="s">
        <v>82</v>
      </c>
      <c r="P28" s="150">
        <f t="shared" si="0"/>
        <v>20000</v>
      </c>
      <c r="R28" s="18"/>
    </row>
    <row r="29" spans="1:18" ht="20.100000000000001" customHeight="1" x14ac:dyDescent="0.3">
      <c r="A29" s="146">
        <v>46113</v>
      </c>
      <c r="B29" s="139" t="s">
        <v>45</v>
      </c>
      <c r="C29" s="139" t="s">
        <v>47</v>
      </c>
      <c r="D29" s="139" t="s">
        <v>48</v>
      </c>
      <c r="E29" s="139"/>
      <c r="F29" s="139" t="s">
        <v>74</v>
      </c>
      <c r="G29" s="139"/>
      <c r="H29" s="139"/>
      <c r="I29" s="139" t="s">
        <v>72</v>
      </c>
      <c r="J29" s="140" t="s">
        <v>73</v>
      </c>
      <c r="K29" s="141">
        <v>100000</v>
      </c>
      <c r="L29" s="142">
        <v>120000</v>
      </c>
      <c r="M29" s="143"/>
      <c r="N29" s="144"/>
      <c r="O29" s="145" t="s">
        <v>82</v>
      </c>
      <c r="P29" s="150">
        <f t="shared" si="0"/>
        <v>20000</v>
      </c>
      <c r="R29" s="18"/>
    </row>
    <row r="30" spans="1:18" ht="20.100000000000001" customHeight="1" x14ac:dyDescent="0.3">
      <c r="A30" s="146">
        <v>46114</v>
      </c>
      <c r="B30" s="139" t="s">
        <v>45</v>
      </c>
      <c r="C30" s="139" t="s">
        <v>47</v>
      </c>
      <c r="D30" s="139" t="s">
        <v>48</v>
      </c>
      <c r="E30" s="139"/>
      <c r="F30" s="139" t="s">
        <v>74</v>
      </c>
      <c r="G30" s="139"/>
      <c r="H30" s="139"/>
      <c r="I30" s="139" t="s">
        <v>72</v>
      </c>
      <c r="J30" s="140" t="s">
        <v>73</v>
      </c>
      <c r="K30" s="141">
        <v>100000</v>
      </c>
      <c r="L30" s="142">
        <v>120000</v>
      </c>
      <c r="M30" s="143"/>
      <c r="N30" s="144"/>
      <c r="O30" s="145" t="s">
        <v>82</v>
      </c>
      <c r="P30" s="150">
        <f t="shared" si="0"/>
        <v>20000</v>
      </c>
      <c r="R30" s="18"/>
    </row>
    <row r="31" spans="1:18" ht="20.100000000000001" customHeight="1" x14ac:dyDescent="0.3">
      <c r="A31" s="138">
        <v>46115</v>
      </c>
      <c r="B31" s="139" t="s">
        <v>45</v>
      </c>
      <c r="C31" s="139" t="s">
        <v>47</v>
      </c>
      <c r="D31" s="139" t="s">
        <v>48</v>
      </c>
      <c r="E31" s="139"/>
      <c r="F31" s="139" t="s">
        <v>74</v>
      </c>
      <c r="G31" s="139"/>
      <c r="H31" s="139"/>
      <c r="I31" s="139" t="s">
        <v>72</v>
      </c>
      <c r="J31" s="140" t="s">
        <v>73</v>
      </c>
      <c r="K31" s="141">
        <v>100000</v>
      </c>
      <c r="L31" s="142">
        <v>120000</v>
      </c>
      <c r="M31" s="143"/>
      <c r="N31" s="144"/>
      <c r="O31" s="145" t="s">
        <v>82</v>
      </c>
      <c r="P31" s="150">
        <f t="shared" si="0"/>
        <v>20000</v>
      </c>
      <c r="R31" s="18"/>
    </row>
    <row r="32" spans="1:18" ht="20.100000000000001" customHeight="1" x14ac:dyDescent="0.3">
      <c r="A32" s="138">
        <v>46116</v>
      </c>
      <c r="B32" s="139" t="s">
        <v>45</v>
      </c>
      <c r="C32" s="139" t="s">
        <v>47</v>
      </c>
      <c r="D32" s="139" t="s">
        <v>48</v>
      </c>
      <c r="E32" s="139"/>
      <c r="F32" s="139" t="s">
        <v>74</v>
      </c>
      <c r="G32" s="139"/>
      <c r="H32" s="139"/>
      <c r="I32" s="139" t="s">
        <v>72</v>
      </c>
      <c r="J32" s="140" t="s">
        <v>73</v>
      </c>
      <c r="K32" s="141">
        <v>100000</v>
      </c>
      <c r="L32" s="142">
        <v>120000</v>
      </c>
      <c r="M32" s="143"/>
      <c r="N32" s="144"/>
      <c r="O32" s="145" t="s">
        <v>82</v>
      </c>
      <c r="P32" s="150">
        <f t="shared" si="0"/>
        <v>20000</v>
      </c>
      <c r="R32" s="18"/>
    </row>
    <row r="33" spans="1:18" ht="20.100000000000001" customHeight="1" x14ac:dyDescent="0.3">
      <c r="A33" s="138">
        <v>46117</v>
      </c>
      <c r="B33" s="139" t="s">
        <v>45</v>
      </c>
      <c r="C33" s="139" t="s">
        <v>47</v>
      </c>
      <c r="D33" s="139" t="s">
        <v>48</v>
      </c>
      <c r="E33" s="139"/>
      <c r="F33" s="139" t="s">
        <v>74</v>
      </c>
      <c r="G33" s="139"/>
      <c r="H33" s="139"/>
      <c r="I33" s="139" t="s">
        <v>72</v>
      </c>
      <c r="J33" s="140" t="s">
        <v>73</v>
      </c>
      <c r="K33" s="141">
        <v>100000</v>
      </c>
      <c r="L33" s="142">
        <v>120000</v>
      </c>
      <c r="M33" s="143"/>
      <c r="N33" s="144"/>
      <c r="O33" s="145" t="s">
        <v>82</v>
      </c>
      <c r="P33" s="150">
        <f t="shared" si="0"/>
        <v>20000</v>
      </c>
      <c r="R33" s="18"/>
    </row>
    <row r="34" spans="1:18" ht="20.100000000000001" customHeight="1" x14ac:dyDescent="0.3">
      <c r="A34" s="138">
        <v>46116</v>
      </c>
      <c r="B34" s="139" t="s">
        <v>45</v>
      </c>
      <c r="C34" s="139" t="s">
        <v>47</v>
      </c>
      <c r="D34" s="139" t="s">
        <v>48</v>
      </c>
      <c r="E34" s="139"/>
      <c r="F34" s="139" t="s">
        <v>75</v>
      </c>
      <c r="G34" s="139"/>
      <c r="H34" s="139"/>
      <c r="I34" s="139" t="s">
        <v>76</v>
      </c>
      <c r="J34" s="140" t="s">
        <v>77</v>
      </c>
      <c r="K34" s="141">
        <v>100000</v>
      </c>
      <c r="L34" s="142">
        <v>120000</v>
      </c>
      <c r="M34" s="143"/>
      <c r="N34" s="144"/>
      <c r="O34" s="145" t="s">
        <v>82</v>
      </c>
      <c r="P34" s="150">
        <f t="shared" si="0"/>
        <v>20000</v>
      </c>
      <c r="R34" s="18"/>
    </row>
    <row r="35" spans="1:18" ht="20.100000000000001" customHeight="1" x14ac:dyDescent="0.3">
      <c r="A35" s="138">
        <v>46117</v>
      </c>
      <c r="B35" s="139" t="s">
        <v>45</v>
      </c>
      <c r="C35" s="139" t="s">
        <v>47</v>
      </c>
      <c r="D35" s="139" t="s">
        <v>48</v>
      </c>
      <c r="E35" s="139"/>
      <c r="F35" s="139" t="s">
        <v>75</v>
      </c>
      <c r="G35" s="139"/>
      <c r="H35" s="139"/>
      <c r="I35" s="139" t="s">
        <v>76</v>
      </c>
      <c r="J35" s="140" t="s">
        <v>77</v>
      </c>
      <c r="K35" s="141">
        <v>100000</v>
      </c>
      <c r="L35" s="142">
        <v>120000</v>
      </c>
      <c r="M35" s="143"/>
      <c r="N35" s="144"/>
      <c r="O35" s="145" t="s">
        <v>82</v>
      </c>
      <c r="P35" s="150">
        <f t="shared" si="0"/>
        <v>20000</v>
      </c>
      <c r="R35" s="18"/>
    </row>
    <row r="36" spans="1:18" ht="20.100000000000001" customHeight="1" x14ac:dyDescent="0.3">
      <c r="A36" s="146">
        <v>46113</v>
      </c>
      <c r="B36" s="139" t="s">
        <v>45</v>
      </c>
      <c r="C36" s="139" t="s">
        <v>47</v>
      </c>
      <c r="D36" s="139" t="s">
        <v>48</v>
      </c>
      <c r="E36" s="139"/>
      <c r="F36" s="139" t="s">
        <v>78</v>
      </c>
      <c r="G36" s="139"/>
      <c r="H36" s="139"/>
      <c r="I36" s="139" t="s">
        <v>55</v>
      </c>
      <c r="J36" s="140" t="s">
        <v>79</v>
      </c>
      <c r="K36" s="141">
        <v>100000</v>
      </c>
      <c r="L36" s="142">
        <v>120000</v>
      </c>
      <c r="M36" s="143"/>
      <c r="N36" s="144"/>
      <c r="O36" s="145" t="s">
        <v>82</v>
      </c>
      <c r="P36" s="150">
        <f t="shared" si="0"/>
        <v>20000</v>
      </c>
      <c r="R36" s="18"/>
    </row>
    <row r="37" spans="1:18" ht="20.100000000000001" customHeight="1" x14ac:dyDescent="0.3">
      <c r="A37" s="138">
        <v>46116</v>
      </c>
      <c r="B37" s="139" t="s">
        <v>45</v>
      </c>
      <c r="C37" s="139" t="s">
        <v>47</v>
      </c>
      <c r="D37" s="139" t="s">
        <v>48</v>
      </c>
      <c r="E37" s="139"/>
      <c r="F37" s="139" t="s">
        <v>78</v>
      </c>
      <c r="G37" s="139"/>
      <c r="H37" s="139"/>
      <c r="I37" s="139" t="s">
        <v>55</v>
      </c>
      <c r="J37" s="140" t="s">
        <v>79</v>
      </c>
      <c r="K37" s="141">
        <v>100000</v>
      </c>
      <c r="L37" s="142">
        <v>120000</v>
      </c>
      <c r="M37" s="143"/>
      <c r="N37" s="144"/>
      <c r="O37" s="145" t="s">
        <v>82</v>
      </c>
      <c r="P37" s="150">
        <f t="shared" si="0"/>
        <v>20000</v>
      </c>
      <c r="R37" s="18"/>
    </row>
    <row r="38" spans="1:18" ht="20.100000000000001" customHeight="1" x14ac:dyDescent="0.3">
      <c r="A38" s="138">
        <v>46117</v>
      </c>
      <c r="B38" s="139" t="s">
        <v>45</v>
      </c>
      <c r="C38" s="139" t="s">
        <v>47</v>
      </c>
      <c r="D38" s="139" t="s">
        <v>48</v>
      </c>
      <c r="E38" s="139"/>
      <c r="F38" s="139" t="s">
        <v>78</v>
      </c>
      <c r="G38" s="139"/>
      <c r="H38" s="139"/>
      <c r="I38" s="139" t="s">
        <v>55</v>
      </c>
      <c r="J38" s="140" t="s">
        <v>79</v>
      </c>
      <c r="K38" s="141">
        <v>100000</v>
      </c>
      <c r="L38" s="142">
        <v>120000</v>
      </c>
      <c r="M38" s="143"/>
      <c r="N38" s="144"/>
      <c r="O38" s="145" t="s">
        <v>82</v>
      </c>
      <c r="P38" s="150">
        <f t="shared" si="0"/>
        <v>20000</v>
      </c>
      <c r="R38" s="18"/>
    </row>
    <row r="39" spans="1:18" ht="20.100000000000001" customHeight="1" x14ac:dyDescent="0.3">
      <c r="A39" s="146">
        <v>46117</v>
      </c>
      <c r="B39" s="139" t="s">
        <v>45</v>
      </c>
      <c r="C39" s="139" t="s">
        <v>47</v>
      </c>
      <c r="D39" s="139" t="s">
        <v>48</v>
      </c>
      <c r="E39" s="139"/>
      <c r="F39" s="139" t="s">
        <v>80</v>
      </c>
      <c r="G39" s="139" t="s">
        <v>81</v>
      </c>
      <c r="H39" s="139"/>
      <c r="I39" s="139" t="s">
        <v>62</v>
      </c>
      <c r="J39" s="140">
        <v>9500021279810</v>
      </c>
      <c r="K39" s="141">
        <v>100000</v>
      </c>
      <c r="L39" s="142">
        <v>120000</v>
      </c>
      <c r="M39" s="143"/>
      <c r="N39" s="144"/>
      <c r="O39" s="145" t="s">
        <v>82</v>
      </c>
      <c r="P39" s="150">
        <f t="shared" si="0"/>
        <v>20000</v>
      </c>
      <c r="R39" s="18"/>
    </row>
    <row r="40" spans="1:18" ht="20.100000000000001" customHeight="1" x14ac:dyDescent="0.3">
      <c r="A40" s="146">
        <v>46118</v>
      </c>
      <c r="B40" s="139" t="s">
        <v>45</v>
      </c>
      <c r="C40" s="139" t="s">
        <v>47</v>
      </c>
      <c r="D40" s="139" t="s">
        <v>48</v>
      </c>
      <c r="E40" s="139"/>
      <c r="F40" s="139" t="s">
        <v>49</v>
      </c>
      <c r="G40" s="139" t="s">
        <v>50</v>
      </c>
      <c r="H40" s="139"/>
      <c r="I40" s="139" t="s">
        <v>51</v>
      </c>
      <c r="J40" s="140" t="s">
        <v>52</v>
      </c>
      <c r="K40" s="141">
        <v>100000</v>
      </c>
      <c r="L40" s="142">
        <v>120000</v>
      </c>
      <c r="M40" s="143"/>
      <c r="N40" s="147"/>
      <c r="O40" s="145" t="s">
        <v>270</v>
      </c>
      <c r="P40" s="150">
        <f t="shared" si="0"/>
        <v>20000</v>
      </c>
      <c r="R40" s="18"/>
    </row>
    <row r="41" spans="1:18" ht="20.100000000000001" customHeight="1" x14ac:dyDescent="0.3">
      <c r="A41" s="146">
        <v>46119</v>
      </c>
      <c r="B41" s="139" t="s">
        <v>45</v>
      </c>
      <c r="C41" s="139" t="s">
        <v>47</v>
      </c>
      <c r="D41" s="139" t="s">
        <v>48</v>
      </c>
      <c r="E41" s="139"/>
      <c r="F41" s="139" t="s">
        <v>49</v>
      </c>
      <c r="G41" s="139" t="s">
        <v>50</v>
      </c>
      <c r="H41" s="139"/>
      <c r="I41" s="139" t="s">
        <v>51</v>
      </c>
      <c r="J41" s="140" t="s">
        <v>52</v>
      </c>
      <c r="K41" s="141">
        <v>100000</v>
      </c>
      <c r="L41" s="142">
        <v>120000</v>
      </c>
      <c r="M41" s="143"/>
      <c r="N41" s="144"/>
      <c r="O41" s="145" t="s">
        <v>270</v>
      </c>
      <c r="P41" s="150">
        <f t="shared" si="0"/>
        <v>20000</v>
      </c>
      <c r="R41" s="18"/>
    </row>
    <row r="42" spans="1:18" ht="20.100000000000001" customHeight="1" x14ac:dyDescent="0.3">
      <c r="A42" s="146">
        <v>46120</v>
      </c>
      <c r="B42" s="139" t="s">
        <v>45</v>
      </c>
      <c r="C42" s="139" t="s">
        <v>47</v>
      </c>
      <c r="D42" s="139" t="s">
        <v>48</v>
      </c>
      <c r="E42" s="139"/>
      <c r="F42" s="139" t="s">
        <v>49</v>
      </c>
      <c r="G42" s="139" t="s">
        <v>50</v>
      </c>
      <c r="H42" s="139"/>
      <c r="I42" s="139" t="s">
        <v>51</v>
      </c>
      <c r="J42" s="140" t="s">
        <v>52</v>
      </c>
      <c r="K42" s="141">
        <v>100000</v>
      </c>
      <c r="L42" s="142">
        <v>120000</v>
      </c>
      <c r="M42" s="143"/>
      <c r="N42" s="144"/>
      <c r="O42" s="145" t="s">
        <v>270</v>
      </c>
      <c r="P42" s="150">
        <f t="shared" si="0"/>
        <v>20000</v>
      </c>
      <c r="R42" s="18"/>
    </row>
    <row r="43" spans="1:18" ht="20.100000000000001" customHeight="1" x14ac:dyDescent="0.3">
      <c r="A43" s="146">
        <v>46121</v>
      </c>
      <c r="B43" s="139" t="s">
        <v>45</v>
      </c>
      <c r="C43" s="139" t="s">
        <v>47</v>
      </c>
      <c r="D43" s="139" t="s">
        <v>48</v>
      </c>
      <c r="E43" s="139"/>
      <c r="F43" s="139" t="s">
        <v>49</v>
      </c>
      <c r="G43" s="139" t="s">
        <v>50</v>
      </c>
      <c r="H43" s="139"/>
      <c r="I43" s="139" t="s">
        <v>51</v>
      </c>
      <c r="J43" s="140" t="s">
        <v>52</v>
      </c>
      <c r="K43" s="141">
        <v>100000</v>
      </c>
      <c r="L43" s="142">
        <v>120000</v>
      </c>
      <c r="M43" s="143"/>
      <c r="N43" s="144"/>
      <c r="O43" s="145" t="s">
        <v>270</v>
      </c>
      <c r="P43" s="150">
        <f t="shared" si="0"/>
        <v>20000</v>
      </c>
      <c r="Q43" s="45"/>
      <c r="R43" s="18"/>
    </row>
    <row r="44" spans="1:18" ht="20.100000000000001" customHeight="1" x14ac:dyDescent="0.3">
      <c r="A44" s="146">
        <v>46122</v>
      </c>
      <c r="B44" s="139" t="s">
        <v>45</v>
      </c>
      <c r="C44" s="139" t="s">
        <v>47</v>
      </c>
      <c r="D44" s="139" t="s">
        <v>48</v>
      </c>
      <c r="E44" s="139"/>
      <c r="F44" s="139" t="s">
        <v>49</v>
      </c>
      <c r="G44" s="139" t="s">
        <v>50</v>
      </c>
      <c r="H44" s="139"/>
      <c r="I44" s="139" t="s">
        <v>51</v>
      </c>
      <c r="J44" s="140" t="s">
        <v>52</v>
      </c>
      <c r="K44" s="141">
        <v>100000</v>
      </c>
      <c r="L44" s="142">
        <v>120000</v>
      </c>
      <c r="M44" s="143"/>
      <c r="N44" s="144"/>
      <c r="O44" s="145" t="s">
        <v>270</v>
      </c>
      <c r="P44" s="150">
        <f t="shared" si="0"/>
        <v>20000</v>
      </c>
      <c r="R44" s="18"/>
    </row>
    <row r="45" spans="1:18" ht="20.100000000000001" customHeight="1" x14ac:dyDescent="0.3">
      <c r="A45" s="146">
        <v>46118</v>
      </c>
      <c r="B45" s="139" t="s">
        <v>45</v>
      </c>
      <c r="C45" s="139" t="s">
        <v>47</v>
      </c>
      <c r="D45" s="139" t="s">
        <v>48</v>
      </c>
      <c r="E45" s="139"/>
      <c r="F45" s="139" t="s">
        <v>53</v>
      </c>
      <c r="G45" s="139" t="s">
        <v>54</v>
      </c>
      <c r="H45" s="139"/>
      <c r="I45" s="139" t="s">
        <v>55</v>
      </c>
      <c r="J45" s="140">
        <v>1002760342291</v>
      </c>
      <c r="K45" s="141">
        <v>100000</v>
      </c>
      <c r="L45" s="142">
        <v>120000</v>
      </c>
      <c r="M45" s="143"/>
      <c r="N45" s="144"/>
      <c r="O45" s="145" t="s">
        <v>270</v>
      </c>
      <c r="P45" s="150">
        <f t="shared" si="0"/>
        <v>20000</v>
      </c>
      <c r="R45" s="18"/>
    </row>
    <row r="46" spans="1:18" ht="20.100000000000001" customHeight="1" x14ac:dyDescent="0.3">
      <c r="A46" s="146">
        <v>46119</v>
      </c>
      <c r="B46" s="139" t="s">
        <v>45</v>
      </c>
      <c r="C46" s="139" t="s">
        <v>47</v>
      </c>
      <c r="D46" s="139" t="s">
        <v>48</v>
      </c>
      <c r="E46" s="139"/>
      <c r="F46" s="139" t="s">
        <v>53</v>
      </c>
      <c r="G46" s="139" t="s">
        <v>54</v>
      </c>
      <c r="H46" s="139"/>
      <c r="I46" s="139" t="s">
        <v>55</v>
      </c>
      <c r="J46" s="140">
        <v>1002760342291</v>
      </c>
      <c r="K46" s="141">
        <v>100000</v>
      </c>
      <c r="L46" s="142">
        <v>120000</v>
      </c>
      <c r="M46" s="143"/>
      <c r="N46" s="144"/>
      <c r="O46" s="145" t="s">
        <v>270</v>
      </c>
      <c r="P46" s="150">
        <f t="shared" si="0"/>
        <v>20000</v>
      </c>
      <c r="R46" s="18"/>
    </row>
    <row r="47" spans="1:18" ht="20.100000000000001" customHeight="1" x14ac:dyDescent="0.3">
      <c r="A47" s="146">
        <v>46120</v>
      </c>
      <c r="B47" s="139" t="s">
        <v>45</v>
      </c>
      <c r="C47" s="139" t="s">
        <v>47</v>
      </c>
      <c r="D47" s="139" t="s">
        <v>48</v>
      </c>
      <c r="E47" s="139"/>
      <c r="F47" s="139" t="s">
        <v>53</v>
      </c>
      <c r="G47" s="139" t="s">
        <v>54</v>
      </c>
      <c r="H47" s="139"/>
      <c r="I47" s="139" t="s">
        <v>55</v>
      </c>
      <c r="J47" s="140">
        <v>1002760342291</v>
      </c>
      <c r="K47" s="141">
        <v>100000</v>
      </c>
      <c r="L47" s="142">
        <v>120000</v>
      </c>
      <c r="M47" s="143"/>
      <c r="N47" s="144"/>
      <c r="O47" s="145" t="s">
        <v>270</v>
      </c>
      <c r="P47" s="150">
        <f t="shared" si="0"/>
        <v>20000</v>
      </c>
      <c r="Q47" s="45"/>
      <c r="R47" s="18"/>
    </row>
    <row r="48" spans="1:18" ht="20.100000000000001" customHeight="1" x14ac:dyDescent="0.3">
      <c r="A48" s="146">
        <v>46121</v>
      </c>
      <c r="B48" s="139" t="s">
        <v>45</v>
      </c>
      <c r="C48" s="139" t="s">
        <v>47</v>
      </c>
      <c r="D48" s="139" t="s">
        <v>48</v>
      </c>
      <c r="E48" s="139"/>
      <c r="F48" s="139" t="s">
        <v>53</v>
      </c>
      <c r="G48" s="139" t="s">
        <v>54</v>
      </c>
      <c r="H48" s="139"/>
      <c r="I48" s="139" t="s">
        <v>55</v>
      </c>
      <c r="J48" s="140">
        <v>1002760342291</v>
      </c>
      <c r="K48" s="141">
        <v>100000</v>
      </c>
      <c r="L48" s="142">
        <v>120000</v>
      </c>
      <c r="M48" s="143"/>
      <c r="N48" s="144"/>
      <c r="O48" s="145" t="s">
        <v>270</v>
      </c>
      <c r="P48" s="150">
        <f t="shared" si="0"/>
        <v>20000</v>
      </c>
      <c r="R48" s="18"/>
    </row>
    <row r="49" spans="1:18" ht="20.100000000000001" customHeight="1" x14ac:dyDescent="0.3">
      <c r="A49" s="146">
        <v>46123</v>
      </c>
      <c r="B49" s="139" t="s">
        <v>45</v>
      </c>
      <c r="C49" s="139" t="s">
        <v>47</v>
      </c>
      <c r="D49" s="139" t="s">
        <v>48</v>
      </c>
      <c r="E49" s="139"/>
      <c r="F49" s="139" t="s">
        <v>53</v>
      </c>
      <c r="G49" s="139" t="s">
        <v>54</v>
      </c>
      <c r="H49" s="139"/>
      <c r="I49" s="139" t="s">
        <v>55</v>
      </c>
      <c r="J49" s="140">
        <v>1002760342291</v>
      </c>
      <c r="K49" s="141">
        <v>100000</v>
      </c>
      <c r="L49" s="142">
        <v>120000</v>
      </c>
      <c r="M49" s="143"/>
      <c r="N49" s="144"/>
      <c r="O49" s="145" t="s">
        <v>270</v>
      </c>
      <c r="P49" s="150">
        <f t="shared" si="0"/>
        <v>20000</v>
      </c>
      <c r="R49" s="18"/>
    </row>
    <row r="50" spans="1:18" ht="20.100000000000001" customHeight="1" x14ac:dyDescent="0.3">
      <c r="A50" s="146">
        <v>46124</v>
      </c>
      <c r="B50" s="139" t="s">
        <v>45</v>
      </c>
      <c r="C50" s="139" t="s">
        <v>47</v>
      </c>
      <c r="D50" s="139" t="s">
        <v>48</v>
      </c>
      <c r="E50" s="139"/>
      <c r="F50" s="139" t="s">
        <v>53</v>
      </c>
      <c r="G50" s="139" t="s">
        <v>54</v>
      </c>
      <c r="H50" s="139"/>
      <c r="I50" s="139" t="s">
        <v>55</v>
      </c>
      <c r="J50" s="140">
        <v>1002760342291</v>
      </c>
      <c r="K50" s="141">
        <v>100000</v>
      </c>
      <c r="L50" s="142">
        <v>120000</v>
      </c>
      <c r="M50" s="143"/>
      <c r="N50" s="144"/>
      <c r="O50" s="145" t="s">
        <v>270</v>
      </c>
      <c r="P50" s="150">
        <f t="shared" si="0"/>
        <v>20000</v>
      </c>
      <c r="R50" s="18"/>
    </row>
    <row r="51" spans="1:18" ht="20.100000000000001" customHeight="1" x14ac:dyDescent="0.3">
      <c r="A51" s="146">
        <v>46120</v>
      </c>
      <c r="B51" s="139" t="s">
        <v>45</v>
      </c>
      <c r="C51" s="139" t="s">
        <v>47</v>
      </c>
      <c r="D51" s="139" t="s">
        <v>48</v>
      </c>
      <c r="E51" s="139"/>
      <c r="F51" s="139" t="s">
        <v>56</v>
      </c>
      <c r="G51" s="139" t="s">
        <v>57</v>
      </c>
      <c r="H51" s="139"/>
      <c r="I51" s="139" t="s">
        <v>58</v>
      </c>
      <c r="J51" s="140" t="s">
        <v>59</v>
      </c>
      <c r="K51" s="141">
        <v>100000</v>
      </c>
      <c r="L51" s="142">
        <v>120000</v>
      </c>
      <c r="M51" s="143"/>
      <c r="N51" s="144"/>
      <c r="O51" s="145" t="s">
        <v>270</v>
      </c>
      <c r="P51" s="150">
        <f t="shared" si="0"/>
        <v>20000</v>
      </c>
      <c r="R51" s="18"/>
    </row>
    <row r="52" spans="1:18" ht="20.100000000000001" customHeight="1" x14ac:dyDescent="0.3">
      <c r="A52" s="146">
        <v>46121</v>
      </c>
      <c r="B52" s="139" t="s">
        <v>45</v>
      </c>
      <c r="C52" s="139" t="s">
        <v>47</v>
      </c>
      <c r="D52" s="139" t="s">
        <v>48</v>
      </c>
      <c r="E52" s="139"/>
      <c r="F52" s="139" t="s">
        <v>56</v>
      </c>
      <c r="G52" s="139" t="s">
        <v>57</v>
      </c>
      <c r="H52" s="139"/>
      <c r="I52" s="139" t="s">
        <v>58</v>
      </c>
      <c r="J52" s="140" t="s">
        <v>59</v>
      </c>
      <c r="K52" s="141">
        <v>100000</v>
      </c>
      <c r="L52" s="142">
        <v>120000</v>
      </c>
      <c r="M52" s="143"/>
      <c r="N52" s="144"/>
      <c r="O52" s="145" t="s">
        <v>270</v>
      </c>
      <c r="P52" s="150">
        <f t="shared" si="0"/>
        <v>20000</v>
      </c>
      <c r="R52" s="18"/>
    </row>
    <row r="53" spans="1:18" ht="20.100000000000001" customHeight="1" x14ac:dyDescent="0.3">
      <c r="A53" s="146">
        <v>46122</v>
      </c>
      <c r="B53" s="139" t="s">
        <v>45</v>
      </c>
      <c r="C53" s="139" t="s">
        <v>47</v>
      </c>
      <c r="D53" s="139" t="s">
        <v>48</v>
      </c>
      <c r="E53" s="139"/>
      <c r="F53" s="139" t="s">
        <v>56</v>
      </c>
      <c r="G53" s="139" t="s">
        <v>57</v>
      </c>
      <c r="H53" s="139"/>
      <c r="I53" s="139" t="s">
        <v>58</v>
      </c>
      <c r="J53" s="140" t="s">
        <v>59</v>
      </c>
      <c r="K53" s="141">
        <v>100000</v>
      </c>
      <c r="L53" s="142">
        <v>120000</v>
      </c>
      <c r="M53" s="143"/>
      <c r="N53" s="144"/>
      <c r="O53" s="145" t="s">
        <v>270</v>
      </c>
      <c r="P53" s="150">
        <f t="shared" si="0"/>
        <v>20000</v>
      </c>
      <c r="R53" s="18"/>
    </row>
    <row r="54" spans="1:18" ht="20.100000000000001" customHeight="1" x14ac:dyDescent="0.3">
      <c r="A54" s="146">
        <v>46123</v>
      </c>
      <c r="B54" s="139" t="s">
        <v>45</v>
      </c>
      <c r="C54" s="139" t="s">
        <v>47</v>
      </c>
      <c r="D54" s="139" t="s">
        <v>48</v>
      </c>
      <c r="E54" s="139"/>
      <c r="F54" s="139" t="s">
        <v>56</v>
      </c>
      <c r="G54" s="139" t="s">
        <v>57</v>
      </c>
      <c r="H54" s="139"/>
      <c r="I54" s="139" t="s">
        <v>58</v>
      </c>
      <c r="J54" s="140" t="s">
        <v>59</v>
      </c>
      <c r="K54" s="141">
        <v>100000</v>
      </c>
      <c r="L54" s="142">
        <v>120000</v>
      </c>
      <c r="M54" s="143"/>
      <c r="N54" s="144"/>
      <c r="O54" s="145" t="s">
        <v>270</v>
      </c>
      <c r="P54" s="150">
        <f t="shared" si="0"/>
        <v>20000</v>
      </c>
      <c r="R54" s="18"/>
    </row>
    <row r="55" spans="1:18" ht="20.100000000000001" customHeight="1" x14ac:dyDescent="0.3">
      <c r="A55" s="146">
        <v>46124</v>
      </c>
      <c r="B55" s="139" t="s">
        <v>45</v>
      </c>
      <c r="C55" s="139" t="s">
        <v>47</v>
      </c>
      <c r="D55" s="139" t="s">
        <v>48</v>
      </c>
      <c r="E55" s="139"/>
      <c r="F55" s="139" t="s">
        <v>56</v>
      </c>
      <c r="G55" s="139" t="s">
        <v>57</v>
      </c>
      <c r="H55" s="139"/>
      <c r="I55" s="139" t="s">
        <v>58</v>
      </c>
      <c r="J55" s="140" t="s">
        <v>59</v>
      </c>
      <c r="K55" s="141">
        <v>100000</v>
      </c>
      <c r="L55" s="142">
        <v>120000</v>
      </c>
      <c r="M55" s="143"/>
      <c r="N55" s="144"/>
      <c r="O55" s="145" t="s">
        <v>270</v>
      </c>
      <c r="P55" s="150">
        <f t="shared" si="0"/>
        <v>20000</v>
      </c>
      <c r="R55" s="18"/>
    </row>
    <row r="56" spans="1:18" ht="20.100000000000001" customHeight="1" x14ac:dyDescent="0.3">
      <c r="A56" s="146">
        <v>46118</v>
      </c>
      <c r="B56" s="139" t="s">
        <v>45</v>
      </c>
      <c r="C56" s="139" t="s">
        <v>47</v>
      </c>
      <c r="D56" s="139" t="s">
        <v>48</v>
      </c>
      <c r="E56" s="139"/>
      <c r="F56" s="139" t="s">
        <v>60</v>
      </c>
      <c r="G56" s="139" t="s">
        <v>61</v>
      </c>
      <c r="H56" s="139"/>
      <c r="I56" s="139" t="s">
        <v>62</v>
      </c>
      <c r="J56" s="140" t="s">
        <v>63</v>
      </c>
      <c r="K56" s="141">
        <v>100000</v>
      </c>
      <c r="L56" s="142">
        <v>120000</v>
      </c>
      <c r="M56" s="143"/>
      <c r="N56" s="147"/>
      <c r="O56" s="145" t="s">
        <v>270</v>
      </c>
      <c r="P56" s="150">
        <f t="shared" si="0"/>
        <v>20000</v>
      </c>
      <c r="R56" s="18"/>
    </row>
    <row r="57" spans="1:18" ht="20.100000000000001" customHeight="1" x14ac:dyDescent="0.3">
      <c r="A57" s="146">
        <v>46119</v>
      </c>
      <c r="B57" s="139" t="s">
        <v>45</v>
      </c>
      <c r="C57" s="139" t="s">
        <v>47</v>
      </c>
      <c r="D57" s="139" t="s">
        <v>48</v>
      </c>
      <c r="E57" s="139"/>
      <c r="F57" s="139" t="s">
        <v>60</v>
      </c>
      <c r="G57" s="139" t="s">
        <v>61</v>
      </c>
      <c r="H57" s="139"/>
      <c r="I57" s="139" t="s">
        <v>62</v>
      </c>
      <c r="J57" s="140" t="s">
        <v>63</v>
      </c>
      <c r="K57" s="141">
        <v>100000</v>
      </c>
      <c r="L57" s="142">
        <v>120000</v>
      </c>
      <c r="M57" s="143"/>
      <c r="N57" s="144"/>
      <c r="O57" s="145" t="s">
        <v>270</v>
      </c>
      <c r="P57" s="150">
        <f t="shared" si="0"/>
        <v>20000</v>
      </c>
      <c r="R57" s="18"/>
    </row>
    <row r="58" spans="1:18" ht="20.100000000000001" customHeight="1" x14ac:dyDescent="0.3">
      <c r="A58" s="146">
        <v>46120</v>
      </c>
      <c r="B58" s="139" t="s">
        <v>45</v>
      </c>
      <c r="C58" s="139" t="s">
        <v>47</v>
      </c>
      <c r="D58" s="139" t="s">
        <v>48</v>
      </c>
      <c r="E58" s="139"/>
      <c r="F58" s="139" t="s">
        <v>60</v>
      </c>
      <c r="G58" s="139" t="s">
        <v>61</v>
      </c>
      <c r="H58" s="139"/>
      <c r="I58" s="139" t="s">
        <v>62</v>
      </c>
      <c r="J58" s="140" t="s">
        <v>63</v>
      </c>
      <c r="K58" s="141">
        <v>100000</v>
      </c>
      <c r="L58" s="142">
        <v>120000</v>
      </c>
      <c r="M58" s="143"/>
      <c r="N58" s="147"/>
      <c r="O58" s="145" t="s">
        <v>270</v>
      </c>
      <c r="P58" s="150">
        <f t="shared" si="0"/>
        <v>20000</v>
      </c>
      <c r="R58" s="18"/>
    </row>
    <row r="59" spans="1:18" ht="20.100000000000001" customHeight="1" x14ac:dyDescent="0.3">
      <c r="A59" s="146">
        <v>46124</v>
      </c>
      <c r="B59" s="139" t="s">
        <v>45</v>
      </c>
      <c r="C59" s="139" t="s">
        <v>47</v>
      </c>
      <c r="D59" s="139" t="s">
        <v>48</v>
      </c>
      <c r="E59" s="139"/>
      <c r="F59" s="139" t="s">
        <v>60</v>
      </c>
      <c r="G59" s="139" t="s">
        <v>61</v>
      </c>
      <c r="H59" s="139"/>
      <c r="I59" s="139" t="s">
        <v>62</v>
      </c>
      <c r="J59" s="140" t="s">
        <v>63</v>
      </c>
      <c r="K59" s="141">
        <v>100000</v>
      </c>
      <c r="L59" s="142">
        <v>120000</v>
      </c>
      <c r="M59" s="143"/>
      <c r="N59" s="147"/>
      <c r="O59" s="145" t="s">
        <v>270</v>
      </c>
      <c r="P59" s="150">
        <f t="shared" si="0"/>
        <v>20000</v>
      </c>
      <c r="R59" s="18"/>
    </row>
    <row r="60" spans="1:18" ht="20.100000000000001" customHeight="1" x14ac:dyDescent="0.3">
      <c r="A60" s="146">
        <v>46118</v>
      </c>
      <c r="B60" s="139" t="s">
        <v>45</v>
      </c>
      <c r="C60" s="139" t="s">
        <v>47</v>
      </c>
      <c r="D60" s="139" t="s">
        <v>48</v>
      </c>
      <c r="E60" s="139"/>
      <c r="F60" s="139" t="s">
        <v>64</v>
      </c>
      <c r="G60" s="139" t="s">
        <v>65</v>
      </c>
      <c r="H60" s="139"/>
      <c r="I60" s="139" t="s">
        <v>58</v>
      </c>
      <c r="J60" s="140" t="s">
        <v>66</v>
      </c>
      <c r="K60" s="141">
        <v>100000</v>
      </c>
      <c r="L60" s="142">
        <v>120000</v>
      </c>
      <c r="M60" s="143"/>
      <c r="N60" s="144"/>
      <c r="O60" s="145" t="s">
        <v>270</v>
      </c>
      <c r="P60" s="150">
        <f t="shared" si="0"/>
        <v>20000</v>
      </c>
      <c r="R60" s="18"/>
    </row>
    <row r="61" spans="1:18" ht="20.100000000000001" customHeight="1" x14ac:dyDescent="0.3">
      <c r="A61" s="146">
        <v>46119</v>
      </c>
      <c r="B61" s="139" t="s">
        <v>45</v>
      </c>
      <c r="C61" s="139" t="s">
        <v>47</v>
      </c>
      <c r="D61" s="139" t="s">
        <v>48</v>
      </c>
      <c r="E61" s="139"/>
      <c r="F61" s="139" t="s">
        <v>64</v>
      </c>
      <c r="G61" s="139" t="s">
        <v>65</v>
      </c>
      <c r="H61" s="139"/>
      <c r="I61" s="139" t="s">
        <v>58</v>
      </c>
      <c r="J61" s="140" t="s">
        <v>66</v>
      </c>
      <c r="K61" s="141">
        <v>177500</v>
      </c>
      <c r="L61" s="142">
        <v>197500</v>
      </c>
      <c r="M61" s="143"/>
      <c r="N61" s="148" t="s">
        <v>217</v>
      </c>
      <c r="O61" s="145" t="s">
        <v>270</v>
      </c>
      <c r="P61" s="150">
        <f t="shared" si="0"/>
        <v>20000</v>
      </c>
      <c r="R61" s="18"/>
    </row>
    <row r="62" spans="1:18" ht="20.100000000000001" customHeight="1" x14ac:dyDescent="0.3">
      <c r="A62" s="146">
        <v>46120</v>
      </c>
      <c r="B62" s="139" t="s">
        <v>45</v>
      </c>
      <c r="C62" s="139" t="s">
        <v>47</v>
      </c>
      <c r="D62" s="139" t="s">
        <v>48</v>
      </c>
      <c r="E62" s="139"/>
      <c r="F62" s="139" t="s">
        <v>64</v>
      </c>
      <c r="G62" s="139" t="s">
        <v>65</v>
      </c>
      <c r="H62" s="139"/>
      <c r="I62" s="139" t="s">
        <v>58</v>
      </c>
      <c r="J62" s="140" t="s">
        <v>66</v>
      </c>
      <c r="K62" s="141">
        <v>100000</v>
      </c>
      <c r="L62" s="142">
        <v>120000</v>
      </c>
      <c r="M62" s="143"/>
      <c r="N62" s="144"/>
      <c r="O62" s="145" t="s">
        <v>270</v>
      </c>
      <c r="P62" s="150">
        <f t="shared" si="0"/>
        <v>20000</v>
      </c>
      <c r="R62" s="18"/>
    </row>
    <row r="63" spans="1:18" ht="20.100000000000001" customHeight="1" x14ac:dyDescent="0.3">
      <c r="A63" s="146">
        <v>46122</v>
      </c>
      <c r="B63" s="139" t="s">
        <v>45</v>
      </c>
      <c r="C63" s="139" t="s">
        <v>47</v>
      </c>
      <c r="D63" s="139" t="s">
        <v>48</v>
      </c>
      <c r="E63" s="139"/>
      <c r="F63" s="139" t="s">
        <v>64</v>
      </c>
      <c r="G63" s="139" t="s">
        <v>65</v>
      </c>
      <c r="H63" s="139"/>
      <c r="I63" s="139" t="s">
        <v>58</v>
      </c>
      <c r="J63" s="140" t="s">
        <v>66</v>
      </c>
      <c r="K63" s="141">
        <v>100000</v>
      </c>
      <c r="L63" s="142">
        <v>120000</v>
      </c>
      <c r="M63" s="143"/>
      <c r="N63" s="144"/>
      <c r="O63" s="145" t="s">
        <v>270</v>
      </c>
      <c r="P63" s="150">
        <f t="shared" si="0"/>
        <v>20000</v>
      </c>
      <c r="R63" s="18"/>
    </row>
    <row r="64" spans="1:18" ht="20.100000000000001" customHeight="1" x14ac:dyDescent="0.3">
      <c r="A64" s="146">
        <v>46123</v>
      </c>
      <c r="B64" s="139" t="s">
        <v>45</v>
      </c>
      <c r="C64" s="139" t="s">
        <v>47</v>
      </c>
      <c r="D64" s="139" t="s">
        <v>48</v>
      </c>
      <c r="E64" s="139"/>
      <c r="F64" s="139" t="s">
        <v>64</v>
      </c>
      <c r="G64" s="139" t="s">
        <v>65</v>
      </c>
      <c r="H64" s="139"/>
      <c r="I64" s="139" t="s">
        <v>58</v>
      </c>
      <c r="J64" s="140" t="s">
        <v>66</v>
      </c>
      <c r="K64" s="141">
        <v>100000</v>
      </c>
      <c r="L64" s="142">
        <v>120000</v>
      </c>
      <c r="M64" s="143"/>
      <c r="N64" s="144"/>
      <c r="O64" s="145" t="s">
        <v>270</v>
      </c>
      <c r="P64" s="150">
        <f t="shared" si="0"/>
        <v>20000</v>
      </c>
      <c r="R64" s="18"/>
    </row>
    <row r="65" spans="1:18" ht="20.100000000000001" customHeight="1" x14ac:dyDescent="0.3">
      <c r="A65" s="146">
        <v>46118</v>
      </c>
      <c r="B65" s="139" t="s">
        <v>45</v>
      </c>
      <c r="C65" s="139" t="s">
        <v>47</v>
      </c>
      <c r="D65" s="139" t="s">
        <v>48</v>
      </c>
      <c r="E65" s="139"/>
      <c r="F65" s="139" t="s">
        <v>67</v>
      </c>
      <c r="G65" s="139" t="s">
        <v>68</v>
      </c>
      <c r="H65" s="139"/>
      <c r="I65" s="139" t="s">
        <v>62</v>
      </c>
      <c r="J65" s="140" t="s">
        <v>69</v>
      </c>
      <c r="K65" s="141">
        <v>100000</v>
      </c>
      <c r="L65" s="142">
        <v>120000</v>
      </c>
      <c r="M65" s="143"/>
      <c r="N65" s="144"/>
      <c r="O65" s="145" t="s">
        <v>270</v>
      </c>
      <c r="P65" s="150">
        <f t="shared" si="0"/>
        <v>20000</v>
      </c>
      <c r="R65" s="18"/>
    </row>
    <row r="66" spans="1:18" ht="20.100000000000001" customHeight="1" x14ac:dyDescent="0.3">
      <c r="A66" s="146">
        <v>46121</v>
      </c>
      <c r="B66" s="139" t="s">
        <v>45</v>
      </c>
      <c r="C66" s="139" t="s">
        <v>47</v>
      </c>
      <c r="D66" s="139" t="s">
        <v>48</v>
      </c>
      <c r="E66" s="139"/>
      <c r="F66" s="139" t="s">
        <v>67</v>
      </c>
      <c r="G66" s="139" t="s">
        <v>68</v>
      </c>
      <c r="H66" s="139"/>
      <c r="I66" s="139" t="s">
        <v>62</v>
      </c>
      <c r="J66" s="140" t="s">
        <v>69</v>
      </c>
      <c r="K66" s="141">
        <v>100000</v>
      </c>
      <c r="L66" s="142">
        <v>120000</v>
      </c>
      <c r="M66" s="143"/>
      <c r="N66" s="144"/>
      <c r="O66" s="145" t="s">
        <v>270</v>
      </c>
      <c r="P66" s="150">
        <f t="shared" si="0"/>
        <v>20000</v>
      </c>
      <c r="R66" s="18"/>
    </row>
    <row r="67" spans="1:18" ht="20.100000000000001" customHeight="1" x14ac:dyDescent="0.3">
      <c r="A67" s="146">
        <v>46123</v>
      </c>
      <c r="B67" s="139" t="s">
        <v>45</v>
      </c>
      <c r="C67" s="139" t="s">
        <v>47</v>
      </c>
      <c r="D67" s="139" t="s">
        <v>48</v>
      </c>
      <c r="E67" s="139"/>
      <c r="F67" s="139" t="s">
        <v>67</v>
      </c>
      <c r="G67" s="139" t="s">
        <v>68</v>
      </c>
      <c r="H67" s="139"/>
      <c r="I67" s="139" t="s">
        <v>62</v>
      </c>
      <c r="J67" s="140" t="s">
        <v>69</v>
      </c>
      <c r="K67" s="141">
        <v>100000</v>
      </c>
      <c r="L67" s="142">
        <v>120000</v>
      </c>
      <c r="M67" s="143"/>
      <c r="N67" s="144"/>
      <c r="O67" s="145" t="s">
        <v>270</v>
      </c>
      <c r="P67" s="150">
        <f t="shared" si="0"/>
        <v>20000</v>
      </c>
      <c r="R67" s="18"/>
    </row>
    <row r="68" spans="1:18" ht="20.100000000000001" customHeight="1" x14ac:dyDescent="0.3">
      <c r="A68" s="146">
        <v>46124</v>
      </c>
      <c r="B68" s="139" t="s">
        <v>45</v>
      </c>
      <c r="C68" s="139" t="s">
        <v>47</v>
      </c>
      <c r="D68" s="139" t="s">
        <v>48</v>
      </c>
      <c r="E68" s="139"/>
      <c r="F68" s="139" t="s">
        <v>67</v>
      </c>
      <c r="G68" s="139" t="s">
        <v>68</v>
      </c>
      <c r="H68" s="139"/>
      <c r="I68" s="139" t="s">
        <v>62</v>
      </c>
      <c r="J68" s="140" t="s">
        <v>69</v>
      </c>
      <c r="K68" s="141">
        <v>100000</v>
      </c>
      <c r="L68" s="142">
        <v>120000</v>
      </c>
      <c r="M68" s="143"/>
      <c r="N68" s="144"/>
      <c r="O68" s="145" t="s">
        <v>270</v>
      </c>
      <c r="P68" s="150">
        <f t="shared" si="0"/>
        <v>20000</v>
      </c>
      <c r="R68" s="18"/>
    </row>
    <row r="69" spans="1:18" ht="20.100000000000001" customHeight="1" x14ac:dyDescent="0.3">
      <c r="A69" s="146">
        <v>46118</v>
      </c>
      <c r="B69" s="139" t="s">
        <v>45</v>
      </c>
      <c r="C69" s="139" t="s">
        <v>47</v>
      </c>
      <c r="D69" s="139" t="s">
        <v>48</v>
      </c>
      <c r="E69" s="139"/>
      <c r="F69" s="139" t="s">
        <v>70</v>
      </c>
      <c r="G69" s="139" t="s">
        <v>71</v>
      </c>
      <c r="H69" s="139"/>
      <c r="I69" s="139" t="s">
        <v>72</v>
      </c>
      <c r="J69" s="140" t="s">
        <v>73</v>
      </c>
      <c r="K69" s="141">
        <v>100000</v>
      </c>
      <c r="L69" s="142">
        <v>120000</v>
      </c>
      <c r="M69" s="143"/>
      <c r="N69" s="144"/>
      <c r="O69" s="145" t="s">
        <v>270</v>
      </c>
      <c r="P69" s="150">
        <f t="shared" si="0"/>
        <v>20000</v>
      </c>
      <c r="R69" s="18"/>
    </row>
    <row r="70" spans="1:18" ht="20.100000000000001" customHeight="1" x14ac:dyDescent="0.3">
      <c r="A70" s="146">
        <v>46120</v>
      </c>
      <c r="B70" s="139" t="s">
        <v>45</v>
      </c>
      <c r="C70" s="139" t="s">
        <v>47</v>
      </c>
      <c r="D70" s="139" t="s">
        <v>48</v>
      </c>
      <c r="E70" s="139"/>
      <c r="F70" s="139" t="s">
        <v>70</v>
      </c>
      <c r="G70" s="139" t="s">
        <v>71</v>
      </c>
      <c r="H70" s="139"/>
      <c r="I70" s="139" t="s">
        <v>72</v>
      </c>
      <c r="J70" s="140" t="s">
        <v>73</v>
      </c>
      <c r="K70" s="141">
        <v>100000</v>
      </c>
      <c r="L70" s="142">
        <v>120000</v>
      </c>
      <c r="M70" s="143"/>
      <c r="N70" s="144"/>
      <c r="O70" s="145" t="s">
        <v>270</v>
      </c>
      <c r="P70" s="150">
        <f t="shared" ref="P70:P127" si="1">L70-K70</f>
        <v>20000</v>
      </c>
      <c r="R70" s="18"/>
    </row>
    <row r="71" spans="1:18" ht="20.100000000000001" customHeight="1" x14ac:dyDescent="0.3">
      <c r="A71" s="146">
        <v>46121</v>
      </c>
      <c r="B71" s="139" t="s">
        <v>45</v>
      </c>
      <c r="C71" s="139" t="s">
        <v>47</v>
      </c>
      <c r="D71" s="139" t="s">
        <v>48</v>
      </c>
      <c r="E71" s="139"/>
      <c r="F71" s="139" t="s">
        <v>70</v>
      </c>
      <c r="G71" s="139" t="s">
        <v>71</v>
      </c>
      <c r="H71" s="139"/>
      <c r="I71" s="139" t="s">
        <v>72</v>
      </c>
      <c r="J71" s="140" t="s">
        <v>73</v>
      </c>
      <c r="K71" s="141">
        <v>100000</v>
      </c>
      <c r="L71" s="142">
        <v>120000</v>
      </c>
      <c r="M71" s="143"/>
      <c r="N71" s="144"/>
      <c r="O71" s="145" t="s">
        <v>270</v>
      </c>
      <c r="P71" s="150">
        <f t="shared" si="1"/>
        <v>20000</v>
      </c>
      <c r="R71" s="18"/>
    </row>
    <row r="72" spans="1:18" ht="20.100000000000001" customHeight="1" x14ac:dyDescent="0.3">
      <c r="A72" s="146">
        <v>46122</v>
      </c>
      <c r="B72" s="139" t="s">
        <v>45</v>
      </c>
      <c r="C72" s="139" t="s">
        <v>47</v>
      </c>
      <c r="D72" s="139" t="s">
        <v>48</v>
      </c>
      <c r="E72" s="139"/>
      <c r="F72" s="139" t="s">
        <v>70</v>
      </c>
      <c r="G72" s="139" t="s">
        <v>71</v>
      </c>
      <c r="H72" s="139"/>
      <c r="I72" s="139" t="s">
        <v>72</v>
      </c>
      <c r="J72" s="140" t="s">
        <v>73</v>
      </c>
      <c r="K72" s="141">
        <v>100000</v>
      </c>
      <c r="L72" s="142">
        <v>120000</v>
      </c>
      <c r="M72" s="143"/>
      <c r="N72" s="144"/>
      <c r="O72" s="145" t="s">
        <v>270</v>
      </c>
      <c r="P72" s="150">
        <f t="shared" si="1"/>
        <v>20000</v>
      </c>
      <c r="R72" s="18"/>
    </row>
    <row r="73" spans="1:18" ht="20.100000000000001" customHeight="1" x14ac:dyDescent="0.3">
      <c r="A73" s="146">
        <v>46123</v>
      </c>
      <c r="B73" s="139" t="s">
        <v>45</v>
      </c>
      <c r="C73" s="139" t="s">
        <v>47</v>
      </c>
      <c r="D73" s="139" t="s">
        <v>48</v>
      </c>
      <c r="E73" s="139"/>
      <c r="F73" s="139" t="s">
        <v>70</v>
      </c>
      <c r="G73" s="139" t="s">
        <v>71</v>
      </c>
      <c r="H73" s="139"/>
      <c r="I73" s="139" t="s">
        <v>72</v>
      </c>
      <c r="J73" s="140" t="s">
        <v>73</v>
      </c>
      <c r="K73" s="141">
        <v>100000</v>
      </c>
      <c r="L73" s="142">
        <v>120000</v>
      </c>
      <c r="M73" s="143"/>
      <c r="N73" s="144"/>
      <c r="O73" s="145" t="s">
        <v>270</v>
      </c>
      <c r="P73" s="150">
        <f t="shared" si="1"/>
        <v>20000</v>
      </c>
      <c r="R73" s="18"/>
    </row>
    <row r="74" spans="1:18" ht="20.100000000000001" customHeight="1" x14ac:dyDescent="0.3">
      <c r="A74" s="146">
        <v>46124</v>
      </c>
      <c r="B74" s="139" t="s">
        <v>45</v>
      </c>
      <c r="C74" s="139" t="s">
        <v>47</v>
      </c>
      <c r="D74" s="139" t="s">
        <v>48</v>
      </c>
      <c r="E74" s="139"/>
      <c r="F74" s="139" t="s">
        <v>70</v>
      </c>
      <c r="G74" s="139" t="s">
        <v>71</v>
      </c>
      <c r="H74" s="139"/>
      <c r="I74" s="139" t="s">
        <v>72</v>
      </c>
      <c r="J74" s="140" t="s">
        <v>73</v>
      </c>
      <c r="K74" s="141">
        <v>100000</v>
      </c>
      <c r="L74" s="142">
        <v>120000</v>
      </c>
      <c r="M74" s="143"/>
      <c r="N74" s="144"/>
      <c r="O74" s="145" t="s">
        <v>270</v>
      </c>
      <c r="P74" s="150">
        <f t="shared" si="1"/>
        <v>20000</v>
      </c>
      <c r="R74" s="18"/>
    </row>
    <row r="75" spans="1:18" ht="20.100000000000001" customHeight="1" x14ac:dyDescent="0.3">
      <c r="A75" s="146">
        <v>46123</v>
      </c>
      <c r="B75" s="139" t="s">
        <v>45</v>
      </c>
      <c r="C75" s="139" t="s">
        <v>47</v>
      </c>
      <c r="D75" s="139" t="s">
        <v>48</v>
      </c>
      <c r="E75" s="139"/>
      <c r="F75" s="139" t="s">
        <v>75</v>
      </c>
      <c r="G75" s="139"/>
      <c r="H75" s="139"/>
      <c r="I75" s="139" t="s">
        <v>76</v>
      </c>
      <c r="J75" s="140" t="s">
        <v>77</v>
      </c>
      <c r="K75" s="141">
        <v>100000</v>
      </c>
      <c r="L75" s="142">
        <v>120000</v>
      </c>
      <c r="M75" s="143"/>
      <c r="N75" s="144"/>
      <c r="O75" s="145" t="s">
        <v>270</v>
      </c>
      <c r="P75" s="150">
        <f t="shared" si="1"/>
        <v>20000</v>
      </c>
      <c r="R75" s="18"/>
    </row>
    <row r="76" spans="1:18" ht="20.100000000000001" customHeight="1" x14ac:dyDescent="0.3">
      <c r="A76" s="146">
        <v>46124</v>
      </c>
      <c r="B76" s="139" t="s">
        <v>45</v>
      </c>
      <c r="C76" s="139" t="s">
        <v>47</v>
      </c>
      <c r="D76" s="139" t="s">
        <v>48</v>
      </c>
      <c r="E76" s="139"/>
      <c r="F76" s="139" t="s">
        <v>75</v>
      </c>
      <c r="G76" s="139"/>
      <c r="H76" s="139"/>
      <c r="I76" s="139" t="s">
        <v>76</v>
      </c>
      <c r="J76" s="140" t="s">
        <v>77</v>
      </c>
      <c r="K76" s="141">
        <v>100000</v>
      </c>
      <c r="L76" s="142">
        <v>120000</v>
      </c>
      <c r="M76" s="143"/>
      <c r="N76" s="144"/>
      <c r="O76" s="145" t="s">
        <v>270</v>
      </c>
      <c r="P76" s="150">
        <f t="shared" si="1"/>
        <v>20000</v>
      </c>
      <c r="R76" s="18"/>
    </row>
    <row r="77" spans="1:18" ht="20.100000000000001" customHeight="1" x14ac:dyDescent="0.3">
      <c r="A77" s="146">
        <v>46124</v>
      </c>
      <c r="B77" s="139" t="s">
        <v>45</v>
      </c>
      <c r="C77" s="139" t="s">
        <v>47</v>
      </c>
      <c r="D77" s="139" t="s">
        <v>48</v>
      </c>
      <c r="E77" s="139"/>
      <c r="F77" s="139" t="s">
        <v>80</v>
      </c>
      <c r="G77" s="139" t="s">
        <v>81</v>
      </c>
      <c r="H77" s="139"/>
      <c r="I77" s="139" t="s">
        <v>62</v>
      </c>
      <c r="J77" s="140">
        <v>9500021279810</v>
      </c>
      <c r="K77" s="141">
        <v>100000</v>
      </c>
      <c r="L77" s="142">
        <v>120000</v>
      </c>
      <c r="M77" s="143"/>
      <c r="N77" s="144"/>
      <c r="O77" s="145" t="s">
        <v>270</v>
      </c>
      <c r="P77" s="150">
        <f t="shared" si="1"/>
        <v>20000</v>
      </c>
      <c r="R77" s="18"/>
    </row>
    <row r="78" spans="1:18" ht="20.100000000000001" customHeight="1" x14ac:dyDescent="0.3">
      <c r="A78" s="146">
        <v>46118</v>
      </c>
      <c r="B78" s="139" t="s">
        <v>45</v>
      </c>
      <c r="C78" s="139" t="s">
        <v>47</v>
      </c>
      <c r="D78" s="139" t="s">
        <v>48</v>
      </c>
      <c r="E78" s="139"/>
      <c r="F78" s="139" t="s">
        <v>74</v>
      </c>
      <c r="G78" s="139"/>
      <c r="H78" s="139"/>
      <c r="I78" s="139" t="s">
        <v>72</v>
      </c>
      <c r="J78" s="140" t="s">
        <v>73</v>
      </c>
      <c r="K78" s="141">
        <v>100000</v>
      </c>
      <c r="L78" s="142">
        <v>120000</v>
      </c>
      <c r="M78" s="143"/>
      <c r="N78" s="144"/>
      <c r="O78" s="145" t="s">
        <v>270</v>
      </c>
      <c r="P78" s="150">
        <f t="shared" si="1"/>
        <v>20000</v>
      </c>
      <c r="R78" s="18"/>
    </row>
    <row r="79" spans="1:18" ht="20.100000000000001" customHeight="1" x14ac:dyDescent="0.3">
      <c r="A79" s="146">
        <v>46122</v>
      </c>
      <c r="B79" s="139" t="s">
        <v>45</v>
      </c>
      <c r="C79" s="139" t="s">
        <v>47</v>
      </c>
      <c r="D79" s="139" t="s">
        <v>48</v>
      </c>
      <c r="E79" s="139"/>
      <c r="F79" s="139" t="s">
        <v>74</v>
      </c>
      <c r="G79" s="139"/>
      <c r="H79" s="139"/>
      <c r="I79" s="139" t="s">
        <v>72</v>
      </c>
      <c r="J79" s="140" t="s">
        <v>73</v>
      </c>
      <c r="K79" s="141">
        <v>100000</v>
      </c>
      <c r="L79" s="142">
        <v>120000</v>
      </c>
      <c r="M79" s="143"/>
      <c r="N79" s="144"/>
      <c r="O79" s="145" t="s">
        <v>270</v>
      </c>
      <c r="P79" s="150">
        <f t="shared" si="1"/>
        <v>20000</v>
      </c>
      <c r="R79" s="18"/>
    </row>
    <row r="80" spans="1:18" ht="20.100000000000001" customHeight="1" x14ac:dyDescent="0.3">
      <c r="A80" s="146">
        <v>46123</v>
      </c>
      <c r="B80" s="139" t="s">
        <v>45</v>
      </c>
      <c r="C80" s="139" t="s">
        <v>47</v>
      </c>
      <c r="D80" s="139" t="s">
        <v>48</v>
      </c>
      <c r="E80" s="139"/>
      <c r="F80" s="139" t="s">
        <v>74</v>
      </c>
      <c r="G80" s="139"/>
      <c r="H80" s="139"/>
      <c r="I80" s="139" t="s">
        <v>72</v>
      </c>
      <c r="J80" s="140" t="s">
        <v>73</v>
      </c>
      <c r="K80" s="141">
        <v>100000</v>
      </c>
      <c r="L80" s="142">
        <v>120000</v>
      </c>
      <c r="M80" s="143"/>
      <c r="N80" s="144"/>
      <c r="O80" s="145" t="s">
        <v>270</v>
      </c>
      <c r="P80" s="150">
        <f t="shared" si="1"/>
        <v>20000</v>
      </c>
      <c r="R80" s="18"/>
    </row>
    <row r="81" spans="1:18" ht="20.100000000000001" customHeight="1" x14ac:dyDescent="0.3">
      <c r="A81" s="146">
        <v>46124</v>
      </c>
      <c r="B81" s="139" t="s">
        <v>45</v>
      </c>
      <c r="C81" s="139" t="s">
        <v>47</v>
      </c>
      <c r="D81" s="139" t="s">
        <v>48</v>
      </c>
      <c r="E81" s="139"/>
      <c r="F81" s="139" t="s">
        <v>74</v>
      </c>
      <c r="G81" s="139"/>
      <c r="H81" s="139"/>
      <c r="I81" s="139" t="s">
        <v>72</v>
      </c>
      <c r="J81" s="140" t="s">
        <v>73</v>
      </c>
      <c r="K81" s="141">
        <v>100000</v>
      </c>
      <c r="L81" s="142">
        <v>120000</v>
      </c>
      <c r="M81" s="143"/>
      <c r="N81" s="144"/>
      <c r="O81" s="145" t="s">
        <v>270</v>
      </c>
      <c r="P81" s="150">
        <f t="shared" si="1"/>
        <v>20000</v>
      </c>
      <c r="R81" s="18"/>
    </row>
    <row r="82" spans="1:18" ht="20.100000000000001" customHeight="1" x14ac:dyDescent="0.3">
      <c r="A82" s="146">
        <v>46118</v>
      </c>
      <c r="B82" s="139" t="s">
        <v>45</v>
      </c>
      <c r="C82" s="139" t="s">
        <v>47</v>
      </c>
      <c r="D82" s="139" t="s">
        <v>48</v>
      </c>
      <c r="E82" s="139"/>
      <c r="F82" s="139" t="s">
        <v>78</v>
      </c>
      <c r="G82" s="139"/>
      <c r="H82" s="139"/>
      <c r="I82" s="139" t="s">
        <v>55</v>
      </c>
      <c r="J82" s="140" t="s">
        <v>79</v>
      </c>
      <c r="K82" s="141">
        <v>100000</v>
      </c>
      <c r="L82" s="142">
        <v>120000</v>
      </c>
      <c r="M82" s="143"/>
      <c r="N82" s="144"/>
      <c r="O82" s="145" t="s">
        <v>270</v>
      </c>
      <c r="P82" s="150">
        <f t="shared" si="1"/>
        <v>20000</v>
      </c>
      <c r="R82" s="18"/>
    </row>
    <row r="83" spans="1:18" ht="20.100000000000001" customHeight="1" x14ac:dyDescent="0.3">
      <c r="A83" s="146">
        <v>46125</v>
      </c>
      <c r="B83" s="139" t="s">
        <v>45</v>
      </c>
      <c r="C83" s="139" t="s">
        <v>47</v>
      </c>
      <c r="D83" s="139" t="s">
        <v>48</v>
      </c>
      <c r="E83" s="139"/>
      <c r="F83" s="139" t="s">
        <v>49</v>
      </c>
      <c r="G83" s="139" t="s">
        <v>50</v>
      </c>
      <c r="H83" s="139"/>
      <c r="I83" s="139" t="s">
        <v>51</v>
      </c>
      <c r="J83" s="140" t="s">
        <v>52</v>
      </c>
      <c r="K83" s="141">
        <v>100000</v>
      </c>
      <c r="L83" s="142">
        <v>120000</v>
      </c>
      <c r="M83" s="143"/>
      <c r="N83" s="144"/>
      <c r="O83" s="149" t="s">
        <v>271</v>
      </c>
      <c r="P83" s="150">
        <f t="shared" si="1"/>
        <v>20000</v>
      </c>
      <c r="R83" s="18"/>
    </row>
    <row r="84" spans="1:18" ht="20.100000000000001" customHeight="1" x14ac:dyDescent="0.3">
      <c r="A84" s="146">
        <v>46126</v>
      </c>
      <c r="B84" s="139" t="s">
        <v>45</v>
      </c>
      <c r="C84" s="139" t="s">
        <v>47</v>
      </c>
      <c r="D84" s="139" t="s">
        <v>48</v>
      </c>
      <c r="E84" s="139"/>
      <c r="F84" s="139" t="s">
        <v>49</v>
      </c>
      <c r="G84" s="139" t="s">
        <v>50</v>
      </c>
      <c r="H84" s="139"/>
      <c r="I84" s="139" t="s">
        <v>51</v>
      </c>
      <c r="J84" s="140" t="s">
        <v>52</v>
      </c>
      <c r="K84" s="141">
        <v>100000</v>
      </c>
      <c r="L84" s="142">
        <v>120000</v>
      </c>
      <c r="M84" s="143"/>
      <c r="N84" s="144"/>
      <c r="O84" s="149" t="s">
        <v>271</v>
      </c>
      <c r="P84" s="150">
        <f t="shared" si="1"/>
        <v>20000</v>
      </c>
      <c r="R84" s="18"/>
    </row>
    <row r="85" spans="1:18" ht="20.100000000000001" customHeight="1" x14ac:dyDescent="0.3">
      <c r="A85" s="146">
        <v>46127</v>
      </c>
      <c r="B85" s="139" t="s">
        <v>45</v>
      </c>
      <c r="C85" s="139" t="s">
        <v>47</v>
      </c>
      <c r="D85" s="139" t="s">
        <v>48</v>
      </c>
      <c r="E85" s="139"/>
      <c r="F85" s="139" t="s">
        <v>49</v>
      </c>
      <c r="G85" s="139" t="s">
        <v>50</v>
      </c>
      <c r="H85" s="139"/>
      <c r="I85" s="139" t="s">
        <v>51</v>
      </c>
      <c r="J85" s="140" t="s">
        <v>52</v>
      </c>
      <c r="K85" s="141">
        <v>100000</v>
      </c>
      <c r="L85" s="142">
        <v>120000</v>
      </c>
      <c r="M85" s="143"/>
      <c r="N85" s="144"/>
      <c r="O85" s="149" t="s">
        <v>271</v>
      </c>
      <c r="P85" s="150">
        <f t="shared" si="1"/>
        <v>20000</v>
      </c>
      <c r="R85" s="18"/>
    </row>
    <row r="86" spans="1:18" ht="20.100000000000001" customHeight="1" x14ac:dyDescent="0.3">
      <c r="A86" s="146">
        <v>46128</v>
      </c>
      <c r="B86" s="139" t="s">
        <v>45</v>
      </c>
      <c r="C86" s="139" t="s">
        <v>47</v>
      </c>
      <c r="D86" s="139" t="s">
        <v>48</v>
      </c>
      <c r="E86" s="139"/>
      <c r="F86" s="139" t="s">
        <v>49</v>
      </c>
      <c r="G86" s="139" t="s">
        <v>50</v>
      </c>
      <c r="H86" s="139"/>
      <c r="I86" s="139" t="s">
        <v>51</v>
      </c>
      <c r="J86" s="140" t="s">
        <v>52</v>
      </c>
      <c r="K86" s="141">
        <v>100000</v>
      </c>
      <c r="L86" s="142">
        <v>120000</v>
      </c>
      <c r="M86" s="143"/>
      <c r="N86" s="144"/>
      <c r="O86" s="149" t="s">
        <v>271</v>
      </c>
      <c r="P86" s="150">
        <f t="shared" si="1"/>
        <v>20000</v>
      </c>
      <c r="R86" s="18"/>
    </row>
    <row r="87" spans="1:18" ht="20.100000000000001" customHeight="1" x14ac:dyDescent="0.3">
      <c r="A87" s="146">
        <v>46129</v>
      </c>
      <c r="B87" s="139" t="s">
        <v>45</v>
      </c>
      <c r="C87" s="139" t="s">
        <v>47</v>
      </c>
      <c r="D87" s="139" t="s">
        <v>48</v>
      </c>
      <c r="E87" s="139"/>
      <c r="F87" s="139" t="s">
        <v>49</v>
      </c>
      <c r="G87" s="139" t="s">
        <v>50</v>
      </c>
      <c r="H87" s="139"/>
      <c r="I87" s="139" t="s">
        <v>51</v>
      </c>
      <c r="J87" s="140" t="s">
        <v>52</v>
      </c>
      <c r="K87" s="141">
        <v>100000</v>
      </c>
      <c r="L87" s="142">
        <v>120000</v>
      </c>
      <c r="M87" s="143"/>
      <c r="N87" s="144"/>
      <c r="O87" s="149" t="s">
        <v>271</v>
      </c>
      <c r="P87" s="150">
        <f t="shared" si="1"/>
        <v>20000</v>
      </c>
      <c r="R87" s="18"/>
    </row>
    <row r="88" spans="1:18" ht="20.100000000000001" customHeight="1" x14ac:dyDescent="0.3">
      <c r="A88" s="146">
        <v>46125</v>
      </c>
      <c r="B88" s="139" t="s">
        <v>45</v>
      </c>
      <c r="C88" s="139" t="s">
        <v>47</v>
      </c>
      <c r="D88" s="139" t="s">
        <v>48</v>
      </c>
      <c r="E88" s="139"/>
      <c r="F88" s="139" t="s">
        <v>53</v>
      </c>
      <c r="G88" s="139" t="s">
        <v>54</v>
      </c>
      <c r="H88" s="139"/>
      <c r="I88" s="139" t="s">
        <v>55</v>
      </c>
      <c r="J88" s="140">
        <v>1002760342291</v>
      </c>
      <c r="K88" s="141">
        <v>100000</v>
      </c>
      <c r="L88" s="142">
        <v>120000</v>
      </c>
      <c r="M88" s="143"/>
      <c r="N88" s="144"/>
      <c r="O88" s="149" t="s">
        <v>271</v>
      </c>
      <c r="P88" s="150">
        <f t="shared" si="1"/>
        <v>20000</v>
      </c>
      <c r="R88" s="18"/>
    </row>
    <row r="89" spans="1:18" ht="20.100000000000001" customHeight="1" x14ac:dyDescent="0.3">
      <c r="A89" s="146">
        <v>46126</v>
      </c>
      <c r="B89" s="139" t="s">
        <v>45</v>
      </c>
      <c r="C89" s="139" t="s">
        <v>47</v>
      </c>
      <c r="D89" s="139" t="s">
        <v>48</v>
      </c>
      <c r="E89" s="139"/>
      <c r="F89" s="139" t="s">
        <v>53</v>
      </c>
      <c r="G89" s="139" t="s">
        <v>54</v>
      </c>
      <c r="H89" s="139"/>
      <c r="I89" s="139" t="s">
        <v>55</v>
      </c>
      <c r="J89" s="140">
        <v>1002760342291</v>
      </c>
      <c r="K89" s="141">
        <v>100000</v>
      </c>
      <c r="L89" s="142">
        <v>120000</v>
      </c>
      <c r="M89" s="143"/>
      <c r="N89" s="144"/>
      <c r="O89" s="149" t="s">
        <v>271</v>
      </c>
      <c r="P89" s="150">
        <f t="shared" si="1"/>
        <v>20000</v>
      </c>
      <c r="R89" s="18"/>
    </row>
    <row r="90" spans="1:18" ht="20.100000000000001" customHeight="1" x14ac:dyDescent="0.3">
      <c r="A90" s="146">
        <v>46127</v>
      </c>
      <c r="B90" s="139" t="s">
        <v>45</v>
      </c>
      <c r="C90" s="139" t="s">
        <v>47</v>
      </c>
      <c r="D90" s="139" t="s">
        <v>48</v>
      </c>
      <c r="E90" s="139"/>
      <c r="F90" s="139" t="s">
        <v>53</v>
      </c>
      <c r="G90" s="139" t="s">
        <v>54</v>
      </c>
      <c r="H90" s="139"/>
      <c r="I90" s="139" t="s">
        <v>55</v>
      </c>
      <c r="J90" s="140">
        <v>1002760342291</v>
      </c>
      <c r="K90" s="141">
        <v>100000</v>
      </c>
      <c r="L90" s="142">
        <v>120000</v>
      </c>
      <c r="M90" s="143"/>
      <c r="N90" s="144"/>
      <c r="O90" s="149" t="s">
        <v>271</v>
      </c>
      <c r="P90" s="150">
        <f t="shared" si="1"/>
        <v>20000</v>
      </c>
      <c r="R90" s="18"/>
    </row>
    <row r="91" spans="1:18" ht="20.100000000000001" customHeight="1" x14ac:dyDescent="0.3">
      <c r="A91" s="146">
        <v>46128</v>
      </c>
      <c r="B91" s="139" t="s">
        <v>45</v>
      </c>
      <c r="C91" s="139" t="s">
        <v>47</v>
      </c>
      <c r="D91" s="139" t="s">
        <v>48</v>
      </c>
      <c r="E91" s="139"/>
      <c r="F91" s="139" t="s">
        <v>53</v>
      </c>
      <c r="G91" s="139" t="s">
        <v>54</v>
      </c>
      <c r="H91" s="139"/>
      <c r="I91" s="139" t="s">
        <v>55</v>
      </c>
      <c r="J91" s="140">
        <v>1002760342291</v>
      </c>
      <c r="K91" s="141">
        <v>100000</v>
      </c>
      <c r="L91" s="142">
        <v>120000</v>
      </c>
      <c r="M91" s="143"/>
      <c r="N91" s="144"/>
      <c r="O91" s="149" t="s">
        <v>271</v>
      </c>
      <c r="P91" s="150">
        <f t="shared" si="1"/>
        <v>20000</v>
      </c>
      <c r="R91" s="18"/>
    </row>
    <row r="92" spans="1:18" ht="20.100000000000001" customHeight="1" x14ac:dyDescent="0.3">
      <c r="A92" s="146">
        <v>46130</v>
      </c>
      <c r="B92" s="139" t="s">
        <v>45</v>
      </c>
      <c r="C92" s="139" t="s">
        <v>47</v>
      </c>
      <c r="D92" s="139" t="s">
        <v>48</v>
      </c>
      <c r="E92" s="139"/>
      <c r="F92" s="139" t="s">
        <v>53</v>
      </c>
      <c r="G92" s="139" t="s">
        <v>54</v>
      </c>
      <c r="H92" s="139"/>
      <c r="I92" s="139" t="s">
        <v>55</v>
      </c>
      <c r="J92" s="140">
        <v>1002760342291</v>
      </c>
      <c r="K92" s="141">
        <v>100000</v>
      </c>
      <c r="L92" s="142">
        <v>120000</v>
      </c>
      <c r="M92" s="143"/>
      <c r="N92" s="144"/>
      <c r="O92" s="149" t="s">
        <v>271</v>
      </c>
      <c r="P92" s="150">
        <f t="shared" si="1"/>
        <v>20000</v>
      </c>
      <c r="R92" s="18"/>
    </row>
    <row r="93" spans="1:18" ht="20.100000000000001" customHeight="1" x14ac:dyDescent="0.3">
      <c r="A93" s="146">
        <v>46131</v>
      </c>
      <c r="B93" s="139" t="s">
        <v>45</v>
      </c>
      <c r="C93" s="139" t="s">
        <v>47</v>
      </c>
      <c r="D93" s="139" t="s">
        <v>48</v>
      </c>
      <c r="E93" s="139"/>
      <c r="F93" s="139" t="s">
        <v>53</v>
      </c>
      <c r="G93" s="139" t="s">
        <v>54</v>
      </c>
      <c r="H93" s="139"/>
      <c r="I93" s="139" t="s">
        <v>55</v>
      </c>
      <c r="J93" s="140">
        <v>1002760342291</v>
      </c>
      <c r="K93" s="141">
        <v>100000</v>
      </c>
      <c r="L93" s="142">
        <v>120000</v>
      </c>
      <c r="M93" s="143"/>
      <c r="N93" s="144"/>
      <c r="O93" s="149" t="s">
        <v>271</v>
      </c>
      <c r="P93" s="150">
        <f t="shared" si="1"/>
        <v>20000</v>
      </c>
      <c r="R93" s="18"/>
    </row>
    <row r="94" spans="1:18" ht="20.100000000000001" customHeight="1" x14ac:dyDescent="0.3">
      <c r="A94" s="146">
        <v>46127</v>
      </c>
      <c r="B94" s="139" t="s">
        <v>45</v>
      </c>
      <c r="C94" s="139" t="s">
        <v>47</v>
      </c>
      <c r="D94" s="139" t="s">
        <v>48</v>
      </c>
      <c r="E94" s="139"/>
      <c r="F94" s="139" t="s">
        <v>56</v>
      </c>
      <c r="G94" s="139" t="s">
        <v>57</v>
      </c>
      <c r="H94" s="139"/>
      <c r="I94" s="139" t="s">
        <v>58</v>
      </c>
      <c r="J94" s="140" t="s">
        <v>59</v>
      </c>
      <c r="K94" s="141">
        <v>100000</v>
      </c>
      <c r="L94" s="142">
        <v>120000</v>
      </c>
      <c r="M94" s="143"/>
      <c r="N94" s="144"/>
      <c r="O94" s="149" t="s">
        <v>271</v>
      </c>
      <c r="P94" s="150">
        <f t="shared" si="1"/>
        <v>20000</v>
      </c>
      <c r="R94" s="18"/>
    </row>
    <row r="95" spans="1:18" ht="20.100000000000001" customHeight="1" x14ac:dyDescent="0.3">
      <c r="A95" s="146">
        <v>46128</v>
      </c>
      <c r="B95" s="139" t="s">
        <v>45</v>
      </c>
      <c r="C95" s="139" t="s">
        <v>47</v>
      </c>
      <c r="D95" s="139" t="s">
        <v>48</v>
      </c>
      <c r="E95" s="139"/>
      <c r="F95" s="139" t="s">
        <v>56</v>
      </c>
      <c r="G95" s="139" t="s">
        <v>57</v>
      </c>
      <c r="H95" s="139"/>
      <c r="I95" s="139" t="s">
        <v>58</v>
      </c>
      <c r="J95" s="140" t="s">
        <v>59</v>
      </c>
      <c r="K95" s="141">
        <v>100000</v>
      </c>
      <c r="L95" s="142">
        <v>120000</v>
      </c>
      <c r="M95" s="143"/>
      <c r="N95" s="144"/>
      <c r="O95" s="149" t="s">
        <v>271</v>
      </c>
      <c r="P95" s="150">
        <f t="shared" si="1"/>
        <v>20000</v>
      </c>
      <c r="R95" s="18"/>
    </row>
    <row r="96" spans="1:18" ht="20.100000000000001" customHeight="1" x14ac:dyDescent="0.3">
      <c r="A96" s="146">
        <v>46129</v>
      </c>
      <c r="B96" s="139" t="s">
        <v>45</v>
      </c>
      <c r="C96" s="139" t="s">
        <v>47</v>
      </c>
      <c r="D96" s="139" t="s">
        <v>48</v>
      </c>
      <c r="E96" s="139"/>
      <c r="F96" s="139" t="s">
        <v>56</v>
      </c>
      <c r="G96" s="139" t="s">
        <v>57</v>
      </c>
      <c r="H96" s="139"/>
      <c r="I96" s="139" t="s">
        <v>58</v>
      </c>
      <c r="J96" s="140" t="s">
        <v>59</v>
      </c>
      <c r="K96" s="141">
        <v>100000</v>
      </c>
      <c r="L96" s="142">
        <v>120000</v>
      </c>
      <c r="M96" s="143"/>
      <c r="N96" s="144"/>
      <c r="O96" s="149" t="s">
        <v>271</v>
      </c>
      <c r="P96" s="150">
        <f t="shared" si="1"/>
        <v>20000</v>
      </c>
      <c r="R96" s="18"/>
    </row>
    <row r="97" spans="1:18" ht="20.100000000000001" customHeight="1" x14ac:dyDescent="0.3">
      <c r="A97" s="146">
        <v>46130</v>
      </c>
      <c r="B97" s="139" t="s">
        <v>45</v>
      </c>
      <c r="C97" s="139" t="s">
        <v>47</v>
      </c>
      <c r="D97" s="139" t="s">
        <v>48</v>
      </c>
      <c r="E97" s="139"/>
      <c r="F97" s="139" t="s">
        <v>56</v>
      </c>
      <c r="G97" s="139" t="s">
        <v>57</v>
      </c>
      <c r="H97" s="139"/>
      <c r="I97" s="139" t="s">
        <v>58</v>
      </c>
      <c r="J97" s="140" t="s">
        <v>59</v>
      </c>
      <c r="K97" s="141">
        <v>100000</v>
      </c>
      <c r="L97" s="142">
        <v>120000</v>
      </c>
      <c r="M97" s="143"/>
      <c r="N97" s="144"/>
      <c r="O97" s="149" t="s">
        <v>271</v>
      </c>
      <c r="P97" s="150">
        <f t="shared" si="1"/>
        <v>20000</v>
      </c>
      <c r="R97" s="18"/>
    </row>
    <row r="98" spans="1:18" ht="20.100000000000001" customHeight="1" x14ac:dyDescent="0.3">
      <c r="A98" s="146">
        <v>46131</v>
      </c>
      <c r="B98" s="139" t="s">
        <v>45</v>
      </c>
      <c r="C98" s="139" t="s">
        <v>47</v>
      </c>
      <c r="D98" s="139" t="s">
        <v>48</v>
      </c>
      <c r="E98" s="139"/>
      <c r="F98" s="139" t="s">
        <v>56</v>
      </c>
      <c r="G98" s="139" t="s">
        <v>57</v>
      </c>
      <c r="H98" s="139"/>
      <c r="I98" s="139" t="s">
        <v>58</v>
      </c>
      <c r="J98" s="140" t="s">
        <v>59</v>
      </c>
      <c r="K98" s="141">
        <v>100000</v>
      </c>
      <c r="L98" s="142">
        <v>120000</v>
      </c>
      <c r="M98" s="143"/>
      <c r="N98" s="144"/>
      <c r="O98" s="149" t="s">
        <v>271</v>
      </c>
      <c r="P98" s="150">
        <f t="shared" si="1"/>
        <v>20000</v>
      </c>
      <c r="R98" s="18"/>
    </row>
    <row r="99" spans="1:18" ht="20.100000000000001" customHeight="1" x14ac:dyDescent="0.3">
      <c r="A99" s="146">
        <v>46128</v>
      </c>
      <c r="B99" s="139" t="s">
        <v>45</v>
      </c>
      <c r="C99" s="139" t="s">
        <v>47</v>
      </c>
      <c r="D99" s="139" t="s">
        <v>48</v>
      </c>
      <c r="E99" s="139"/>
      <c r="F99" s="139" t="s">
        <v>60</v>
      </c>
      <c r="G99" s="139" t="s">
        <v>61</v>
      </c>
      <c r="H99" s="139"/>
      <c r="I99" s="139" t="s">
        <v>62</v>
      </c>
      <c r="J99" s="140" t="s">
        <v>63</v>
      </c>
      <c r="K99" s="141">
        <v>177500</v>
      </c>
      <c r="L99" s="142">
        <v>197500</v>
      </c>
      <c r="M99" s="143"/>
      <c r="N99" s="148" t="s">
        <v>217</v>
      </c>
      <c r="O99" s="149" t="s">
        <v>271</v>
      </c>
      <c r="P99" s="150">
        <f t="shared" si="1"/>
        <v>20000</v>
      </c>
      <c r="R99" s="18"/>
    </row>
    <row r="100" spans="1:18" ht="20.100000000000001" customHeight="1" x14ac:dyDescent="0.3">
      <c r="A100" s="146">
        <v>46129</v>
      </c>
      <c r="B100" s="139" t="s">
        <v>45</v>
      </c>
      <c r="C100" s="139" t="s">
        <v>47</v>
      </c>
      <c r="D100" s="139" t="s">
        <v>48</v>
      </c>
      <c r="E100" s="139"/>
      <c r="F100" s="139" t="s">
        <v>60</v>
      </c>
      <c r="G100" s="139" t="s">
        <v>61</v>
      </c>
      <c r="H100" s="139"/>
      <c r="I100" s="139" t="s">
        <v>62</v>
      </c>
      <c r="J100" s="140" t="s">
        <v>63</v>
      </c>
      <c r="K100" s="141">
        <v>100000</v>
      </c>
      <c r="L100" s="142">
        <v>120000</v>
      </c>
      <c r="M100" s="143"/>
      <c r="N100" s="144"/>
      <c r="O100" s="149" t="s">
        <v>271</v>
      </c>
      <c r="P100" s="150">
        <f t="shared" si="1"/>
        <v>20000</v>
      </c>
      <c r="R100" s="18"/>
    </row>
    <row r="101" spans="1:18" ht="20.100000000000001" customHeight="1" x14ac:dyDescent="0.3">
      <c r="A101" s="146">
        <v>46125</v>
      </c>
      <c r="B101" s="139" t="s">
        <v>45</v>
      </c>
      <c r="C101" s="139" t="s">
        <v>47</v>
      </c>
      <c r="D101" s="139" t="s">
        <v>48</v>
      </c>
      <c r="E101" s="139"/>
      <c r="F101" s="139" t="s">
        <v>64</v>
      </c>
      <c r="G101" s="139" t="s">
        <v>65</v>
      </c>
      <c r="H101" s="139"/>
      <c r="I101" s="139" t="s">
        <v>58</v>
      </c>
      <c r="J101" s="140" t="s">
        <v>66</v>
      </c>
      <c r="K101" s="141">
        <v>100000</v>
      </c>
      <c r="L101" s="142">
        <v>120000</v>
      </c>
      <c r="M101" s="143"/>
      <c r="N101" s="144"/>
      <c r="O101" s="149" t="s">
        <v>271</v>
      </c>
      <c r="P101" s="150">
        <f t="shared" si="1"/>
        <v>20000</v>
      </c>
      <c r="R101" s="18"/>
    </row>
    <row r="102" spans="1:18" ht="20.100000000000001" customHeight="1" x14ac:dyDescent="0.3">
      <c r="A102" s="146">
        <v>46126</v>
      </c>
      <c r="B102" s="139" t="s">
        <v>45</v>
      </c>
      <c r="C102" s="139" t="s">
        <v>47</v>
      </c>
      <c r="D102" s="139" t="s">
        <v>48</v>
      </c>
      <c r="E102" s="139"/>
      <c r="F102" s="139" t="s">
        <v>64</v>
      </c>
      <c r="G102" s="139" t="s">
        <v>65</v>
      </c>
      <c r="H102" s="139"/>
      <c r="I102" s="139" t="s">
        <v>58</v>
      </c>
      <c r="J102" s="140" t="s">
        <v>66</v>
      </c>
      <c r="K102" s="141">
        <v>100000</v>
      </c>
      <c r="L102" s="142">
        <v>120000</v>
      </c>
      <c r="M102" s="143"/>
      <c r="N102" s="144"/>
      <c r="O102" s="149" t="s">
        <v>271</v>
      </c>
      <c r="P102" s="150">
        <f t="shared" si="1"/>
        <v>20000</v>
      </c>
    </row>
    <row r="103" spans="1:18" ht="20.100000000000001" customHeight="1" x14ac:dyDescent="0.3">
      <c r="A103" s="146">
        <v>46127</v>
      </c>
      <c r="B103" s="139" t="s">
        <v>45</v>
      </c>
      <c r="C103" s="139" t="s">
        <v>47</v>
      </c>
      <c r="D103" s="139" t="s">
        <v>48</v>
      </c>
      <c r="E103" s="139"/>
      <c r="F103" s="139" t="s">
        <v>64</v>
      </c>
      <c r="G103" s="139" t="s">
        <v>65</v>
      </c>
      <c r="H103" s="139"/>
      <c r="I103" s="139" t="s">
        <v>58</v>
      </c>
      <c r="J103" s="140" t="s">
        <v>66</v>
      </c>
      <c r="K103" s="141">
        <v>100000</v>
      </c>
      <c r="L103" s="142">
        <v>120000</v>
      </c>
      <c r="M103" s="143"/>
      <c r="N103" s="144"/>
      <c r="O103" s="149" t="s">
        <v>271</v>
      </c>
      <c r="P103" s="150">
        <f t="shared" si="1"/>
        <v>20000</v>
      </c>
    </row>
    <row r="104" spans="1:18" ht="20.100000000000001" customHeight="1" x14ac:dyDescent="0.3">
      <c r="A104" s="146">
        <v>46128</v>
      </c>
      <c r="B104" s="139" t="s">
        <v>45</v>
      </c>
      <c r="C104" s="139" t="s">
        <v>47</v>
      </c>
      <c r="D104" s="139" t="s">
        <v>48</v>
      </c>
      <c r="E104" s="139"/>
      <c r="F104" s="139" t="s">
        <v>64</v>
      </c>
      <c r="G104" s="139" t="s">
        <v>65</v>
      </c>
      <c r="H104" s="139"/>
      <c r="I104" s="139" t="s">
        <v>58</v>
      </c>
      <c r="J104" s="140" t="s">
        <v>66</v>
      </c>
      <c r="K104" s="141">
        <v>100000</v>
      </c>
      <c r="L104" s="142">
        <v>120000</v>
      </c>
      <c r="M104" s="143"/>
      <c r="N104" s="144"/>
      <c r="O104" s="149" t="s">
        <v>271</v>
      </c>
      <c r="P104" s="150">
        <f t="shared" si="1"/>
        <v>20000</v>
      </c>
    </row>
    <row r="105" spans="1:18" ht="20.100000000000001" customHeight="1" x14ac:dyDescent="0.3">
      <c r="A105" s="146">
        <v>46129</v>
      </c>
      <c r="B105" s="139" t="s">
        <v>45</v>
      </c>
      <c r="C105" s="139" t="s">
        <v>47</v>
      </c>
      <c r="D105" s="139" t="s">
        <v>48</v>
      </c>
      <c r="E105" s="139"/>
      <c r="F105" s="139" t="s">
        <v>64</v>
      </c>
      <c r="G105" s="139" t="s">
        <v>65</v>
      </c>
      <c r="H105" s="139"/>
      <c r="I105" s="139" t="s">
        <v>58</v>
      </c>
      <c r="J105" s="140" t="s">
        <v>66</v>
      </c>
      <c r="K105" s="141">
        <v>100000</v>
      </c>
      <c r="L105" s="142">
        <v>120000</v>
      </c>
      <c r="M105" s="143"/>
      <c r="N105" s="144"/>
      <c r="O105" s="149" t="s">
        <v>271</v>
      </c>
      <c r="P105" s="150">
        <f t="shared" si="1"/>
        <v>20000</v>
      </c>
      <c r="Q105" s="45"/>
      <c r="R105" s="45"/>
    </row>
    <row r="106" spans="1:18" ht="20.100000000000001" customHeight="1" x14ac:dyDescent="0.3">
      <c r="A106" s="146">
        <v>46130</v>
      </c>
      <c r="B106" s="139" t="s">
        <v>45</v>
      </c>
      <c r="C106" s="139" t="s">
        <v>47</v>
      </c>
      <c r="D106" s="139" t="s">
        <v>48</v>
      </c>
      <c r="E106" s="139"/>
      <c r="F106" s="139" t="s">
        <v>64</v>
      </c>
      <c r="G106" s="139" t="s">
        <v>65</v>
      </c>
      <c r="H106" s="139"/>
      <c r="I106" s="139" t="s">
        <v>58</v>
      </c>
      <c r="J106" s="140" t="s">
        <v>66</v>
      </c>
      <c r="K106" s="141">
        <v>100000</v>
      </c>
      <c r="L106" s="142">
        <v>120000</v>
      </c>
      <c r="M106" s="143"/>
      <c r="N106" s="144"/>
      <c r="O106" s="149" t="s">
        <v>271</v>
      </c>
      <c r="P106" s="150">
        <f t="shared" si="1"/>
        <v>20000</v>
      </c>
      <c r="Q106" s="45"/>
      <c r="R106" s="45"/>
    </row>
    <row r="107" spans="1:18" ht="20.100000000000001" customHeight="1" x14ac:dyDescent="0.3">
      <c r="A107" s="146">
        <v>46125</v>
      </c>
      <c r="B107" s="139" t="s">
        <v>45</v>
      </c>
      <c r="C107" s="139" t="s">
        <v>47</v>
      </c>
      <c r="D107" s="139" t="s">
        <v>48</v>
      </c>
      <c r="E107" s="139"/>
      <c r="F107" s="139" t="s">
        <v>67</v>
      </c>
      <c r="G107" s="139" t="s">
        <v>68</v>
      </c>
      <c r="H107" s="139"/>
      <c r="I107" s="139" t="s">
        <v>62</v>
      </c>
      <c r="J107" s="140" t="s">
        <v>69</v>
      </c>
      <c r="K107" s="141">
        <v>100000</v>
      </c>
      <c r="L107" s="142">
        <v>120000</v>
      </c>
      <c r="M107" s="143"/>
      <c r="N107" s="144"/>
      <c r="O107" s="149" t="s">
        <v>271</v>
      </c>
      <c r="P107" s="150">
        <f t="shared" si="1"/>
        <v>20000</v>
      </c>
      <c r="Q107" s="128"/>
      <c r="R107" s="47"/>
    </row>
    <row r="108" spans="1:18" ht="20.100000000000001" customHeight="1" x14ac:dyDescent="0.3">
      <c r="A108" s="146">
        <v>46130</v>
      </c>
      <c r="B108" s="139" t="s">
        <v>45</v>
      </c>
      <c r="C108" s="139" t="s">
        <v>47</v>
      </c>
      <c r="D108" s="139" t="s">
        <v>48</v>
      </c>
      <c r="E108" s="139"/>
      <c r="F108" s="139" t="s">
        <v>67</v>
      </c>
      <c r="G108" s="139" t="s">
        <v>68</v>
      </c>
      <c r="H108" s="139"/>
      <c r="I108" s="139" t="s">
        <v>62</v>
      </c>
      <c r="J108" s="140" t="s">
        <v>69</v>
      </c>
      <c r="K108" s="141">
        <v>100000</v>
      </c>
      <c r="L108" s="142">
        <v>120000</v>
      </c>
      <c r="M108" s="143"/>
      <c r="N108" s="144"/>
      <c r="O108" s="149" t="s">
        <v>271</v>
      </c>
      <c r="P108" s="150">
        <f t="shared" si="1"/>
        <v>20000</v>
      </c>
      <c r="Q108" s="128"/>
      <c r="R108" s="47"/>
    </row>
    <row r="109" spans="1:18" ht="20.100000000000001" customHeight="1" x14ac:dyDescent="0.3">
      <c r="A109" s="146">
        <v>46131</v>
      </c>
      <c r="B109" s="139" t="s">
        <v>45</v>
      </c>
      <c r="C109" s="139" t="s">
        <v>47</v>
      </c>
      <c r="D109" s="139" t="s">
        <v>48</v>
      </c>
      <c r="E109" s="139"/>
      <c r="F109" s="139" t="s">
        <v>67</v>
      </c>
      <c r="G109" s="139" t="s">
        <v>68</v>
      </c>
      <c r="H109" s="139"/>
      <c r="I109" s="139" t="s">
        <v>62</v>
      </c>
      <c r="J109" s="140" t="s">
        <v>69</v>
      </c>
      <c r="K109" s="141">
        <v>100000</v>
      </c>
      <c r="L109" s="142">
        <v>120000</v>
      </c>
      <c r="M109" s="143"/>
      <c r="N109" s="144"/>
      <c r="O109" s="149" t="s">
        <v>271</v>
      </c>
      <c r="P109" s="150">
        <f t="shared" si="1"/>
        <v>20000</v>
      </c>
    </row>
    <row r="110" spans="1:18" ht="20.100000000000001" customHeight="1" x14ac:dyDescent="0.3">
      <c r="A110" s="146">
        <v>46126</v>
      </c>
      <c r="B110" s="139" t="s">
        <v>45</v>
      </c>
      <c r="C110" s="139" t="s">
        <v>47</v>
      </c>
      <c r="D110" s="139" t="s">
        <v>48</v>
      </c>
      <c r="E110" s="139"/>
      <c r="F110" s="139" t="s">
        <v>70</v>
      </c>
      <c r="G110" s="139" t="s">
        <v>71</v>
      </c>
      <c r="H110" s="139"/>
      <c r="I110" s="139" t="s">
        <v>72</v>
      </c>
      <c r="J110" s="140" t="s">
        <v>73</v>
      </c>
      <c r="K110" s="141">
        <v>100000</v>
      </c>
      <c r="L110" s="142">
        <v>120000</v>
      </c>
      <c r="M110" s="143"/>
      <c r="N110" s="144"/>
      <c r="O110" s="149" t="s">
        <v>271</v>
      </c>
      <c r="P110" s="150">
        <f t="shared" si="1"/>
        <v>20000</v>
      </c>
    </row>
    <row r="111" spans="1:18" ht="20.100000000000001" customHeight="1" x14ac:dyDescent="0.3">
      <c r="A111" s="146">
        <v>46127</v>
      </c>
      <c r="B111" s="139" t="s">
        <v>45</v>
      </c>
      <c r="C111" s="139" t="s">
        <v>47</v>
      </c>
      <c r="D111" s="139" t="s">
        <v>48</v>
      </c>
      <c r="E111" s="139"/>
      <c r="F111" s="139" t="s">
        <v>70</v>
      </c>
      <c r="G111" s="139" t="s">
        <v>71</v>
      </c>
      <c r="H111" s="139"/>
      <c r="I111" s="139" t="s">
        <v>72</v>
      </c>
      <c r="J111" s="140" t="s">
        <v>73</v>
      </c>
      <c r="K111" s="141">
        <v>100000</v>
      </c>
      <c r="L111" s="142">
        <v>120000</v>
      </c>
      <c r="M111" s="143"/>
      <c r="N111" s="144"/>
      <c r="O111" s="149" t="s">
        <v>271</v>
      </c>
      <c r="P111" s="150">
        <f t="shared" si="1"/>
        <v>20000</v>
      </c>
      <c r="Q111" s="45"/>
      <c r="R111" s="45"/>
    </row>
    <row r="112" spans="1:18" ht="20.100000000000001" customHeight="1" x14ac:dyDescent="0.3">
      <c r="A112" s="146">
        <v>46128</v>
      </c>
      <c r="B112" s="139" t="s">
        <v>45</v>
      </c>
      <c r="C112" s="139" t="s">
        <v>47</v>
      </c>
      <c r="D112" s="139" t="s">
        <v>48</v>
      </c>
      <c r="E112" s="139"/>
      <c r="F112" s="139" t="s">
        <v>70</v>
      </c>
      <c r="G112" s="139" t="s">
        <v>71</v>
      </c>
      <c r="H112" s="139"/>
      <c r="I112" s="139" t="s">
        <v>72</v>
      </c>
      <c r="J112" s="140" t="s">
        <v>73</v>
      </c>
      <c r="K112" s="141">
        <v>100000</v>
      </c>
      <c r="L112" s="142">
        <v>120000</v>
      </c>
      <c r="M112" s="143"/>
      <c r="N112" s="144"/>
      <c r="O112" s="149" t="s">
        <v>271</v>
      </c>
      <c r="P112" s="150">
        <f t="shared" si="1"/>
        <v>20000</v>
      </c>
    </row>
    <row r="113" spans="1:18" ht="20.100000000000001" customHeight="1" x14ac:dyDescent="0.3">
      <c r="A113" s="146">
        <v>46129</v>
      </c>
      <c r="B113" s="139" t="s">
        <v>45</v>
      </c>
      <c r="C113" s="139" t="s">
        <v>47</v>
      </c>
      <c r="D113" s="139" t="s">
        <v>48</v>
      </c>
      <c r="E113" s="139"/>
      <c r="F113" s="139" t="s">
        <v>70</v>
      </c>
      <c r="G113" s="139" t="s">
        <v>71</v>
      </c>
      <c r="H113" s="139"/>
      <c r="I113" s="139" t="s">
        <v>72</v>
      </c>
      <c r="J113" s="140" t="s">
        <v>73</v>
      </c>
      <c r="K113" s="141">
        <v>100000</v>
      </c>
      <c r="L113" s="142">
        <v>120000</v>
      </c>
      <c r="M113" s="143"/>
      <c r="N113" s="144"/>
      <c r="O113" s="149" t="s">
        <v>271</v>
      </c>
      <c r="P113" s="150">
        <f t="shared" si="1"/>
        <v>20000</v>
      </c>
    </row>
    <row r="114" spans="1:18" ht="20.100000000000001" customHeight="1" x14ac:dyDescent="0.3">
      <c r="A114" s="146">
        <v>46130</v>
      </c>
      <c r="B114" s="139" t="s">
        <v>45</v>
      </c>
      <c r="C114" s="139" t="s">
        <v>47</v>
      </c>
      <c r="D114" s="139" t="s">
        <v>48</v>
      </c>
      <c r="E114" s="139"/>
      <c r="F114" s="139" t="s">
        <v>70</v>
      </c>
      <c r="G114" s="139" t="s">
        <v>71</v>
      </c>
      <c r="H114" s="139"/>
      <c r="I114" s="139" t="s">
        <v>72</v>
      </c>
      <c r="J114" s="140" t="s">
        <v>73</v>
      </c>
      <c r="K114" s="141">
        <v>100000</v>
      </c>
      <c r="L114" s="142">
        <v>120000</v>
      </c>
      <c r="M114" s="143"/>
      <c r="N114" s="144"/>
      <c r="O114" s="149" t="s">
        <v>271</v>
      </c>
      <c r="P114" s="150">
        <f t="shared" si="1"/>
        <v>20000</v>
      </c>
    </row>
    <row r="115" spans="1:18" ht="20.100000000000001" customHeight="1" x14ac:dyDescent="0.3">
      <c r="A115" s="146">
        <v>46131</v>
      </c>
      <c r="B115" s="139" t="s">
        <v>45</v>
      </c>
      <c r="C115" s="139" t="s">
        <v>47</v>
      </c>
      <c r="D115" s="139" t="s">
        <v>48</v>
      </c>
      <c r="E115" s="139"/>
      <c r="F115" s="139" t="s">
        <v>70</v>
      </c>
      <c r="G115" s="139" t="s">
        <v>71</v>
      </c>
      <c r="H115" s="139"/>
      <c r="I115" s="139" t="s">
        <v>72</v>
      </c>
      <c r="J115" s="140" t="s">
        <v>73</v>
      </c>
      <c r="K115" s="141">
        <v>100000</v>
      </c>
      <c r="L115" s="142">
        <v>120000</v>
      </c>
      <c r="M115" s="143"/>
      <c r="N115" s="144"/>
      <c r="O115" s="149" t="s">
        <v>271</v>
      </c>
      <c r="P115" s="150">
        <f t="shared" si="1"/>
        <v>20000</v>
      </c>
      <c r="Q115" s="45"/>
      <c r="R115" s="45"/>
    </row>
    <row r="116" spans="1:18" ht="20.100000000000001" customHeight="1" x14ac:dyDescent="0.3">
      <c r="A116" s="146">
        <v>46126</v>
      </c>
      <c r="B116" s="139" t="s">
        <v>45</v>
      </c>
      <c r="C116" s="139" t="s">
        <v>47</v>
      </c>
      <c r="D116" s="139" t="s">
        <v>48</v>
      </c>
      <c r="E116" s="139"/>
      <c r="F116" s="139" t="s">
        <v>74</v>
      </c>
      <c r="G116" s="139"/>
      <c r="H116" s="139"/>
      <c r="I116" s="139" t="s">
        <v>72</v>
      </c>
      <c r="J116" s="140" t="s">
        <v>73</v>
      </c>
      <c r="K116" s="141">
        <v>100000</v>
      </c>
      <c r="L116" s="142">
        <v>120000</v>
      </c>
      <c r="M116" s="143"/>
      <c r="N116" s="144"/>
      <c r="O116" s="149" t="s">
        <v>271</v>
      </c>
      <c r="P116" s="150">
        <f t="shared" si="1"/>
        <v>20000</v>
      </c>
      <c r="Q116" s="45"/>
      <c r="R116" s="45"/>
    </row>
    <row r="117" spans="1:18" ht="20.100000000000001" customHeight="1" x14ac:dyDescent="0.3">
      <c r="A117" s="146">
        <v>46127</v>
      </c>
      <c r="B117" s="139" t="s">
        <v>45</v>
      </c>
      <c r="C117" s="139" t="s">
        <v>47</v>
      </c>
      <c r="D117" s="139" t="s">
        <v>48</v>
      </c>
      <c r="E117" s="139"/>
      <c r="F117" s="139" t="s">
        <v>74</v>
      </c>
      <c r="G117" s="139"/>
      <c r="H117" s="139"/>
      <c r="I117" s="139" t="s">
        <v>72</v>
      </c>
      <c r="J117" s="140" t="s">
        <v>73</v>
      </c>
      <c r="K117" s="141">
        <v>100000</v>
      </c>
      <c r="L117" s="142">
        <v>120000</v>
      </c>
      <c r="M117" s="143"/>
      <c r="N117" s="143"/>
      <c r="O117" s="149" t="s">
        <v>271</v>
      </c>
      <c r="P117" s="150">
        <f t="shared" si="1"/>
        <v>20000</v>
      </c>
      <c r="Q117" s="128"/>
      <c r="R117" s="47"/>
    </row>
    <row r="118" spans="1:18" ht="20.100000000000001" customHeight="1" x14ac:dyDescent="0.3">
      <c r="A118" s="146">
        <v>46128</v>
      </c>
      <c r="B118" s="139" t="s">
        <v>45</v>
      </c>
      <c r="C118" s="139" t="s">
        <v>47</v>
      </c>
      <c r="D118" s="139" t="s">
        <v>48</v>
      </c>
      <c r="E118" s="139"/>
      <c r="F118" s="139" t="s">
        <v>74</v>
      </c>
      <c r="G118" s="139"/>
      <c r="H118" s="139"/>
      <c r="I118" s="139" t="s">
        <v>72</v>
      </c>
      <c r="J118" s="140" t="s">
        <v>73</v>
      </c>
      <c r="K118" s="141">
        <v>100000</v>
      </c>
      <c r="L118" s="142">
        <v>120000</v>
      </c>
      <c r="M118" s="143"/>
      <c r="N118" s="144"/>
      <c r="O118" s="149" t="s">
        <v>271</v>
      </c>
      <c r="P118" s="150">
        <f t="shared" si="1"/>
        <v>20000</v>
      </c>
      <c r="Q118" s="128"/>
      <c r="R118" s="47"/>
    </row>
    <row r="119" spans="1:18" ht="20.100000000000001" customHeight="1" x14ac:dyDescent="0.3">
      <c r="A119" s="146">
        <v>46129</v>
      </c>
      <c r="B119" s="139" t="s">
        <v>45</v>
      </c>
      <c r="C119" s="139" t="s">
        <v>47</v>
      </c>
      <c r="D119" s="139" t="s">
        <v>48</v>
      </c>
      <c r="E119" s="139"/>
      <c r="F119" s="139" t="s">
        <v>74</v>
      </c>
      <c r="G119" s="139"/>
      <c r="H119" s="139"/>
      <c r="I119" s="139" t="s">
        <v>72</v>
      </c>
      <c r="J119" s="140" t="s">
        <v>73</v>
      </c>
      <c r="K119" s="141">
        <v>100000</v>
      </c>
      <c r="L119" s="142">
        <v>120000</v>
      </c>
      <c r="M119" s="143"/>
      <c r="N119" s="144"/>
      <c r="O119" s="149" t="s">
        <v>271</v>
      </c>
      <c r="P119" s="150">
        <f t="shared" si="1"/>
        <v>20000</v>
      </c>
      <c r="Q119" s="128"/>
      <c r="R119" s="47"/>
    </row>
    <row r="120" spans="1:18" ht="20.100000000000001" customHeight="1" x14ac:dyDescent="0.3">
      <c r="A120" s="146">
        <v>46130</v>
      </c>
      <c r="B120" s="139" t="s">
        <v>45</v>
      </c>
      <c r="C120" s="139" t="s">
        <v>47</v>
      </c>
      <c r="D120" s="139" t="s">
        <v>48</v>
      </c>
      <c r="E120" s="139"/>
      <c r="F120" s="139" t="s">
        <v>74</v>
      </c>
      <c r="G120" s="139"/>
      <c r="H120" s="139"/>
      <c r="I120" s="139" t="s">
        <v>72</v>
      </c>
      <c r="J120" s="140" t="s">
        <v>73</v>
      </c>
      <c r="K120" s="141">
        <v>100000</v>
      </c>
      <c r="L120" s="142">
        <v>120000</v>
      </c>
      <c r="M120" s="143"/>
      <c r="N120" s="144"/>
      <c r="O120" s="149" t="s">
        <v>271</v>
      </c>
      <c r="P120" s="150">
        <f t="shared" si="1"/>
        <v>20000</v>
      </c>
      <c r="Q120" s="128"/>
      <c r="R120" s="47"/>
    </row>
    <row r="121" spans="1:18" ht="20.100000000000001" customHeight="1" x14ac:dyDescent="0.3">
      <c r="A121" s="146">
        <v>46131</v>
      </c>
      <c r="B121" s="139" t="s">
        <v>45</v>
      </c>
      <c r="C121" s="139" t="s">
        <v>47</v>
      </c>
      <c r="D121" s="139" t="s">
        <v>48</v>
      </c>
      <c r="E121" s="139"/>
      <c r="F121" s="139" t="s">
        <v>74</v>
      </c>
      <c r="G121" s="139"/>
      <c r="H121" s="139"/>
      <c r="I121" s="139" t="s">
        <v>72</v>
      </c>
      <c r="J121" s="140" t="s">
        <v>73</v>
      </c>
      <c r="K121" s="141">
        <v>100000</v>
      </c>
      <c r="L121" s="142">
        <v>120000</v>
      </c>
      <c r="M121" s="143"/>
      <c r="N121" s="144"/>
      <c r="O121" s="149" t="s">
        <v>271</v>
      </c>
      <c r="P121" s="150">
        <f t="shared" si="1"/>
        <v>20000</v>
      </c>
      <c r="Q121" s="129"/>
      <c r="R121" s="48"/>
    </row>
    <row r="122" spans="1:18" ht="20.100000000000001" customHeight="1" x14ac:dyDescent="0.3">
      <c r="A122" s="146">
        <v>46125</v>
      </c>
      <c r="B122" s="139" t="s">
        <v>45</v>
      </c>
      <c r="C122" s="139" t="s">
        <v>47</v>
      </c>
      <c r="D122" s="139" t="s">
        <v>48</v>
      </c>
      <c r="E122" s="139"/>
      <c r="F122" s="139" t="s">
        <v>75</v>
      </c>
      <c r="G122" s="139"/>
      <c r="H122" s="139"/>
      <c r="I122" s="139" t="s">
        <v>76</v>
      </c>
      <c r="J122" s="140" t="s">
        <v>77</v>
      </c>
      <c r="K122" s="141">
        <v>100000</v>
      </c>
      <c r="L122" s="142">
        <v>120000</v>
      </c>
      <c r="M122" s="143"/>
      <c r="N122" s="144"/>
      <c r="O122" s="149" t="s">
        <v>271</v>
      </c>
      <c r="P122" s="150">
        <f t="shared" si="1"/>
        <v>20000</v>
      </c>
      <c r="Q122" s="128"/>
      <c r="R122" s="47"/>
    </row>
    <row r="123" spans="1:18" ht="20.100000000000001" customHeight="1" x14ac:dyDescent="0.3">
      <c r="A123" s="146">
        <v>46130</v>
      </c>
      <c r="B123" s="139" t="s">
        <v>45</v>
      </c>
      <c r="C123" s="139" t="s">
        <v>47</v>
      </c>
      <c r="D123" s="139" t="s">
        <v>48</v>
      </c>
      <c r="E123" s="139"/>
      <c r="F123" s="139" t="s">
        <v>75</v>
      </c>
      <c r="G123" s="139"/>
      <c r="H123" s="139"/>
      <c r="I123" s="139" t="s">
        <v>76</v>
      </c>
      <c r="J123" s="140" t="s">
        <v>77</v>
      </c>
      <c r="K123" s="141">
        <v>100000</v>
      </c>
      <c r="L123" s="142">
        <v>120000</v>
      </c>
      <c r="M123" s="143"/>
      <c r="N123" s="144"/>
      <c r="O123" s="149" t="s">
        <v>271</v>
      </c>
      <c r="P123" s="150">
        <f t="shared" si="1"/>
        <v>20000</v>
      </c>
      <c r="Q123" s="128"/>
      <c r="R123" s="47"/>
    </row>
    <row r="124" spans="1:18" ht="20.100000000000001" customHeight="1" x14ac:dyDescent="0.3">
      <c r="A124" s="146">
        <v>46131</v>
      </c>
      <c r="B124" s="139" t="s">
        <v>45</v>
      </c>
      <c r="C124" s="139" t="s">
        <v>47</v>
      </c>
      <c r="D124" s="139" t="s">
        <v>48</v>
      </c>
      <c r="E124" s="139"/>
      <c r="F124" s="139" t="s">
        <v>75</v>
      </c>
      <c r="G124" s="139"/>
      <c r="H124" s="139"/>
      <c r="I124" s="139" t="s">
        <v>76</v>
      </c>
      <c r="J124" s="140" t="s">
        <v>77</v>
      </c>
      <c r="K124" s="141">
        <v>100000</v>
      </c>
      <c r="L124" s="142">
        <v>120000</v>
      </c>
      <c r="M124" s="143"/>
      <c r="N124" s="144"/>
      <c r="O124" s="149" t="s">
        <v>271</v>
      </c>
      <c r="P124" s="150">
        <f t="shared" si="1"/>
        <v>20000</v>
      </c>
    </row>
    <row r="125" spans="1:18" ht="20.100000000000001" customHeight="1" x14ac:dyDescent="0.3">
      <c r="A125" s="146">
        <v>46130</v>
      </c>
      <c r="B125" s="139" t="s">
        <v>45</v>
      </c>
      <c r="C125" s="139" t="s">
        <v>47</v>
      </c>
      <c r="D125" s="139" t="s">
        <v>48</v>
      </c>
      <c r="E125" s="139"/>
      <c r="F125" s="139" t="s">
        <v>272</v>
      </c>
      <c r="G125" s="139"/>
      <c r="H125" s="139"/>
      <c r="I125" s="139" t="s">
        <v>204</v>
      </c>
      <c r="J125" s="140">
        <v>1005702808747</v>
      </c>
      <c r="K125" s="141">
        <v>100000</v>
      </c>
      <c r="L125" s="142">
        <v>120000</v>
      </c>
      <c r="M125" s="143"/>
      <c r="N125" s="144"/>
      <c r="O125" s="149" t="s">
        <v>271</v>
      </c>
      <c r="P125" s="150">
        <f t="shared" si="1"/>
        <v>20000</v>
      </c>
      <c r="Q125" s="45"/>
      <c r="R125" s="45"/>
    </row>
    <row r="126" spans="1:18" ht="20.100000000000001" customHeight="1" x14ac:dyDescent="0.3">
      <c r="A126" s="146">
        <v>46131</v>
      </c>
      <c r="B126" s="139" t="s">
        <v>45</v>
      </c>
      <c r="C126" s="139" t="s">
        <v>47</v>
      </c>
      <c r="D126" s="139" t="s">
        <v>48</v>
      </c>
      <c r="E126" s="139"/>
      <c r="F126" s="139" t="s">
        <v>272</v>
      </c>
      <c r="G126" s="139"/>
      <c r="H126" s="139"/>
      <c r="I126" s="139" t="s">
        <v>204</v>
      </c>
      <c r="J126" s="140">
        <v>1005702808747</v>
      </c>
      <c r="K126" s="141">
        <v>100000</v>
      </c>
      <c r="L126" s="142">
        <v>120000</v>
      </c>
      <c r="M126" s="143"/>
      <c r="N126" s="144"/>
      <c r="O126" s="149" t="s">
        <v>271</v>
      </c>
      <c r="P126" s="150">
        <f t="shared" si="1"/>
        <v>20000</v>
      </c>
    </row>
    <row r="127" spans="1:18" ht="20.100000000000001" customHeight="1" x14ac:dyDescent="0.3">
      <c r="A127" s="146">
        <v>46131</v>
      </c>
      <c r="B127" s="139" t="s">
        <v>45</v>
      </c>
      <c r="C127" s="139" t="s">
        <v>47</v>
      </c>
      <c r="D127" s="139" t="s">
        <v>48</v>
      </c>
      <c r="E127" s="139"/>
      <c r="F127" s="139" t="s">
        <v>80</v>
      </c>
      <c r="G127" s="139" t="s">
        <v>81</v>
      </c>
      <c r="H127" s="139"/>
      <c r="I127" s="139" t="s">
        <v>62</v>
      </c>
      <c r="J127" s="140">
        <v>9500021279810</v>
      </c>
      <c r="K127" s="141">
        <v>100000</v>
      </c>
      <c r="L127" s="142">
        <v>120000</v>
      </c>
      <c r="M127" s="143"/>
      <c r="N127" s="144"/>
      <c r="O127" s="149" t="s">
        <v>271</v>
      </c>
      <c r="P127" s="150">
        <f t="shared" si="1"/>
        <v>20000</v>
      </c>
    </row>
    <row r="128" spans="1:18" ht="20.100000000000001" customHeight="1" x14ac:dyDescent="0.3">
      <c r="A128" s="130"/>
      <c r="B128" s="131"/>
      <c r="C128" s="131"/>
      <c r="D128" s="131"/>
      <c r="E128" s="131"/>
      <c r="F128" s="131"/>
      <c r="G128" s="131"/>
      <c r="H128" s="131"/>
      <c r="I128" s="131"/>
      <c r="J128" s="132"/>
      <c r="K128" s="133"/>
      <c r="L128" s="134"/>
      <c r="M128" s="135"/>
      <c r="N128" s="135"/>
      <c r="O128" s="45"/>
      <c r="P128" s="45"/>
      <c r="Q128" s="45"/>
      <c r="R128" s="45"/>
    </row>
    <row r="129" spans="1:18" ht="20.100000000000001" customHeight="1" x14ac:dyDescent="0.3">
      <c r="A129" s="26"/>
      <c r="B129" s="27"/>
      <c r="C129" s="27"/>
      <c r="D129" s="27"/>
      <c r="E129" s="27"/>
      <c r="F129" s="27"/>
      <c r="G129" s="27"/>
      <c r="H129" s="27"/>
      <c r="I129" s="27"/>
      <c r="J129" s="81"/>
      <c r="K129" s="41"/>
      <c r="L129" s="46"/>
      <c r="M129" s="44"/>
      <c r="N129" s="44"/>
      <c r="O129" s="45"/>
      <c r="P129" s="45"/>
      <c r="Q129" s="45"/>
      <c r="R129" s="45"/>
    </row>
    <row r="130" spans="1:18" ht="20.100000000000001" customHeight="1" x14ac:dyDescent="0.3">
      <c r="A130" s="26"/>
      <c r="B130" s="27"/>
      <c r="C130" s="27"/>
      <c r="D130" s="27"/>
      <c r="E130" s="27"/>
      <c r="F130" s="27"/>
      <c r="G130" s="27"/>
      <c r="H130" s="27"/>
      <c r="I130" s="27"/>
      <c r="J130" s="81"/>
      <c r="K130" s="41"/>
      <c r="L130" s="46"/>
      <c r="M130" s="44"/>
    </row>
    <row r="131" spans="1:18" ht="20.100000000000001" customHeight="1" x14ac:dyDescent="0.3">
      <c r="A131" s="26"/>
      <c r="B131" s="27"/>
      <c r="C131" s="27"/>
      <c r="D131" s="27"/>
      <c r="E131" s="27"/>
      <c r="F131" s="27"/>
      <c r="G131" s="27"/>
      <c r="H131" s="27"/>
      <c r="I131" s="27"/>
      <c r="J131" s="81"/>
      <c r="K131" s="41"/>
      <c r="L131" s="46"/>
      <c r="M131" s="44"/>
    </row>
    <row r="132" spans="1:18" ht="20.100000000000001" customHeight="1" x14ac:dyDescent="0.3">
      <c r="A132" s="26"/>
      <c r="B132" s="27"/>
      <c r="C132" s="27"/>
      <c r="D132" s="27"/>
      <c r="E132" s="27"/>
      <c r="F132" s="27"/>
      <c r="G132" s="27"/>
      <c r="H132" s="27"/>
      <c r="I132" s="27"/>
      <c r="J132" s="81"/>
      <c r="K132" s="41"/>
      <c r="L132" s="46"/>
      <c r="M132" s="44"/>
    </row>
    <row r="133" spans="1:18" ht="20.100000000000001" customHeight="1" x14ac:dyDescent="0.3">
      <c r="A133" s="26"/>
      <c r="B133" s="27"/>
      <c r="C133" s="27"/>
      <c r="D133" s="27"/>
      <c r="E133" s="27"/>
      <c r="F133" s="27"/>
      <c r="G133" s="27"/>
      <c r="H133" s="27"/>
      <c r="I133" s="27"/>
      <c r="J133" s="81"/>
      <c r="K133" s="41"/>
      <c r="L133" s="46"/>
      <c r="M133" s="44"/>
      <c r="N133" s="47"/>
    </row>
    <row r="134" spans="1:18" ht="20.100000000000001" customHeight="1" x14ac:dyDescent="0.3">
      <c r="A134" s="26"/>
      <c r="B134" s="27"/>
      <c r="C134" s="27"/>
      <c r="D134" s="27"/>
      <c r="E134" s="27"/>
      <c r="F134" s="27"/>
      <c r="G134" s="27"/>
      <c r="H134" s="27"/>
      <c r="I134" s="27"/>
      <c r="J134" s="81"/>
      <c r="K134" s="41"/>
      <c r="L134" s="46"/>
      <c r="M134" s="44"/>
      <c r="N134" s="47"/>
    </row>
    <row r="135" spans="1:18" ht="20.100000000000001" customHeight="1" x14ac:dyDescent="0.3">
      <c r="A135" s="26"/>
      <c r="B135" s="27"/>
      <c r="C135" s="27"/>
      <c r="D135" s="27"/>
      <c r="E135" s="27"/>
      <c r="F135" s="27"/>
      <c r="G135" s="27"/>
      <c r="H135" s="27"/>
      <c r="I135" s="27"/>
      <c r="J135" s="81"/>
      <c r="K135" s="41"/>
      <c r="L135" s="46"/>
      <c r="M135" s="44"/>
      <c r="N135" s="47"/>
    </row>
    <row r="136" spans="1:18" ht="20.100000000000001" customHeight="1" x14ac:dyDescent="0.3">
      <c r="A136" s="26"/>
      <c r="B136" s="27"/>
      <c r="C136" s="27"/>
      <c r="D136" s="27"/>
      <c r="E136" s="27"/>
      <c r="F136" s="27"/>
      <c r="G136" s="27"/>
      <c r="H136" s="27"/>
      <c r="I136" s="27"/>
      <c r="J136" s="81"/>
      <c r="K136" s="41"/>
      <c r="L136" s="46"/>
      <c r="M136" s="44"/>
      <c r="N136" s="47"/>
    </row>
    <row r="137" spans="1:18" ht="20.100000000000001" customHeight="1" x14ac:dyDescent="0.3">
      <c r="A137" s="26"/>
      <c r="B137" s="27"/>
      <c r="C137" s="27"/>
      <c r="D137" s="27"/>
      <c r="E137" s="27"/>
      <c r="F137" s="27"/>
      <c r="G137" s="27"/>
      <c r="H137" s="27"/>
      <c r="I137" s="27"/>
      <c r="J137" s="81"/>
      <c r="K137" s="41"/>
      <c r="L137" s="46"/>
      <c r="M137" s="44"/>
      <c r="N137" s="47"/>
    </row>
    <row r="138" spans="1:18" ht="20.100000000000001" customHeight="1" x14ac:dyDescent="0.3">
      <c r="A138" s="26"/>
      <c r="B138" s="27"/>
      <c r="C138" s="27"/>
      <c r="D138" s="27"/>
      <c r="E138" s="27"/>
      <c r="F138" s="27"/>
      <c r="G138" s="27"/>
      <c r="H138" s="27"/>
      <c r="I138" s="27"/>
      <c r="J138" s="81"/>
      <c r="K138" s="41"/>
      <c r="L138" s="46"/>
      <c r="M138" s="44"/>
      <c r="N138" s="47"/>
    </row>
    <row r="139" spans="1:18" ht="20.100000000000001" customHeight="1" x14ac:dyDescent="0.3">
      <c r="A139" s="26"/>
      <c r="B139" s="27"/>
      <c r="C139" s="27"/>
      <c r="D139" s="27"/>
      <c r="E139" s="27"/>
      <c r="F139" s="27"/>
      <c r="G139" s="27"/>
      <c r="H139" s="27"/>
      <c r="I139" s="27"/>
      <c r="J139" s="81"/>
      <c r="K139" s="41"/>
      <c r="L139" s="46"/>
      <c r="M139" s="44"/>
      <c r="N139" s="47"/>
    </row>
    <row r="140" spans="1:18" ht="20.100000000000001" customHeight="1" x14ac:dyDescent="0.3">
      <c r="A140" s="26"/>
      <c r="B140" s="27"/>
      <c r="C140" s="27"/>
      <c r="D140" s="27"/>
      <c r="E140" s="27"/>
      <c r="F140" s="27"/>
      <c r="G140" s="27"/>
      <c r="H140" s="27"/>
      <c r="I140" s="27"/>
      <c r="J140" s="81"/>
      <c r="K140" s="41"/>
      <c r="L140" s="46"/>
      <c r="M140" s="44"/>
      <c r="N140" s="47"/>
    </row>
    <row r="141" spans="1:18" ht="20.100000000000001" customHeight="1" x14ac:dyDescent="0.3">
      <c r="A141" s="26"/>
      <c r="B141" s="27"/>
      <c r="C141" s="27"/>
      <c r="D141" s="27"/>
      <c r="E141" s="27"/>
      <c r="F141" s="27"/>
      <c r="G141" s="27"/>
      <c r="H141" s="27"/>
      <c r="I141" s="27"/>
      <c r="J141" s="81"/>
      <c r="K141" s="41"/>
      <c r="L141" s="46"/>
      <c r="M141" s="44"/>
      <c r="N141" s="47"/>
    </row>
    <row r="142" spans="1:18" ht="20.100000000000001" customHeight="1" x14ac:dyDescent="0.3">
      <c r="A142" s="26"/>
      <c r="B142" s="27"/>
      <c r="C142" s="27"/>
      <c r="D142" s="27"/>
      <c r="E142" s="27"/>
      <c r="F142" s="27"/>
      <c r="G142" s="27"/>
      <c r="H142" s="27"/>
      <c r="I142" s="27"/>
      <c r="J142" s="81"/>
      <c r="K142" s="41"/>
      <c r="L142" s="46"/>
      <c r="M142" s="44"/>
      <c r="N142" s="47"/>
    </row>
    <row r="143" spans="1:18" ht="20.100000000000001" customHeight="1" x14ac:dyDescent="0.3">
      <c r="A143" s="26"/>
      <c r="B143" s="27"/>
      <c r="C143" s="27"/>
      <c r="D143" s="27"/>
      <c r="E143" s="27"/>
      <c r="F143" s="27"/>
      <c r="G143" s="27"/>
      <c r="H143" s="27"/>
      <c r="I143" s="27"/>
      <c r="J143" s="81"/>
      <c r="K143" s="41"/>
      <c r="L143" s="46"/>
      <c r="M143" s="44"/>
      <c r="N143" s="47"/>
    </row>
    <row r="144" spans="1:18" ht="20.100000000000001" customHeight="1" x14ac:dyDescent="0.3">
      <c r="A144" s="26"/>
      <c r="B144" s="27"/>
      <c r="C144" s="27"/>
      <c r="D144" s="27"/>
      <c r="E144" s="27"/>
      <c r="F144" s="27"/>
      <c r="G144" s="27"/>
      <c r="H144" s="27"/>
      <c r="I144" s="27"/>
      <c r="J144" s="81"/>
      <c r="K144" s="41"/>
      <c r="L144" s="46"/>
      <c r="M144" s="44"/>
      <c r="N144" s="47"/>
    </row>
    <row r="145" spans="1:14" ht="20.100000000000001" customHeight="1" x14ac:dyDescent="0.3">
      <c r="A145" s="26"/>
      <c r="B145" s="27"/>
      <c r="C145" s="27"/>
      <c r="D145" s="27"/>
      <c r="E145" s="27"/>
      <c r="F145" s="27"/>
      <c r="G145" s="27"/>
      <c r="H145" s="27"/>
      <c r="I145" s="27"/>
      <c r="J145" s="81"/>
      <c r="K145" s="41"/>
      <c r="L145" s="46"/>
      <c r="M145" s="44"/>
      <c r="N145" s="47"/>
    </row>
    <row r="146" spans="1:14" ht="20.100000000000001" customHeight="1" x14ac:dyDescent="0.3">
      <c r="A146" s="26"/>
      <c r="B146" s="27"/>
      <c r="C146" s="27"/>
      <c r="D146" s="27"/>
      <c r="E146" s="27"/>
      <c r="F146" s="27"/>
      <c r="G146" s="27"/>
      <c r="H146" s="27"/>
      <c r="I146" s="27"/>
      <c r="J146" s="81"/>
      <c r="K146" s="41"/>
      <c r="L146" s="46"/>
      <c r="M146" s="44"/>
      <c r="N146" s="47"/>
    </row>
    <row r="147" spans="1:14" ht="20.100000000000001" customHeight="1" x14ac:dyDescent="0.3">
      <c r="A147" s="26"/>
      <c r="B147" s="27"/>
      <c r="C147" s="27"/>
      <c r="D147" s="27"/>
      <c r="E147" s="27"/>
      <c r="F147" s="27"/>
      <c r="G147" s="27"/>
      <c r="H147" s="27"/>
      <c r="I147" s="27"/>
      <c r="J147" s="81"/>
      <c r="K147" s="41"/>
      <c r="L147" s="46"/>
    </row>
    <row r="148" spans="1:14" ht="20.100000000000001" customHeight="1" x14ac:dyDescent="0.3">
      <c r="A148" s="26"/>
      <c r="B148" s="27"/>
      <c r="C148" s="27"/>
      <c r="D148" s="49"/>
      <c r="E148" s="27"/>
      <c r="F148" s="27"/>
      <c r="G148" s="50"/>
      <c r="H148" s="50"/>
      <c r="I148" s="50"/>
      <c r="J148" s="83"/>
      <c r="K148" s="41"/>
      <c r="L148" s="46"/>
    </row>
    <row r="149" spans="1:14" ht="20.100000000000001" customHeight="1" x14ac:dyDescent="0.3">
      <c r="A149" s="26"/>
      <c r="B149" s="27"/>
      <c r="C149" s="27"/>
      <c r="D149" s="27"/>
      <c r="E149" s="27"/>
      <c r="F149" s="27"/>
      <c r="G149" s="27"/>
      <c r="H149" s="27"/>
      <c r="I149" s="27"/>
      <c r="J149" s="81"/>
      <c r="K149" s="41"/>
      <c r="L149" s="46"/>
    </row>
    <row r="150" spans="1:14" ht="20.100000000000001" customHeight="1" x14ac:dyDescent="0.3">
      <c r="A150" s="26"/>
      <c r="B150" s="27"/>
      <c r="C150" s="27"/>
      <c r="D150" s="27"/>
      <c r="E150" s="27"/>
      <c r="F150" s="27"/>
      <c r="G150" s="27"/>
      <c r="H150" s="27"/>
      <c r="I150" s="27"/>
      <c r="J150" s="81"/>
      <c r="K150" s="41"/>
      <c r="L150" s="46"/>
    </row>
    <row r="151" spans="1:14" ht="20.100000000000001" customHeight="1" x14ac:dyDescent="0.3">
      <c r="A151" s="26"/>
      <c r="B151" s="27"/>
      <c r="C151" s="27"/>
      <c r="D151" s="27"/>
      <c r="E151" s="27"/>
      <c r="F151" s="27"/>
      <c r="G151" s="27"/>
      <c r="H151" s="27"/>
      <c r="I151" s="27"/>
      <c r="J151" s="81"/>
      <c r="K151" s="41"/>
      <c r="L151" s="46"/>
    </row>
    <row r="152" spans="1:14" ht="20.100000000000001" customHeight="1" x14ac:dyDescent="0.3">
      <c r="A152" s="26"/>
      <c r="B152" s="27"/>
      <c r="C152" s="27"/>
      <c r="D152" s="27"/>
      <c r="E152" s="27"/>
      <c r="F152" s="27"/>
      <c r="G152" s="27"/>
      <c r="H152" s="27"/>
      <c r="I152" s="27"/>
      <c r="J152" s="81"/>
      <c r="K152" s="41"/>
      <c r="L152" s="46"/>
    </row>
    <row r="153" spans="1:14" ht="20.100000000000001" customHeight="1" x14ac:dyDescent="0.3">
      <c r="A153" s="26"/>
      <c r="B153" s="27"/>
      <c r="C153" s="27"/>
      <c r="D153" s="27"/>
      <c r="E153" s="27"/>
      <c r="F153" s="27"/>
      <c r="G153" s="27"/>
      <c r="H153" s="27"/>
      <c r="I153" s="27"/>
      <c r="J153" s="81"/>
      <c r="K153" s="41"/>
      <c r="L153" s="46"/>
    </row>
    <row r="154" spans="1:14" ht="20.100000000000001" customHeight="1" x14ac:dyDescent="0.3">
      <c r="A154" s="26"/>
      <c r="B154" s="27"/>
      <c r="C154" s="27"/>
      <c r="D154" s="27"/>
      <c r="E154" s="27"/>
      <c r="F154" s="27"/>
      <c r="G154" s="27"/>
      <c r="H154" s="27"/>
      <c r="I154" s="27"/>
      <c r="J154" s="81"/>
      <c r="K154" s="41"/>
      <c r="L154" s="46"/>
    </row>
    <row r="155" spans="1:14" ht="20.100000000000001" customHeight="1" x14ac:dyDescent="0.3">
      <c r="A155" s="26"/>
    </row>
    <row r="156" spans="1:14" ht="20.100000000000001" customHeight="1" x14ac:dyDescent="0.3">
      <c r="A156" s="26"/>
    </row>
    <row r="157" spans="1:14" ht="20.100000000000001" customHeight="1" x14ac:dyDescent="0.3">
      <c r="A157" s="26"/>
    </row>
    <row r="158" spans="1:14" ht="20.100000000000001" customHeight="1" x14ac:dyDescent="0.3">
      <c r="A158" s="26"/>
    </row>
    <row r="159" spans="1:14" ht="20.100000000000001" customHeight="1" x14ac:dyDescent="0.3">
      <c r="A159" s="26"/>
    </row>
    <row r="160" spans="1:14" ht="20.100000000000001" customHeight="1" x14ac:dyDescent="0.3">
      <c r="A160" s="26"/>
    </row>
    <row r="161" spans="1:1" ht="20.100000000000001" customHeight="1" x14ac:dyDescent="0.3">
      <c r="A161" s="26"/>
    </row>
    <row r="162" spans="1:1" ht="20.100000000000001" customHeight="1" x14ac:dyDescent="0.3">
      <c r="A162" s="26"/>
    </row>
    <row r="163" spans="1:1" ht="20.100000000000001" customHeight="1" x14ac:dyDescent="0.3">
      <c r="A163" s="26"/>
    </row>
    <row r="164" spans="1:1" ht="20.100000000000001" customHeight="1" x14ac:dyDescent="0.3">
      <c r="A164" s="26"/>
    </row>
    <row r="165" spans="1:1" ht="20.100000000000001" customHeight="1" x14ac:dyDescent="0.3">
      <c r="A165" s="26"/>
    </row>
    <row r="166" spans="1:1" ht="20.100000000000001" customHeight="1" x14ac:dyDescent="0.3">
      <c r="A166" s="26"/>
    </row>
    <row r="167" spans="1:1" ht="20.100000000000001" customHeight="1" x14ac:dyDescent="0.3">
      <c r="A167" s="26"/>
    </row>
    <row r="168" spans="1:1" ht="20.100000000000001" customHeight="1" x14ac:dyDescent="0.3">
      <c r="A168" s="26"/>
    </row>
    <row r="169" spans="1:1" ht="20.100000000000001" customHeight="1" x14ac:dyDescent="0.3">
      <c r="A169" s="26"/>
    </row>
    <row r="170" spans="1:1" ht="20.100000000000001" customHeight="1" x14ac:dyDescent="0.3">
      <c r="A170" s="26"/>
    </row>
    <row r="171" spans="1:1" ht="20.100000000000001" customHeight="1" x14ac:dyDescent="0.3">
      <c r="A171" s="26"/>
    </row>
    <row r="172" spans="1:1" ht="20.100000000000001" customHeight="1" x14ac:dyDescent="0.3">
      <c r="A172" s="26"/>
    </row>
    <row r="173" spans="1:1" ht="20.100000000000001" customHeight="1" x14ac:dyDescent="0.3">
      <c r="A173" s="26"/>
    </row>
    <row r="174" spans="1:1" ht="20.100000000000001" customHeight="1" x14ac:dyDescent="0.3">
      <c r="A174" s="26"/>
    </row>
    <row r="175" spans="1:1" ht="20.100000000000001" customHeight="1" x14ac:dyDescent="0.3">
      <c r="A175" s="26"/>
    </row>
    <row r="176" spans="1:1" ht="20.100000000000001" customHeight="1" x14ac:dyDescent="0.3">
      <c r="A176" s="26"/>
    </row>
    <row r="177" spans="1:1" ht="20.100000000000001" customHeight="1" x14ac:dyDescent="0.3">
      <c r="A177" s="26"/>
    </row>
    <row r="178" spans="1:1" ht="20.100000000000001" customHeight="1" x14ac:dyDescent="0.3">
      <c r="A178" s="26"/>
    </row>
    <row r="179" spans="1:1" ht="20.100000000000001" customHeight="1" x14ac:dyDescent="0.3">
      <c r="A179" s="26"/>
    </row>
    <row r="180" spans="1:1" ht="20.100000000000001" customHeight="1" x14ac:dyDescent="0.3">
      <c r="A180" s="26"/>
    </row>
    <row r="181" spans="1:1" ht="20.100000000000001" customHeight="1" x14ac:dyDescent="0.3">
      <c r="A181" s="26"/>
    </row>
    <row r="182" spans="1:1" ht="20.100000000000001" customHeight="1" x14ac:dyDescent="0.3">
      <c r="A182" s="26"/>
    </row>
    <row r="183" spans="1:1" ht="20.100000000000001" customHeight="1" x14ac:dyDescent="0.3">
      <c r="A183" s="26"/>
    </row>
    <row r="184" spans="1:1" ht="20.100000000000001" customHeight="1" x14ac:dyDescent="0.3">
      <c r="A184" s="26"/>
    </row>
    <row r="185" spans="1:1" ht="20.100000000000001" customHeight="1" x14ac:dyDescent="0.3">
      <c r="A185" s="26"/>
    </row>
    <row r="186" spans="1:1" ht="20.100000000000001" customHeight="1" x14ac:dyDescent="0.3">
      <c r="A186" s="26"/>
    </row>
    <row r="187" spans="1:1" ht="20.100000000000001" customHeight="1" x14ac:dyDescent="0.3">
      <c r="A187" s="26"/>
    </row>
    <row r="188" spans="1:1" ht="20.100000000000001" customHeight="1" x14ac:dyDescent="0.3">
      <c r="A188" s="26"/>
    </row>
    <row r="189" spans="1:1" ht="20.100000000000001" customHeight="1" x14ac:dyDescent="0.3">
      <c r="A189" s="26"/>
    </row>
    <row r="190" spans="1:1" ht="20.100000000000001" customHeight="1" x14ac:dyDescent="0.3">
      <c r="A190" s="26"/>
    </row>
    <row r="191" spans="1:1" ht="20.100000000000001" customHeight="1" x14ac:dyDescent="0.3">
      <c r="A191" s="26"/>
    </row>
    <row r="192" spans="1:1" ht="20.100000000000001" customHeight="1" x14ac:dyDescent="0.3">
      <c r="A192" s="26"/>
    </row>
    <row r="193" spans="1:1" ht="20.100000000000001" customHeight="1" x14ac:dyDescent="0.3">
      <c r="A193" s="26"/>
    </row>
    <row r="194" spans="1:1" ht="20.100000000000001" customHeight="1" x14ac:dyDescent="0.3">
      <c r="A194" s="26"/>
    </row>
    <row r="195" spans="1:1" ht="20.100000000000001" customHeight="1" x14ac:dyDescent="0.3">
      <c r="A195" s="26"/>
    </row>
    <row r="196" spans="1:1" ht="20.100000000000001" customHeight="1" x14ac:dyDescent="0.3">
      <c r="A196" s="26"/>
    </row>
    <row r="197" spans="1:1" ht="20.100000000000001" customHeight="1" x14ac:dyDescent="0.3">
      <c r="A197" s="26"/>
    </row>
    <row r="198" spans="1:1" ht="20.100000000000001" customHeight="1" x14ac:dyDescent="0.3">
      <c r="A198" s="26"/>
    </row>
    <row r="199" spans="1:1" ht="20.100000000000001" customHeight="1" x14ac:dyDescent="0.3">
      <c r="A199" s="26"/>
    </row>
    <row r="200" spans="1:1" ht="20.100000000000001" customHeight="1" x14ac:dyDescent="0.3">
      <c r="A200" s="26"/>
    </row>
    <row r="201" spans="1:1" ht="20.100000000000001" customHeight="1" x14ac:dyDescent="0.3">
      <c r="A201" s="26"/>
    </row>
    <row r="202" spans="1:1" ht="20.100000000000001" customHeight="1" x14ac:dyDescent="0.3">
      <c r="A202" s="26"/>
    </row>
    <row r="203" spans="1:1" ht="20.100000000000001" customHeight="1" x14ac:dyDescent="0.3">
      <c r="A203" s="26"/>
    </row>
    <row r="204" spans="1:1" ht="20.100000000000001" customHeight="1" x14ac:dyDescent="0.3">
      <c r="A204" s="26"/>
    </row>
    <row r="205" spans="1:1" ht="20.100000000000001" customHeight="1" x14ac:dyDescent="0.3">
      <c r="A205" s="26"/>
    </row>
    <row r="206" spans="1:1" ht="20.100000000000001" customHeight="1" x14ac:dyDescent="0.3">
      <c r="A206" s="26"/>
    </row>
    <row r="207" spans="1:1" ht="20.100000000000001" customHeight="1" x14ac:dyDescent="0.3">
      <c r="A207" s="26"/>
    </row>
    <row r="208" spans="1:1" ht="20.100000000000001" customHeight="1" x14ac:dyDescent="0.3">
      <c r="A208" s="26"/>
    </row>
    <row r="209" spans="1:1" ht="20.100000000000001" customHeight="1" x14ac:dyDescent="0.3">
      <c r="A209" s="26"/>
    </row>
    <row r="210" spans="1:1" ht="20.100000000000001" customHeight="1" x14ac:dyDescent="0.3">
      <c r="A210" s="26"/>
    </row>
    <row r="211" spans="1:1" ht="20.100000000000001" customHeight="1" x14ac:dyDescent="0.3">
      <c r="A211" s="26"/>
    </row>
    <row r="212" spans="1:1" ht="20.100000000000001" customHeight="1" x14ac:dyDescent="0.3">
      <c r="A212" s="26"/>
    </row>
    <row r="213" spans="1:1" ht="20.100000000000001" customHeight="1" x14ac:dyDescent="0.3">
      <c r="A213" s="26"/>
    </row>
    <row r="214" spans="1:1" ht="20.100000000000001" customHeight="1" x14ac:dyDescent="0.3">
      <c r="A214" s="26"/>
    </row>
    <row r="215" spans="1:1" ht="20.100000000000001" customHeight="1" x14ac:dyDescent="0.3">
      <c r="A215" s="26"/>
    </row>
    <row r="216" spans="1:1" ht="20.100000000000001" customHeight="1" x14ac:dyDescent="0.3">
      <c r="A216" s="26"/>
    </row>
    <row r="217" spans="1:1" ht="20.100000000000001" customHeight="1" x14ac:dyDescent="0.3">
      <c r="A217" s="26"/>
    </row>
    <row r="218" spans="1:1" ht="20.100000000000001" customHeight="1" x14ac:dyDescent="0.3">
      <c r="A218" s="26"/>
    </row>
    <row r="219" spans="1:1" ht="20.100000000000001" customHeight="1" x14ac:dyDescent="0.3">
      <c r="A219" s="26"/>
    </row>
    <row r="220" spans="1:1" ht="20.100000000000001" customHeight="1" x14ac:dyDescent="0.3">
      <c r="A220" s="26"/>
    </row>
    <row r="221" spans="1:1" ht="20.100000000000001" customHeight="1" x14ac:dyDescent="0.3">
      <c r="A221" s="26"/>
    </row>
    <row r="222" spans="1:1" ht="20.100000000000001" customHeight="1" x14ac:dyDescent="0.3">
      <c r="A222" s="26"/>
    </row>
    <row r="223" spans="1:1" ht="20.100000000000001" customHeight="1" x14ac:dyDescent="0.3">
      <c r="A223" s="26"/>
    </row>
    <row r="224" spans="1:1" ht="20.100000000000001" customHeight="1" x14ac:dyDescent="0.3">
      <c r="A224" s="26"/>
    </row>
    <row r="225" spans="1:1" ht="20.100000000000001" customHeight="1" x14ac:dyDescent="0.3">
      <c r="A225" s="26"/>
    </row>
    <row r="226" spans="1:1" ht="20.100000000000001" customHeight="1" x14ac:dyDescent="0.3">
      <c r="A226" s="26"/>
    </row>
    <row r="227" spans="1:1" ht="20.100000000000001" customHeight="1" x14ac:dyDescent="0.3">
      <c r="A227" s="26"/>
    </row>
    <row r="228" spans="1:1" ht="20.100000000000001" customHeight="1" x14ac:dyDescent="0.3">
      <c r="A228" s="26"/>
    </row>
    <row r="229" spans="1:1" ht="20.100000000000001" customHeight="1" x14ac:dyDescent="0.3">
      <c r="A229" s="26"/>
    </row>
    <row r="230" spans="1:1" ht="20.100000000000001" customHeight="1" x14ac:dyDescent="0.3">
      <c r="A230" s="26"/>
    </row>
    <row r="231" spans="1:1" ht="20.100000000000001" customHeight="1" x14ac:dyDescent="0.3">
      <c r="A231" s="26"/>
    </row>
    <row r="232" spans="1:1" ht="20.100000000000001" customHeight="1" x14ac:dyDescent="0.3">
      <c r="A232" s="26"/>
    </row>
    <row r="233" spans="1:1" ht="20.100000000000001" customHeight="1" x14ac:dyDescent="0.3">
      <c r="A233" s="26"/>
    </row>
    <row r="234" spans="1:1" ht="20.100000000000001" customHeight="1" x14ac:dyDescent="0.3">
      <c r="A234" s="26"/>
    </row>
    <row r="235" spans="1:1" ht="20.100000000000001" customHeight="1" x14ac:dyDescent="0.3">
      <c r="A235" s="26"/>
    </row>
    <row r="236" spans="1:1" ht="20.100000000000001" customHeight="1" x14ac:dyDescent="0.3">
      <c r="A236" s="26"/>
    </row>
    <row r="237" spans="1:1" ht="20.100000000000001" customHeight="1" x14ac:dyDescent="0.3">
      <c r="A237" s="26"/>
    </row>
    <row r="238" spans="1:1" ht="20.100000000000001" customHeight="1" x14ac:dyDescent="0.3">
      <c r="A238" s="26"/>
    </row>
    <row r="239" spans="1:1" ht="20.100000000000001" customHeight="1" x14ac:dyDescent="0.3">
      <c r="A239" s="26"/>
    </row>
    <row r="240" spans="1:1" ht="20.100000000000001" customHeight="1" x14ac:dyDescent="0.3">
      <c r="A240" s="26"/>
    </row>
    <row r="241" spans="1:1" ht="20.100000000000001" customHeight="1" x14ac:dyDescent="0.3">
      <c r="A241" s="26"/>
    </row>
    <row r="242" spans="1:1" ht="20.100000000000001" customHeight="1" x14ac:dyDescent="0.3">
      <c r="A242" s="26"/>
    </row>
    <row r="243" spans="1:1" ht="20.100000000000001" customHeight="1" x14ac:dyDescent="0.3">
      <c r="A243" s="26"/>
    </row>
    <row r="244" spans="1:1" ht="20.100000000000001" customHeight="1" x14ac:dyDescent="0.3">
      <c r="A244" s="26"/>
    </row>
    <row r="245" spans="1:1" ht="20.100000000000001" customHeight="1" x14ac:dyDescent="0.3">
      <c r="A245" s="26"/>
    </row>
    <row r="246" spans="1:1" ht="20.100000000000001" customHeight="1" x14ac:dyDescent="0.3">
      <c r="A246" s="26"/>
    </row>
    <row r="247" spans="1:1" ht="20.100000000000001" customHeight="1" x14ac:dyDescent="0.3">
      <c r="A247" s="26"/>
    </row>
    <row r="248" spans="1:1" ht="20.100000000000001" customHeight="1" x14ac:dyDescent="0.3">
      <c r="A248" s="26"/>
    </row>
    <row r="249" spans="1:1" ht="20.100000000000001" customHeight="1" x14ac:dyDescent="0.3">
      <c r="A249" s="26"/>
    </row>
    <row r="250" spans="1:1" ht="20.100000000000001" customHeight="1" x14ac:dyDescent="0.3">
      <c r="A250" s="26"/>
    </row>
    <row r="251" spans="1:1" ht="20.100000000000001" customHeight="1" x14ac:dyDescent="0.3">
      <c r="A251" s="26"/>
    </row>
    <row r="252" spans="1:1" ht="20.100000000000001" customHeight="1" x14ac:dyDescent="0.3">
      <c r="A252" s="26"/>
    </row>
    <row r="253" spans="1:1" ht="20.100000000000001" customHeight="1" x14ac:dyDescent="0.3">
      <c r="A253" s="26"/>
    </row>
    <row r="254" spans="1:1" ht="20.100000000000001" customHeight="1" x14ac:dyDescent="0.3">
      <c r="A254" s="26"/>
    </row>
    <row r="255" spans="1:1" ht="20.100000000000001" customHeight="1" x14ac:dyDescent="0.3">
      <c r="A255" s="26"/>
    </row>
    <row r="256" spans="1:1" ht="20.100000000000001" customHeight="1" x14ac:dyDescent="0.3">
      <c r="A256" s="26"/>
    </row>
    <row r="257" spans="1:1" ht="20.100000000000001" customHeight="1" x14ac:dyDescent="0.3">
      <c r="A257" s="26"/>
    </row>
    <row r="258" spans="1:1" ht="20.100000000000001" customHeight="1" x14ac:dyDescent="0.3">
      <c r="A258" s="26"/>
    </row>
    <row r="259" spans="1:1" ht="20.100000000000001" customHeight="1" x14ac:dyDescent="0.3">
      <c r="A259" s="26"/>
    </row>
    <row r="260" spans="1:1" ht="20.100000000000001" customHeight="1" x14ac:dyDescent="0.3">
      <c r="A260" s="26"/>
    </row>
    <row r="261" spans="1:1" ht="20.100000000000001" customHeight="1" x14ac:dyDescent="0.3">
      <c r="A261" s="26"/>
    </row>
    <row r="262" spans="1:1" ht="20.100000000000001" customHeight="1" x14ac:dyDescent="0.3">
      <c r="A262" s="26"/>
    </row>
    <row r="263" spans="1:1" ht="20.100000000000001" customHeight="1" x14ac:dyDescent="0.3">
      <c r="A263" s="26"/>
    </row>
    <row r="264" spans="1:1" ht="20.100000000000001" customHeight="1" x14ac:dyDescent="0.3">
      <c r="A264" s="26"/>
    </row>
    <row r="265" spans="1:1" ht="20.100000000000001" customHeight="1" x14ac:dyDescent="0.3">
      <c r="A265" s="26"/>
    </row>
    <row r="266" spans="1:1" ht="20.100000000000001" customHeight="1" x14ac:dyDescent="0.3">
      <c r="A266" s="26"/>
    </row>
    <row r="267" spans="1:1" ht="20.100000000000001" customHeight="1" x14ac:dyDescent="0.3">
      <c r="A267" s="26"/>
    </row>
    <row r="268" spans="1:1" ht="20.100000000000001" customHeight="1" x14ac:dyDescent="0.3">
      <c r="A268" s="26"/>
    </row>
    <row r="269" spans="1:1" ht="20.100000000000001" customHeight="1" x14ac:dyDescent="0.3">
      <c r="A269" s="26"/>
    </row>
    <row r="270" spans="1:1" ht="20.100000000000001" customHeight="1" x14ac:dyDescent="0.3">
      <c r="A270" s="26"/>
    </row>
    <row r="271" spans="1:1" ht="20.100000000000001" customHeight="1" x14ac:dyDescent="0.3">
      <c r="A271" s="26"/>
    </row>
    <row r="272" spans="1:1" ht="20.100000000000001" customHeight="1" x14ac:dyDescent="0.3">
      <c r="A272" s="26"/>
    </row>
    <row r="273" spans="1:1" ht="20.100000000000001" customHeight="1" x14ac:dyDescent="0.3">
      <c r="A273" s="26"/>
    </row>
    <row r="274" spans="1:1" ht="20.100000000000001" customHeight="1" x14ac:dyDescent="0.3">
      <c r="A274" s="26"/>
    </row>
    <row r="275" spans="1:1" ht="20.100000000000001" customHeight="1" x14ac:dyDescent="0.3">
      <c r="A275" s="26"/>
    </row>
    <row r="276" spans="1:1" ht="20.100000000000001" customHeight="1" x14ac:dyDescent="0.3">
      <c r="A276" s="26"/>
    </row>
    <row r="277" spans="1:1" ht="20.100000000000001" customHeight="1" x14ac:dyDescent="0.3">
      <c r="A277" s="26"/>
    </row>
    <row r="278" spans="1:1" ht="20.100000000000001" customHeight="1" x14ac:dyDescent="0.3">
      <c r="A278" s="26"/>
    </row>
    <row r="279" spans="1:1" ht="20.100000000000001" customHeight="1" x14ac:dyDescent="0.3">
      <c r="A279" s="26"/>
    </row>
    <row r="280" spans="1:1" ht="20.100000000000001" customHeight="1" x14ac:dyDescent="0.3">
      <c r="A280" s="26"/>
    </row>
    <row r="281" spans="1:1" ht="20.100000000000001" customHeight="1" x14ac:dyDescent="0.3">
      <c r="A281" s="26"/>
    </row>
    <row r="282" spans="1:1" ht="20.100000000000001" customHeight="1" x14ac:dyDescent="0.3">
      <c r="A282" s="26"/>
    </row>
  </sheetData>
  <mergeCells count="1">
    <mergeCell ref="A1:M3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21"/>
  <sheetViews>
    <sheetView zoomScale="85" zoomScaleNormal="85" workbookViewId="0">
      <pane ySplit="4" topLeftCell="A5" activePane="bottomLeft" state="frozen"/>
      <selection activeCell="B29" sqref="B29:L29"/>
      <selection pane="bottomLeft" activeCell="V10" sqref="V10"/>
    </sheetView>
  </sheetViews>
  <sheetFormatPr defaultColWidth="9" defaultRowHeight="20.100000000000001" customHeight="1" x14ac:dyDescent="0.3"/>
  <cols>
    <col min="1" max="1" width="15.25" bestFit="1" customWidth="1"/>
    <col min="2" max="6" width="8.625" customWidth="1"/>
    <col min="7" max="7" width="12.625" customWidth="1"/>
    <col min="8" max="8" width="16.25" customWidth="1"/>
    <col min="9" max="9" width="10.25" customWidth="1"/>
    <col min="10" max="10" width="14.625" customWidth="1"/>
    <col min="11" max="12" width="9.625" customWidth="1"/>
    <col min="13" max="13" width="22.5" style="71" customWidth="1"/>
    <col min="14" max="14" width="11.625" customWidth="1"/>
    <col min="15" max="15" width="5.25" customWidth="1"/>
    <col min="16" max="16" width="10.625" customWidth="1"/>
    <col min="17" max="17" width="11.625" customWidth="1"/>
  </cols>
  <sheetData>
    <row r="1" spans="1:18" ht="20.100000000000001" customHeight="1" x14ac:dyDescent="0.3">
      <c r="A1" s="125" t="s">
        <v>19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77" t="s">
        <v>0</v>
      </c>
      <c r="N1" s="10">
        <f>SUM(K3:K9934)</f>
        <v>37631740</v>
      </c>
      <c r="O1" s="20" t="s">
        <v>1</v>
      </c>
      <c r="P1" s="10">
        <f>SUM(L3:L9934)</f>
        <v>46490140</v>
      </c>
    </row>
    <row r="2" spans="1:18" ht="20.100000000000001" customHeight="1" x14ac:dyDescent="0.3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</row>
    <row r="3" spans="1:18" ht="20.100000000000001" customHeight="1" x14ac:dyDescent="0.3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R3" s="21"/>
    </row>
    <row r="4" spans="1:18" ht="20.100000000000001" customHeight="1" x14ac:dyDescent="0.3">
      <c r="A4" s="22" t="s">
        <v>8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30</v>
      </c>
      <c r="H4" s="22" t="s">
        <v>42</v>
      </c>
      <c r="I4" s="22" t="s">
        <v>16</v>
      </c>
      <c r="J4" s="23" t="s">
        <v>17</v>
      </c>
      <c r="K4" s="22" t="s">
        <v>0</v>
      </c>
      <c r="L4" s="22" t="s">
        <v>1</v>
      </c>
      <c r="M4" s="69" t="s">
        <v>33</v>
      </c>
      <c r="N4" s="25"/>
      <c r="O4" s="25"/>
      <c r="P4" s="25"/>
      <c r="Q4" s="25"/>
      <c r="R4" s="24"/>
    </row>
    <row r="5" spans="1:18" ht="20.100000000000001" customHeight="1" x14ac:dyDescent="0.3">
      <c r="A5" s="39" t="s">
        <v>131</v>
      </c>
      <c r="B5" s="27" t="s">
        <v>132</v>
      </c>
      <c r="C5" s="27" t="s">
        <v>133</v>
      </c>
      <c r="D5" s="27"/>
      <c r="E5" s="27"/>
      <c r="F5" s="27" t="s">
        <v>83</v>
      </c>
      <c r="G5" s="27">
        <v>5</v>
      </c>
      <c r="H5" s="27"/>
      <c r="I5" s="27"/>
      <c r="J5" s="40"/>
      <c r="K5" s="41">
        <f>M5-(G5*6200)</f>
        <v>588040</v>
      </c>
      <c r="L5" s="42">
        <v>719040</v>
      </c>
      <c r="M5" s="76">
        <v>619040</v>
      </c>
      <c r="N5" s="74" t="str">
        <f>P12</f>
        <v>SUMPRODUCT(--ISNUMBER(E6:K6), --(E6:K6&gt;12), (E6:K6-12)*(E6:K6&lt;13) + (E6:K6&gt;=13))</v>
      </c>
      <c r="O5" s="45"/>
      <c r="P5" s="45" t="s">
        <v>26</v>
      </c>
      <c r="Q5" s="45"/>
      <c r="R5" s="45"/>
    </row>
    <row r="6" spans="1:18" ht="20.100000000000001" customHeight="1" x14ac:dyDescent="0.3">
      <c r="A6" s="39" t="s">
        <v>131</v>
      </c>
      <c r="B6" s="27" t="s">
        <v>132</v>
      </c>
      <c r="C6" s="27" t="s">
        <v>133</v>
      </c>
      <c r="D6" s="27"/>
      <c r="E6" s="27"/>
      <c r="F6" s="27" t="s">
        <v>84</v>
      </c>
      <c r="G6" s="27">
        <v>5</v>
      </c>
      <c r="H6" s="27"/>
      <c r="I6" s="27"/>
      <c r="J6" s="40"/>
      <c r="K6" s="41">
        <f t="shared" ref="K6:K69" si="0">M6-(G6*6200)</f>
        <v>609740</v>
      </c>
      <c r="L6" s="42">
        <v>740740</v>
      </c>
      <c r="M6" s="76">
        <v>640740</v>
      </c>
      <c r="N6" s="75"/>
      <c r="P6" t="s">
        <v>27</v>
      </c>
    </row>
    <row r="7" spans="1:18" ht="20.100000000000001" customHeight="1" x14ac:dyDescent="0.3">
      <c r="A7" s="39" t="s">
        <v>131</v>
      </c>
      <c r="B7" s="27" t="s">
        <v>132</v>
      </c>
      <c r="C7" s="27" t="s">
        <v>133</v>
      </c>
      <c r="D7" s="27"/>
      <c r="E7" s="27"/>
      <c r="F7" s="27" t="s">
        <v>85</v>
      </c>
      <c r="G7" s="27">
        <v>4</v>
      </c>
      <c r="H7" s="27"/>
      <c r="I7" s="27"/>
      <c r="J7" s="40"/>
      <c r="K7" s="41">
        <f t="shared" si="0"/>
        <v>488660</v>
      </c>
      <c r="L7" s="42">
        <v>593460</v>
      </c>
      <c r="M7" s="76">
        <v>513460</v>
      </c>
      <c r="N7" s="75"/>
      <c r="O7" s="16"/>
      <c r="P7" s="16" t="s">
        <v>28</v>
      </c>
      <c r="Q7" s="16"/>
      <c r="R7" s="3"/>
    </row>
    <row r="8" spans="1:18" ht="20.100000000000001" customHeight="1" x14ac:dyDescent="0.3">
      <c r="A8" s="39" t="s">
        <v>131</v>
      </c>
      <c r="B8" s="27" t="s">
        <v>132</v>
      </c>
      <c r="C8" s="27" t="s">
        <v>133</v>
      </c>
      <c r="D8" s="27"/>
      <c r="E8" s="27"/>
      <c r="F8" s="27" t="s">
        <v>86</v>
      </c>
      <c r="G8" s="27">
        <v>3</v>
      </c>
      <c r="H8" s="27"/>
      <c r="I8" s="27"/>
      <c r="J8" s="40"/>
      <c r="K8" s="41">
        <f t="shared" si="0"/>
        <v>473780</v>
      </c>
      <c r="L8" s="42">
        <v>572380</v>
      </c>
      <c r="M8" s="76">
        <v>492380</v>
      </c>
      <c r="N8" s="75"/>
      <c r="P8" t="s">
        <v>29</v>
      </c>
    </row>
    <row r="9" spans="1:18" ht="20.100000000000001" customHeight="1" x14ac:dyDescent="0.3">
      <c r="A9" s="39" t="s">
        <v>131</v>
      </c>
      <c r="B9" s="27" t="s">
        <v>132</v>
      </c>
      <c r="C9" s="27" t="s">
        <v>133</v>
      </c>
      <c r="D9" s="27"/>
      <c r="E9" s="27"/>
      <c r="F9" s="27" t="s">
        <v>87</v>
      </c>
      <c r="G9" s="27">
        <v>1</v>
      </c>
      <c r="H9" s="27"/>
      <c r="I9" s="27"/>
      <c r="J9" s="40"/>
      <c r="K9" s="41">
        <f t="shared" si="0"/>
        <v>101240</v>
      </c>
      <c r="L9" s="42">
        <v>127440</v>
      </c>
      <c r="M9" s="76">
        <v>107440</v>
      </c>
      <c r="N9" s="75"/>
      <c r="P9" t="s">
        <v>35</v>
      </c>
    </row>
    <row r="10" spans="1:18" ht="20.100000000000001" customHeight="1" x14ac:dyDescent="0.3">
      <c r="A10" s="39" t="s">
        <v>131</v>
      </c>
      <c r="B10" s="27" t="s">
        <v>132</v>
      </c>
      <c r="C10" s="27" t="s">
        <v>133</v>
      </c>
      <c r="D10" s="27"/>
      <c r="E10" s="27"/>
      <c r="F10" s="27" t="s">
        <v>88</v>
      </c>
      <c r="G10" s="27">
        <v>5</v>
      </c>
      <c r="H10" s="27"/>
      <c r="I10" s="27"/>
      <c r="J10" s="40"/>
      <c r="K10" s="41">
        <f t="shared" si="0"/>
        <v>596100</v>
      </c>
      <c r="L10" s="42">
        <v>727100</v>
      </c>
      <c r="M10" s="76">
        <v>627100</v>
      </c>
      <c r="N10" s="75"/>
      <c r="O10" s="45"/>
      <c r="P10" s="45"/>
      <c r="Q10" s="45"/>
      <c r="R10" s="45"/>
    </row>
    <row r="11" spans="1:18" ht="20.100000000000001" customHeight="1" x14ac:dyDescent="0.3">
      <c r="A11" s="39" t="s">
        <v>131</v>
      </c>
      <c r="B11" s="27" t="s">
        <v>132</v>
      </c>
      <c r="C11" s="27" t="s">
        <v>133</v>
      </c>
      <c r="D11" s="27"/>
      <c r="E11" s="27"/>
      <c r="F11" s="27" t="s">
        <v>89</v>
      </c>
      <c r="G11" s="27">
        <v>5</v>
      </c>
      <c r="H11" s="27"/>
      <c r="I11" s="27"/>
      <c r="J11" s="40"/>
      <c r="K11" s="41">
        <f t="shared" si="0"/>
        <v>581220</v>
      </c>
      <c r="L11" s="42">
        <v>712220</v>
      </c>
      <c r="M11" s="76">
        <v>612220</v>
      </c>
      <c r="N11" s="75"/>
      <c r="O11" s="16"/>
      <c r="P11" s="16" t="s">
        <v>34</v>
      </c>
      <c r="Q11" s="16" t="s">
        <v>37</v>
      </c>
      <c r="R11" s="3"/>
    </row>
    <row r="12" spans="1:18" ht="20.100000000000001" customHeight="1" x14ac:dyDescent="0.3">
      <c r="A12" s="39" t="s">
        <v>131</v>
      </c>
      <c r="B12" s="27" t="s">
        <v>132</v>
      </c>
      <c r="C12" s="27" t="s">
        <v>133</v>
      </c>
      <c r="D12" s="27"/>
      <c r="E12" s="27"/>
      <c r="F12" s="27" t="s">
        <v>90</v>
      </c>
      <c r="G12" s="27">
        <v>4</v>
      </c>
      <c r="H12" s="27"/>
      <c r="I12" s="27"/>
      <c r="J12" s="40"/>
      <c r="K12" s="41">
        <f t="shared" si="0"/>
        <v>480600</v>
      </c>
      <c r="L12" s="42">
        <v>585400</v>
      </c>
      <c r="M12" s="76">
        <v>505400</v>
      </c>
      <c r="N12" s="75"/>
      <c r="O12" s="45"/>
      <c r="P12" s="45" t="s">
        <v>36</v>
      </c>
      <c r="Q12" s="45"/>
      <c r="R12" s="45"/>
    </row>
    <row r="13" spans="1:18" ht="20.100000000000001" customHeight="1" x14ac:dyDescent="0.3">
      <c r="A13" s="39" t="s">
        <v>131</v>
      </c>
      <c r="B13" s="27" t="s">
        <v>132</v>
      </c>
      <c r="C13" s="27" t="s">
        <v>133</v>
      </c>
      <c r="D13" s="27"/>
      <c r="E13" s="27"/>
      <c r="F13" s="27" t="s">
        <v>91</v>
      </c>
      <c r="G13" s="27">
        <v>4</v>
      </c>
      <c r="H13" s="27"/>
      <c r="I13" s="27"/>
      <c r="J13" s="40"/>
      <c r="K13" s="41">
        <f t="shared" si="0"/>
        <v>489900</v>
      </c>
      <c r="L13" s="42">
        <v>594700</v>
      </c>
      <c r="M13" s="76">
        <v>514700</v>
      </c>
      <c r="N13" s="75"/>
    </row>
    <row r="14" spans="1:18" ht="20.100000000000001" customHeight="1" x14ac:dyDescent="0.3">
      <c r="A14" s="39" t="s">
        <v>131</v>
      </c>
      <c r="B14" s="27" t="s">
        <v>132</v>
      </c>
      <c r="C14" s="27" t="s">
        <v>133</v>
      </c>
      <c r="D14" s="27"/>
      <c r="E14" s="27"/>
      <c r="F14" s="27" t="s">
        <v>92</v>
      </c>
      <c r="G14" s="27">
        <v>4</v>
      </c>
      <c r="H14" s="27"/>
      <c r="I14" s="27"/>
      <c r="J14" s="40"/>
      <c r="K14" s="41">
        <f t="shared" si="0"/>
        <v>464480</v>
      </c>
      <c r="L14" s="42">
        <v>569280</v>
      </c>
      <c r="M14" s="76">
        <v>489280</v>
      </c>
      <c r="N14" s="75"/>
      <c r="P14" t="s">
        <v>38</v>
      </c>
    </row>
    <row r="15" spans="1:18" ht="20.100000000000001" customHeight="1" x14ac:dyDescent="0.3">
      <c r="A15" s="39" t="s">
        <v>131</v>
      </c>
      <c r="B15" s="27" t="s">
        <v>132</v>
      </c>
      <c r="C15" s="27" t="s">
        <v>133</v>
      </c>
      <c r="D15" s="27"/>
      <c r="E15" s="27"/>
      <c r="F15" s="27" t="s">
        <v>93</v>
      </c>
      <c r="G15" s="27">
        <v>5</v>
      </c>
      <c r="H15" s="27"/>
      <c r="I15" s="27"/>
      <c r="J15" s="40"/>
      <c r="K15" s="41">
        <f t="shared" si="0"/>
        <v>591760</v>
      </c>
      <c r="L15" s="42">
        <v>722760</v>
      </c>
      <c r="M15" s="76">
        <v>622760</v>
      </c>
      <c r="N15" s="75"/>
      <c r="O15" s="45"/>
      <c r="P15" s="45"/>
      <c r="Q15" s="45"/>
      <c r="R15" s="45"/>
    </row>
    <row r="16" spans="1:18" ht="20.100000000000001" customHeight="1" x14ac:dyDescent="0.3">
      <c r="A16" s="39" t="s">
        <v>131</v>
      </c>
      <c r="B16" s="27" t="s">
        <v>132</v>
      </c>
      <c r="C16" s="27" t="s">
        <v>133</v>
      </c>
      <c r="D16" s="27"/>
      <c r="E16" s="27"/>
      <c r="F16" s="27" t="s">
        <v>94</v>
      </c>
      <c r="G16" s="27">
        <v>1</v>
      </c>
      <c r="H16" s="27"/>
      <c r="I16" s="27"/>
      <c r="J16" s="40"/>
      <c r="K16" s="41">
        <f t="shared" si="0"/>
        <v>118600</v>
      </c>
      <c r="L16" s="42">
        <v>144800</v>
      </c>
      <c r="M16" s="76">
        <v>124800</v>
      </c>
      <c r="N16" s="75"/>
    </row>
    <row r="17" spans="1:14" ht="20.100000000000001" customHeight="1" x14ac:dyDescent="0.3">
      <c r="A17" s="39" t="s">
        <v>131</v>
      </c>
      <c r="B17" s="27" t="s">
        <v>132</v>
      </c>
      <c r="C17" s="27" t="s">
        <v>133</v>
      </c>
      <c r="D17" s="27"/>
      <c r="E17" s="27"/>
      <c r="F17" s="27" t="s">
        <v>95</v>
      </c>
      <c r="G17" s="27">
        <v>4</v>
      </c>
      <c r="H17" s="27"/>
      <c r="I17" s="27"/>
      <c r="J17" s="40"/>
      <c r="K17" s="41">
        <f t="shared" si="0"/>
        <v>562000</v>
      </c>
      <c r="L17" s="42">
        <v>686800</v>
      </c>
      <c r="M17" s="76">
        <v>586800</v>
      </c>
      <c r="N17" s="75"/>
    </row>
    <row r="18" spans="1:14" ht="20.100000000000001" customHeight="1" x14ac:dyDescent="0.3">
      <c r="A18" s="39" t="s">
        <v>131</v>
      </c>
      <c r="B18" s="27" t="s">
        <v>132</v>
      </c>
      <c r="C18" s="27" t="s">
        <v>133</v>
      </c>
      <c r="D18" s="27"/>
      <c r="E18" s="27"/>
      <c r="F18" s="27" t="s">
        <v>96</v>
      </c>
      <c r="G18" s="27">
        <v>4</v>
      </c>
      <c r="H18" s="27"/>
      <c r="I18" s="27"/>
      <c r="J18" s="40"/>
      <c r="K18" s="41">
        <f t="shared" si="0"/>
        <v>588660</v>
      </c>
      <c r="L18" s="42">
        <v>713460</v>
      </c>
      <c r="M18" s="76">
        <v>613460</v>
      </c>
      <c r="N18" s="75"/>
    </row>
    <row r="19" spans="1:14" ht="20.100000000000001" customHeight="1" x14ac:dyDescent="0.3">
      <c r="A19" s="39" t="s">
        <v>131</v>
      </c>
      <c r="B19" s="27" t="s">
        <v>132</v>
      </c>
      <c r="C19" s="27" t="s">
        <v>133</v>
      </c>
      <c r="D19" s="27"/>
      <c r="E19" s="27"/>
      <c r="F19" s="27" t="s">
        <v>97</v>
      </c>
      <c r="G19" s="27">
        <v>1</v>
      </c>
      <c r="H19" s="27"/>
      <c r="I19" s="27"/>
      <c r="J19" s="40"/>
      <c r="K19" s="41">
        <f t="shared" si="0"/>
        <v>117980</v>
      </c>
      <c r="L19" s="42">
        <v>144180</v>
      </c>
      <c r="M19" s="76">
        <v>124180</v>
      </c>
      <c r="N19" s="75"/>
    </row>
    <row r="20" spans="1:14" ht="20.100000000000001" customHeight="1" x14ac:dyDescent="0.3">
      <c r="A20" s="39" t="s">
        <v>131</v>
      </c>
      <c r="B20" s="27" t="s">
        <v>132</v>
      </c>
      <c r="C20" s="27" t="s">
        <v>133</v>
      </c>
      <c r="D20" s="27"/>
      <c r="E20" s="27"/>
      <c r="F20" s="27" t="s">
        <v>98</v>
      </c>
      <c r="G20" s="27">
        <v>0</v>
      </c>
      <c r="H20" s="27"/>
      <c r="I20" s="27"/>
      <c r="J20" s="40"/>
      <c r="K20" s="41">
        <f t="shared" si="0"/>
        <v>98760</v>
      </c>
      <c r="L20" s="42">
        <v>118760</v>
      </c>
      <c r="M20" s="76">
        <v>98760</v>
      </c>
      <c r="N20" s="75"/>
    </row>
    <row r="21" spans="1:14" ht="20.100000000000001" customHeight="1" x14ac:dyDescent="0.3">
      <c r="A21" s="39" t="s">
        <v>131</v>
      </c>
      <c r="B21" s="27" t="s">
        <v>132</v>
      </c>
      <c r="C21" s="27" t="s">
        <v>133</v>
      </c>
      <c r="D21" s="27"/>
      <c r="E21" s="27"/>
      <c r="F21" s="27" t="s">
        <v>99</v>
      </c>
      <c r="G21" s="27">
        <v>1</v>
      </c>
      <c r="H21" s="27"/>
      <c r="I21" s="27"/>
      <c r="J21" s="40"/>
      <c r="K21" s="41">
        <f t="shared" si="0"/>
        <v>126040</v>
      </c>
      <c r="L21" s="42">
        <v>152240</v>
      </c>
      <c r="M21" s="76">
        <v>132240</v>
      </c>
      <c r="N21" s="75"/>
    </row>
    <row r="22" spans="1:14" ht="20.100000000000001" customHeight="1" x14ac:dyDescent="0.3">
      <c r="A22" s="39" t="s">
        <v>131</v>
      </c>
      <c r="B22" s="27" t="s">
        <v>132</v>
      </c>
      <c r="C22" s="27" t="s">
        <v>133</v>
      </c>
      <c r="D22" s="27"/>
      <c r="E22" s="27"/>
      <c r="F22" s="27" t="s">
        <v>100</v>
      </c>
      <c r="G22" s="27">
        <v>1</v>
      </c>
      <c r="H22" s="27"/>
      <c r="I22" s="27"/>
      <c r="J22" s="40"/>
      <c r="K22" s="41">
        <f t="shared" si="0"/>
        <v>102480</v>
      </c>
      <c r="L22" s="42">
        <v>128680</v>
      </c>
      <c r="M22" s="76">
        <v>108680</v>
      </c>
      <c r="N22" s="75"/>
    </row>
    <row r="23" spans="1:14" ht="20.100000000000001" customHeight="1" x14ac:dyDescent="0.3">
      <c r="A23" s="39" t="s">
        <v>131</v>
      </c>
      <c r="B23" s="27" t="s">
        <v>132</v>
      </c>
      <c r="C23" s="27" t="s">
        <v>133</v>
      </c>
      <c r="D23" s="27"/>
      <c r="E23" s="27"/>
      <c r="F23" s="27" t="s">
        <v>101</v>
      </c>
      <c r="G23" s="27">
        <v>1</v>
      </c>
      <c r="H23" s="27"/>
      <c r="I23" s="27"/>
      <c r="J23" s="40"/>
      <c r="K23" s="41">
        <f t="shared" si="0"/>
        <v>134100</v>
      </c>
      <c r="L23" s="42">
        <v>160300</v>
      </c>
      <c r="M23" s="76">
        <v>140300</v>
      </c>
      <c r="N23" s="75"/>
    </row>
    <row r="24" spans="1:14" ht="20.100000000000001" customHeight="1" x14ac:dyDescent="0.3">
      <c r="A24" s="39" t="s">
        <v>131</v>
      </c>
      <c r="B24" s="27" t="s">
        <v>132</v>
      </c>
      <c r="C24" s="27" t="s">
        <v>133</v>
      </c>
      <c r="D24" s="27"/>
      <c r="E24" s="27"/>
      <c r="F24" s="27" t="s">
        <v>102</v>
      </c>
      <c r="G24" s="27">
        <v>2</v>
      </c>
      <c r="H24" s="27"/>
      <c r="I24" s="27"/>
      <c r="J24" s="40"/>
      <c r="K24" s="41">
        <f t="shared" si="0"/>
        <v>337820</v>
      </c>
      <c r="L24" s="42">
        <v>410220</v>
      </c>
      <c r="M24" s="76">
        <v>350220</v>
      </c>
      <c r="N24" s="75"/>
    </row>
    <row r="25" spans="1:14" ht="20.100000000000001" customHeight="1" x14ac:dyDescent="0.3">
      <c r="A25" s="39" t="s">
        <v>131</v>
      </c>
      <c r="B25" s="27" t="s">
        <v>132</v>
      </c>
      <c r="C25" s="27" t="s">
        <v>133</v>
      </c>
      <c r="D25" s="27"/>
      <c r="E25" s="27"/>
      <c r="F25" s="27" t="s">
        <v>103</v>
      </c>
      <c r="G25" s="27">
        <v>4</v>
      </c>
      <c r="H25" s="27"/>
      <c r="I25" s="27"/>
      <c r="J25" s="40"/>
      <c r="K25" s="41">
        <f t="shared" si="0"/>
        <v>571920</v>
      </c>
      <c r="L25" s="42">
        <v>696720</v>
      </c>
      <c r="M25" s="76">
        <v>596720</v>
      </c>
      <c r="N25" s="75"/>
    </row>
    <row r="26" spans="1:14" ht="20.100000000000001" customHeight="1" x14ac:dyDescent="0.3">
      <c r="A26" s="39" t="s">
        <v>131</v>
      </c>
      <c r="B26" s="27" t="s">
        <v>132</v>
      </c>
      <c r="C26" s="27" t="s">
        <v>133</v>
      </c>
      <c r="D26" s="27"/>
      <c r="E26" s="27"/>
      <c r="F26" s="27" t="s">
        <v>104</v>
      </c>
      <c r="G26" s="27">
        <v>1</v>
      </c>
      <c r="H26" s="27"/>
      <c r="I26" s="27"/>
      <c r="J26" s="40"/>
      <c r="K26" s="41">
        <f t="shared" si="0"/>
        <v>125420</v>
      </c>
      <c r="L26" s="42">
        <v>151620</v>
      </c>
      <c r="M26" s="76">
        <v>131620</v>
      </c>
      <c r="N26" s="75"/>
    </row>
    <row r="27" spans="1:14" ht="20.100000000000001" customHeight="1" x14ac:dyDescent="0.3">
      <c r="A27" s="39" t="s">
        <v>131</v>
      </c>
      <c r="B27" s="27" t="s">
        <v>132</v>
      </c>
      <c r="C27" s="27" t="s">
        <v>133</v>
      </c>
      <c r="D27" s="27"/>
      <c r="E27" s="27"/>
      <c r="F27" s="27" t="s">
        <v>105</v>
      </c>
      <c r="G27" s="27">
        <v>2</v>
      </c>
      <c r="H27" s="27"/>
      <c r="I27" s="27"/>
      <c r="J27" s="40"/>
      <c r="K27" s="41">
        <f t="shared" si="0"/>
        <v>229140</v>
      </c>
      <c r="L27" s="42">
        <v>281540</v>
      </c>
      <c r="M27" s="76">
        <v>241540</v>
      </c>
      <c r="N27" s="75"/>
    </row>
    <row r="28" spans="1:14" ht="20.100000000000001" customHeight="1" x14ac:dyDescent="0.3">
      <c r="A28" s="39" t="s">
        <v>131</v>
      </c>
      <c r="B28" s="27" t="s">
        <v>132</v>
      </c>
      <c r="C28" s="27" t="s">
        <v>133</v>
      </c>
      <c r="D28" s="27"/>
      <c r="E28" s="27"/>
      <c r="F28" s="27" t="s">
        <v>106</v>
      </c>
      <c r="G28" s="27">
        <v>4</v>
      </c>
      <c r="H28" s="27"/>
      <c r="I28" s="27"/>
      <c r="J28" s="40"/>
      <c r="K28" s="41">
        <f t="shared" si="0"/>
        <v>501680</v>
      </c>
      <c r="L28" s="42">
        <v>606480</v>
      </c>
      <c r="M28" s="76">
        <v>526480</v>
      </c>
      <c r="N28" s="75"/>
    </row>
    <row r="29" spans="1:14" ht="20.100000000000001" customHeight="1" x14ac:dyDescent="0.3">
      <c r="A29" s="39" t="s">
        <v>131</v>
      </c>
      <c r="B29" s="27" t="s">
        <v>132</v>
      </c>
      <c r="C29" s="27" t="s">
        <v>133</v>
      </c>
      <c r="D29" s="27"/>
      <c r="E29" s="27"/>
      <c r="F29" s="27" t="s">
        <v>107</v>
      </c>
      <c r="G29" s="27">
        <v>1</v>
      </c>
      <c r="H29" s="27"/>
      <c r="I29" s="27"/>
      <c r="J29" s="40"/>
      <c r="K29" s="41">
        <f t="shared" si="0"/>
        <v>114880</v>
      </c>
      <c r="L29" s="42">
        <v>141080</v>
      </c>
      <c r="M29" s="76">
        <v>121080</v>
      </c>
      <c r="N29" s="75"/>
    </row>
    <row r="30" spans="1:14" ht="20.100000000000001" customHeight="1" x14ac:dyDescent="0.3">
      <c r="A30" s="39" t="s">
        <v>131</v>
      </c>
      <c r="B30" s="27" t="s">
        <v>132</v>
      </c>
      <c r="C30" s="27" t="s">
        <v>133</v>
      </c>
      <c r="D30" s="27"/>
      <c r="E30" s="27"/>
      <c r="F30" s="27" t="s">
        <v>108</v>
      </c>
      <c r="G30" s="27">
        <v>1</v>
      </c>
      <c r="H30" s="27"/>
      <c r="I30" s="27"/>
      <c r="J30" s="40"/>
      <c r="K30" s="41">
        <f t="shared" si="0"/>
        <v>112400</v>
      </c>
      <c r="L30" s="42">
        <v>138600</v>
      </c>
      <c r="M30" s="76">
        <v>118600</v>
      </c>
      <c r="N30" s="75"/>
    </row>
    <row r="31" spans="1:14" ht="20.100000000000001" customHeight="1" x14ac:dyDescent="0.3">
      <c r="A31" s="39" t="s">
        <v>131</v>
      </c>
      <c r="B31" s="27" t="s">
        <v>132</v>
      </c>
      <c r="C31" s="27" t="s">
        <v>133</v>
      </c>
      <c r="D31" s="27"/>
      <c r="E31" s="27"/>
      <c r="F31" s="27" t="s">
        <v>109</v>
      </c>
      <c r="G31" s="27">
        <v>1</v>
      </c>
      <c r="H31" s="27"/>
      <c r="I31" s="27"/>
      <c r="J31" s="40"/>
      <c r="K31" s="41">
        <f t="shared" si="0"/>
        <v>106200</v>
      </c>
      <c r="L31" s="42">
        <v>132400</v>
      </c>
      <c r="M31" s="76">
        <v>112400</v>
      </c>
      <c r="N31" s="75"/>
    </row>
    <row r="32" spans="1:14" ht="20.100000000000001" customHeight="1" x14ac:dyDescent="0.3">
      <c r="A32" s="39" t="s">
        <v>131</v>
      </c>
      <c r="B32" s="27" t="s">
        <v>132</v>
      </c>
      <c r="C32" s="27" t="s">
        <v>133</v>
      </c>
      <c r="D32" s="27"/>
      <c r="E32" s="27"/>
      <c r="F32" s="27" t="s">
        <v>110</v>
      </c>
      <c r="G32" s="27">
        <v>2</v>
      </c>
      <c r="H32" s="27"/>
      <c r="I32" s="27"/>
      <c r="J32" s="40"/>
      <c r="K32" s="41">
        <f t="shared" si="0"/>
        <v>245880</v>
      </c>
      <c r="L32" s="42">
        <v>298280</v>
      </c>
      <c r="M32" s="76">
        <v>258280</v>
      </c>
      <c r="N32" s="75"/>
    </row>
    <row r="33" spans="1:18" ht="20.100000000000001" customHeight="1" x14ac:dyDescent="0.3">
      <c r="A33" s="39" t="s">
        <v>131</v>
      </c>
      <c r="B33" s="27" t="s">
        <v>132</v>
      </c>
      <c r="C33" s="27" t="s">
        <v>133</v>
      </c>
      <c r="D33" s="27"/>
      <c r="E33" s="27"/>
      <c r="F33" s="27" t="s">
        <v>111</v>
      </c>
      <c r="G33" s="27">
        <v>1</v>
      </c>
      <c r="H33" s="27"/>
      <c r="I33" s="27"/>
      <c r="J33" s="40"/>
      <c r="K33" s="41">
        <f t="shared" si="0"/>
        <v>106200</v>
      </c>
      <c r="L33" s="42">
        <v>132400</v>
      </c>
      <c r="M33" s="76">
        <v>112400</v>
      </c>
      <c r="N33" s="75"/>
    </row>
    <row r="34" spans="1:18" ht="20.100000000000001" customHeight="1" x14ac:dyDescent="0.3">
      <c r="A34" s="39" t="s">
        <v>131</v>
      </c>
      <c r="B34" s="27" t="s">
        <v>132</v>
      </c>
      <c r="C34" s="27" t="s">
        <v>133</v>
      </c>
      <c r="D34" s="27"/>
      <c r="E34" s="27"/>
      <c r="F34" s="27" t="s">
        <v>112</v>
      </c>
      <c r="G34" s="27">
        <v>0</v>
      </c>
      <c r="H34" s="27"/>
      <c r="I34" s="27"/>
      <c r="J34" s="40"/>
      <c r="K34" s="41">
        <f t="shared" si="0"/>
        <v>75200</v>
      </c>
      <c r="L34" s="42">
        <v>95200</v>
      </c>
      <c r="M34" s="76">
        <v>75200</v>
      </c>
      <c r="N34" s="75"/>
    </row>
    <row r="35" spans="1:18" ht="20.100000000000001" customHeight="1" x14ac:dyDescent="0.3">
      <c r="A35" s="39" t="s">
        <v>131</v>
      </c>
      <c r="B35" s="27" t="s">
        <v>132</v>
      </c>
      <c r="C35" s="27" t="s">
        <v>133</v>
      </c>
      <c r="D35" s="27"/>
      <c r="E35" s="27"/>
      <c r="F35" s="27" t="s">
        <v>113</v>
      </c>
      <c r="G35" s="27">
        <v>0</v>
      </c>
      <c r="H35" s="27"/>
      <c r="I35" s="27"/>
      <c r="J35" s="40"/>
      <c r="K35" s="41">
        <f t="shared" si="0"/>
        <v>93800</v>
      </c>
      <c r="L35" s="42">
        <v>113800</v>
      </c>
      <c r="M35" s="76">
        <v>93800</v>
      </c>
      <c r="N35" s="75"/>
    </row>
    <row r="36" spans="1:18" ht="20.100000000000001" customHeight="1" x14ac:dyDescent="0.3">
      <c r="A36" s="39" t="s">
        <v>131</v>
      </c>
      <c r="B36" s="27" t="s">
        <v>132</v>
      </c>
      <c r="C36" s="27" t="s">
        <v>133</v>
      </c>
      <c r="D36" s="27"/>
      <c r="E36" s="27"/>
      <c r="F36" s="27" t="s">
        <v>114</v>
      </c>
      <c r="G36" s="27">
        <v>1</v>
      </c>
      <c r="H36" s="27"/>
      <c r="I36" s="27"/>
      <c r="J36" s="40"/>
      <c r="K36" s="41">
        <f t="shared" si="0"/>
        <v>106200</v>
      </c>
      <c r="L36" s="42">
        <v>132400</v>
      </c>
      <c r="M36" s="76">
        <v>112400</v>
      </c>
      <c r="N36" s="75"/>
    </row>
    <row r="37" spans="1:18" ht="20.100000000000001" customHeight="1" x14ac:dyDescent="0.3">
      <c r="A37" s="39" t="s">
        <v>131</v>
      </c>
      <c r="B37" s="27" t="s">
        <v>132</v>
      </c>
      <c r="C37" s="27" t="s">
        <v>133</v>
      </c>
      <c r="D37" s="27"/>
      <c r="E37" s="27"/>
      <c r="F37" s="27" t="s">
        <v>115</v>
      </c>
      <c r="G37" s="27">
        <v>0</v>
      </c>
      <c r="H37" s="27"/>
      <c r="I37" s="27"/>
      <c r="J37" s="40"/>
      <c r="K37" s="41">
        <f t="shared" si="0"/>
        <v>87600</v>
      </c>
      <c r="L37" s="42">
        <v>107600</v>
      </c>
      <c r="M37" s="76">
        <v>87600</v>
      </c>
      <c r="N37" s="75"/>
    </row>
    <row r="38" spans="1:18" ht="20.100000000000001" customHeight="1" x14ac:dyDescent="0.3">
      <c r="A38" s="39" t="s">
        <v>131</v>
      </c>
      <c r="B38" s="27" t="s">
        <v>132</v>
      </c>
      <c r="C38" s="27" t="s">
        <v>133</v>
      </c>
      <c r="D38" s="27"/>
      <c r="E38" s="27"/>
      <c r="F38" s="27" t="s">
        <v>116</v>
      </c>
      <c r="G38" s="27">
        <v>3</v>
      </c>
      <c r="H38" s="27"/>
      <c r="I38" s="27"/>
      <c r="J38" s="40"/>
      <c r="K38" s="41">
        <f t="shared" si="0"/>
        <v>342780.00000000006</v>
      </c>
      <c r="L38" s="42">
        <v>421380.00000000006</v>
      </c>
      <c r="M38" s="76">
        <v>361380.00000000006</v>
      </c>
      <c r="N38" s="75"/>
    </row>
    <row r="39" spans="1:18" ht="20.100000000000001" customHeight="1" x14ac:dyDescent="0.3">
      <c r="A39" s="39" t="s">
        <v>131</v>
      </c>
      <c r="B39" s="27" t="s">
        <v>132</v>
      </c>
      <c r="C39" s="27" t="s">
        <v>133</v>
      </c>
      <c r="D39" s="27"/>
      <c r="E39" s="27"/>
      <c r="F39" s="27" t="s">
        <v>117</v>
      </c>
      <c r="G39" s="27">
        <v>1</v>
      </c>
      <c r="H39" s="27"/>
      <c r="I39" s="27"/>
      <c r="J39" s="40"/>
      <c r="K39" s="41">
        <f t="shared" si="0"/>
        <v>100000</v>
      </c>
      <c r="L39" s="42">
        <v>126200</v>
      </c>
      <c r="M39" s="76">
        <v>106200</v>
      </c>
      <c r="N39" s="75"/>
    </row>
    <row r="40" spans="1:18" ht="20.100000000000001" customHeight="1" x14ac:dyDescent="0.3">
      <c r="A40" s="39" t="s">
        <v>131</v>
      </c>
      <c r="B40" s="27" t="s">
        <v>132</v>
      </c>
      <c r="C40" s="27" t="s">
        <v>133</v>
      </c>
      <c r="D40" s="27"/>
      <c r="E40" s="27"/>
      <c r="F40" s="27" t="s">
        <v>118</v>
      </c>
      <c r="G40" s="27">
        <v>0</v>
      </c>
      <c r="H40" s="27"/>
      <c r="I40" s="27"/>
      <c r="J40" s="40"/>
      <c r="K40" s="41">
        <f t="shared" si="0"/>
        <v>87600</v>
      </c>
      <c r="L40" s="42">
        <v>107600</v>
      </c>
      <c r="M40" s="76">
        <v>87600</v>
      </c>
      <c r="N40" s="75"/>
    </row>
    <row r="41" spans="1:18" ht="20.100000000000001" customHeight="1" x14ac:dyDescent="0.3">
      <c r="A41" s="39" t="s">
        <v>131</v>
      </c>
      <c r="B41" s="27" t="s">
        <v>132</v>
      </c>
      <c r="C41" s="27" t="s">
        <v>133</v>
      </c>
      <c r="D41" s="27"/>
      <c r="E41" s="27"/>
      <c r="F41" s="27" t="s">
        <v>119</v>
      </c>
      <c r="G41" s="27">
        <v>2</v>
      </c>
      <c r="H41" s="27"/>
      <c r="I41" s="27"/>
      <c r="J41" s="40"/>
      <c r="K41" s="41">
        <f t="shared" si="0"/>
        <v>244020</v>
      </c>
      <c r="L41" s="42">
        <v>296420</v>
      </c>
      <c r="M41" s="76">
        <v>256420</v>
      </c>
      <c r="N41" s="75"/>
      <c r="O41" s="45"/>
      <c r="P41" s="45"/>
      <c r="Q41" s="45"/>
      <c r="R41" s="45"/>
    </row>
    <row r="42" spans="1:18" ht="20.100000000000001" customHeight="1" x14ac:dyDescent="0.3">
      <c r="A42" s="39" t="s">
        <v>131</v>
      </c>
      <c r="B42" s="27" t="s">
        <v>132</v>
      </c>
      <c r="C42" s="27" t="s">
        <v>133</v>
      </c>
      <c r="D42" s="27"/>
      <c r="E42" s="27"/>
      <c r="F42" s="27" t="s">
        <v>120</v>
      </c>
      <c r="G42" s="27">
        <v>2</v>
      </c>
      <c r="H42" s="27"/>
      <c r="I42" s="27"/>
      <c r="J42" s="40"/>
      <c r="K42" s="41">
        <f t="shared" si="0"/>
        <v>225420</v>
      </c>
      <c r="L42" s="42">
        <v>277820</v>
      </c>
      <c r="M42" s="76">
        <v>237820</v>
      </c>
      <c r="N42" s="75"/>
    </row>
    <row r="43" spans="1:18" ht="20.100000000000001" customHeight="1" x14ac:dyDescent="0.3">
      <c r="A43" s="39" t="s">
        <v>131</v>
      </c>
      <c r="B43" s="27" t="s">
        <v>132</v>
      </c>
      <c r="C43" s="27" t="s">
        <v>133</v>
      </c>
      <c r="D43" s="27"/>
      <c r="E43" s="27"/>
      <c r="F43" s="27" t="s">
        <v>121</v>
      </c>
      <c r="G43" s="27">
        <v>2</v>
      </c>
      <c r="H43" s="27"/>
      <c r="I43" s="27"/>
      <c r="J43" s="40"/>
      <c r="K43" s="41">
        <f t="shared" si="0"/>
        <v>222320</v>
      </c>
      <c r="L43" s="42">
        <v>274720</v>
      </c>
      <c r="M43" s="76">
        <v>234720</v>
      </c>
      <c r="N43" s="75"/>
    </row>
    <row r="44" spans="1:18" ht="20.100000000000001" customHeight="1" x14ac:dyDescent="0.3">
      <c r="A44" s="39" t="s">
        <v>131</v>
      </c>
      <c r="B44" s="27" t="s">
        <v>132</v>
      </c>
      <c r="C44" s="27" t="s">
        <v>133</v>
      </c>
      <c r="D44" s="27"/>
      <c r="E44" s="27"/>
      <c r="F44" s="27" t="s">
        <v>122</v>
      </c>
      <c r="G44" s="27">
        <v>1</v>
      </c>
      <c r="H44" s="27"/>
      <c r="I44" s="27"/>
      <c r="J44" s="40"/>
      <c r="K44" s="41">
        <f t="shared" si="0"/>
        <v>214260</v>
      </c>
      <c r="L44" s="42">
        <v>260460</v>
      </c>
      <c r="M44" s="76">
        <v>220460</v>
      </c>
      <c r="N44" s="75"/>
      <c r="O44" s="45"/>
      <c r="P44" s="45"/>
      <c r="Q44" s="45"/>
      <c r="R44" s="45"/>
    </row>
    <row r="45" spans="1:18" ht="20.100000000000001" customHeight="1" x14ac:dyDescent="0.3">
      <c r="A45" s="39" t="s">
        <v>131</v>
      </c>
      <c r="B45" s="27" t="s">
        <v>132</v>
      </c>
      <c r="C45" s="27" t="s">
        <v>133</v>
      </c>
      <c r="D45" s="27"/>
      <c r="E45" s="27"/>
      <c r="F45" s="27" t="s">
        <v>123</v>
      </c>
      <c r="G45" s="27">
        <v>1</v>
      </c>
      <c r="H45" s="27"/>
      <c r="I45" s="27"/>
      <c r="J45" s="40"/>
      <c r="K45" s="41">
        <f t="shared" si="0"/>
        <v>209920</v>
      </c>
      <c r="L45" s="42">
        <v>256120</v>
      </c>
      <c r="M45" s="76">
        <v>216120</v>
      </c>
      <c r="N45" s="75"/>
    </row>
    <row r="46" spans="1:18" ht="20.100000000000001" customHeight="1" x14ac:dyDescent="0.3">
      <c r="A46" s="39" t="s">
        <v>131</v>
      </c>
      <c r="B46" s="27" t="s">
        <v>132</v>
      </c>
      <c r="C46" s="27" t="s">
        <v>133</v>
      </c>
      <c r="D46" s="27"/>
      <c r="E46" s="27"/>
      <c r="F46" s="27" t="s">
        <v>124</v>
      </c>
      <c r="G46" s="27">
        <v>1</v>
      </c>
      <c r="H46" s="27"/>
      <c r="I46" s="27"/>
      <c r="J46" s="40"/>
      <c r="K46" s="41">
        <f t="shared" si="0"/>
        <v>107440</v>
      </c>
      <c r="L46" s="42">
        <v>133640</v>
      </c>
      <c r="M46" s="76">
        <v>113640</v>
      </c>
      <c r="N46" s="75"/>
    </row>
    <row r="47" spans="1:18" ht="20.100000000000001" customHeight="1" x14ac:dyDescent="0.3">
      <c r="A47" s="39" t="s">
        <v>131</v>
      </c>
      <c r="B47" s="27" t="s">
        <v>132</v>
      </c>
      <c r="C47" s="27" t="s">
        <v>133</v>
      </c>
      <c r="D47" s="27"/>
      <c r="E47" s="27"/>
      <c r="F47" s="27" t="s">
        <v>125</v>
      </c>
      <c r="G47" s="27">
        <v>1</v>
      </c>
      <c r="H47" s="27"/>
      <c r="I47" s="27"/>
      <c r="J47" s="40"/>
      <c r="K47" s="41">
        <f t="shared" si="0"/>
        <v>219840</v>
      </c>
      <c r="L47" s="42">
        <v>266040</v>
      </c>
      <c r="M47" s="76">
        <v>226040</v>
      </c>
      <c r="N47" s="75"/>
      <c r="O47" s="45"/>
      <c r="P47" s="45"/>
      <c r="Q47" s="45"/>
      <c r="R47" s="45"/>
    </row>
    <row r="48" spans="1:18" ht="20.100000000000001" customHeight="1" x14ac:dyDescent="0.3">
      <c r="A48" s="39" t="s">
        <v>131</v>
      </c>
      <c r="B48" s="27" t="s">
        <v>132</v>
      </c>
      <c r="C48" s="27" t="s">
        <v>133</v>
      </c>
      <c r="D48" s="27"/>
      <c r="E48" s="27"/>
      <c r="F48" s="27" t="s">
        <v>126</v>
      </c>
      <c r="G48" s="27">
        <v>2</v>
      </c>
      <c r="H48" s="27"/>
      <c r="I48" s="27"/>
      <c r="J48" s="40"/>
      <c r="K48" s="41">
        <f t="shared" si="0"/>
        <v>226040</v>
      </c>
      <c r="L48" s="42">
        <v>278440</v>
      </c>
      <c r="M48" s="76">
        <v>238440</v>
      </c>
      <c r="N48" s="75"/>
    </row>
    <row r="49" spans="1:18" ht="20.100000000000001" customHeight="1" x14ac:dyDescent="0.3">
      <c r="A49" s="39" t="s">
        <v>131</v>
      </c>
      <c r="B49" s="27" t="s">
        <v>132</v>
      </c>
      <c r="C49" s="27" t="s">
        <v>133</v>
      </c>
      <c r="D49" s="27"/>
      <c r="E49" s="27"/>
      <c r="F49" s="27" t="s">
        <v>127</v>
      </c>
      <c r="G49" s="27">
        <v>2</v>
      </c>
      <c r="H49" s="27"/>
      <c r="I49" s="27"/>
      <c r="J49" s="40"/>
      <c r="K49" s="41">
        <f t="shared" si="0"/>
        <v>204340</v>
      </c>
      <c r="L49" s="42">
        <v>256740</v>
      </c>
      <c r="M49" s="76">
        <v>216740</v>
      </c>
      <c r="N49" s="75"/>
    </row>
    <row r="50" spans="1:18" ht="20.100000000000001" customHeight="1" x14ac:dyDescent="0.3">
      <c r="A50" s="39" t="s">
        <v>131</v>
      </c>
      <c r="B50" s="27" t="s">
        <v>132</v>
      </c>
      <c r="C50" s="27" t="s">
        <v>133</v>
      </c>
      <c r="D50" s="27"/>
      <c r="E50" s="27"/>
      <c r="F50" s="27" t="s">
        <v>128</v>
      </c>
      <c r="G50" s="27">
        <v>1</v>
      </c>
      <c r="H50" s="27"/>
      <c r="I50" s="27"/>
      <c r="J50" s="40"/>
      <c r="K50" s="41">
        <f t="shared" si="0"/>
        <v>207440</v>
      </c>
      <c r="L50" s="42">
        <v>253640</v>
      </c>
      <c r="M50" s="76">
        <v>213640</v>
      </c>
      <c r="N50" s="75"/>
    </row>
    <row r="51" spans="1:18" ht="20.100000000000001" customHeight="1" x14ac:dyDescent="0.3">
      <c r="A51" s="39" t="s">
        <v>131</v>
      </c>
      <c r="B51" s="27" t="s">
        <v>132</v>
      </c>
      <c r="C51" s="27" t="s">
        <v>133</v>
      </c>
      <c r="D51" s="27"/>
      <c r="E51" s="27"/>
      <c r="F51" s="27" t="s">
        <v>129</v>
      </c>
      <c r="G51" s="27">
        <v>1</v>
      </c>
      <c r="H51" s="27"/>
      <c r="I51" s="27"/>
      <c r="J51" s="40"/>
      <c r="K51" s="41">
        <f t="shared" si="0"/>
        <v>103720</v>
      </c>
      <c r="L51" s="42">
        <v>129920</v>
      </c>
      <c r="M51" s="76">
        <v>109920</v>
      </c>
      <c r="N51" s="45"/>
      <c r="O51" s="45"/>
      <c r="P51" s="45"/>
      <c r="Q51" s="45"/>
      <c r="R51" s="45"/>
    </row>
    <row r="52" spans="1:18" ht="20.100000000000001" customHeight="1" x14ac:dyDescent="0.3">
      <c r="A52" s="39" t="s">
        <v>131</v>
      </c>
      <c r="B52" s="27" t="s">
        <v>132</v>
      </c>
      <c r="C52" s="27" t="s">
        <v>133</v>
      </c>
      <c r="D52" s="27"/>
      <c r="E52" s="27"/>
      <c r="F52" s="27" t="s">
        <v>130</v>
      </c>
      <c r="G52" s="27">
        <v>0</v>
      </c>
      <c r="H52" s="27"/>
      <c r="I52" s="27"/>
      <c r="J52" s="40"/>
      <c r="K52" s="41">
        <f t="shared" si="0"/>
        <v>100000</v>
      </c>
      <c r="L52" s="42">
        <v>120000</v>
      </c>
      <c r="M52" s="76">
        <v>100000</v>
      </c>
    </row>
    <row r="53" spans="1:18" ht="20.100000000000001" customHeight="1" x14ac:dyDescent="0.3">
      <c r="A53" s="39" t="s">
        <v>218</v>
      </c>
      <c r="B53" s="27" t="s">
        <v>132</v>
      </c>
      <c r="C53" s="27" t="s">
        <v>133</v>
      </c>
      <c r="D53" s="27"/>
      <c r="E53" s="27"/>
      <c r="F53" s="27" t="s">
        <v>220</v>
      </c>
      <c r="G53" s="27">
        <v>1</v>
      </c>
      <c r="H53" s="27"/>
      <c r="I53" s="27"/>
      <c r="J53" s="40"/>
      <c r="K53" s="41">
        <f t="shared" si="0"/>
        <v>316120</v>
      </c>
      <c r="L53" s="42">
        <v>382320</v>
      </c>
      <c r="M53" s="76">
        <v>322320</v>
      </c>
    </row>
    <row r="54" spans="1:18" ht="20.100000000000001" customHeight="1" x14ac:dyDescent="0.3">
      <c r="A54" s="39" t="s">
        <v>218</v>
      </c>
      <c r="B54" s="27" t="s">
        <v>132</v>
      </c>
      <c r="C54" s="27" t="s">
        <v>133</v>
      </c>
      <c r="D54" s="27"/>
      <c r="E54" s="27"/>
      <c r="F54" s="27" t="s">
        <v>93</v>
      </c>
      <c r="G54" s="27">
        <v>7</v>
      </c>
      <c r="H54" s="27"/>
      <c r="I54" s="27"/>
      <c r="J54" s="40"/>
      <c r="K54" s="41">
        <f t="shared" si="0"/>
        <v>833920</v>
      </c>
      <c r="L54" s="42">
        <v>1017320</v>
      </c>
      <c r="M54" s="76">
        <v>877320</v>
      </c>
      <c r="N54" s="45"/>
      <c r="O54" s="45"/>
      <c r="P54" s="45"/>
      <c r="Q54" s="45"/>
      <c r="R54" s="45"/>
    </row>
    <row r="55" spans="1:18" ht="20.100000000000001" customHeight="1" x14ac:dyDescent="0.3">
      <c r="A55" s="39" t="s">
        <v>218</v>
      </c>
      <c r="B55" s="27" t="s">
        <v>132</v>
      </c>
      <c r="C55" s="27" t="s">
        <v>133</v>
      </c>
      <c r="D55" s="27"/>
      <c r="E55" s="27"/>
      <c r="F55" s="27" t="s">
        <v>88</v>
      </c>
      <c r="G55" s="27">
        <v>6</v>
      </c>
      <c r="H55" s="27"/>
      <c r="I55" s="27"/>
      <c r="J55" s="40"/>
      <c r="K55" s="41">
        <f t="shared" si="0"/>
        <v>710359.99999999988</v>
      </c>
      <c r="L55" s="42">
        <v>867559.99999999988</v>
      </c>
      <c r="M55" s="76">
        <v>747559.99999999988</v>
      </c>
    </row>
    <row r="56" spans="1:18" ht="20.100000000000001" customHeight="1" x14ac:dyDescent="0.3">
      <c r="A56" s="39" t="s">
        <v>218</v>
      </c>
      <c r="B56" s="27" t="s">
        <v>132</v>
      </c>
      <c r="C56" s="27" t="s">
        <v>133</v>
      </c>
      <c r="D56" s="27"/>
      <c r="E56" s="27"/>
      <c r="F56" s="27" t="s">
        <v>92</v>
      </c>
      <c r="G56" s="27">
        <v>5</v>
      </c>
      <c r="H56" s="27"/>
      <c r="I56" s="27"/>
      <c r="J56" s="40"/>
      <c r="K56" s="41">
        <f t="shared" si="0"/>
        <v>694860</v>
      </c>
      <c r="L56" s="42">
        <v>845860</v>
      </c>
      <c r="M56" s="76">
        <v>725860</v>
      </c>
    </row>
    <row r="57" spans="1:18" ht="20.100000000000001" customHeight="1" x14ac:dyDescent="0.3">
      <c r="A57" s="39" t="s">
        <v>218</v>
      </c>
      <c r="B57" s="27" t="s">
        <v>132</v>
      </c>
      <c r="C57" s="27" t="s">
        <v>133</v>
      </c>
      <c r="D57" s="27"/>
      <c r="E57" s="27"/>
      <c r="F57" s="27" t="s">
        <v>90</v>
      </c>
      <c r="G57" s="27">
        <v>5</v>
      </c>
      <c r="H57" s="27"/>
      <c r="I57" s="27"/>
      <c r="J57" s="40"/>
      <c r="K57" s="41">
        <f t="shared" si="0"/>
        <v>550220</v>
      </c>
      <c r="L57" s="42">
        <v>681220</v>
      </c>
      <c r="M57" s="76">
        <v>581220</v>
      </c>
      <c r="N57" s="16"/>
      <c r="O57" s="16"/>
      <c r="P57" s="16"/>
      <c r="Q57" s="16"/>
      <c r="R57" s="3"/>
    </row>
    <row r="58" spans="1:18" ht="20.100000000000001" customHeight="1" x14ac:dyDescent="0.3">
      <c r="A58" s="39" t="s">
        <v>218</v>
      </c>
      <c r="B58" s="27" t="s">
        <v>132</v>
      </c>
      <c r="C58" s="27" t="s">
        <v>133</v>
      </c>
      <c r="D58" s="27"/>
      <c r="E58" s="27"/>
      <c r="F58" s="27" t="s">
        <v>106</v>
      </c>
      <c r="G58" s="27">
        <v>7</v>
      </c>
      <c r="H58" s="27"/>
      <c r="I58" s="27"/>
      <c r="J58" s="40"/>
      <c r="K58" s="41">
        <f t="shared" si="0"/>
        <v>804780</v>
      </c>
      <c r="L58" s="42">
        <v>988180</v>
      </c>
      <c r="M58" s="76">
        <v>848180</v>
      </c>
    </row>
    <row r="59" spans="1:18" ht="20.100000000000001" customHeight="1" x14ac:dyDescent="0.3">
      <c r="A59" s="39" t="s">
        <v>218</v>
      </c>
      <c r="B59" s="27" t="s">
        <v>132</v>
      </c>
      <c r="C59" s="27" t="s">
        <v>133</v>
      </c>
      <c r="D59" s="27"/>
      <c r="E59" s="27"/>
      <c r="F59" s="27" t="s">
        <v>91</v>
      </c>
      <c r="G59" s="27">
        <v>4</v>
      </c>
      <c r="H59" s="27"/>
      <c r="I59" s="27"/>
      <c r="J59" s="40"/>
      <c r="K59" s="41">
        <f t="shared" si="0"/>
        <v>570060</v>
      </c>
      <c r="L59" s="42">
        <v>694860</v>
      </c>
      <c r="M59" s="76">
        <v>594860</v>
      </c>
    </row>
    <row r="60" spans="1:18" ht="20.100000000000001" customHeight="1" x14ac:dyDescent="0.3">
      <c r="A60" s="39" t="s">
        <v>218</v>
      </c>
      <c r="B60" s="27" t="s">
        <v>132</v>
      </c>
      <c r="C60" s="27" t="s">
        <v>133</v>
      </c>
      <c r="D60" s="27"/>
      <c r="E60" s="27"/>
      <c r="F60" s="27" t="s">
        <v>89</v>
      </c>
      <c r="G60" s="27">
        <v>6</v>
      </c>
      <c r="H60" s="27"/>
      <c r="I60" s="27"/>
      <c r="J60" s="40"/>
      <c r="K60" s="41">
        <f t="shared" si="0"/>
        <v>688040</v>
      </c>
      <c r="L60" s="42">
        <v>845240</v>
      </c>
      <c r="M60" s="76">
        <v>725240</v>
      </c>
    </row>
    <row r="61" spans="1:18" ht="20.100000000000001" customHeight="1" x14ac:dyDescent="0.3">
      <c r="A61" s="39" t="s">
        <v>218</v>
      </c>
      <c r="B61" s="27" t="s">
        <v>132</v>
      </c>
      <c r="C61" s="27" t="s">
        <v>133</v>
      </c>
      <c r="D61" s="27"/>
      <c r="E61" s="27"/>
      <c r="F61" s="27" t="s">
        <v>103</v>
      </c>
      <c r="G61" s="27">
        <v>4</v>
      </c>
      <c r="H61" s="27"/>
      <c r="I61" s="27"/>
      <c r="J61" s="40"/>
      <c r="K61" s="41">
        <f t="shared" si="0"/>
        <v>458280</v>
      </c>
      <c r="L61" s="42">
        <v>563080</v>
      </c>
      <c r="M61" s="76">
        <v>483080</v>
      </c>
      <c r="N61" s="45"/>
      <c r="O61" s="45"/>
      <c r="P61" s="45"/>
      <c r="Q61" s="45"/>
      <c r="R61" s="45"/>
    </row>
    <row r="62" spans="1:18" ht="20.100000000000001" customHeight="1" x14ac:dyDescent="0.3">
      <c r="A62" s="39" t="s">
        <v>218</v>
      </c>
      <c r="B62" s="27" t="s">
        <v>132</v>
      </c>
      <c r="C62" s="27" t="s">
        <v>133</v>
      </c>
      <c r="D62" s="27"/>
      <c r="E62" s="27"/>
      <c r="F62" s="27" t="s">
        <v>96</v>
      </c>
      <c r="G62" s="27">
        <v>3</v>
      </c>
      <c r="H62" s="27"/>
      <c r="I62" s="27"/>
      <c r="J62" s="40"/>
      <c r="K62" s="41">
        <f t="shared" si="0"/>
        <v>527280</v>
      </c>
      <c r="L62" s="42">
        <v>645880</v>
      </c>
      <c r="M62" s="76">
        <v>545880</v>
      </c>
      <c r="N62" s="16"/>
      <c r="O62" s="16"/>
      <c r="P62" s="16"/>
      <c r="Q62" s="16"/>
      <c r="R62" s="3"/>
    </row>
    <row r="63" spans="1:18" ht="20.100000000000001" customHeight="1" x14ac:dyDescent="0.3">
      <c r="A63" s="39" t="s">
        <v>218</v>
      </c>
      <c r="B63" s="27" t="s">
        <v>132</v>
      </c>
      <c r="C63" s="27" t="s">
        <v>133</v>
      </c>
      <c r="D63" s="27"/>
      <c r="E63" s="27"/>
      <c r="F63" s="27" t="s">
        <v>83</v>
      </c>
      <c r="G63" s="27">
        <v>1</v>
      </c>
      <c r="H63" s="27"/>
      <c r="I63" s="27"/>
      <c r="J63" s="40"/>
      <c r="K63" s="41">
        <f t="shared" si="0"/>
        <v>213640</v>
      </c>
      <c r="L63" s="42">
        <v>259840</v>
      </c>
      <c r="M63" s="76">
        <v>219840</v>
      </c>
    </row>
    <row r="64" spans="1:18" ht="20.100000000000001" customHeight="1" x14ac:dyDescent="0.3">
      <c r="A64" s="39" t="s">
        <v>218</v>
      </c>
      <c r="B64" s="27" t="s">
        <v>132</v>
      </c>
      <c r="C64" s="27" t="s">
        <v>133</v>
      </c>
      <c r="D64" s="27"/>
      <c r="E64" s="27"/>
      <c r="F64" s="27" t="s">
        <v>84</v>
      </c>
      <c r="G64" s="27">
        <v>1</v>
      </c>
      <c r="H64" s="27"/>
      <c r="I64" s="27"/>
      <c r="J64" s="40"/>
      <c r="K64" s="41">
        <f t="shared" si="0"/>
        <v>232240</v>
      </c>
      <c r="L64" s="42">
        <v>278440</v>
      </c>
      <c r="M64" s="76">
        <v>238440</v>
      </c>
    </row>
    <row r="65" spans="1:18" ht="20.100000000000001" customHeight="1" x14ac:dyDescent="0.3">
      <c r="A65" s="39" t="s">
        <v>218</v>
      </c>
      <c r="B65" s="27" t="s">
        <v>132</v>
      </c>
      <c r="C65" s="27" t="s">
        <v>133</v>
      </c>
      <c r="D65" s="27"/>
      <c r="E65" s="27"/>
      <c r="F65" s="27" t="s">
        <v>95</v>
      </c>
      <c r="G65" s="27">
        <v>2</v>
      </c>
      <c r="H65" s="27"/>
      <c r="I65" s="27"/>
      <c r="J65" s="40"/>
      <c r="K65" s="41">
        <f t="shared" si="0"/>
        <v>309919.99999999994</v>
      </c>
      <c r="L65" s="42">
        <v>382319.99999999994</v>
      </c>
      <c r="M65" s="76">
        <v>322319.99999999994</v>
      </c>
      <c r="N65" s="45"/>
      <c r="O65" s="45"/>
      <c r="P65" s="45"/>
      <c r="Q65" s="45"/>
      <c r="R65" s="45"/>
    </row>
    <row r="66" spans="1:18" ht="20.100000000000001" customHeight="1" x14ac:dyDescent="0.3">
      <c r="A66" s="39" t="s">
        <v>218</v>
      </c>
      <c r="B66" s="27" t="s">
        <v>132</v>
      </c>
      <c r="C66" s="27" t="s">
        <v>133</v>
      </c>
      <c r="D66" s="27"/>
      <c r="E66" s="27"/>
      <c r="F66" s="27" t="s">
        <v>221</v>
      </c>
      <c r="G66" s="27">
        <v>1</v>
      </c>
      <c r="H66" s="27"/>
      <c r="I66" s="27"/>
      <c r="J66" s="40"/>
      <c r="K66" s="41">
        <f t="shared" si="0"/>
        <v>103720</v>
      </c>
      <c r="L66" s="42">
        <v>129920</v>
      </c>
      <c r="M66" s="76">
        <v>109920</v>
      </c>
      <c r="N66" s="16"/>
      <c r="O66" s="16"/>
      <c r="P66" s="16"/>
      <c r="Q66" s="16"/>
      <c r="R66" s="3"/>
    </row>
    <row r="67" spans="1:18" ht="20.100000000000001" customHeight="1" x14ac:dyDescent="0.3">
      <c r="A67" s="39" t="s">
        <v>218</v>
      </c>
      <c r="B67" s="27" t="s">
        <v>132</v>
      </c>
      <c r="C67" s="27" t="s">
        <v>133</v>
      </c>
      <c r="D67" s="27"/>
      <c r="E67" s="27"/>
      <c r="F67" s="27" t="s">
        <v>86</v>
      </c>
      <c r="G67" s="27">
        <v>4</v>
      </c>
      <c r="H67" s="27"/>
      <c r="I67" s="27"/>
      <c r="J67" s="40"/>
      <c r="K67" s="41">
        <f t="shared" si="0"/>
        <v>441540</v>
      </c>
      <c r="L67" s="42">
        <v>546340</v>
      </c>
      <c r="M67" s="76">
        <v>466340</v>
      </c>
      <c r="N67" s="45"/>
      <c r="O67" s="45"/>
      <c r="P67" s="45"/>
      <c r="Q67" s="45"/>
      <c r="R67" s="45"/>
    </row>
    <row r="68" spans="1:18" ht="20.100000000000001" customHeight="1" x14ac:dyDescent="0.3">
      <c r="A68" s="39" t="s">
        <v>218</v>
      </c>
      <c r="B68" s="27" t="s">
        <v>132</v>
      </c>
      <c r="C68" s="27" t="s">
        <v>133</v>
      </c>
      <c r="D68" s="27"/>
      <c r="E68" s="27"/>
      <c r="F68" s="27" t="s">
        <v>105</v>
      </c>
      <c r="G68" s="27">
        <v>0</v>
      </c>
      <c r="H68" s="27"/>
      <c r="I68" s="27"/>
      <c r="J68" s="40"/>
      <c r="K68" s="41">
        <f t="shared" si="0"/>
        <v>203100</v>
      </c>
      <c r="L68" s="42">
        <v>243100</v>
      </c>
      <c r="M68" s="76">
        <v>203100</v>
      </c>
      <c r="N68" s="16"/>
      <c r="O68" s="16"/>
      <c r="P68" s="16"/>
      <c r="Q68" s="16"/>
      <c r="R68" s="3"/>
    </row>
    <row r="69" spans="1:18" ht="20.100000000000001" customHeight="1" x14ac:dyDescent="0.3">
      <c r="A69" s="39" t="s">
        <v>218</v>
      </c>
      <c r="B69" s="27" t="s">
        <v>132</v>
      </c>
      <c r="C69" s="27" t="s">
        <v>133</v>
      </c>
      <c r="D69" s="27"/>
      <c r="E69" s="27"/>
      <c r="F69" s="27" t="s">
        <v>222</v>
      </c>
      <c r="G69" s="27">
        <v>1</v>
      </c>
      <c r="H69" s="27"/>
      <c r="I69" s="27"/>
      <c r="J69" s="40"/>
      <c r="K69" s="41">
        <f t="shared" si="0"/>
        <v>201240</v>
      </c>
      <c r="L69" s="42">
        <v>247440</v>
      </c>
      <c r="M69" s="76">
        <v>207440</v>
      </c>
    </row>
    <row r="70" spans="1:18" ht="20.100000000000001" customHeight="1" x14ac:dyDescent="0.3">
      <c r="A70" s="39" t="s">
        <v>218</v>
      </c>
      <c r="B70" s="27" t="s">
        <v>132</v>
      </c>
      <c r="C70" s="27" t="s">
        <v>133</v>
      </c>
      <c r="D70" s="27"/>
      <c r="E70" s="27"/>
      <c r="F70" s="27" t="s">
        <v>97</v>
      </c>
      <c r="G70" s="27">
        <v>0</v>
      </c>
      <c r="H70" s="27"/>
      <c r="I70" s="27"/>
      <c r="J70" s="40"/>
      <c r="K70" s="41">
        <f t="shared" ref="K70:K125" si="1">M70-(G70*6200)</f>
        <v>101860</v>
      </c>
      <c r="L70" s="42">
        <v>121860</v>
      </c>
      <c r="M70" s="76">
        <v>101860</v>
      </c>
    </row>
    <row r="71" spans="1:18" ht="20.100000000000001" customHeight="1" x14ac:dyDescent="0.3">
      <c r="A71" s="39" t="s">
        <v>218</v>
      </c>
      <c r="B71" s="27" t="s">
        <v>132</v>
      </c>
      <c r="C71" s="27" t="s">
        <v>133</v>
      </c>
      <c r="D71" s="27"/>
      <c r="E71" s="27"/>
      <c r="F71" s="27" t="s">
        <v>119</v>
      </c>
      <c r="G71" s="27">
        <v>0</v>
      </c>
      <c r="H71" s="27"/>
      <c r="I71" s="27"/>
      <c r="J71" s="40"/>
      <c r="K71" s="41">
        <f t="shared" si="1"/>
        <v>100620</v>
      </c>
      <c r="L71" s="42">
        <v>120620</v>
      </c>
      <c r="M71" s="76">
        <v>100620</v>
      </c>
    </row>
    <row r="72" spans="1:18" ht="20.100000000000001" customHeight="1" x14ac:dyDescent="0.3">
      <c r="A72" s="39" t="s">
        <v>218</v>
      </c>
      <c r="B72" s="27" t="s">
        <v>132</v>
      </c>
      <c r="C72" s="27" t="s">
        <v>133</v>
      </c>
      <c r="D72" s="27"/>
      <c r="E72" s="27"/>
      <c r="F72" s="27" t="s">
        <v>110</v>
      </c>
      <c r="G72" s="27">
        <v>2</v>
      </c>
      <c r="H72" s="27"/>
      <c r="I72" s="27"/>
      <c r="J72" s="40"/>
      <c r="K72" s="41">
        <f t="shared" si="1"/>
        <v>230380</v>
      </c>
      <c r="L72" s="42">
        <v>282780</v>
      </c>
      <c r="M72" s="76">
        <v>242780</v>
      </c>
      <c r="N72" s="45"/>
      <c r="O72" s="45"/>
      <c r="P72" s="45"/>
      <c r="Q72" s="45"/>
      <c r="R72" s="45"/>
    </row>
    <row r="73" spans="1:18" ht="20.100000000000001" customHeight="1" x14ac:dyDescent="0.3">
      <c r="A73" s="39" t="s">
        <v>218</v>
      </c>
      <c r="B73" s="27" t="s">
        <v>132</v>
      </c>
      <c r="C73" s="27" t="s">
        <v>133</v>
      </c>
      <c r="D73" s="27"/>
      <c r="E73" s="27"/>
      <c r="F73" s="27" t="s">
        <v>127</v>
      </c>
      <c r="G73" s="27">
        <v>2</v>
      </c>
      <c r="H73" s="27"/>
      <c r="I73" s="27"/>
      <c r="J73" s="40"/>
      <c r="K73" s="41">
        <f t="shared" si="1"/>
        <v>321700</v>
      </c>
      <c r="L73" s="42">
        <v>394100</v>
      </c>
      <c r="M73" s="76">
        <v>334100</v>
      </c>
      <c r="N73" s="45"/>
      <c r="O73" s="45"/>
      <c r="P73" s="45"/>
      <c r="Q73" s="45"/>
      <c r="R73" s="45"/>
    </row>
    <row r="74" spans="1:18" ht="20.100000000000001" customHeight="1" x14ac:dyDescent="0.3">
      <c r="A74" s="39" t="s">
        <v>218</v>
      </c>
      <c r="B74" s="27" t="s">
        <v>132</v>
      </c>
      <c r="C74" s="27" t="s">
        <v>133</v>
      </c>
      <c r="D74" s="27"/>
      <c r="E74" s="27"/>
      <c r="F74" s="27" t="s">
        <v>122</v>
      </c>
      <c r="G74" s="27">
        <v>1</v>
      </c>
      <c r="H74" s="27"/>
      <c r="I74" s="27"/>
      <c r="J74" s="40"/>
      <c r="K74" s="41">
        <f t="shared" si="1"/>
        <v>107440</v>
      </c>
      <c r="L74" s="42">
        <v>133640</v>
      </c>
      <c r="M74" s="76">
        <v>113640</v>
      </c>
    </row>
    <row r="75" spans="1:18" ht="20.100000000000001" customHeight="1" x14ac:dyDescent="0.3">
      <c r="A75" s="39" t="s">
        <v>218</v>
      </c>
      <c r="B75" s="27" t="s">
        <v>132</v>
      </c>
      <c r="C75" s="27" t="s">
        <v>133</v>
      </c>
      <c r="D75" s="27"/>
      <c r="E75" s="27"/>
      <c r="F75" s="27" t="s">
        <v>126</v>
      </c>
      <c r="G75" s="27">
        <v>1</v>
      </c>
      <c r="H75" s="27"/>
      <c r="I75" s="27"/>
      <c r="J75" s="40"/>
      <c r="K75" s="41">
        <f t="shared" si="1"/>
        <v>101240</v>
      </c>
      <c r="L75" s="42">
        <v>127440</v>
      </c>
      <c r="M75" s="76">
        <v>107440</v>
      </c>
    </row>
    <row r="76" spans="1:18" ht="20.100000000000001" customHeight="1" x14ac:dyDescent="0.3">
      <c r="A76" s="39" t="s">
        <v>218</v>
      </c>
      <c r="B76" s="27" t="s">
        <v>132</v>
      </c>
      <c r="C76" s="27" t="s">
        <v>133</v>
      </c>
      <c r="D76" s="27"/>
      <c r="E76" s="27"/>
      <c r="F76" s="27" t="s">
        <v>223</v>
      </c>
      <c r="G76" s="27">
        <v>1</v>
      </c>
      <c r="H76" s="27"/>
      <c r="I76" s="27"/>
      <c r="J76" s="40"/>
      <c r="K76" s="41">
        <f t="shared" si="1"/>
        <v>100000</v>
      </c>
      <c r="L76" s="42">
        <v>126200</v>
      </c>
      <c r="M76" s="76">
        <v>106200</v>
      </c>
    </row>
    <row r="77" spans="1:18" ht="20.100000000000001" customHeight="1" x14ac:dyDescent="0.3">
      <c r="A77" s="39" t="s">
        <v>218</v>
      </c>
      <c r="B77" s="27" t="s">
        <v>132</v>
      </c>
      <c r="C77" s="27" t="s">
        <v>133</v>
      </c>
      <c r="D77" s="27"/>
      <c r="E77" s="27"/>
      <c r="F77" s="27" t="s">
        <v>224</v>
      </c>
      <c r="G77" s="27">
        <v>0</v>
      </c>
      <c r="H77" s="27"/>
      <c r="I77" s="27"/>
      <c r="J77" s="40"/>
      <c r="K77" s="41">
        <f t="shared" si="1"/>
        <v>100000</v>
      </c>
      <c r="L77" s="42">
        <v>120000</v>
      </c>
      <c r="M77" s="76">
        <v>100000</v>
      </c>
    </row>
    <row r="78" spans="1:18" ht="20.100000000000001" customHeight="1" x14ac:dyDescent="0.3">
      <c r="A78" s="39" t="s">
        <v>218</v>
      </c>
      <c r="B78" s="27" t="s">
        <v>132</v>
      </c>
      <c r="C78" s="27" t="s">
        <v>133</v>
      </c>
      <c r="D78" s="27"/>
      <c r="E78" s="27"/>
      <c r="F78" s="27" t="s">
        <v>130</v>
      </c>
      <c r="G78" s="27">
        <v>0</v>
      </c>
      <c r="H78" s="27"/>
      <c r="I78" s="27"/>
      <c r="J78" s="40"/>
      <c r="K78" s="41">
        <f t="shared" si="1"/>
        <v>100000</v>
      </c>
      <c r="L78" s="42">
        <v>120000</v>
      </c>
      <c r="M78" s="76">
        <v>100000</v>
      </c>
    </row>
    <row r="79" spans="1:18" ht="20.100000000000001" customHeight="1" x14ac:dyDescent="0.3">
      <c r="A79" s="39" t="s">
        <v>218</v>
      </c>
      <c r="B79" s="27" t="s">
        <v>132</v>
      </c>
      <c r="C79" s="27" t="s">
        <v>133</v>
      </c>
      <c r="D79" s="27"/>
      <c r="E79" s="27"/>
      <c r="F79" s="27" t="s">
        <v>225</v>
      </c>
      <c r="G79" s="27">
        <v>0</v>
      </c>
      <c r="H79" s="27"/>
      <c r="I79" s="27"/>
      <c r="J79" s="40"/>
      <c r="K79" s="41">
        <f t="shared" si="1"/>
        <v>100000</v>
      </c>
      <c r="L79" s="42">
        <v>120000</v>
      </c>
      <c r="M79" s="76">
        <v>100000</v>
      </c>
    </row>
    <row r="80" spans="1:18" ht="20.100000000000001" customHeight="1" x14ac:dyDescent="0.3">
      <c r="A80" s="39" t="s">
        <v>218</v>
      </c>
      <c r="B80" s="27" t="s">
        <v>132</v>
      </c>
      <c r="C80" s="27" t="s">
        <v>133</v>
      </c>
      <c r="D80" s="27"/>
      <c r="E80" s="27"/>
      <c r="F80" s="27" t="s">
        <v>129</v>
      </c>
      <c r="G80" s="27">
        <v>1</v>
      </c>
      <c r="H80" s="27"/>
      <c r="I80" s="27"/>
      <c r="J80" s="40"/>
      <c r="K80" s="41">
        <f t="shared" si="1"/>
        <v>214880</v>
      </c>
      <c r="L80" s="42">
        <v>261080</v>
      </c>
      <c r="M80" s="76">
        <v>221080</v>
      </c>
    </row>
    <row r="81" spans="1:13" ht="20.100000000000001" customHeight="1" x14ac:dyDescent="0.3">
      <c r="A81" s="39" t="s">
        <v>218</v>
      </c>
      <c r="B81" s="27" t="s">
        <v>132</v>
      </c>
      <c r="C81" s="27" t="s">
        <v>133</v>
      </c>
      <c r="D81" s="27"/>
      <c r="E81" s="27"/>
      <c r="F81" s="27" t="s">
        <v>85</v>
      </c>
      <c r="G81" s="27">
        <v>1</v>
      </c>
      <c r="H81" s="27"/>
      <c r="I81" s="27"/>
      <c r="J81" s="40"/>
      <c r="K81" s="41">
        <f t="shared" si="1"/>
        <v>107440</v>
      </c>
      <c r="L81" s="42">
        <v>133640</v>
      </c>
      <c r="M81" s="76">
        <v>113640</v>
      </c>
    </row>
    <row r="82" spans="1:13" ht="20.100000000000001" customHeight="1" x14ac:dyDescent="0.3">
      <c r="A82" s="39" t="s">
        <v>218</v>
      </c>
      <c r="B82" s="27" t="s">
        <v>132</v>
      </c>
      <c r="C82" s="27" t="s">
        <v>133</v>
      </c>
      <c r="D82" s="27"/>
      <c r="E82" s="27"/>
      <c r="F82" s="27" t="s">
        <v>121</v>
      </c>
      <c r="G82" s="27">
        <v>1</v>
      </c>
      <c r="H82" s="27"/>
      <c r="I82" s="27"/>
      <c r="J82" s="40"/>
      <c r="K82" s="41">
        <f t="shared" si="1"/>
        <v>107440</v>
      </c>
      <c r="L82" s="42">
        <v>133640</v>
      </c>
      <c r="M82" s="76">
        <v>113640</v>
      </c>
    </row>
    <row r="83" spans="1:13" ht="20.100000000000001" customHeight="1" x14ac:dyDescent="0.3">
      <c r="A83" s="39" t="s">
        <v>218</v>
      </c>
      <c r="B83" s="27" t="s">
        <v>132</v>
      </c>
      <c r="C83" s="27" t="s">
        <v>133</v>
      </c>
      <c r="D83" s="27"/>
      <c r="E83" s="27"/>
      <c r="F83" s="27" t="s">
        <v>100</v>
      </c>
      <c r="G83" s="27">
        <v>0</v>
      </c>
      <c r="H83" s="27"/>
      <c r="I83" s="27"/>
      <c r="J83" s="40"/>
      <c r="K83" s="41">
        <f t="shared" si="1"/>
        <v>93800</v>
      </c>
      <c r="L83" s="42">
        <v>113800</v>
      </c>
      <c r="M83" s="76">
        <v>93800</v>
      </c>
    </row>
    <row r="84" spans="1:13" ht="20.100000000000001" customHeight="1" x14ac:dyDescent="0.3">
      <c r="A84" s="39" t="s">
        <v>218</v>
      </c>
      <c r="B84" s="27" t="s">
        <v>132</v>
      </c>
      <c r="C84" s="27" t="s">
        <v>133</v>
      </c>
      <c r="D84" s="27"/>
      <c r="E84" s="27"/>
      <c r="F84" s="27" t="s">
        <v>99</v>
      </c>
      <c r="G84" s="27">
        <v>1</v>
      </c>
      <c r="H84" s="27"/>
      <c r="I84" s="27"/>
      <c r="J84" s="40"/>
      <c r="K84" s="41">
        <f t="shared" si="1"/>
        <v>100000</v>
      </c>
      <c r="L84" s="42">
        <v>126200</v>
      </c>
      <c r="M84" s="76">
        <v>106200</v>
      </c>
    </row>
    <row r="85" spans="1:13" ht="20.100000000000001" customHeight="1" x14ac:dyDescent="0.3">
      <c r="A85" s="39" t="s">
        <v>218</v>
      </c>
      <c r="B85" s="27" t="s">
        <v>132</v>
      </c>
      <c r="C85" s="27" t="s">
        <v>133</v>
      </c>
      <c r="D85" s="27"/>
      <c r="E85" s="27"/>
      <c r="F85" s="27" t="s">
        <v>226</v>
      </c>
      <c r="G85" s="27">
        <v>2</v>
      </c>
      <c r="H85" s="27"/>
      <c r="I85" s="27"/>
      <c r="J85" s="40"/>
      <c r="K85" s="41">
        <f t="shared" si="1"/>
        <v>229760</v>
      </c>
      <c r="L85" s="42">
        <v>282160</v>
      </c>
      <c r="M85" s="76">
        <v>242160</v>
      </c>
    </row>
    <row r="86" spans="1:13" ht="20.100000000000001" customHeight="1" x14ac:dyDescent="0.3">
      <c r="A86" s="39" t="s">
        <v>295</v>
      </c>
      <c r="B86" s="27" t="s">
        <v>132</v>
      </c>
      <c r="C86" s="27" t="s">
        <v>133</v>
      </c>
      <c r="D86" s="27"/>
      <c r="E86" s="27"/>
      <c r="F86" s="27" t="s">
        <v>281</v>
      </c>
      <c r="G86" s="27">
        <v>1</v>
      </c>
      <c r="H86" s="27"/>
      <c r="I86" s="27"/>
      <c r="J86" s="40"/>
      <c r="K86" s="41">
        <f t="shared" si="1"/>
        <v>109300</v>
      </c>
      <c r="L86" s="42">
        <v>135500</v>
      </c>
      <c r="M86" s="76">
        <v>115500</v>
      </c>
    </row>
    <row r="87" spans="1:13" ht="20.100000000000001" customHeight="1" x14ac:dyDescent="0.3">
      <c r="A87" s="39" t="s">
        <v>295</v>
      </c>
      <c r="B87" s="27" t="s">
        <v>132</v>
      </c>
      <c r="C87" s="27" t="s">
        <v>133</v>
      </c>
      <c r="D87" s="27"/>
      <c r="E87" s="27"/>
      <c r="F87" s="27" t="s">
        <v>84</v>
      </c>
      <c r="G87" s="27">
        <v>4</v>
      </c>
      <c r="H87" s="27"/>
      <c r="I87" s="27"/>
      <c r="J87" s="40"/>
      <c r="K87" s="41">
        <f t="shared" si="1"/>
        <v>622140</v>
      </c>
      <c r="L87" s="42">
        <v>746940</v>
      </c>
      <c r="M87" s="76">
        <v>646940</v>
      </c>
    </row>
    <row r="88" spans="1:13" ht="20.100000000000001" customHeight="1" x14ac:dyDescent="0.3">
      <c r="A88" s="39" t="s">
        <v>295</v>
      </c>
      <c r="B88" s="27" t="s">
        <v>132</v>
      </c>
      <c r="C88" s="27" t="s">
        <v>133</v>
      </c>
      <c r="D88" s="27"/>
      <c r="E88" s="27"/>
      <c r="F88" s="27" t="s">
        <v>282</v>
      </c>
      <c r="G88" s="27">
        <v>3</v>
      </c>
      <c r="H88" s="27"/>
      <c r="I88" s="27"/>
      <c r="J88" s="40"/>
      <c r="K88" s="41">
        <f t="shared" si="1"/>
        <v>365720.00000000006</v>
      </c>
      <c r="L88" s="42">
        <v>444320.00000000006</v>
      </c>
      <c r="M88" s="76">
        <v>384320.00000000006</v>
      </c>
    </row>
    <row r="89" spans="1:13" ht="20.100000000000001" customHeight="1" x14ac:dyDescent="0.3">
      <c r="A89" s="39" t="s">
        <v>295</v>
      </c>
      <c r="B89" s="27" t="s">
        <v>132</v>
      </c>
      <c r="C89" s="27" t="s">
        <v>133</v>
      </c>
      <c r="D89" s="27"/>
      <c r="E89" s="27"/>
      <c r="F89" s="27" t="s">
        <v>85</v>
      </c>
      <c r="G89" s="27">
        <v>4</v>
      </c>
      <c r="H89" s="27"/>
      <c r="I89" s="27"/>
      <c r="J89" s="40"/>
      <c r="K89" s="41">
        <f t="shared" si="1"/>
        <v>540120</v>
      </c>
      <c r="L89" s="42">
        <v>644920</v>
      </c>
      <c r="M89" s="76">
        <v>564920</v>
      </c>
    </row>
    <row r="90" spans="1:13" ht="20.100000000000001" customHeight="1" x14ac:dyDescent="0.3">
      <c r="A90" s="39" t="s">
        <v>295</v>
      </c>
      <c r="B90" s="27" t="s">
        <v>132</v>
      </c>
      <c r="C90" s="27" t="s">
        <v>133</v>
      </c>
      <c r="D90" s="27"/>
      <c r="E90" s="27"/>
      <c r="F90" s="27" t="s">
        <v>96</v>
      </c>
      <c r="G90" s="27">
        <v>1</v>
      </c>
      <c r="H90" s="27"/>
      <c r="I90" s="27"/>
      <c r="J90" s="40"/>
      <c r="K90" s="41">
        <f t="shared" si="1"/>
        <v>103720</v>
      </c>
      <c r="L90" s="42">
        <v>129920</v>
      </c>
      <c r="M90" s="76">
        <v>109920</v>
      </c>
    </row>
    <row r="91" spans="1:13" ht="20.100000000000001" customHeight="1" x14ac:dyDescent="0.3">
      <c r="A91" s="39" t="s">
        <v>295</v>
      </c>
      <c r="B91" s="27" t="s">
        <v>132</v>
      </c>
      <c r="C91" s="27" t="s">
        <v>133</v>
      </c>
      <c r="D91" s="27"/>
      <c r="E91" s="27"/>
      <c r="F91" s="27" t="s">
        <v>95</v>
      </c>
      <c r="G91" s="27">
        <v>1</v>
      </c>
      <c r="H91" s="27"/>
      <c r="I91" s="27"/>
      <c r="J91" s="40"/>
      <c r="K91" s="41">
        <f t="shared" si="1"/>
        <v>131620</v>
      </c>
      <c r="L91" s="42">
        <v>157820</v>
      </c>
      <c r="M91" s="76">
        <v>137820</v>
      </c>
    </row>
    <row r="92" spans="1:13" ht="20.100000000000001" customHeight="1" x14ac:dyDescent="0.3">
      <c r="A92" s="39" t="s">
        <v>295</v>
      </c>
      <c r="B92" s="27" t="s">
        <v>132</v>
      </c>
      <c r="C92" s="27" t="s">
        <v>133</v>
      </c>
      <c r="D92" s="27"/>
      <c r="E92" s="27"/>
      <c r="F92" s="27" t="s">
        <v>283</v>
      </c>
      <c r="G92" s="27">
        <v>7</v>
      </c>
      <c r="H92" s="27"/>
      <c r="I92" s="27"/>
      <c r="J92" s="40"/>
      <c r="K92" s="41">
        <f t="shared" si="1"/>
        <v>891580</v>
      </c>
      <c r="L92" s="42">
        <v>1074980</v>
      </c>
      <c r="M92" s="76">
        <v>934980</v>
      </c>
    </row>
    <row r="93" spans="1:13" ht="20.100000000000001" customHeight="1" x14ac:dyDescent="0.3">
      <c r="A93" s="39" t="s">
        <v>295</v>
      </c>
      <c r="B93" s="27" t="s">
        <v>132</v>
      </c>
      <c r="C93" s="27" t="s">
        <v>133</v>
      </c>
      <c r="D93" s="27"/>
      <c r="E93" s="27"/>
      <c r="F93" s="27" t="s">
        <v>88</v>
      </c>
      <c r="G93" s="27">
        <v>7</v>
      </c>
      <c r="H93" s="27"/>
      <c r="I93" s="27"/>
      <c r="J93" s="40"/>
      <c r="K93" s="41">
        <f t="shared" si="1"/>
        <v>844460</v>
      </c>
      <c r="L93" s="42">
        <v>1027860</v>
      </c>
      <c r="M93" s="76">
        <v>887860</v>
      </c>
    </row>
    <row r="94" spans="1:13" ht="20.100000000000001" customHeight="1" x14ac:dyDescent="0.3">
      <c r="A94" s="39" t="s">
        <v>295</v>
      </c>
      <c r="B94" s="27" t="s">
        <v>132</v>
      </c>
      <c r="C94" s="27" t="s">
        <v>133</v>
      </c>
      <c r="D94" s="27"/>
      <c r="E94" s="27"/>
      <c r="F94" s="27" t="s">
        <v>106</v>
      </c>
      <c r="G94" s="27">
        <v>7</v>
      </c>
      <c r="H94" s="27"/>
      <c r="I94" s="27"/>
      <c r="J94" s="40"/>
      <c r="K94" s="41">
        <f t="shared" si="1"/>
        <v>902740.00000000012</v>
      </c>
      <c r="L94" s="42">
        <v>1086140</v>
      </c>
      <c r="M94" s="76">
        <v>946140.00000000012</v>
      </c>
    </row>
    <row r="95" spans="1:13" ht="20.100000000000001" customHeight="1" x14ac:dyDescent="0.3">
      <c r="A95" s="39" t="s">
        <v>295</v>
      </c>
      <c r="B95" s="27" t="s">
        <v>132</v>
      </c>
      <c r="C95" s="27" t="s">
        <v>133</v>
      </c>
      <c r="D95" s="27"/>
      <c r="E95" s="27"/>
      <c r="F95" s="27" t="s">
        <v>91</v>
      </c>
      <c r="G95" s="27">
        <v>6</v>
      </c>
      <c r="H95" s="27"/>
      <c r="I95" s="27"/>
      <c r="J95" s="40"/>
      <c r="K95" s="41">
        <f t="shared" si="1"/>
        <v>688660</v>
      </c>
      <c r="L95" s="42">
        <v>845860</v>
      </c>
      <c r="M95" s="76">
        <v>725860</v>
      </c>
    </row>
    <row r="96" spans="1:13" ht="20.100000000000001" customHeight="1" x14ac:dyDescent="0.3">
      <c r="A96" s="39" t="s">
        <v>295</v>
      </c>
      <c r="B96" s="27" t="s">
        <v>132</v>
      </c>
      <c r="C96" s="27" t="s">
        <v>133</v>
      </c>
      <c r="D96" s="27"/>
      <c r="E96" s="27"/>
      <c r="F96" s="27" t="s">
        <v>103</v>
      </c>
      <c r="G96" s="27">
        <v>4</v>
      </c>
      <c r="H96" s="27"/>
      <c r="I96" s="27"/>
      <c r="J96" s="40"/>
      <c r="K96" s="41">
        <f t="shared" si="1"/>
        <v>610980</v>
      </c>
      <c r="L96" s="42">
        <v>735780</v>
      </c>
      <c r="M96" s="76">
        <v>635780</v>
      </c>
    </row>
    <row r="97" spans="1:13" ht="20.100000000000001" customHeight="1" x14ac:dyDescent="0.3">
      <c r="A97" s="39" t="s">
        <v>295</v>
      </c>
      <c r="B97" s="27" t="s">
        <v>132</v>
      </c>
      <c r="C97" s="27" t="s">
        <v>133</v>
      </c>
      <c r="D97" s="27"/>
      <c r="E97" s="27"/>
      <c r="F97" s="27" t="s">
        <v>86</v>
      </c>
      <c r="G97" s="27">
        <v>4</v>
      </c>
      <c r="H97" s="27"/>
      <c r="I97" s="27"/>
      <c r="J97" s="40"/>
      <c r="K97" s="41">
        <f t="shared" si="1"/>
        <v>512220</v>
      </c>
      <c r="L97" s="42">
        <v>617020</v>
      </c>
      <c r="M97" s="76">
        <v>537020</v>
      </c>
    </row>
    <row r="98" spans="1:13" ht="20.100000000000001" customHeight="1" x14ac:dyDescent="0.3">
      <c r="A98" s="39" t="s">
        <v>295</v>
      </c>
      <c r="B98" s="27" t="s">
        <v>132</v>
      </c>
      <c r="C98" s="27" t="s">
        <v>133</v>
      </c>
      <c r="D98" s="27"/>
      <c r="E98" s="27"/>
      <c r="F98" s="27" t="s">
        <v>223</v>
      </c>
      <c r="G98" s="27">
        <v>4</v>
      </c>
      <c r="H98" s="27"/>
      <c r="I98" s="27"/>
      <c r="J98" s="40"/>
      <c r="K98" s="41">
        <f t="shared" si="1"/>
        <v>481840</v>
      </c>
      <c r="L98" s="42">
        <v>586640</v>
      </c>
      <c r="M98" s="76">
        <v>506640</v>
      </c>
    </row>
    <row r="99" spans="1:13" ht="20.100000000000001" customHeight="1" x14ac:dyDescent="0.3">
      <c r="A99" s="39" t="s">
        <v>295</v>
      </c>
      <c r="B99" s="27" t="s">
        <v>132</v>
      </c>
      <c r="C99" s="27" t="s">
        <v>133</v>
      </c>
      <c r="D99" s="27"/>
      <c r="E99" s="27"/>
      <c r="F99" s="27" t="s">
        <v>121</v>
      </c>
      <c r="G99" s="27">
        <v>3</v>
      </c>
      <c r="H99" s="27"/>
      <c r="I99" s="27"/>
      <c r="J99" s="40"/>
      <c r="K99" s="41">
        <f t="shared" si="1"/>
        <v>352080</v>
      </c>
      <c r="L99" s="42">
        <v>430680</v>
      </c>
      <c r="M99" s="76">
        <v>370680</v>
      </c>
    </row>
    <row r="100" spans="1:13" ht="20.100000000000001" customHeight="1" x14ac:dyDescent="0.3">
      <c r="A100" s="39" t="s">
        <v>295</v>
      </c>
      <c r="B100" s="27" t="s">
        <v>132</v>
      </c>
      <c r="C100" s="27" t="s">
        <v>133</v>
      </c>
      <c r="D100" s="27"/>
      <c r="E100" s="27"/>
      <c r="F100" s="27" t="s">
        <v>105</v>
      </c>
      <c r="G100" s="27">
        <v>5</v>
      </c>
      <c r="H100" s="27"/>
      <c r="I100" s="27"/>
      <c r="J100" s="40"/>
      <c r="K100" s="41">
        <f t="shared" si="1"/>
        <v>593000</v>
      </c>
      <c r="L100" s="42">
        <v>724000</v>
      </c>
      <c r="M100" s="76">
        <v>624000</v>
      </c>
    </row>
    <row r="101" spans="1:13" ht="20.100000000000001" customHeight="1" x14ac:dyDescent="0.3">
      <c r="A101" s="39" t="s">
        <v>295</v>
      </c>
      <c r="B101" s="27" t="s">
        <v>132</v>
      </c>
      <c r="C101" s="27" t="s">
        <v>133</v>
      </c>
      <c r="D101" s="27"/>
      <c r="E101" s="27"/>
      <c r="F101" s="27" t="s">
        <v>108</v>
      </c>
      <c r="G101" s="27">
        <v>2</v>
      </c>
      <c r="H101" s="27"/>
      <c r="I101" s="27"/>
      <c r="J101" s="40"/>
      <c r="K101" s="41">
        <f t="shared" si="1"/>
        <v>257040</v>
      </c>
      <c r="L101" s="42">
        <v>309440</v>
      </c>
      <c r="M101" s="76">
        <v>269440</v>
      </c>
    </row>
    <row r="102" spans="1:13" ht="20.100000000000001" customHeight="1" x14ac:dyDescent="0.3">
      <c r="A102" s="39" t="s">
        <v>295</v>
      </c>
      <c r="B102" s="27" t="s">
        <v>132</v>
      </c>
      <c r="C102" s="27" t="s">
        <v>133</v>
      </c>
      <c r="D102" s="27"/>
      <c r="E102" s="27"/>
      <c r="F102" s="27" t="s">
        <v>284</v>
      </c>
      <c r="G102" s="27">
        <v>1</v>
      </c>
      <c r="H102" s="27"/>
      <c r="I102" s="27"/>
      <c r="J102" s="40"/>
      <c r="K102" s="41">
        <f t="shared" si="1"/>
        <v>147120</v>
      </c>
      <c r="L102" s="42">
        <v>173320</v>
      </c>
      <c r="M102" s="76">
        <v>153320</v>
      </c>
    </row>
    <row r="103" spans="1:13" ht="20.100000000000001" customHeight="1" x14ac:dyDescent="0.3">
      <c r="A103" s="39" t="s">
        <v>295</v>
      </c>
      <c r="B103" s="27" t="s">
        <v>132</v>
      </c>
      <c r="C103" s="27" t="s">
        <v>133</v>
      </c>
      <c r="D103" s="27"/>
      <c r="E103" s="27"/>
      <c r="F103" s="27" t="s">
        <v>285</v>
      </c>
      <c r="G103" s="27">
        <v>1</v>
      </c>
      <c r="H103" s="27"/>
      <c r="I103" s="27"/>
      <c r="J103" s="40"/>
      <c r="K103" s="41">
        <f t="shared" si="1"/>
        <v>100620</v>
      </c>
      <c r="L103" s="42">
        <v>126820</v>
      </c>
      <c r="M103" s="76">
        <v>106820</v>
      </c>
    </row>
    <row r="104" spans="1:13" ht="20.100000000000001" customHeight="1" x14ac:dyDescent="0.3">
      <c r="A104" s="39" t="s">
        <v>295</v>
      </c>
      <c r="B104" s="27" t="s">
        <v>132</v>
      </c>
      <c r="C104" s="27" t="s">
        <v>133</v>
      </c>
      <c r="D104" s="27"/>
      <c r="E104" s="27"/>
      <c r="F104" s="27" t="s">
        <v>127</v>
      </c>
      <c r="G104" s="27">
        <v>3</v>
      </c>
      <c r="H104" s="27"/>
      <c r="I104" s="27"/>
      <c r="J104" s="40"/>
      <c r="K104" s="41">
        <f t="shared" si="1"/>
        <v>347120</v>
      </c>
      <c r="L104" s="42">
        <v>425720</v>
      </c>
      <c r="M104" s="76">
        <v>365720</v>
      </c>
    </row>
    <row r="105" spans="1:13" ht="20.100000000000001" customHeight="1" x14ac:dyDescent="0.3">
      <c r="A105" s="39" t="s">
        <v>295</v>
      </c>
      <c r="B105" s="27" t="s">
        <v>132</v>
      </c>
      <c r="C105" s="27" t="s">
        <v>133</v>
      </c>
      <c r="D105" s="27"/>
      <c r="E105" s="27"/>
      <c r="F105" s="27" t="s">
        <v>83</v>
      </c>
      <c r="G105" s="27">
        <v>3</v>
      </c>
      <c r="H105" s="27"/>
      <c r="I105" s="27"/>
      <c r="J105" s="40"/>
      <c r="K105" s="41">
        <f t="shared" si="1"/>
        <v>517180</v>
      </c>
      <c r="L105" s="42">
        <v>615780</v>
      </c>
      <c r="M105" s="76">
        <v>535780</v>
      </c>
    </row>
    <row r="106" spans="1:13" ht="20.100000000000001" customHeight="1" x14ac:dyDescent="0.3">
      <c r="A106" s="39" t="s">
        <v>295</v>
      </c>
      <c r="B106" s="27" t="s">
        <v>132</v>
      </c>
      <c r="C106" s="27" t="s">
        <v>133</v>
      </c>
      <c r="D106" s="27"/>
      <c r="E106" s="27"/>
      <c r="F106" s="27" t="s">
        <v>89</v>
      </c>
      <c r="G106" s="27">
        <v>6</v>
      </c>
      <c r="H106" s="27"/>
      <c r="I106" s="27"/>
      <c r="J106" s="40"/>
      <c r="K106" s="41">
        <f t="shared" si="1"/>
        <v>755000.00000000012</v>
      </c>
      <c r="L106" s="42">
        <v>912200.00000000012</v>
      </c>
      <c r="M106" s="76">
        <v>792200.00000000012</v>
      </c>
    </row>
    <row r="107" spans="1:13" ht="20.100000000000001" customHeight="1" x14ac:dyDescent="0.3">
      <c r="A107" s="39" t="s">
        <v>295</v>
      </c>
      <c r="B107" s="27" t="s">
        <v>132</v>
      </c>
      <c r="C107" s="27" t="s">
        <v>133</v>
      </c>
      <c r="D107" s="27"/>
      <c r="E107" s="27"/>
      <c r="F107" s="27" t="s">
        <v>286</v>
      </c>
      <c r="G107" s="27">
        <v>5</v>
      </c>
      <c r="H107" s="27"/>
      <c r="I107" s="27"/>
      <c r="J107" s="40"/>
      <c r="K107" s="41">
        <f t="shared" si="1"/>
        <v>588660</v>
      </c>
      <c r="L107" s="42">
        <v>719660</v>
      </c>
      <c r="M107" s="76">
        <v>619660</v>
      </c>
    </row>
    <row r="108" spans="1:13" ht="20.100000000000001" customHeight="1" x14ac:dyDescent="0.3">
      <c r="A108" s="39" t="s">
        <v>295</v>
      </c>
      <c r="B108" s="27" t="s">
        <v>132</v>
      </c>
      <c r="C108" s="27" t="s">
        <v>133</v>
      </c>
      <c r="D108" s="27"/>
      <c r="E108" s="27"/>
      <c r="F108" s="27" t="s">
        <v>287</v>
      </c>
      <c r="G108" s="27">
        <v>2</v>
      </c>
      <c r="H108" s="27"/>
      <c r="I108" s="27"/>
      <c r="J108" s="40"/>
      <c r="K108" s="41">
        <f t="shared" si="1"/>
        <v>370060</v>
      </c>
      <c r="L108" s="42">
        <v>442460</v>
      </c>
      <c r="M108" s="76">
        <v>382460</v>
      </c>
    </row>
    <row r="109" spans="1:13" ht="20.100000000000001" customHeight="1" x14ac:dyDescent="0.3">
      <c r="A109" s="39" t="s">
        <v>295</v>
      </c>
      <c r="B109" s="27" t="s">
        <v>132</v>
      </c>
      <c r="C109" s="27" t="s">
        <v>133</v>
      </c>
      <c r="D109" s="27"/>
      <c r="E109" s="27"/>
      <c r="F109" s="27" t="s">
        <v>288</v>
      </c>
      <c r="G109" s="27">
        <v>4</v>
      </c>
      <c r="H109" s="27"/>
      <c r="I109" s="27"/>
      <c r="J109" s="40"/>
      <c r="K109" s="41">
        <f t="shared" si="1"/>
        <v>447740</v>
      </c>
      <c r="L109" s="42">
        <v>552540</v>
      </c>
      <c r="M109" s="76">
        <v>472540</v>
      </c>
    </row>
    <row r="110" spans="1:13" ht="20.100000000000001" customHeight="1" x14ac:dyDescent="0.3">
      <c r="A110" s="39" t="s">
        <v>295</v>
      </c>
      <c r="B110" s="27" t="s">
        <v>132</v>
      </c>
      <c r="C110" s="27" t="s">
        <v>133</v>
      </c>
      <c r="D110" s="27"/>
      <c r="E110" s="27"/>
      <c r="F110" s="27" t="s">
        <v>289</v>
      </c>
      <c r="G110" s="27">
        <v>1</v>
      </c>
      <c r="H110" s="27"/>
      <c r="I110" s="27"/>
      <c r="J110" s="40"/>
      <c r="K110" s="41">
        <f t="shared" si="1"/>
        <v>119220</v>
      </c>
      <c r="L110" s="42">
        <v>145420</v>
      </c>
      <c r="M110" s="76">
        <v>125420</v>
      </c>
    </row>
    <row r="111" spans="1:13" ht="20.100000000000001" customHeight="1" x14ac:dyDescent="0.3">
      <c r="A111" s="39" t="s">
        <v>295</v>
      </c>
      <c r="B111" s="27" t="s">
        <v>132</v>
      </c>
      <c r="C111" s="27" t="s">
        <v>133</v>
      </c>
      <c r="D111" s="27"/>
      <c r="E111" s="27"/>
      <c r="F111" s="27" t="s">
        <v>129</v>
      </c>
      <c r="G111" s="27">
        <v>3</v>
      </c>
      <c r="H111" s="27"/>
      <c r="I111" s="27"/>
      <c r="J111" s="40"/>
      <c r="K111" s="41">
        <f t="shared" si="1"/>
        <v>343400</v>
      </c>
      <c r="L111" s="42">
        <v>422000</v>
      </c>
      <c r="M111" s="76">
        <v>362000</v>
      </c>
    </row>
    <row r="112" spans="1:13" ht="20.100000000000001" customHeight="1" x14ac:dyDescent="0.3">
      <c r="A112" s="39" t="s">
        <v>295</v>
      </c>
      <c r="B112" s="27" t="s">
        <v>132</v>
      </c>
      <c r="C112" s="27" t="s">
        <v>133</v>
      </c>
      <c r="D112" s="27"/>
      <c r="E112" s="27"/>
      <c r="F112" s="27" t="s">
        <v>92</v>
      </c>
      <c r="G112" s="27">
        <v>5</v>
      </c>
      <c r="H112" s="27"/>
      <c r="I112" s="27"/>
      <c r="J112" s="40"/>
      <c r="K112" s="41">
        <f t="shared" si="1"/>
        <v>606020</v>
      </c>
      <c r="L112" s="42">
        <v>737020</v>
      </c>
      <c r="M112" s="76">
        <v>637020</v>
      </c>
    </row>
    <row r="113" spans="1:14" ht="20.100000000000001" customHeight="1" x14ac:dyDescent="0.3">
      <c r="A113" s="39" t="s">
        <v>295</v>
      </c>
      <c r="B113" s="27" t="s">
        <v>132</v>
      </c>
      <c r="C113" s="27" t="s">
        <v>133</v>
      </c>
      <c r="D113" s="27"/>
      <c r="E113" s="27"/>
      <c r="F113" s="27" t="s">
        <v>100</v>
      </c>
      <c r="G113" s="27">
        <v>0</v>
      </c>
      <c r="H113" s="27"/>
      <c r="I113" s="27"/>
      <c r="J113" s="40"/>
      <c r="K113" s="41">
        <f t="shared" si="1"/>
        <v>96280</v>
      </c>
      <c r="L113" s="42">
        <v>116280</v>
      </c>
      <c r="M113" s="76">
        <v>96280</v>
      </c>
    </row>
    <row r="114" spans="1:14" ht="20.100000000000001" customHeight="1" x14ac:dyDescent="0.3">
      <c r="A114" s="39" t="s">
        <v>295</v>
      </c>
      <c r="B114" s="27" t="s">
        <v>132</v>
      </c>
      <c r="C114" s="27" t="s">
        <v>133</v>
      </c>
      <c r="D114" s="27"/>
      <c r="E114" s="27"/>
      <c r="F114" s="27" t="s">
        <v>102</v>
      </c>
      <c r="G114" s="27">
        <v>2</v>
      </c>
      <c r="H114" s="27"/>
      <c r="I114" s="27"/>
      <c r="J114" s="40"/>
      <c r="K114" s="41">
        <f t="shared" si="1"/>
        <v>322320</v>
      </c>
      <c r="L114" s="42">
        <v>394720</v>
      </c>
      <c r="M114" s="76">
        <v>334720</v>
      </c>
    </row>
    <row r="115" spans="1:14" ht="20.100000000000001" customHeight="1" x14ac:dyDescent="0.3">
      <c r="A115" s="39" t="s">
        <v>295</v>
      </c>
      <c r="B115" s="27" t="s">
        <v>132</v>
      </c>
      <c r="C115" s="27" t="s">
        <v>133</v>
      </c>
      <c r="D115" s="27"/>
      <c r="E115" s="27"/>
      <c r="F115" s="27" t="s">
        <v>290</v>
      </c>
      <c r="G115" s="27">
        <v>2</v>
      </c>
      <c r="H115" s="27"/>
      <c r="I115" s="27"/>
      <c r="J115" s="40"/>
      <c r="K115" s="41">
        <f t="shared" si="1"/>
        <v>234720</v>
      </c>
      <c r="L115" s="42">
        <v>287120</v>
      </c>
      <c r="M115" s="76">
        <v>247120</v>
      </c>
    </row>
    <row r="116" spans="1:14" ht="20.100000000000001" customHeight="1" x14ac:dyDescent="0.3">
      <c r="A116" s="39" t="s">
        <v>295</v>
      </c>
      <c r="B116" s="27" t="s">
        <v>132</v>
      </c>
      <c r="C116" s="27" t="s">
        <v>133</v>
      </c>
      <c r="D116" s="27"/>
      <c r="E116" s="27"/>
      <c r="F116" s="27" t="s">
        <v>291</v>
      </c>
      <c r="G116" s="27">
        <v>1</v>
      </c>
      <c r="H116" s="27"/>
      <c r="I116" s="27"/>
      <c r="J116" s="40"/>
      <c r="K116" s="41">
        <f t="shared" si="1"/>
        <v>100000</v>
      </c>
      <c r="L116" s="42">
        <v>126200</v>
      </c>
      <c r="M116" s="76">
        <v>106200</v>
      </c>
    </row>
    <row r="117" spans="1:14" ht="20.100000000000001" customHeight="1" x14ac:dyDescent="0.3">
      <c r="A117" s="39" t="s">
        <v>295</v>
      </c>
      <c r="B117" s="27" t="s">
        <v>132</v>
      </c>
      <c r="C117" s="27" t="s">
        <v>133</v>
      </c>
      <c r="D117" s="27"/>
      <c r="E117" s="27"/>
      <c r="F117" s="27" t="s">
        <v>292</v>
      </c>
      <c r="G117" s="27">
        <v>1</v>
      </c>
      <c r="H117" s="27"/>
      <c r="I117" s="27"/>
      <c r="J117" s="40"/>
      <c r="K117" s="41">
        <f t="shared" si="1"/>
        <v>117980</v>
      </c>
      <c r="L117" s="42">
        <v>144180</v>
      </c>
      <c r="M117" s="76">
        <v>124180</v>
      </c>
    </row>
    <row r="118" spans="1:14" ht="20.100000000000001" customHeight="1" x14ac:dyDescent="0.3">
      <c r="A118" s="39" t="s">
        <v>295</v>
      </c>
      <c r="B118" s="27" t="s">
        <v>132</v>
      </c>
      <c r="C118" s="27" t="s">
        <v>133</v>
      </c>
      <c r="D118" s="27"/>
      <c r="E118" s="27"/>
      <c r="F118" s="27" t="s">
        <v>97</v>
      </c>
      <c r="G118" s="27">
        <v>1</v>
      </c>
      <c r="H118" s="27"/>
      <c r="I118" s="27"/>
      <c r="J118" s="40"/>
      <c r="K118" s="41">
        <f t="shared" si="1"/>
        <v>129760</v>
      </c>
      <c r="L118" s="42">
        <v>155960</v>
      </c>
      <c r="M118" s="76">
        <v>135960</v>
      </c>
    </row>
    <row r="119" spans="1:14" ht="20.100000000000001" customHeight="1" x14ac:dyDescent="0.3">
      <c r="A119" s="39" t="s">
        <v>295</v>
      </c>
      <c r="B119" s="27" t="s">
        <v>132</v>
      </c>
      <c r="C119" s="27" t="s">
        <v>133</v>
      </c>
      <c r="D119" s="27"/>
      <c r="E119" s="27"/>
      <c r="F119" s="27" t="s">
        <v>293</v>
      </c>
      <c r="G119" s="27">
        <v>1</v>
      </c>
      <c r="H119" s="27"/>
      <c r="I119" s="27"/>
      <c r="J119" s="40"/>
      <c r="K119" s="41">
        <f t="shared" si="1"/>
        <v>110540</v>
      </c>
      <c r="L119" s="42">
        <v>136740</v>
      </c>
      <c r="M119" s="76">
        <v>116740</v>
      </c>
    </row>
    <row r="120" spans="1:14" ht="20.100000000000001" customHeight="1" x14ac:dyDescent="0.3">
      <c r="A120" s="39" t="s">
        <v>295</v>
      </c>
      <c r="B120" s="27" t="s">
        <v>132</v>
      </c>
      <c r="C120" s="27" t="s">
        <v>133</v>
      </c>
      <c r="D120" s="27"/>
      <c r="E120" s="27"/>
      <c r="F120" s="27" t="s">
        <v>294</v>
      </c>
      <c r="G120" s="27">
        <v>1</v>
      </c>
      <c r="H120" s="27"/>
      <c r="I120" s="27"/>
      <c r="J120" s="40"/>
      <c r="K120" s="41">
        <f t="shared" si="1"/>
        <v>110540</v>
      </c>
      <c r="L120" s="42">
        <v>136740</v>
      </c>
      <c r="M120" s="76">
        <v>116740</v>
      </c>
    </row>
    <row r="121" spans="1:14" ht="20.100000000000001" customHeight="1" x14ac:dyDescent="0.3">
      <c r="A121" s="39" t="s">
        <v>295</v>
      </c>
      <c r="B121" s="27" t="s">
        <v>132</v>
      </c>
      <c r="C121" s="27" t="s">
        <v>133</v>
      </c>
      <c r="D121" s="27"/>
      <c r="E121" s="27"/>
      <c r="F121" s="27" t="s">
        <v>110</v>
      </c>
      <c r="G121" s="27">
        <v>3</v>
      </c>
      <c r="H121" s="27"/>
      <c r="I121" s="27"/>
      <c r="J121" s="40"/>
      <c r="K121" s="41">
        <f t="shared" si="1"/>
        <v>366340</v>
      </c>
      <c r="L121" s="42">
        <v>444940</v>
      </c>
      <c r="M121" s="76">
        <v>384940</v>
      </c>
    </row>
    <row r="122" spans="1:14" ht="20.100000000000001" customHeight="1" x14ac:dyDescent="0.3">
      <c r="A122" s="39" t="s">
        <v>295</v>
      </c>
      <c r="B122" s="27" t="s">
        <v>132</v>
      </c>
      <c r="C122" s="27" t="s">
        <v>133</v>
      </c>
      <c r="D122" s="27"/>
      <c r="E122" s="27"/>
      <c r="F122" s="27" t="s">
        <v>126</v>
      </c>
      <c r="G122" s="27">
        <v>2</v>
      </c>
      <c r="H122" s="27"/>
      <c r="I122" s="27"/>
      <c r="J122" s="40"/>
      <c r="K122" s="41">
        <f t="shared" si="1"/>
        <v>217360</v>
      </c>
      <c r="L122" s="42">
        <v>269760</v>
      </c>
      <c r="M122" s="76">
        <v>229760</v>
      </c>
    </row>
    <row r="123" spans="1:14" ht="20.100000000000001" customHeight="1" x14ac:dyDescent="0.3">
      <c r="A123" s="39" t="s">
        <v>295</v>
      </c>
      <c r="B123" s="27" t="s">
        <v>132</v>
      </c>
      <c r="C123" s="27" t="s">
        <v>133</v>
      </c>
      <c r="D123" s="27"/>
      <c r="E123" s="27"/>
      <c r="F123" s="27" t="s">
        <v>125</v>
      </c>
      <c r="G123" s="27">
        <v>0</v>
      </c>
      <c r="H123" s="27"/>
      <c r="I123" s="27"/>
      <c r="J123" s="40"/>
      <c r="K123" s="41">
        <f t="shared" si="1"/>
        <v>104960</v>
      </c>
      <c r="L123" s="42">
        <v>124960</v>
      </c>
      <c r="M123" s="76">
        <v>104960</v>
      </c>
    </row>
    <row r="124" spans="1:14" ht="20.100000000000001" customHeight="1" x14ac:dyDescent="0.3">
      <c r="A124" s="39" t="s">
        <v>295</v>
      </c>
      <c r="B124" s="27" t="s">
        <v>132</v>
      </c>
      <c r="C124" s="27" t="s">
        <v>133</v>
      </c>
      <c r="D124" s="27"/>
      <c r="E124" s="27"/>
      <c r="F124" s="27" t="s">
        <v>122</v>
      </c>
      <c r="G124" s="27">
        <v>2</v>
      </c>
      <c r="H124" s="27"/>
      <c r="I124" s="27"/>
      <c r="J124" s="40"/>
      <c r="K124" s="41">
        <f t="shared" si="1"/>
        <v>251460</v>
      </c>
      <c r="L124" s="42">
        <v>303860</v>
      </c>
      <c r="M124" s="76">
        <v>263860</v>
      </c>
    </row>
    <row r="125" spans="1:14" ht="20.100000000000001" customHeight="1" x14ac:dyDescent="0.3">
      <c r="A125" s="39" t="s">
        <v>295</v>
      </c>
      <c r="B125" s="27" t="s">
        <v>132</v>
      </c>
      <c r="C125" s="27" t="s">
        <v>133</v>
      </c>
      <c r="D125" s="27"/>
      <c r="E125" s="27"/>
      <c r="F125" s="27" t="s">
        <v>128</v>
      </c>
      <c r="G125" s="27">
        <v>0</v>
      </c>
      <c r="H125" s="27"/>
      <c r="I125" s="27"/>
      <c r="J125" s="40"/>
      <c r="K125" s="41">
        <f t="shared" si="1"/>
        <v>100620</v>
      </c>
      <c r="L125" s="42">
        <v>120620</v>
      </c>
      <c r="M125" s="76">
        <v>100620</v>
      </c>
    </row>
    <row r="126" spans="1:14" ht="20.100000000000001" customHeight="1" x14ac:dyDescent="0.3">
      <c r="A126" s="103" t="s">
        <v>295</v>
      </c>
      <c r="B126" s="104" t="s">
        <v>132</v>
      </c>
      <c r="C126" s="104" t="s">
        <v>133</v>
      </c>
      <c r="D126" s="104"/>
      <c r="E126" s="104"/>
      <c r="F126" s="104" t="s">
        <v>301</v>
      </c>
      <c r="G126" s="104"/>
      <c r="H126" s="104"/>
      <c r="I126" s="104"/>
      <c r="J126" s="105"/>
      <c r="K126" s="106">
        <v>0</v>
      </c>
      <c r="L126" s="107">
        <v>370000</v>
      </c>
      <c r="M126" s="108">
        <v>0</v>
      </c>
      <c r="N126" t="s">
        <v>303</v>
      </c>
    </row>
    <row r="127" spans="1:14" ht="20.100000000000001" customHeight="1" x14ac:dyDescent="0.3">
      <c r="A127" s="103" t="s">
        <v>295</v>
      </c>
      <c r="B127" s="104" t="s">
        <v>132</v>
      </c>
      <c r="C127" s="104" t="s">
        <v>133</v>
      </c>
      <c r="D127" s="104"/>
      <c r="E127" s="104"/>
      <c r="F127" s="104" t="s">
        <v>302</v>
      </c>
      <c r="G127" s="104"/>
      <c r="H127" s="104"/>
      <c r="I127" s="104"/>
      <c r="J127" s="105"/>
      <c r="K127" s="106">
        <v>0</v>
      </c>
      <c r="L127" s="107">
        <v>240000</v>
      </c>
      <c r="M127" s="108">
        <v>0</v>
      </c>
      <c r="N127" t="s">
        <v>303</v>
      </c>
    </row>
    <row r="128" spans="1:14" ht="20.100000000000001" customHeight="1" x14ac:dyDescent="0.3">
      <c r="A128" s="39"/>
      <c r="B128" s="27"/>
      <c r="C128" s="27"/>
      <c r="D128" s="27"/>
      <c r="E128" s="27"/>
      <c r="F128" s="27"/>
      <c r="G128" s="27"/>
      <c r="H128" s="27"/>
      <c r="I128" s="27"/>
      <c r="J128" s="40"/>
      <c r="K128" s="41"/>
      <c r="L128" s="42"/>
      <c r="M128" s="76"/>
    </row>
    <row r="129" spans="1:13" ht="20.100000000000001" customHeight="1" x14ac:dyDescent="0.3">
      <c r="A129" s="39"/>
      <c r="B129" s="27"/>
      <c r="C129" s="27"/>
      <c r="D129" s="27"/>
      <c r="E129" s="27"/>
      <c r="F129" s="27"/>
      <c r="G129" s="27"/>
      <c r="H129" s="27"/>
      <c r="I129" s="27"/>
      <c r="J129" s="40"/>
      <c r="K129" s="41"/>
      <c r="L129" s="42"/>
      <c r="M129" s="76"/>
    </row>
    <row r="130" spans="1:13" ht="20.100000000000001" customHeight="1" x14ac:dyDescent="0.3">
      <c r="A130" s="39"/>
      <c r="B130" s="27"/>
      <c r="C130" s="27"/>
      <c r="D130" s="27"/>
      <c r="E130" s="27"/>
      <c r="F130" s="27"/>
      <c r="G130" s="27"/>
      <c r="H130" s="27"/>
      <c r="I130" s="27"/>
      <c r="J130" s="40"/>
      <c r="K130" s="41"/>
      <c r="L130" s="42"/>
      <c r="M130" s="76"/>
    </row>
    <row r="131" spans="1:13" ht="20.100000000000001" customHeight="1" x14ac:dyDescent="0.3">
      <c r="A131" s="39"/>
      <c r="B131" s="27"/>
      <c r="C131" s="27"/>
      <c r="D131" s="27"/>
      <c r="E131" s="27"/>
      <c r="F131" s="27"/>
      <c r="G131" s="27"/>
      <c r="H131" s="27"/>
      <c r="I131" s="27"/>
      <c r="J131" s="40"/>
      <c r="K131" s="41"/>
      <c r="L131" s="42"/>
      <c r="M131" s="76"/>
    </row>
    <row r="132" spans="1:13" ht="20.100000000000001" customHeight="1" x14ac:dyDescent="0.3">
      <c r="A132" s="39"/>
      <c r="B132" s="27"/>
      <c r="C132" s="27"/>
      <c r="D132" s="27"/>
      <c r="E132" s="27"/>
      <c r="F132" s="27"/>
      <c r="G132" s="27"/>
      <c r="H132" s="27"/>
      <c r="I132" s="27"/>
      <c r="J132" s="40"/>
      <c r="K132" s="41"/>
      <c r="L132" s="42"/>
      <c r="M132" s="76"/>
    </row>
    <row r="133" spans="1:13" ht="20.100000000000001" customHeight="1" x14ac:dyDescent="0.3">
      <c r="A133" s="39"/>
      <c r="B133" s="27"/>
      <c r="C133" s="27"/>
      <c r="D133" s="27"/>
      <c r="E133" s="27"/>
      <c r="F133" s="27"/>
      <c r="G133" s="27"/>
      <c r="H133" s="27"/>
      <c r="I133" s="27"/>
      <c r="J133" s="40"/>
      <c r="K133" s="41"/>
      <c r="L133" s="42"/>
      <c r="M133" s="76"/>
    </row>
    <row r="134" spans="1:13" ht="20.100000000000001" customHeight="1" x14ac:dyDescent="0.3">
      <c r="A134" s="39"/>
      <c r="B134" s="27"/>
      <c r="C134" s="27"/>
      <c r="D134" s="27"/>
      <c r="E134" s="27"/>
      <c r="F134" s="27"/>
      <c r="G134" s="27"/>
      <c r="H134" s="27"/>
      <c r="I134" s="27"/>
      <c r="J134" s="40"/>
      <c r="K134" s="41"/>
      <c r="L134" s="42"/>
      <c r="M134" s="76"/>
    </row>
    <row r="135" spans="1:13" ht="20.100000000000001" customHeight="1" x14ac:dyDescent="0.3">
      <c r="A135" s="39"/>
      <c r="B135" s="27"/>
      <c r="C135" s="27"/>
      <c r="D135" s="27"/>
      <c r="E135" s="27"/>
      <c r="F135" s="27"/>
      <c r="G135" s="27"/>
      <c r="H135" s="27"/>
      <c r="I135" s="27"/>
      <c r="J135" s="40"/>
      <c r="K135" s="41"/>
      <c r="L135" s="42"/>
      <c r="M135" s="76"/>
    </row>
    <row r="136" spans="1:13" ht="20.100000000000001" customHeight="1" x14ac:dyDescent="0.3">
      <c r="A136" s="39"/>
      <c r="B136" s="27"/>
      <c r="C136" s="27"/>
      <c r="D136" s="27"/>
      <c r="E136" s="27"/>
      <c r="F136" s="27"/>
      <c r="G136" s="27"/>
      <c r="H136" s="27"/>
      <c r="I136" s="27"/>
      <c r="J136" s="40"/>
      <c r="K136" s="41"/>
      <c r="L136" s="42"/>
      <c r="M136" s="76"/>
    </row>
    <row r="137" spans="1:13" ht="20.100000000000001" customHeight="1" x14ac:dyDescent="0.3">
      <c r="A137" s="39"/>
      <c r="B137" s="27"/>
      <c r="C137" s="27"/>
      <c r="D137" s="27"/>
      <c r="E137" s="27"/>
      <c r="F137" s="27"/>
      <c r="G137" s="27"/>
      <c r="H137" s="27"/>
      <c r="I137" s="27"/>
      <c r="J137" s="40"/>
      <c r="K137" s="41"/>
      <c r="L137" s="42"/>
      <c r="M137" s="76"/>
    </row>
    <row r="138" spans="1:13" ht="20.100000000000001" customHeight="1" x14ac:dyDescent="0.3">
      <c r="A138" s="39"/>
      <c r="B138" s="27"/>
      <c r="C138" s="27"/>
      <c r="D138" s="27"/>
      <c r="E138" s="27"/>
      <c r="F138" s="27"/>
      <c r="G138" s="27"/>
      <c r="H138" s="27"/>
      <c r="I138" s="27"/>
      <c r="J138" s="40"/>
      <c r="K138" s="41"/>
      <c r="L138" s="42"/>
      <c r="M138" s="76"/>
    </row>
    <row r="139" spans="1:13" ht="20.100000000000001" customHeight="1" x14ac:dyDescent="0.3">
      <c r="A139" s="39"/>
      <c r="B139" s="27"/>
      <c r="C139" s="27"/>
      <c r="D139" s="27"/>
      <c r="E139" s="27"/>
      <c r="F139" s="27"/>
      <c r="G139" s="27"/>
      <c r="H139" s="27"/>
      <c r="I139" s="27"/>
      <c r="J139" s="40"/>
      <c r="K139" s="41"/>
      <c r="L139" s="42"/>
      <c r="M139" s="76"/>
    </row>
    <row r="140" spans="1:13" ht="20.100000000000001" customHeight="1" x14ac:dyDescent="0.3">
      <c r="A140" s="39"/>
      <c r="B140" s="27"/>
      <c r="C140" s="27"/>
      <c r="D140" s="27"/>
      <c r="E140" s="27"/>
      <c r="F140" s="27"/>
      <c r="G140" s="27"/>
      <c r="H140" s="27"/>
      <c r="I140" s="27"/>
      <c r="J140" s="40"/>
      <c r="K140" s="41"/>
      <c r="L140" s="42"/>
      <c r="M140" s="76"/>
    </row>
    <row r="141" spans="1:13" ht="20.100000000000001" customHeight="1" x14ac:dyDescent="0.3">
      <c r="A141" s="39"/>
      <c r="B141" s="27"/>
      <c r="C141" s="27"/>
      <c r="D141" s="27"/>
      <c r="E141" s="27"/>
      <c r="F141" s="27"/>
      <c r="G141" s="27"/>
      <c r="H141" s="27"/>
      <c r="I141" s="27"/>
      <c r="J141" s="40"/>
      <c r="K141" s="41"/>
      <c r="L141" s="42"/>
      <c r="M141" s="76"/>
    </row>
    <row r="142" spans="1:13" ht="20.100000000000001" customHeight="1" x14ac:dyDescent="0.3">
      <c r="A142" s="39"/>
      <c r="B142" s="27"/>
      <c r="C142" s="27"/>
      <c r="D142" s="27"/>
      <c r="E142" s="27"/>
      <c r="F142" s="27"/>
      <c r="G142" s="27"/>
      <c r="H142" s="27"/>
      <c r="I142" s="27"/>
      <c r="J142" s="40"/>
      <c r="K142" s="41"/>
      <c r="L142" s="42"/>
      <c r="M142" s="76"/>
    </row>
    <row r="143" spans="1:13" ht="20.100000000000001" customHeight="1" x14ac:dyDescent="0.3">
      <c r="A143" s="39"/>
      <c r="B143" s="27"/>
      <c r="C143" s="27"/>
      <c r="D143" s="27"/>
      <c r="E143" s="27"/>
      <c r="F143" s="27"/>
      <c r="G143" s="27"/>
      <c r="H143" s="27"/>
      <c r="I143" s="27"/>
      <c r="J143" s="40"/>
      <c r="K143" s="41"/>
      <c r="L143" s="42"/>
      <c r="M143" s="76"/>
    </row>
    <row r="144" spans="1:13" ht="20.100000000000001" customHeight="1" x14ac:dyDescent="0.3">
      <c r="A144" s="39"/>
      <c r="B144" s="27"/>
      <c r="C144" s="27"/>
      <c r="D144" s="27"/>
      <c r="E144" s="27"/>
      <c r="F144" s="27"/>
      <c r="G144" s="27"/>
      <c r="H144" s="27"/>
      <c r="I144" s="27"/>
      <c r="J144" s="40"/>
      <c r="K144" s="41"/>
      <c r="L144" s="42"/>
      <c r="M144" s="76"/>
    </row>
    <row r="145" spans="1:13" ht="20.100000000000001" customHeight="1" x14ac:dyDescent="0.3">
      <c r="A145" s="39"/>
      <c r="B145" s="27"/>
      <c r="C145" s="27"/>
      <c r="D145" s="27"/>
      <c r="E145" s="27"/>
      <c r="F145" s="27"/>
      <c r="G145" s="27"/>
      <c r="H145" s="27"/>
      <c r="I145" s="27"/>
      <c r="J145" s="40"/>
      <c r="K145" s="41"/>
      <c r="L145" s="42"/>
      <c r="M145" s="76"/>
    </row>
    <row r="146" spans="1:13" ht="20.100000000000001" customHeight="1" x14ac:dyDescent="0.3">
      <c r="A146" s="39"/>
      <c r="B146" s="27"/>
      <c r="C146" s="27"/>
      <c r="D146" s="27"/>
      <c r="E146" s="27"/>
      <c r="F146" s="27"/>
      <c r="G146" s="27"/>
      <c r="H146" s="27"/>
      <c r="I146" s="27"/>
      <c r="J146" s="40"/>
      <c r="K146" s="41"/>
      <c r="L146" s="42"/>
      <c r="M146" s="76"/>
    </row>
    <row r="147" spans="1:13" ht="20.100000000000001" customHeight="1" x14ac:dyDescent="0.3">
      <c r="A147" s="39"/>
      <c r="B147" s="27"/>
      <c r="C147" s="27"/>
      <c r="D147" s="27"/>
      <c r="E147" s="27"/>
      <c r="F147" s="27"/>
      <c r="G147" s="27"/>
      <c r="H147" s="27"/>
      <c r="I147" s="27"/>
      <c r="J147" s="40"/>
      <c r="K147" s="41"/>
      <c r="L147" s="42"/>
      <c r="M147" s="76"/>
    </row>
    <row r="148" spans="1:13" ht="20.100000000000001" customHeight="1" x14ac:dyDescent="0.3">
      <c r="A148" s="39"/>
      <c r="B148" s="27"/>
      <c r="C148" s="27"/>
      <c r="D148" s="27"/>
      <c r="E148" s="27"/>
      <c r="F148" s="27"/>
      <c r="G148" s="27"/>
      <c r="H148" s="27"/>
      <c r="I148" s="27"/>
      <c r="J148" s="40"/>
      <c r="K148" s="41"/>
      <c r="L148" s="42"/>
      <c r="M148" s="76"/>
    </row>
    <row r="149" spans="1:13" ht="20.100000000000001" customHeight="1" x14ac:dyDescent="0.3">
      <c r="A149" s="39"/>
      <c r="B149" s="27"/>
      <c r="C149" s="27"/>
      <c r="D149" s="27"/>
      <c r="E149" s="27"/>
      <c r="F149" s="27"/>
      <c r="G149" s="27"/>
      <c r="H149" s="27"/>
      <c r="I149" s="27"/>
      <c r="J149" s="40"/>
      <c r="K149" s="41"/>
      <c r="L149" s="42"/>
      <c r="M149" s="76"/>
    </row>
    <row r="150" spans="1:13" ht="20.100000000000001" customHeight="1" x14ac:dyDescent="0.3">
      <c r="A150" s="39"/>
      <c r="B150" s="27"/>
      <c r="C150" s="27"/>
      <c r="D150" s="27"/>
      <c r="E150" s="27"/>
      <c r="F150" s="27"/>
      <c r="G150" s="27"/>
      <c r="H150" s="27"/>
      <c r="I150" s="27"/>
      <c r="J150" s="40"/>
      <c r="K150" s="41"/>
      <c r="L150" s="42"/>
      <c r="M150" s="76"/>
    </row>
    <row r="151" spans="1:13" ht="20.100000000000001" customHeight="1" x14ac:dyDescent="0.3">
      <c r="A151" s="39"/>
      <c r="B151" s="27"/>
      <c r="C151" s="27"/>
      <c r="D151" s="27"/>
      <c r="E151" s="27"/>
      <c r="F151" s="27"/>
      <c r="G151" s="27"/>
      <c r="H151" s="27"/>
      <c r="I151" s="27"/>
      <c r="J151" s="40"/>
      <c r="K151" s="41"/>
      <c r="L151" s="42"/>
      <c r="M151" s="76"/>
    </row>
    <row r="152" spans="1:13" ht="20.100000000000001" customHeight="1" x14ac:dyDescent="0.3">
      <c r="A152" s="39"/>
      <c r="B152" s="27"/>
      <c r="C152" s="27"/>
      <c r="D152" s="27"/>
      <c r="E152" s="27"/>
      <c r="F152" s="27"/>
      <c r="G152" s="27"/>
      <c r="H152" s="27"/>
      <c r="I152" s="27"/>
      <c r="J152" s="40"/>
      <c r="K152" s="41"/>
      <c r="L152" s="42"/>
      <c r="M152" s="76"/>
    </row>
    <row r="153" spans="1:13" ht="20.100000000000001" customHeight="1" x14ac:dyDescent="0.3">
      <c r="A153" s="39"/>
      <c r="B153" s="27"/>
      <c r="C153" s="27"/>
      <c r="D153" s="27"/>
      <c r="E153" s="27"/>
      <c r="F153" s="27"/>
      <c r="G153" s="27"/>
      <c r="H153" s="27"/>
      <c r="I153" s="27"/>
      <c r="J153" s="40"/>
      <c r="K153" s="41"/>
      <c r="L153" s="42"/>
      <c r="M153" s="76"/>
    </row>
    <row r="154" spans="1:13" ht="20.100000000000001" customHeight="1" x14ac:dyDescent="0.3">
      <c r="A154" s="39"/>
      <c r="B154" s="27"/>
      <c r="C154" s="27"/>
      <c r="D154" s="27"/>
      <c r="E154" s="27"/>
      <c r="F154" s="27"/>
      <c r="G154" s="27"/>
      <c r="H154" s="27"/>
      <c r="I154" s="27"/>
      <c r="J154" s="40"/>
      <c r="K154" s="41"/>
      <c r="L154" s="42"/>
      <c r="M154" s="76"/>
    </row>
    <row r="155" spans="1:13" ht="20.100000000000001" customHeight="1" x14ac:dyDescent="0.3">
      <c r="A155" s="39"/>
      <c r="B155" s="27"/>
      <c r="C155" s="27"/>
      <c r="D155" s="27"/>
      <c r="E155" s="27"/>
      <c r="F155" s="27"/>
      <c r="G155" s="27"/>
      <c r="H155" s="27"/>
      <c r="I155" s="27"/>
      <c r="J155" s="40"/>
      <c r="K155" s="41"/>
      <c r="L155" s="42"/>
      <c r="M155" s="76"/>
    </row>
    <row r="156" spans="1:13" ht="20.100000000000001" customHeight="1" x14ac:dyDescent="0.3">
      <c r="A156" s="39"/>
      <c r="B156" s="27"/>
      <c r="C156" s="27"/>
      <c r="D156" s="27"/>
      <c r="E156" s="27"/>
      <c r="F156" s="27"/>
      <c r="G156" s="27"/>
      <c r="H156" s="27"/>
      <c r="I156" s="27"/>
      <c r="J156" s="40"/>
      <c r="K156" s="41"/>
      <c r="L156" s="42"/>
      <c r="M156" s="76"/>
    </row>
    <row r="157" spans="1:13" ht="20.100000000000001" customHeight="1" x14ac:dyDescent="0.3">
      <c r="A157" s="39"/>
      <c r="B157" s="27"/>
      <c r="C157" s="27"/>
      <c r="D157" s="27"/>
      <c r="E157" s="27"/>
      <c r="F157" s="27"/>
      <c r="G157" s="27"/>
      <c r="H157" s="27"/>
      <c r="I157" s="27"/>
      <c r="J157" s="40"/>
      <c r="K157" s="41"/>
      <c r="L157" s="42"/>
      <c r="M157" s="76"/>
    </row>
    <row r="158" spans="1:13" ht="20.100000000000001" customHeight="1" x14ac:dyDescent="0.3">
      <c r="A158" s="39"/>
      <c r="B158" s="27"/>
      <c r="C158" s="27"/>
      <c r="D158" s="27"/>
      <c r="E158" s="27"/>
      <c r="F158" s="27"/>
      <c r="G158" s="27"/>
      <c r="H158" s="27"/>
      <c r="I158" s="27"/>
      <c r="J158" s="40"/>
      <c r="K158" s="41"/>
      <c r="L158" s="42"/>
      <c r="M158" s="76"/>
    </row>
    <row r="159" spans="1:13" ht="20.100000000000001" customHeight="1" x14ac:dyDescent="0.3">
      <c r="A159" s="39"/>
      <c r="B159" s="27"/>
      <c r="C159" s="27"/>
      <c r="D159" s="27"/>
      <c r="E159" s="27"/>
      <c r="F159" s="27"/>
      <c r="G159" s="27"/>
      <c r="H159" s="27"/>
      <c r="I159" s="27"/>
      <c r="J159" s="40"/>
      <c r="K159" s="41"/>
      <c r="L159" s="42"/>
      <c r="M159" s="76"/>
    </row>
    <row r="160" spans="1:13" ht="20.100000000000001" customHeight="1" x14ac:dyDescent="0.3">
      <c r="A160" s="39"/>
      <c r="B160" s="27"/>
      <c r="C160" s="27"/>
      <c r="D160" s="27"/>
      <c r="E160" s="27"/>
      <c r="F160" s="27"/>
      <c r="G160" s="27"/>
      <c r="H160" s="27"/>
      <c r="I160" s="27"/>
      <c r="J160" s="40"/>
      <c r="K160" s="41"/>
      <c r="L160" s="42"/>
      <c r="M160" s="76"/>
    </row>
    <row r="161" spans="1:13" ht="20.100000000000001" customHeight="1" x14ac:dyDescent="0.3">
      <c r="A161" s="39"/>
      <c r="B161" s="27"/>
      <c r="C161" s="27"/>
      <c r="D161" s="27"/>
      <c r="E161" s="27"/>
      <c r="F161" s="27"/>
      <c r="G161" s="27"/>
      <c r="H161" s="27"/>
      <c r="I161" s="27"/>
      <c r="J161" s="40"/>
      <c r="K161" s="41"/>
      <c r="L161" s="42"/>
      <c r="M161" s="76"/>
    </row>
    <row r="162" spans="1:13" ht="20.100000000000001" customHeight="1" x14ac:dyDescent="0.3">
      <c r="A162" s="39"/>
      <c r="B162" s="27"/>
      <c r="C162" s="27"/>
      <c r="D162" s="27"/>
      <c r="E162" s="27"/>
      <c r="F162" s="27"/>
      <c r="G162" s="27"/>
      <c r="H162" s="27"/>
      <c r="I162" s="27"/>
      <c r="J162" s="40"/>
      <c r="K162" s="41"/>
      <c r="L162" s="42"/>
      <c r="M162" s="76"/>
    </row>
    <row r="163" spans="1:13" ht="20.100000000000001" customHeight="1" x14ac:dyDescent="0.3">
      <c r="A163" s="39"/>
      <c r="B163" s="27"/>
      <c r="C163" s="27"/>
      <c r="D163" s="27"/>
      <c r="E163" s="27"/>
      <c r="F163" s="27"/>
      <c r="G163" s="27"/>
      <c r="H163" s="27"/>
      <c r="I163" s="27"/>
      <c r="J163" s="40"/>
      <c r="K163" s="41"/>
      <c r="L163" s="42"/>
      <c r="M163" s="76"/>
    </row>
    <row r="164" spans="1:13" ht="20.100000000000001" customHeight="1" x14ac:dyDescent="0.3">
      <c r="A164" s="39"/>
      <c r="B164" s="27"/>
      <c r="C164" s="27"/>
      <c r="D164" s="27"/>
      <c r="E164" s="27"/>
      <c r="F164" s="27"/>
      <c r="G164" s="27"/>
      <c r="H164" s="27"/>
      <c r="I164" s="27"/>
      <c r="J164" s="40"/>
      <c r="K164" s="41"/>
      <c r="L164" s="42"/>
      <c r="M164" s="76"/>
    </row>
    <row r="165" spans="1:13" ht="20.100000000000001" customHeight="1" x14ac:dyDescent="0.3">
      <c r="A165" s="39"/>
      <c r="B165" s="27"/>
      <c r="C165" s="27"/>
      <c r="D165" s="27"/>
      <c r="E165" s="27"/>
      <c r="F165" s="27"/>
      <c r="G165" s="27"/>
      <c r="H165" s="27"/>
      <c r="I165" s="27"/>
      <c r="J165" s="40"/>
      <c r="K165" s="41"/>
      <c r="L165" s="42"/>
      <c r="M165" s="76"/>
    </row>
    <row r="166" spans="1:13" ht="20.100000000000001" customHeight="1" x14ac:dyDescent="0.3">
      <c r="A166" s="39"/>
      <c r="B166" s="27"/>
      <c r="C166" s="27"/>
      <c r="D166" s="27"/>
      <c r="E166" s="27"/>
      <c r="F166" s="27"/>
      <c r="G166" s="27"/>
      <c r="H166" s="27"/>
      <c r="I166" s="27"/>
      <c r="J166" s="40"/>
      <c r="K166" s="41"/>
      <c r="L166" s="42"/>
      <c r="M166" s="76"/>
    </row>
    <row r="167" spans="1:13" ht="20.100000000000001" customHeight="1" x14ac:dyDescent="0.3">
      <c r="A167" s="39"/>
      <c r="B167" s="27"/>
      <c r="C167" s="27"/>
      <c r="D167" s="27"/>
      <c r="E167" s="27"/>
      <c r="F167" s="27"/>
      <c r="G167" s="27"/>
      <c r="H167" s="27"/>
      <c r="I167" s="27"/>
      <c r="J167" s="40"/>
      <c r="K167" s="41"/>
      <c r="L167" s="42"/>
      <c r="M167" s="76"/>
    </row>
    <row r="168" spans="1:13" ht="20.100000000000001" customHeight="1" x14ac:dyDescent="0.3">
      <c r="A168" s="39"/>
      <c r="B168" s="27"/>
      <c r="C168" s="27"/>
      <c r="D168" s="27"/>
      <c r="E168" s="27"/>
      <c r="F168" s="27"/>
      <c r="G168" s="27"/>
      <c r="H168" s="27"/>
      <c r="I168" s="27"/>
      <c r="J168" s="40"/>
      <c r="K168" s="41"/>
      <c r="L168" s="42"/>
      <c r="M168" s="76"/>
    </row>
    <row r="169" spans="1:13" ht="20.100000000000001" customHeight="1" x14ac:dyDescent="0.3">
      <c r="A169" s="39"/>
      <c r="B169" s="27"/>
      <c r="C169" s="27"/>
      <c r="D169" s="27"/>
      <c r="E169" s="27"/>
      <c r="F169" s="27"/>
      <c r="G169" s="27"/>
      <c r="H169" s="27"/>
      <c r="I169" s="27"/>
      <c r="J169" s="40"/>
      <c r="K169" s="41"/>
      <c r="L169" s="42"/>
      <c r="M169" s="76"/>
    </row>
    <row r="170" spans="1:13" ht="20.100000000000001" customHeight="1" x14ac:dyDescent="0.3">
      <c r="A170" s="39"/>
      <c r="B170" s="27"/>
      <c r="C170" s="27"/>
      <c r="D170" s="27"/>
      <c r="E170" s="27"/>
      <c r="F170" s="27"/>
      <c r="G170" s="27"/>
      <c r="H170" s="27"/>
      <c r="I170" s="27"/>
      <c r="J170" s="40"/>
      <c r="K170" s="41"/>
      <c r="L170" s="42"/>
      <c r="M170" s="76"/>
    </row>
    <row r="171" spans="1:13" ht="20.100000000000001" customHeight="1" x14ac:dyDescent="0.3">
      <c r="A171" s="39"/>
      <c r="B171" s="27"/>
      <c r="C171" s="27"/>
      <c r="D171" s="27"/>
      <c r="E171" s="27"/>
      <c r="F171" s="27"/>
      <c r="G171" s="27"/>
      <c r="H171" s="27"/>
      <c r="I171" s="27"/>
      <c r="J171" s="40"/>
      <c r="K171" s="41"/>
      <c r="L171" s="42"/>
      <c r="M171" s="76"/>
    </row>
    <row r="172" spans="1:13" ht="20.100000000000001" customHeight="1" x14ac:dyDescent="0.3">
      <c r="A172" s="39"/>
      <c r="B172" s="27"/>
      <c r="C172" s="27"/>
      <c r="D172" s="27"/>
      <c r="E172" s="27"/>
      <c r="F172" s="27"/>
      <c r="G172" s="27"/>
      <c r="H172" s="27"/>
      <c r="I172" s="27"/>
      <c r="J172" s="40"/>
      <c r="K172" s="41"/>
      <c r="L172" s="42"/>
      <c r="M172" s="76"/>
    </row>
    <row r="173" spans="1:13" ht="20.100000000000001" customHeight="1" x14ac:dyDescent="0.3">
      <c r="A173" s="39"/>
      <c r="B173" s="27"/>
      <c r="C173" s="27"/>
      <c r="D173" s="27"/>
      <c r="E173" s="27"/>
      <c r="F173" s="27"/>
      <c r="G173" s="27"/>
      <c r="H173" s="27"/>
      <c r="I173" s="27"/>
      <c r="J173" s="40"/>
      <c r="K173" s="41"/>
      <c r="L173" s="42"/>
      <c r="M173" s="76"/>
    </row>
    <row r="174" spans="1:13" ht="20.100000000000001" customHeight="1" x14ac:dyDescent="0.3">
      <c r="A174" s="39"/>
      <c r="B174" s="27"/>
      <c r="C174" s="27"/>
      <c r="D174" s="27"/>
      <c r="E174" s="27"/>
      <c r="F174" s="27"/>
      <c r="G174" s="27"/>
      <c r="H174" s="27"/>
      <c r="I174" s="27"/>
      <c r="J174" s="40"/>
      <c r="K174" s="41"/>
      <c r="L174" s="42"/>
      <c r="M174" s="76"/>
    </row>
    <row r="175" spans="1:13" ht="20.100000000000001" customHeight="1" x14ac:dyDescent="0.3">
      <c r="A175" s="39"/>
      <c r="B175" s="27"/>
      <c r="C175" s="27"/>
      <c r="D175" s="27"/>
      <c r="E175" s="27"/>
      <c r="F175" s="27"/>
      <c r="G175" s="27"/>
      <c r="H175" s="27"/>
      <c r="I175" s="27"/>
      <c r="J175" s="40"/>
      <c r="K175" s="41"/>
      <c r="L175" s="42"/>
      <c r="M175" s="76"/>
    </row>
    <row r="176" spans="1:13" ht="20.100000000000001" customHeight="1" x14ac:dyDescent="0.3">
      <c r="A176" s="39"/>
      <c r="B176" s="27"/>
      <c r="C176" s="27"/>
      <c r="D176" s="27"/>
      <c r="E176" s="27"/>
      <c r="F176" s="27"/>
      <c r="G176" s="27"/>
      <c r="H176" s="27"/>
      <c r="I176" s="27"/>
      <c r="J176" s="40"/>
      <c r="K176" s="41"/>
      <c r="L176" s="42"/>
      <c r="M176" s="76"/>
    </row>
    <row r="177" spans="1:13" ht="20.100000000000001" customHeight="1" x14ac:dyDescent="0.3">
      <c r="A177" s="39"/>
      <c r="B177" s="27"/>
      <c r="C177" s="27"/>
      <c r="D177" s="27"/>
      <c r="E177" s="27"/>
      <c r="F177" s="27"/>
      <c r="G177" s="27"/>
      <c r="H177" s="27"/>
      <c r="I177" s="27"/>
      <c r="J177" s="40"/>
      <c r="K177" s="41"/>
      <c r="L177" s="42"/>
      <c r="M177" s="76"/>
    </row>
    <row r="178" spans="1:13" ht="20.100000000000001" customHeight="1" x14ac:dyDescent="0.3">
      <c r="A178" s="39"/>
      <c r="B178" s="27"/>
      <c r="C178" s="27"/>
      <c r="D178" s="27"/>
      <c r="E178" s="27"/>
      <c r="F178" s="27"/>
      <c r="G178" s="27"/>
      <c r="H178" s="27"/>
      <c r="I178" s="27"/>
      <c r="J178" s="40"/>
      <c r="K178" s="41"/>
      <c r="L178" s="42"/>
      <c r="M178" s="76"/>
    </row>
    <row r="179" spans="1:13" ht="20.100000000000001" customHeight="1" x14ac:dyDescent="0.3">
      <c r="A179" s="39"/>
      <c r="B179" s="27"/>
      <c r="C179" s="27"/>
      <c r="D179" s="27"/>
      <c r="E179" s="27"/>
      <c r="F179" s="27"/>
      <c r="G179" s="27"/>
      <c r="H179" s="27"/>
      <c r="I179" s="27"/>
      <c r="J179" s="40"/>
      <c r="K179" s="41"/>
      <c r="L179" s="42"/>
      <c r="M179" s="76"/>
    </row>
    <row r="180" spans="1:13" ht="20.100000000000001" customHeight="1" x14ac:dyDescent="0.3">
      <c r="A180" s="39"/>
      <c r="B180" s="27"/>
      <c r="C180" s="27"/>
      <c r="D180" s="27"/>
      <c r="E180" s="27"/>
      <c r="F180" s="27"/>
      <c r="G180" s="27"/>
      <c r="H180" s="27"/>
      <c r="I180" s="27"/>
      <c r="J180" s="40"/>
      <c r="K180" s="41"/>
      <c r="L180" s="42"/>
      <c r="M180" s="76"/>
    </row>
    <row r="181" spans="1:13" ht="20.100000000000001" customHeight="1" x14ac:dyDescent="0.3">
      <c r="A181" s="39"/>
      <c r="B181" s="27"/>
      <c r="C181" s="27"/>
      <c r="D181" s="27"/>
      <c r="E181" s="27"/>
      <c r="F181" s="27"/>
      <c r="G181" s="27"/>
      <c r="H181" s="27"/>
      <c r="I181" s="27"/>
      <c r="J181" s="40"/>
      <c r="K181" s="41"/>
      <c r="L181" s="42"/>
      <c r="M181" s="76"/>
    </row>
    <row r="182" spans="1:13" ht="20.100000000000001" customHeight="1" x14ac:dyDescent="0.3">
      <c r="A182" s="39"/>
      <c r="B182" s="27"/>
      <c r="C182" s="27"/>
      <c r="D182" s="27"/>
      <c r="E182" s="27"/>
      <c r="F182" s="27"/>
      <c r="G182" s="27"/>
      <c r="H182" s="27"/>
      <c r="I182" s="27"/>
      <c r="J182" s="40"/>
      <c r="K182" s="41"/>
      <c r="L182" s="42"/>
      <c r="M182" s="76"/>
    </row>
    <row r="183" spans="1:13" ht="20.100000000000001" customHeight="1" x14ac:dyDescent="0.3">
      <c r="A183" s="39"/>
      <c r="B183" s="27"/>
      <c r="C183" s="27"/>
      <c r="D183" s="27"/>
      <c r="E183" s="27"/>
      <c r="F183" s="27"/>
      <c r="G183" s="27"/>
      <c r="H183" s="27"/>
      <c r="I183" s="27"/>
      <c r="J183" s="40"/>
      <c r="K183" s="41"/>
      <c r="L183" s="42"/>
      <c r="M183" s="76"/>
    </row>
    <row r="184" spans="1:13" ht="20.100000000000001" customHeight="1" x14ac:dyDescent="0.3">
      <c r="A184" s="39"/>
      <c r="B184" s="27"/>
      <c r="C184" s="27"/>
      <c r="D184" s="27"/>
      <c r="E184" s="27"/>
      <c r="F184" s="27"/>
      <c r="G184" s="27"/>
      <c r="H184" s="27"/>
      <c r="I184" s="27"/>
      <c r="J184" s="40"/>
      <c r="K184" s="41"/>
      <c r="L184" s="42"/>
      <c r="M184" s="76"/>
    </row>
    <row r="185" spans="1:13" ht="20.100000000000001" customHeight="1" x14ac:dyDescent="0.3">
      <c r="A185" s="39"/>
      <c r="B185" s="27"/>
      <c r="C185" s="27"/>
      <c r="D185" s="27"/>
      <c r="E185" s="27"/>
      <c r="F185" s="27"/>
      <c r="G185" s="27"/>
      <c r="H185" s="27"/>
      <c r="I185" s="27"/>
      <c r="J185" s="40"/>
      <c r="K185" s="41"/>
      <c r="L185" s="42"/>
      <c r="M185" s="76"/>
    </row>
    <row r="186" spans="1:13" ht="20.100000000000001" customHeight="1" x14ac:dyDescent="0.3">
      <c r="A186" s="39"/>
      <c r="B186" s="27"/>
      <c r="C186" s="27"/>
      <c r="D186" s="27"/>
      <c r="E186" s="27"/>
      <c r="F186" s="27"/>
      <c r="G186" s="27"/>
      <c r="H186" s="27"/>
      <c r="I186" s="27"/>
      <c r="J186" s="40"/>
      <c r="K186" s="41"/>
      <c r="L186" s="42"/>
      <c r="M186" s="76"/>
    </row>
    <row r="187" spans="1:13" ht="20.100000000000001" customHeight="1" x14ac:dyDescent="0.3">
      <c r="A187" s="39"/>
      <c r="B187" s="27"/>
      <c r="C187" s="27"/>
      <c r="D187" s="27"/>
      <c r="E187" s="27"/>
      <c r="F187" s="27"/>
      <c r="G187" s="27"/>
      <c r="H187" s="27"/>
      <c r="I187" s="27"/>
      <c r="J187" s="40"/>
      <c r="K187" s="41"/>
      <c r="L187" s="42"/>
      <c r="M187" s="76"/>
    </row>
    <row r="188" spans="1:13" ht="20.100000000000001" customHeight="1" x14ac:dyDescent="0.3">
      <c r="A188" s="39"/>
      <c r="B188" s="27"/>
      <c r="C188" s="27"/>
      <c r="D188" s="27"/>
      <c r="E188" s="27"/>
      <c r="F188" s="27"/>
      <c r="G188" s="27"/>
      <c r="H188" s="27"/>
      <c r="I188" s="27"/>
      <c r="J188" s="40"/>
      <c r="K188" s="41"/>
      <c r="L188" s="42"/>
      <c r="M188" s="76"/>
    </row>
    <row r="189" spans="1:13" ht="20.100000000000001" customHeight="1" x14ac:dyDescent="0.3">
      <c r="A189" s="39"/>
      <c r="B189" s="27"/>
      <c r="C189" s="27"/>
      <c r="D189" s="27"/>
      <c r="E189" s="27"/>
      <c r="F189" s="27"/>
      <c r="G189" s="27"/>
      <c r="H189" s="27"/>
      <c r="I189" s="27"/>
      <c r="J189" s="40"/>
      <c r="K189" s="41"/>
      <c r="L189" s="42"/>
      <c r="M189" s="76"/>
    </row>
    <row r="190" spans="1:13" ht="20.100000000000001" customHeight="1" x14ac:dyDescent="0.3">
      <c r="A190" s="39"/>
      <c r="B190" s="27"/>
      <c r="C190" s="27"/>
      <c r="D190" s="27"/>
      <c r="E190" s="27"/>
      <c r="F190" s="27"/>
      <c r="G190" s="27"/>
      <c r="H190" s="27"/>
      <c r="I190" s="27"/>
      <c r="J190" s="40"/>
      <c r="K190" s="41"/>
      <c r="L190" s="42"/>
      <c r="M190" s="76"/>
    </row>
    <row r="191" spans="1:13" ht="20.100000000000001" customHeight="1" x14ac:dyDescent="0.3">
      <c r="A191" s="39"/>
      <c r="B191" s="27"/>
      <c r="C191" s="27"/>
      <c r="D191" s="27"/>
      <c r="E191" s="27"/>
      <c r="F191" s="27"/>
      <c r="G191" s="27"/>
      <c r="H191" s="27"/>
      <c r="I191" s="27"/>
      <c r="J191" s="40"/>
      <c r="K191" s="41"/>
      <c r="L191" s="42"/>
      <c r="M191" s="76"/>
    </row>
    <row r="192" spans="1:13" ht="20.100000000000001" customHeight="1" x14ac:dyDescent="0.3">
      <c r="A192" s="39"/>
      <c r="B192" s="27"/>
      <c r="C192" s="27"/>
      <c r="D192" s="27"/>
      <c r="E192" s="27"/>
      <c r="F192" s="27"/>
      <c r="G192" s="27"/>
      <c r="H192" s="27"/>
      <c r="I192" s="27"/>
      <c r="J192" s="40"/>
      <c r="K192" s="41"/>
      <c r="L192" s="42"/>
      <c r="M192" s="76"/>
    </row>
    <row r="193" spans="1:13" ht="20.100000000000001" customHeight="1" x14ac:dyDescent="0.3">
      <c r="A193" s="39"/>
      <c r="B193" s="27"/>
      <c r="C193" s="27"/>
      <c r="D193" s="27"/>
      <c r="E193" s="27"/>
      <c r="F193" s="27"/>
      <c r="G193" s="27"/>
      <c r="H193" s="27"/>
      <c r="I193" s="27"/>
      <c r="J193" s="40"/>
      <c r="K193" s="41"/>
      <c r="L193" s="42"/>
      <c r="M193" s="76"/>
    </row>
    <row r="194" spans="1:13" ht="20.100000000000001" customHeight="1" x14ac:dyDescent="0.3">
      <c r="A194" s="39"/>
      <c r="B194" s="27"/>
      <c r="C194" s="27"/>
      <c r="D194" s="27"/>
      <c r="E194" s="27"/>
      <c r="F194" s="27"/>
      <c r="G194" s="27"/>
      <c r="H194" s="27"/>
      <c r="I194" s="27"/>
      <c r="J194" s="40"/>
      <c r="K194" s="41"/>
      <c r="L194" s="42"/>
      <c r="M194" s="76"/>
    </row>
    <row r="195" spans="1:13" ht="20.100000000000001" customHeight="1" x14ac:dyDescent="0.3">
      <c r="A195" s="39"/>
      <c r="B195" s="27"/>
      <c r="C195" s="27"/>
      <c r="D195" s="27"/>
      <c r="E195" s="27"/>
      <c r="F195" s="27"/>
      <c r="G195" s="27"/>
      <c r="H195" s="27"/>
      <c r="I195" s="27"/>
      <c r="J195" s="40"/>
      <c r="K195" s="41"/>
      <c r="L195" s="42"/>
      <c r="M195" s="76"/>
    </row>
    <row r="196" spans="1:13" ht="20.100000000000001" customHeight="1" x14ac:dyDescent="0.3">
      <c r="A196" s="39"/>
      <c r="B196" s="27"/>
      <c r="C196" s="27"/>
      <c r="D196" s="27"/>
      <c r="E196" s="27"/>
      <c r="F196" s="27"/>
      <c r="G196" s="27"/>
      <c r="H196" s="27"/>
      <c r="I196" s="27"/>
      <c r="J196" s="40"/>
      <c r="K196" s="41"/>
      <c r="L196" s="42"/>
      <c r="M196" s="76"/>
    </row>
    <row r="197" spans="1:13" ht="20.100000000000001" customHeight="1" x14ac:dyDescent="0.3">
      <c r="A197" s="39"/>
      <c r="B197" s="27"/>
      <c r="C197" s="27"/>
      <c r="D197" s="27"/>
      <c r="E197" s="27"/>
      <c r="F197" s="27"/>
      <c r="G197" s="27"/>
      <c r="H197" s="27"/>
      <c r="I197" s="27"/>
      <c r="J197" s="40"/>
      <c r="K197" s="41"/>
      <c r="L197" s="42"/>
      <c r="M197" s="76"/>
    </row>
    <row r="198" spans="1:13" ht="20.100000000000001" customHeight="1" x14ac:dyDescent="0.3">
      <c r="A198" s="39"/>
      <c r="B198" s="27"/>
      <c r="C198" s="27"/>
      <c r="D198" s="27"/>
      <c r="E198" s="27"/>
      <c r="F198" s="27"/>
      <c r="G198" s="27"/>
      <c r="H198" s="27"/>
      <c r="I198" s="27"/>
      <c r="J198" s="40"/>
      <c r="K198" s="41"/>
      <c r="L198" s="42"/>
      <c r="M198" s="76"/>
    </row>
    <row r="199" spans="1:13" ht="20.100000000000001" customHeight="1" x14ac:dyDescent="0.3">
      <c r="A199" s="39"/>
      <c r="B199" s="27"/>
      <c r="C199" s="27"/>
      <c r="D199" s="27"/>
      <c r="E199" s="27"/>
      <c r="F199" s="27"/>
      <c r="G199" s="27"/>
      <c r="H199" s="27"/>
      <c r="I199" s="27"/>
      <c r="J199" s="40"/>
      <c r="K199" s="41"/>
      <c r="L199" s="42"/>
      <c r="M199" s="76"/>
    </row>
    <row r="200" spans="1:13" ht="20.100000000000001" customHeight="1" x14ac:dyDescent="0.3">
      <c r="A200" s="39"/>
      <c r="B200" s="27"/>
      <c r="C200" s="27"/>
      <c r="D200" s="27"/>
      <c r="E200" s="27"/>
      <c r="F200" s="27"/>
      <c r="G200" s="27"/>
      <c r="H200" s="27"/>
      <c r="I200" s="27"/>
      <c r="J200" s="40"/>
      <c r="K200" s="41"/>
      <c r="L200" s="42"/>
      <c r="M200" s="76"/>
    </row>
    <row r="201" spans="1:13" ht="20.100000000000001" customHeight="1" x14ac:dyDescent="0.3">
      <c r="A201" s="39"/>
      <c r="B201" s="27"/>
      <c r="C201" s="27"/>
      <c r="D201" s="27"/>
      <c r="E201" s="27"/>
      <c r="F201" s="27"/>
      <c r="G201" s="27"/>
      <c r="H201" s="27"/>
      <c r="I201" s="27"/>
      <c r="J201" s="40"/>
      <c r="K201" s="41"/>
      <c r="L201" s="42"/>
      <c r="M201" s="76"/>
    </row>
    <row r="202" spans="1:13" ht="20.100000000000001" customHeight="1" x14ac:dyDescent="0.3">
      <c r="A202" s="39"/>
      <c r="B202" s="27"/>
      <c r="C202" s="27"/>
      <c r="D202" s="27"/>
      <c r="E202" s="27"/>
      <c r="F202" s="27"/>
      <c r="G202" s="27"/>
      <c r="H202" s="27"/>
      <c r="I202" s="27"/>
      <c r="J202" s="40"/>
      <c r="K202" s="41"/>
      <c r="L202" s="42"/>
      <c r="M202" s="76"/>
    </row>
    <row r="203" spans="1:13" ht="20.100000000000001" customHeight="1" x14ac:dyDescent="0.3">
      <c r="A203" s="39"/>
      <c r="B203" s="27"/>
      <c r="C203" s="27"/>
      <c r="D203" s="27"/>
      <c r="E203" s="27"/>
      <c r="F203" s="27"/>
      <c r="G203" s="27"/>
      <c r="H203" s="27"/>
      <c r="I203" s="27"/>
      <c r="J203" s="40"/>
      <c r="K203" s="41"/>
      <c r="L203" s="42"/>
      <c r="M203" s="76"/>
    </row>
    <row r="204" spans="1:13" ht="20.100000000000001" customHeight="1" x14ac:dyDescent="0.3">
      <c r="A204" s="39"/>
      <c r="B204" s="27"/>
      <c r="C204" s="27"/>
      <c r="D204" s="27"/>
      <c r="E204" s="27"/>
      <c r="F204" s="27"/>
      <c r="G204" s="27"/>
      <c r="H204" s="27"/>
      <c r="I204" s="27"/>
      <c r="J204" s="40"/>
      <c r="K204" s="41"/>
      <c r="L204" s="42"/>
      <c r="M204" s="76"/>
    </row>
    <row r="205" spans="1:13" ht="20.100000000000001" customHeight="1" x14ac:dyDescent="0.3">
      <c r="A205" s="39"/>
      <c r="B205" s="27"/>
      <c r="C205" s="27"/>
      <c r="D205" s="27"/>
      <c r="E205" s="27"/>
      <c r="F205" s="27"/>
      <c r="G205" s="27"/>
      <c r="H205" s="27"/>
      <c r="I205" s="27"/>
      <c r="J205" s="40"/>
      <c r="K205" s="41"/>
      <c r="L205" s="42"/>
      <c r="M205" s="76"/>
    </row>
    <row r="206" spans="1:13" ht="20.100000000000001" customHeight="1" x14ac:dyDescent="0.3">
      <c r="A206" s="39"/>
      <c r="B206" s="27"/>
      <c r="C206" s="27"/>
      <c r="D206" s="27"/>
      <c r="E206" s="27"/>
      <c r="F206" s="27"/>
      <c r="G206" s="27"/>
      <c r="H206" s="27"/>
      <c r="I206" s="27"/>
      <c r="J206" s="40"/>
      <c r="K206" s="41"/>
      <c r="L206" s="42"/>
      <c r="M206" s="76"/>
    </row>
    <row r="207" spans="1:13" ht="20.100000000000001" customHeight="1" x14ac:dyDescent="0.3">
      <c r="A207" s="39"/>
      <c r="B207" s="27"/>
      <c r="C207" s="27"/>
      <c r="D207" s="27"/>
      <c r="E207" s="27"/>
      <c r="F207" s="27"/>
      <c r="G207" s="27"/>
      <c r="H207" s="27"/>
      <c r="I207" s="27"/>
      <c r="J207" s="40"/>
      <c r="K207" s="41"/>
      <c r="L207" s="42"/>
      <c r="M207" s="76"/>
    </row>
    <row r="208" spans="1:13" ht="20.100000000000001" customHeight="1" x14ac:dyDescent="0.3">
      <c r="A208" s="39"/>
      <c r="B208" s="27"/>
      <c r="C208" s="27"/>
      <c r="D208" s="27"/>
      <c r="E208" s="27"/>
      <c r="F208" s="27"/>
      <c r="G208" s="27"/>
      <c r="H208" s="27"/>
      <c r="I208" s="27"/>
      <c r="J208" s="40"/>
      <c r="K208" s="41"/>
      <c r="L208" s="42"/>
      <c r="M208" s="76"/>
    </row>
    <row r="209" spans="1:13" ht="20.100000000000001" customHeight="1" x14ac:dyDescent="0.3">
      <c r="A209" s="39"/>
      <c r="B209" s="27"/>
      <c r="C209" s="27"/>
      <c r="D209" s="27"/>
      <c r="E209" s="27"/>
      <c r="F209" s="27"/>
      <c r="G209" s="27"/>
      <c r="H209" s="27"/>
      <c r="I209" s="27"/>
      <c r="J209" s="40"/>
      <c r="K209" s="41"/>
      <c r="L209" s="42"/>
      <c r="M209" s="76"/>
    </row>
    <row r="210" spans="1:13" ht="20.100000000000001" customHeight="1" x14ac:dyDescent="0.3">
      <c r="A210" s="39"/>
      <c r="B210" s="27"/>
      <c r="C210" s="27"/>
      <c r="D210" s="27"/>
      <c r="E210" s="27"/>
      <c r="F210" s="27"/>
      <c r="G210" s="27"/>
      <c r="H210" s="27"/>
      <c r="I210" s="27"/>
      <c r="J210" s="40"/>
      <c r="K210" s="41"/>
      <c r="L210" s="42"/>
      <c r="M210" s="76"/>
    </row>
    <row r="211" spans="1:13" ht="20.100000000000001" customHeight="1" x14ac:dyDescent="0.3">
      <c r="A211" s="39"/>
      <c r="B211" s="27"/>
      <c r="C211" s="27"/>
      <c r="D211" s="27"/>
      <c r="E211" s="27"/>
      <c r="F211" s="27"/>
      <c r="G211" s="27"/>
      <c r="H211" s="27"/>
      <c r="I211" s="27"/>
      <c r="J211" s="40"/>
      <c r="K211" s="41"/>
      <c r="L211" s="42"/>
      <c r="M211" s="76"/>
    </row>
    <row r="212" spans="1:13" ht="20.100000000000001" customHeight="1" x14ac:dyDescent="0.3">
      <c r="A212" s="39"/>
      <c r="B212" s="27"/>
      <c r="C212" s="27"/>
      <c r="D212" s="27"/>
      <c r="E212" s="27"/>
      <c r="F212" s="27"/>
      <c r="G212" s="27"/>
      <c r="H212" s="27"/>
      <c r="I212" s="27"/>
      <c r="J212" s="40"/>
      <c r="K212" s="41"/>
      <c r="L212" s="42"/>
      <c r="M212" s="76"/>
    </row>
    <row r="213" spans="1:13" ht="20.100000000000001" customHeight="1" x14ac:dyDescent="0.3">
      <c r="A213" s="39"/>
      <c r="B213" s="27"/>
      <c r="C213" s="27"/>
      <c r="D213" s="27"/>
      <c r="E213" s="27"/>
      <c r="F213" s="27"/>
      <c r="G213" s="27"/>
      <c r="H213" s="27"/>
      <c r="I213" s="27"/>
      <c r="J213" s="40"/>
      <c r="K213" s="41"/>
      <c r="L213" s="42"/>
      <c r="M213" s="76"/>
    </row>
    <row r="214" spans="1:13" ht="20.100000000000001" customHeight="1" x14ac:dyDescent="0.3">
      <c r="A214" s="39"/>
      <c r="B214" s="27"/>
      <c r="C214" s="27"/>
      <c r="D214" s="27"/>
      <c r="E214" s="27"/>
      <c r="F214" s="27"/>
      <c r="G214" s="27"/>
      <c r="H214" s="27"/>
      <c r="I214" s="27"/>
      <c r="J214" s="40"/>
      <c r="K214" s="41"/>
      <c r="L214" s="42"/>
      <c r="M214" s="76"/>
    </row>
    <row r="215" spans="1:13" ht="20.100000000000001" customHeight="1" x14ac:dyDescent="0.3">
      <c r="A215" s="39"/>
      <c r="B215" s="27"/>
      <c r="C215" s="27"/>
      <c r="D215" s="27"/>
      <c r="E215" s="27"/>
      <c r="F215" s="27"/>
      <c r="G215" s="27"/>
      <c r="H215" s="27"/>
      <c r="I215" s="27"/>
      <c r="J215" s="40"/>
      <c r="K215" s="41"/>
      <c r="L215" s="42"/>
      <c r="M215" s="76"/>
    </row>
    <row r="216" spans="1:13" ht="20.100000000000001" customHeight="1" x14ac:dyDescent="0.3">
      <c r="A216" s="39"/>
      <c r="B216" s="27"/>
      <c r="C216" s="27"/>
      <c r="D216" s="27"/>
      <c r="E216" s="27"/>
      <c r="F216" s="27"/>
      <c r="G216" s="27"/>
      <c r="H216" s="27"/>
      <c r="I216" s="27"/>
      <c r="J216" s="40"/>
      <c r="K216" s="41"/>
      <c r="L216" s="42"/>
      <c r="M216" s="76"/>
    </row>
    <row r="217" spans="1:13" ht="20.100000000000001" customHeight="1" x14ac:dyDescent="0.3">
      <c r="A217" s="39"/>
      <c r="B217" s="27"/>
      <c r="C217" s="27"/>
      <c r="D217" s="27"/>
      <c r="E217" s="27"/>
      <c r="F217" s="27"/>
      <c r="G217" s="27"/>
      <c r="H217" s="27"/>
      <c r="I217" s="27"/>
      <c r="J217" s="40"/>
      <c r="K217" s="41"/>
      <c r="L217" s="42"/>
      <c r="M217" s="76"/>
    </row>
    <row r="218" spans="1:13" ht="20.100000000000001" customHeight="1" x14ac:dyDescent="0.3">
      <c r="A218" s="39"/>
      <c r="B218" s="27"/>
      <c r="C218" s="27"/>
      <c r="D218" s="27"/>
      <c r="E218" s="27"/>
      <c r="F218" s="27"/>
      <c r="G218" s="27"/>
      <c r="H218" s="27"/>
      <c r="I218" s="27"/>
      <c r="J218" s="40"/>
      <c r="K218" s="41"/>
      <c r="L218" s="42"/>
      <c r="M218" s="76"/>
    </row>
    <row r="219" spans="1:13" ht="20.100000000000001" customHeight="1" x14ac:dyDescent="0.3">
      <c r="A219" s="39"/>
      <c r="B219" s="27"/>
      <c r="C219" s="27"/>
      <c r="D219" s="27"/>
      <c r="E219" s="27"/>
      <c r="F219" s="27"/>
      <c r="G219" s="27"/>
      <c r="H219" s="27"/>
      <c r="I219" s="27"/>
      <c r="J219" s="40"/>
      <c r="K219" s="41"/>
      <c r="L219" s="42"/>
      <c r="M219" s="76"/>
    </row>
    <row r="220" spans="1:13" ht="20.100000000000001" customHeight="1" x14ac:dyDescent="0.3">
      <c r="A220" s="39"/>
      <c r="B220" s="27"/>
      <c r="C220" s="27"/>
      <c r="D220" s="27"/>
      <c r="E220" s="27"/>
      <c r="F220" s="27"/>
      <c r="G220" s="27"/>
      <c r="H220" s="27"/>
      <c r="I220" s="27"/>
      <c r="J220" s="40"/>
      <c r="K220" s="41"/>
      <c r="L220" s="42"/>
      <c r="M220" s="76"/>
    </row>
    <row r="221" spans="1:13" ht="20.100000000000001" customHeight="1" x14ac:dyDescent="0.3">
      <c r="A221" s="39"/>
      <c r="B221" s="27"/>
      <c r="C221" s="27"/>
      <c r="D221" s="27"/>
      <c r="E221" s="27"/>
      <c r="F221" s="27"/>
      <c r="G221" s="27"/>
      <c r="H221" s="27"/>
      <c r="I221" s="27"/>
      <c r="J221" s="40"/>
      <c r="K221" s="41"/>
      <c r="L221" s="42"/>
      <c r="M221" s="76"/>
    </row>
  </sheetData>
  <autoFilter ref="A4:R4"/>
  <mergeCells count="1">
    <mergeCell ref="A1:L3"/>
  </mergeCells>
  <phoneticPr fontId="3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54"/>
  <sheetViews>
    <sheetView zoomScale="85" zoomScaleNormal="85" workbookViewId="0">
      <pane ySplit="4" topLeftCell="A5" activePane="bottomLeft" state="frozen"/>
      <selection activeCell="B29" sqref="B29:L29"/>
      <selection pane="bottomLeft" activeCell="T14" sqref="T14"/>
    </sheetView>
  </sheetViews>
  <sheetFormatPr defaultColWidth="9" defaultRowHeight="20.100000000000001" customHeight="1" x14ac:dyDescent="0.3"/>
  <cols>
    <col min="1" max="1" width="15.25" bestFit="1" customWidth="1"/>
    <col min="2" max="6" width="8.625" customWidth="1"/>
    <col min="7" max="7" width="12.625" customWidth="1"/>
    <col min="8" max="8" width="16.25" customWidth="1"/>
    <col min="9" max="9" width="10.25" customWidth="1"/>
    <col min="10" max="10" width="14.625" customWidth="1"/>
    <col min="11" max="12" width="9.625" customWidth="1"/>
    <col min="13" max="13" width="9.25" style="71" customWidth="1"/>
    <col min="14" max="15" width="11.625" customWidth="1"/>
    <col min="16" max="16" width="10.625" customWidth="1"/>
    <col min="17" max="17" width="11.625" customWidth="1"/>
  </cols>
  <sheetData>
    <row r="1" spans="1:18" ht="20.100000000000001" customHeight="1" x14ac:dyDescent="0.3">
      <c r="A1" s="125" t="s">
        <v>22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8" ht="20.100000000000001" customHeight="1" x14ac:dyDescent="0.3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</row>
    <row r="3" spans="1:18" ht="20.100000000000001" customHeight="1" x14ac:dyDescent="0.3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68"/>
      <c r="N3" s="20" t="s">
        <v>0</v>
      </c>
      <c r="O3" s="10">
        <f>SUM(K3:K9967)</f>
        <v>3200000</v>
      </c>
      <c r="P3" s="20" t="s">
        <v>1</v>
      </c>
      <c r="Q3" s="10">
        <f>SUM(L3:L9967)</f>
        <v>3840000</v>
      </c>
      <c r="R3" s="21"/>
    </row>
    <row r="4" spans="1:18" ht="20.100000000000001" customHeight="1" x14ac:dyDescent="0.3">
      <c r="A4" s="22" t="s">
        <v>8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39</v>
      </c>
      <c r="H4" s="22" t="s">
        <v>15</v>
      </c>
      <c r="I4" s="22" t="s">
        <v>16</v>
      </c>
      <c r="J4" s="23" t="s">
        <v>17</v>
      </c>
      <c r="K4" s="22" t="s">
        <v>0</v>
      </c>
      <c r="L4" s="22" t="s">
        <v>1</v>
      </c>
      <c r="M4" s="69" t="s">
        <v>25</v>
      </c>
      <c r="N4" s="25"/>
      <c r="O4" s="25"/>
      <c r="P4" s="25"/>
      <c r="Q4" s="25"/>
      <c r="R4" s="24"/>
    </row>
    <row r="5" spans="1:18" ht="20.100000000000001" customHeight="1" x14ac:dyDescent="0.3">
      <c r="A5" s="39" t="s">
        <v>131</v>
      </c>
      <c r="B5" s="27" t="s">
        <v>45</v>
      </c>
      <c r="C5" s="27" t="s">
        <v>134</v>
      </c>
      <c r="D5" s="27" t="s">
        <v>135</v>
      </c>
      <c r="E5" s="27"/>
      <c r="F5" s="27" t="s">
        <v>136</v>
      </c>
      <c r="G5" s="27">
        <v>4</v>
      </c>
      <c r="H5" s="27"/>
      <c r="I5" s="27"/>
      <c r="J5" s="40"/>
      <c r="K5" s="41">
        <f t="shared" ref="K5" si="0">G5*100000</f>
        <v>400000</v>
      </c>
      <c r="L5" s="42">
        <f t="shared" ref="L5" si="1">120000*G5</f>
        <v>480000</v>
      </c>
      <c r="M5" s="70">
        <f t="shared" ref="M5" si="2">L5-K5</f>
        <v>80000</v>
      </c>
      <c r="N5" s="44"/>
      <c r="P5" t="s">
        <v>31</v>
      </c>
    </row>
    <row r="6" spans="1:18" ht="20.100000000000001" customHeight="1" x14ac:dyDescent="0.3">
      <c r="A6" s="39" t="s">
        <v>131</v>
      </c>
      <c r="B6" s="27" t="s">
        <v>45</v>
      </c>
      <c r="C6" s="27" t="s">
        <v>134</v>
      </c>
      <c r="D6" s="27" t="s">
        <v>135</v>
      </c>
      <c r="E6" s="27"/>
      <c r="F6" s="27" t="s">
        <v>137</v>
      </c>
      <c r="G6" s="27">
        <v>3</v>
      </c>
      <c r="H6" s="27"/>
      <c r="I6" s="27"/>
      <c r="J6" s="40"/>
      <c r="K6" s="41">
        <f t="shared" ref="K6:K31" si="3">G6*100000</f>
        <v>300000</v>
      </c>
      <c r="L6" s="42">
        <f t="shared" ref="L6:L31" si="4">120000*G6</f>
        <v>360000</v>
      </c>
      <c r="M6" s="70">
        <f t="shared" ref="M6:M31" si="5">L6-K6</f>
        <v>60000</v>
      </c>
      <c r="N6" s="44"/>
      <c r="O6" s="45"/>
      <c r="P6" s="45" t="s">
        <v>32</v>
      </c>
      <c r="Q6" s="45"/>
      <c r="R6" s="45"/>
    </row>
    <row r="7" spans="1:18" ht="20.100000000000001" customHeight="1" x14ac:dyDescent="0.3">
      <c r="A7" s="39" t="s">
        <v>131</v>
      </c>
      <c r="B7" s="27" t="s">
        <v>45</v>
      </c>
      <c r="C7" s="27" t="s">
        <v>134</v>
      </c>
      <c r="D7" s="27" t="s">
        <v>135</v>
      </c>
      <c r="E7" s="27"/>
      <c r="F7" s="27" t="s">
        <v>138</v>
      </c>
      <c r="G7" s="27">
        <v>1</v>
      </c>
      <c r="H7" s="27"/>
      <c r="I7" s="27"/>
      <c r="J7" s="40"/>
      <c r="K7" s="41">
        <f t="shared" si="3"/>
        <v>100000</v>
      </c>
      <c r="L7" s="42">
        <f t="shared" si="4"/>
        <v>120000</v>
      </c>
      <c r="M7" s="70">
        <f t="shared" si="5"/>
        <v>20000</v>
      </c>
      <c r="N7" s="44"/>
      <c r="P7" t="s">
        <v>29</v>
      </c>
    </row>
    <row r="8" spans="1:18" ht="20.100000000000001" customHeight="1" x14ac:dyDescent="0.3">
      <c r="A8" s="39" t="s">
        <v>219</v>
      </c>
      <c r="B8" s="27" t="s">
        <v>45</v>
      </c>
      <c r="C8" s="27" t="s">
        <v>134</v>
      </c>
      <c r="D8" s="27" t="s">
        <v>135</v>
      </c>
      <c r="E8" s="27"/>
      <c r="F8" s="27" t="s">
        <v>136</v>
      </c>
      <c r="G8" s="27">
        <v>6</v>
      </c>
      <c r="H8" s="27"/>
      <c r="I8" s="27"/>
      <c r="J8" s="40"/>
      <c r="K8" s="41">
        <f t="shared" si="3"/>
        <v>600000</v>
      </c>
      <c r="L8" s="42">
        <f t="shared" si="4"/>
        <v>720000</v>
      </c>
      <c r="M8" s="70">
        <f t="shared" si="5"/>
        <v>120000</v>
      </c>
      <c r="N8" s="44"/>
    </row>
    <row r="9" spans="1:18" ht="20.100000000000001" customHeight="1" x14ac:dyDescent="0.3">
      <c r="A9" s="39" t="s">
        <v>219</v>
      </c>
      <c r="B9" s="27" t="s">
        <v>45</v>
      </c>
      <c r="C9" s="27" t="s">
        <v>134</v>
      </c>
      <c r="D9" s="27" t="s">
        <v>135</v>
      </c>
      <c r="E9" s="27"/>
      <c r="F9" s="27" t="s">
        <v>137</v>
      </c>
      <c r="G9" s="27">
        <v>4</v>
      </c>
      <c r="H9" s="27"/>
      <c r="I9" s="27"/>
      <c r="J9" s="40"/>
      <c r="K9" s="41">
        <f t="shared" si="3"/>
        <v>400000</v>
      </c>
      <c r="L9" s="42">
        <f t="shared" si="4"/>
        <v>480000</v>
      </c>
      <c r="M9" s="70">
        <f t="shared" si="5"/>
        <v>80000</v>
      </c>
      <c r="N9" s="44"/>
      <c r="O9" s="16"/>
      <c r="P9" s="16"/>
      <c r="Q9" s="16"/>
      <c r="R9" s="3"/>
    </row>
    <row r="10" spans="1:18" ht="20.100000000000001" customHeight="1" x14ac:dyDescent="0.3">
      <c r="A10" s="39" t="s">
        <v>295</v>
      </c>
      <c r="B10" s="27" t="s">
        <v>45</v>
      </c>
      <c r="C10" s="27" t="s">
        <v>134</v>
      </c>
      <c r="D10" s="27" t="s">
        <v>135</v>
      </c>
      <c r="E10" s="27"/>
      <c r="F10" s="27" t="s">
        <v>136</v>
      </c>
      <c r="G10" s="27">
        <v>3</v>
      </c>
      <c r="H10" s="27"/>
      <c r="I10" s="27"/>
      <c r="J10" s="40"/>
      <c r="K10" s="41">
        <f t="shared" si="3"/>
        <v>300000</v>
      </c>
      <c r="L10" s="42">
        <f t="shared" si="4"/>
        <v>360000</v>
      </c>
      <c r="M10" s="70">
        <f t="shared" si="5"/>
        <v>60000</v>
      </c>
      <c r="N10" s="44"/>
    </row>
    <row r="11" spans="1:18" ht="20.100000000000001" customHeight="1" x14ac:dyDescent="0.3">
      <c r="A11" s="39" t="s">
        <v>295</v>
      </c>
      <c r="B11" s="27" t="s">
        <v>45</v>
      </c>
      <c r="C11" s="27" t="s">
        <v>134</v>
      </c>
      <c r="D11" s="27" t="s">
        <v>135</v>
      </c>
      <c r="E11" s="27"/>
      <c r="F11" s="27" t="s">
        <v>296</v>
      </c>
      <c r="G11" s="27">
        <v>1</v>
      </c>
      <c r="H11" s="27"/>
      <c r="I11" s="27"/>
      <c r="J11" s="40"/>
      <c r="K11" s="41">
        <f t="shared" si="3"/>
        <v>100000</v>
      </c>
      <c r="L11" s="42">
        <f t="shared" si="4"/>
        <v>120000</v>
      </c>
      <c r="M11" s="70">
        <f t="shared" si="5"/>
        <v>20000</v>
      </c>
      <c r="N11" s="44"/>
    </row>
    <row r="12" spans="1:18" ht="20.100000000000001" customHeight="1" x14ac:dyDescent="0.3">
      <c r="A12" s="39" t="s">
        <v>295</v>
      </c>
      <c r="B12" s="27" t="s">
        <v>45</v>
      </c>
      <c r="C12" s="27" t="s">
        <v>134</v>
      </c>
      <c r="D12" s="27" t="s">
        <v>135</v>
      </c>
      <c r="E12" s="27"/>
      <c r="F12" s="27" t="s">
        <v>297</v>
      </c>
      <c r="G12" s="27">
        <v>4</v>
      </c>
      <c r="H12" s="27"/>
      <c r="I12" s="27"/>
      <c r="J12" s="40"/>
      <c r="K12" s="41">
        <f t="shared" si="3"/>
        <v>400000</v>
      </c>
      <c r="L12" s="42">
        <f t="shared" si="4"/>
        <v>480000</v>
      </c>
      <c r="M12" s="70">
        <f t="shared" si="5"/>
        <v>80000</v>
      </c>
      <c r="N12" s="44"/>
    </row>
    <row r="13" spans="1:18" ht="20.100000000000001" customHeight="1" x14ac:dyDescent="0.3">
      <c r="A13" s="39" t="s">
        <v>295</v>
      </c>
      <c r="B13" s="27" t="s">
        <v>45</v>
      </c>
      <c r="C13" s="27" t="s">
        <v>134</v>
      </c>
      <c r="D13" s="27" t="s">
        <v>135</v>
      </c>
      <c r="E13" s="27"/>
      <c r="F13" s="27" t="s">
        <v>137</v>
      </c>
      <c r="G13" s="27">
        <v>6</v>
      </c>
      <c r="H13" s="27"/>
      <c r="I13" s="27"/>
      <c r="J13" s="40"/>
      <c r="K13" s="41">
        <f t="shared" si="3"/>
        <v>600000</v>
      </c>
      <c r="L13" s="42">
        <f t="shared" si="4"/>
        <v>720000</v>
      </c>
      <c r="M13" s="70">
        <f t="shared" si="5"/>
        <v>120000</v>
      </c>
      <c r="N13" s="44"/>
    </row>
    <row r="14" spans="1:18" ht="20.100000000000001" customHeight="1" x14ac:dyDescent="0.3">
      <c r="A14" s="39"/>
      <c r="B14" s="27"/>
      <c r="C14" s="27"/>
      <c r="D14" s="27"/>
      <c r="E14" s="27"/>
      <c r="F14" s="27"/>
      <c r="G14" s="27"/>
      <c r="H14" s="27"/>
      <c r="I14" s="27"/>
      <c r="J14" s="40"/>
      <c r="K14" s="41">
        <f t="shared" si="3"/>
        <v>0</v>
      </c>
      <c r="L14" s="42">
        <f t="shared" si="4"/>
        <v>0</v>
      </c>
      <c r="M14" s="70">
        <f t="shared" si="5"/>
        <v>0</v>
      </c>
      <c r="N14" s="44"/>
    </row>
    <row r="15" spans="1:18" ht="20.100000000000001" customHeight="1" x14ac:dyDescent="0.3">
      <c r="A15" s="39"/>
      <c r="B15" s="27"/>
      <c r="C15" s="27"/>
      <c r="D15" s="27"/>
      <c r="E15" s="27"/>
      <c r="F15" s="27"/>
      <c r="G15" s="27"/>
      <c r="H15" s="27"/>
      <c r="I15" s="27"/>
      <c r="J15" s="40"/>
      <c r="K15" s="41">
        <f t="shared" si="3"/>
        <v>0</v>
      </c>
      <c r="L15" s="42">
        <f t="shared" si="4"/>
        <v>0</v>
      </c>
      <c r="M15" s="70">
        <f t="shared" si="5"/>
        <v>0</v>
      </c>
      <c r="N15" s="44"/>
      <c r="O15" s="45"/>
      <c r="P15" s="45"/>
      <c r="Q15" s="45"/>
      <c r="R15" s="45"/>
    </row>
    <row r="16" spans="1:18" ht="20.100000000000001" customHeight="1" x14ac:dyDescent="0.3">
      <c r="A16" s="39"/>
      <c r="B16" s="27"/>
      <c r="C16" s="27"/>
      <c r="D16" s="27"/>
      <c r="E16" s="27"/>
      <c r="F16" s="27"/>
      <c r="G16" s="27"/>
      <c r="H16" s="27"/>
      <c r="I16" s="27"/>
      <c r="J16" s="40"/>
      <c r="K16" s="41">
        <f t="shared" si="3"/>
        <v>0</v>
      </c>
      <c r="L16" s="42">
        <f t="shared" si="4"/>
        <v>0</v>
      </c>
      <c r="M16" s="70">
        <f t="shared" si="5"/>
        <v>0</v>
      </c>
      <c r="N16" s="44"/>
    </row>
    <row r="17" spans="1:18" ht="20.100000000000001" customHeight="1" x14ac:dyDescent="0.3">
      <c r="A17" s="39"/>
      <c r="B17" s="27"/>
      <c r="C17" s="27"/>
      <c r="D17" s="27"/>
      <c r="E17" s="27"/>
      <c r="F17" s="27"/>
      <c r="G17" s="27"/>
      <c r="H17" s="27"/>
      <c r="I17" s="27"/>
      <c r="J17" s="40"/>
      <c r="K17" s="41">
        <f t="shared" si="3"/>
        <v>0</v>
      </c>
      <c r="L17" s="42">
        <f t="shared" si="4"/>
        <v>0</v>
      </c>
      <c r="M17" s="70">
        <f t="shared" si="5"/>
        <v>0</v>
      </c>
      <c r="N17" s="44"/>
      <c r="O17" s="16"/>
      <c r="P17" s="16"/>
      <c r="Q17" s="16"/>
      <c r="R17" s="3"/>
    </row>
    <row r="18" spans="1:18" ht="20.100000000000001" customHeight="1" x14ac:dyDescent="0.3">
      <c r="A18" s="39"/>
      <c r="B18" s="27"/>
      <c r="C18" s="27"/>
      <c r="D18" s="27"/>
      <c r="E18" s="27"/>
      <c r="F18" s="27"/>
      <c r="G18" s="27"/>
      <c r="H18" s="27"/>
      <c r="I18" s="27"/>
      <c r="J18" s="40"/>
      <c r="K18" s="41">
        <f t="shared" si="3"/>
        <v>0</v>
      </c>
      <c r="L18" s="42">
        <f t="shared" si="4"/>
        <v>0</v>
      </c>
      <c r="M18" s="70">
        <f t="shared" si="5"/>
        <v>0</v>
      </c>
      <c r="N18" s="44"/>
      <c r="O18" s="45"/>
      <c r="P18" s="45"/>
      <c r="Q18" s="45"/>
      <c r="R18" s="45"/>
    </row>
    <row r="19" spans="1:18" ht="20.100000000000001" customHeight="1" x14ac:dyDescent="0.3">
      <c r="A19" s="39"/>
      <c r="B19" s="27"/>
      <c r="C19" s="27"/>
      <c r="D19" s="27"/>
      <c r="E19" s="27"/>
      <c r="F19" s="27"/>
      <c r="G19" s="27"/>
      <c r="H19" s="27"/>
      <c r="I19" s="27"/>
      <c r="J19" s="40"/>
      <c r="K19" s="41">
        <f t="shared" si="3"/>
        <v>0</v>
      </c>
      <c r="L19" s="42">
        <f t="shared" si="4"/>
        <v>0</v>
      </c>
      <c r="M19" s="70">
        <f t="shared" si="5"/>
        <v>0</v>
      </c>
      <c r="N19" s="44"/>
      <c r="O19" s="45"/>
      <c r="P19" s="45"/>
      <c r="Q19" s="45"/>
      <c r="R19" s="45"/>
    </row>
    <row r="20" spans="1:18" ht="20.100000000000001" customHeight="1" x14ac:dyDescent="0.3">
      <c r="A20" s="39"/>
      <c r="B20" s="27"/>
      <c r="C20" s="27"/>
      <c r="D20" s="27"/>
      <c r="E20" s="27"/>
      <c r="F20" s="27"/>
      <c r="G20" s="27"/>
      <c r="H20" s="27"/>
      <c r="I20" s="27"/>
      <c r="J20" s="40"/>
      <c r="K20" s="41">
        <f t="shared" si="3"/>
        <v>0</v>
      </c>
      <c r="L20" s="42">
        <f t="shared" si="4"/>
        <v>0</v>
      </c>
      <c r="M20" s="70">
        <f t="shared" si="5"/>
        <v>0</v>
      </c>
      <c r="N20" s="44"/>
    </row>
    <row r="21" spans="1:18" ht="20.100000000000001" customHeight="1" x14ac:dyDescent="0.3">
      <c r="A21" s="39"/>
      <c r="B21" s="27"/>
      <c r="C21" s="27"/>
      <c r="D21" s="27"/>
      <c r="E21" s="27"/>
      <c r="F21" s="27"/>
      <c r="G21" s="27"/>
      <c r="H21" s="27"/>
      <c r="I21" s="27"/>
      <c r="J21" s="40"/>
      <c r="K21" s="41">
        <f t="shared" si="3"/>
        <v>0</v>
      </c>
      <c r="L21" s="42">
        <f t="shared" si="4"/>
        <v>0</v>
      </c>
      <c r="M21" s="70">
        <f t="shared" si="5"/>
        <v>0</v>
      </c>
      <c r="N21" s="44"/>
    </row>
    <row r="22" spans="1:18" ht="20.100000000000001" customHeight="1" x14ac:dyDescent="0.3">
      <c r="A22" s="39"/>
      <c r="B22" s="27"/>
      <c r="C22" s="27"/>
      <c r="D22" s="27"/>
      <c r="E22" s="27"/>
      <c r="F22" s="27"/>
      <c r="G22" s="27"/>
      <c r="H22" s="27"/>
      <c r="I22" s="27"/>
      <c r="J22" s="40"/>
      <c r="K22" s="41">
        <f t="shared" si="3"/>
        <v>0</v>
      </c>
      <c r="L22" s="42">
        <f t="shared" si="4"/>
        <v>0</v>
      </c>
      <c r="M22" s="70">
        <f t="shared" si="5"/>
        <v>0</v>
      </c>
      <c r="N22" s="44"/>
    </row>
    <row r="23" spans="1:18" ht="20.100000000000001" customHeight="1" x14ac:dyDescent="0.3">
      <c r="A23" s="39"/>
      <c r="B23" s="27"/>
      <c r="C23" s="27"/>
      <c r="D23" s="27"/>
      <c r="E23" s="27"/>
      <c r="F23" s="27"/>
      <c r="G23" s="27"/>
      <c r="H23" s="27"/>
      <c r="I23" s="27"/>
      <c r="J23" s="40"/>
      <c r="K23" s="41">
        <f t="shared" si="3"/>
        <v>0</v>
      </c>
      <c r="L23" s="42">
        <f t="shared" si="4"/>
        <v>0</v>
      </c>
      <c r="M23" s="70">
        <f t="shared" si="5"/>
        <v>0</v>
      </c>
      <c r="N23" s="44"/>
    </row>
    <row r="24" spans="1:18" ht="20.100000000000001" customHeight="1" x14ac:dyDescent="0.3">
      <c r="A24" s="39"/>
      <c r="B24" s="27"/>
      <c r="C24" s="27"/>
      <c r="D24" s="27"/>
      <c r="E24" s="27"/>
      <c r="F24" s="27"/>
      <c r="G24" s="27"/>
      <c r="H24" s="27"/>
      <c r="I24" s="27"/>
      <c r="J24" s="40"/>
      <c r="K24" s="41">
        <f t="shared" si="3"/>
        <v>0</v>
      </c>
      <c r="L24" s="42">
        <f t="shared" si="4"/>
        <v>0</v>
      </c>
      <c r="M24" s="70">
        <f t="shared" si="5"/>
        <v>0</v>
      </c>
      <c r="N24" s="44"/>
    </row>
    <row r="25" spans="1:18" ht="20.100000000000001" customHeight="1" x14ac:dyDescent="0.3">
      <c r="A25" s="39"/>
      <c r="B25" s="27"/>
      <c r="C25" s="27"/>
      <c r="D25" s="27"/>
      <c r="E25" s="27"/>
      <c r="F25" s="27"/>
      <c r="G25" s="27"/>
      <c r="H25" s="27"/>
      <c r="I25" s="27"/>
      <c r="J25" s="40"/>
      <c r="K25" s="41">
        <f t="shared" si="3"/>
        <v>0</v>
      </c>
      <c r="L25" s="42">
        <f t="shared" si="4"/>
        <v>0</v>
      </c>
      <c r="M25" s="70">
        <f t="shared" si="5"/>
        <v>0</v>
      </c>
      <c r="N25" s="44"/>
      <c r="O25" s="45"/>
      <c r="P25" s="45"/>
      <c r="Q25" s="45"/>
      <c r="R25" s="45"/>
    </row>
    <row r="26" spans="1:18" ht="20.100000000000001" customHeight="1" x14ac:dyDescent="0.3">
      <c r="A26" s="39"/>
      <c r="B26" s="27"/>
      <c r="C26" s="27"/>
      <c r="D26" s="27"/>
      <c r="E26" s="27"/>
      <c r="F26" s="27"/>
      <c r="G26" s="27"/>
      <c r="H26" s="27"/>
      <c r="I26" s="27"/>
      <c r="J26" s="40"/>
      <c r="K26" s="41">
        <f t="shared" si="3"/>
        <v>0</v>
      </c>
      <c r="L26" s="42">
        <f t="shared" si="4"/>
        <v>0</v>
      </c>
      <c r="M26" s="70">
        <f t="shared" si="5"/>
        <v>0</v>
      </c>
      <c r="N26" s="44"/>
    </row>
    <row r="27" spans="1:18" ht="20.100000000000001" customHeight="1" x14ac:dyDescent="0.3">
      <c r="A27" s="39"/>
      <c r="B27" s="27"/>
      <c r="C27" s="27"/>
      <c r="D27" s="27"/>
      <c r="E27" s="27"/>
      <c r="F27" s="27"/>
      <c r="G27" s="27"/>
      <c r="H27" s="27"/>
      <c r="I27" s="27"/>
      <c r="J27" s="40"/>
      <c r="K27" s="41">
        <f t="shared" si="3"/>
        <v>0</v>
      </c>
      <c r="L27" s="42">
        <f t="shared" si="4"/>
        <v>0</v>
      </c>
      <c r="M27" s="70">
        <f t="shared" si="5"/>
        <v>0</v>
      </c>
      <c r="N27" s="44"/>
    </row>
    <row r="28" spans="1:18" ht="20.100000000000001" customHeight="1" x14ac:dyDescent="0.3">
      <c r="A28" s="39"/>
      <c r="B28" s="27"/>
      <c r="C28" s="27"/>
      <c r="D28" s="27"/>
      <c r="E28" s="27"/>
      <c r="F28" s="27"/>
      <c r="G28" s="27"/>
      <c r="H28" s="27"/>
      <c r="I28" s="27"/>
      <c r="J28" s="40"/>
      <c r="K28" s="41">
        <f t="shared" si="3"/>
        <v>0</v>
      </c>
      <c r="L28" s="42">
        <f t="shared" si="4"/>
        <v>0</v>
      </c>
      <c r="M28" s="70">
        <f t="shared" si="5"/>
        <v>0</v>
      </c>
      <c r="N28" s="44"/>
    </row>
    <row r="29" spans="1:18" ht="20.100000000000001" customHeight="1" x14ac:dyDescent="0.3">
      <c r="A29" s="39"/>
      <c r="B29" s="27"/>
      <c r="C29" s="27"/>
      <c r="D29" s="27"/>
      <c r="E29" s="27"/>
      <c r="F29" s="27"/>
      <c r="G29" s="27"/>
      <c r="H29" s="27"/>
      <c r="I29" s="27"/>
      <c r="J29" s="40"/>
      <c r="K29" s="41">
        <f t="shared" si="3"/>
        <v>0</v>
      </c>
      <c r="L29" s="42">
        <f t="shared" si="4"/>
        <v>0</v>
      </c>
      <c r="M29" s="70">
        <f t="shared" si="5"/>
        <v>0</v>
      </c>
      <c r="N29" s="44"/>
    </row>
    <row r="30" spans="1:18" ht="20.100000000000001" customHeight="1" x14ac:dyDescent="0.3">
      <c r="A30" s="39"/>
      <c r="B30" s="27"/>
      <c r="C30" s="27"/>
      <c r="D30" s="27"/>
      <c r="E30" s="27"/>
      <c r="F30" s="27"/>
      <c r="G30" s="27"/>
      <c r="H30" s="27"/>
      <c r="I30" s="27"/>
      <c r="J30" s="40"/>
      <c r="K30" s="41">
        <f t="shared" si="3"/>
        <v>0</v>
      </c>
      <c r="L30" s="42">
        <f t="shared" si="4"/>
        <v>0</v>
      </c>
      <c r="M30" s="70">
        <f t="shared" si="5"/>
        <v>0</v>
      </c>
      <c r="N30" s="44"/>
    </row>
    <row r="31" spans="1:18" ht="20.100000000000001" customHeight="1" x14ac:dyDescent="0.3">
      <c r="A31" s="39"/>
      <c r="B31" s="27"/>
      <c r="C31" s="27"/>
      <c r="D31" s="27"/>
      <c r="E31" s="27"/>
      <c r="F31" s="27"/>
      <c r="G31" s="27"/>
      <c r="H31" s="27"/>
      <c r="I31" s="27"/>
      <c r="J31" s="40"/>
      <c r="K31" s="41">
        <f t="shared" si="3"/>
        <v>0</v>
      </c>
      <c r="L31" s="42">
        <f t="shared" si="4"/>
        <v>0</v>
      </c>
      <c r="M31" s="70">
        <f t="shared" si="5"/>
        <v>0</v>
      </c>
      <c r="N31" s="44"/>
    </row>
    <row r="32" spans="1:18" ht="20.100000000000001" customHeight="1" x14ac:dyDescent="0.3">
      <c r="A32" s="39"/>
      <c r="B32" s="27"/>
      <c r="C32" s="27"/>
      <c r="D32" s="27"/>
      <c r="E32" s="27"/>
      <c r="F32" s="27"/>
      <c r="G32" s="27"/>
      <c r="H32" s="27"/>
      <c r="I32" s="27"/>
      <c r="J32" s="40"/>
      <c r="K32" s="41"/>
      <c r="L32" s="42"/>
      <c r="M32" s="70"/>
      <c r="N32" s="44"/>
    </row>
    <row r="33" spans="1:18" ht="20.100000000000001" customHeight="1" x14ac:dyDescent="0.3">
      <c r="A33" s="39"/>
      <c r="B33" s="27"/>
      <c r="C33" s="27"/>
      <c r="D33" s="27"/>
      <c r="E33" s="27"/>
      <c r="F33" s="27"/>
      <c r="G33" s="27"/>
      <c r="H33" s="27"/>
      <c r="I33" s="27"/>
      <c r="J33" s="40"/>
      <c r="K33" s="41"/>
      <c r="L33" s="42"/>
      <c r="M33" s="70"/>
      <c r="N33" s="44"/>
    </row>
    <row r="34" spans="1:18" ht="20.100000000000001" customHeight="1" x14ac:dyDescent="0.3">
      <c r="A34" s="39"/>
      <c r="B34" s="27"/>
      <c r="C34" s="27"/>
      <c r="D34" s="27"/>
      <c r="E34" s="27"/>
      <c r="F34" s="27"/>
      <c r="G34" s="27"/>
      <c r="H34" s="27"/>
      <c r="I34" s="27"/>
      <c r="J34" s="40"/>
      <c r="K34" s="41"/>
      <c r="L34" s="42"/>
      <c r="M34" s="70"/>
      <c r="N34" s="44"/>
    </row>
    <row r="35" spans="1:18" ht="20.100000000000001" customHeight="1" x14ac:dyDescent="0.3">
      <c r="A35" s="39"/>
      <c r="B35" s="27"/>
      <c r="C35" s="27"/>
      <c r="D35" s="27"/>
      <c r="E35" s="27"/>
      <c r="F35" s="27"/>
      <c r="G35" s="27"/>
      <c r="H35" s="27"/>
      <c r="I35" s="27"/>
      <c r="J35" s="40"/>
      <c r="K35" s="41"/>
      <c r="L35" s="42"/>
      <c r="M35" s="70"/>
      <c r="N35" s="44"/>
    </row>
    <row r="36" spans="1:18" ht="20.100000000000001" customHeight="1" x14ac:dyDescent="0.3">
      <c r="A36" s="39"/>
      <c r="B36" s="27"/>
      <c r="C36" s="27"/>
      <c r="D36" s="27"/>
      <c r="E36" s="27"/>
      <c r="F36" s="27"/>
      <c r="G36" s="27"/>
      <c r="H36" s="27"/>
      <c r="I36" s="27"/>
      <c r="J36" s="40"/>
      <c r="K36" s="41"/>
      <c r="L36" s="42"/>
      <c r="M36" s="70"/>
      <c r="N36" s="44"/>
    </row>
    <row r="37" spans="1:18" ht="20.100000000000001" customHeight="1" x14ac:dyDescent="0.3">
      <c r="A37" s="39"/>
      <c r="B37" s="27"/>
      <c r="C37" s="27"/>
      <c r="D37" s="27"/>
      <c r="E37" s="27"/>
      <c r="F37" s="27"/>
      <c r="G37" s="27"/>
      <c r="H37" s="27"/>
      <c r="I37" s="27"/>
      <c r="J37" s="40"/>
      <c r="K37" s="41"/>
      <c r="L37" s="42"/>
      <c r="M37" s="70"/>
      <c r="N37" s="44"/>
    </row>
    <row r="38" spans="1:18" ht="20.100000000000001" customHeight="1" x14ac:dyDescent="0.3">
      <c r="A38" s="39"/>
      <c r="B38" s="27"/>
      <c r="C38" s="27"/>
      <c r="D38" s="27"/>
      <c r="E38" s="27"/>
      <c r="F38" s="27"/>
      <c r="G38" s="27"/>
      <c r="H38" s="27"/>
      <c r="I38" s="27"/>
      <c r="J38" s="40"/>
      <c r="K38" s="41"/>
      <c r="L38" s="42"/>
      <c r="M38" s="70"/>
      <c r="N38" s="44"/>
    </row>
    <row r="39" spans="1:18" ht="20.100000000000001" customHeight="1" x14ac:dyDescent="0.3">
      <c r="A39" s="39"/>
      <c r="B39" s="27"/>
      <c r="C39" s="27"/>
      <c r="D39" s="27"/>
      <c r="E39" s="27"/>
      <c r="F39" s="27"/>
      <c r="G39" s="27"/>
      <c r="H39" s="27"/>
      <c r="I39" s="27"/>
      <c r="J39" s="40"/>
      <c r="K39" s="41"/>
      <c r="L39" s="42"/>
      <c r="M39" s="70"/>
      <c r="N39" s="44"/>
    </row>
    <row r="40" spans="1:18" ht="20.100000000000001" customHeight="1" x14ac:dyDescent="0.3">
      <c r="A40" s="39"/>
      <c r="B40" s="27"/>
      <c r="C40" s="27"/>
      <c r="D40" s="27"/>
      <c r="E40" s="27"/>
      <c r="F40" s="27"/>
      <c r="G40" s="27"/>
      <c r="H40" s="27"/>
      <c r="I40" s="27"/>
      <c r="J40" s="40"/>
      <c r="K40" s="41"/>
      <c r="L40" s="42"/>
      <c r="M40" s="70"/>
      <c r="N40" s="44"/>
    </row>
    <row r="41" spans="1:18" ht="20.100000000000001" customHeight="1" x14ac:dyDescent="0.3">
      <c r="A41" s="39"/>
      <c r="B41" s="27"/>
      <c r="C41" s="27"/>
      <c r="D41" s="27"/>
      <c r="E41" s="27"/>
      <c r="F41" s="27"/>
      <c r="G41" s="27"/>
      <c r="H41" s="27"/>
      <c r="I41" s="27"/>
      <c r="J41" s="40"/>
      <c r="K41" s="41"/>
      <c r="L41" s="42"/>
      <c r="M41" s="70"/>
      <c r="N41" s="44"/>
    </row>
    <row r="42" spans="1:18" ht="20.100000000000001" customHeight="1" x14ac:dyDescent="0.3">
      <c r="A42" s="39"/>
      <c r="B42" s="27"/>
      <c r="C42" s="27"/>
      <c r="D42" s="27"/>
      <c r="E42" s="27"/>
      <c r="F42" s="27"/>
      <c r="G42" s="27"/>
      <c r="H42" s="27"/>
      <c r="I42" s="27"/>
      <c r="J42" s="40"/>
      <c r="K42" s="41"/>
      <c r="L42" s="42"/>
      <c r="M42" s="70"/>
      <c r="N42" s="44"/>
    </row>
    <row r="43" spans="1:18" ht="20.100000000000001" customHeight="1" x14ac:dyDescent="0.3">
      <c r="A43" s="39"/>
      <c r="B43" s="27"/>
      <c r="C43" s="27"/>
      <c r="D43" s="27"/>
      <c r="E43" s="27"/>
      <c r="F43" s="27"/>
      <c r="G43" s="27"/>
      <c r="H43" s="27"/>
      <c r="I43" s="27"/>
      <c r="J43" s="40"/>
      <c r="K43" s="41"/>
      <c r="L43" s="42"/>
      <c r="M43" s="70"/>
      <c r="N43" s="44"/>
      <c r="O43" s="45"/>
      <c r="P43" s="45"/>
      <c r="Q43" s="45"/>
      <c r="R43" s="45"/>
    </row>
    <row r="44" spans="1:18" ht="20.100000000000001" customHeight="1" x14ac:dyDescent="0.3">
      <c r="A44" s="39"/>
      <c r="B44" s="27"/>
      <c r="C44" s="27"/>
      <c r="D44" s="27"/>
      <c r="E44" s="27"/>
      <c r="F44" s="27"/>
      <c r="G44" s="27"/>
      <c r="H44" s="27"/>
      <c r="I44" s="27"/>
      <c r="J44" s="40"/>
      <c r="K44" s="41"/>
      <c r="L44" s="42"/>
      <c r="M44" s="70"/>
      <c r="N44" s="44"/>
    </row>
    <row r="45" spans="1:18" ht="20.100000000000001" customHeight="1" x14ac:dyDescent="0.3">
      <c r="A45" s="39"/>
      <c r="B45" s="27"/>
      <c r="C45" s="27"/>
      <c r="D45" s="27"/>
      <c r="E45" s="27"/>
      <c r="F45" s="27"/>
      <c r="G45" s="27"/>
      <c r="H45" s="27"/>
      <c r="I45" s="27"/>
      <c r="J45" s="40"/>
      <c r="K45" s="41"/>
      <c r="L45" s="42"/>
      <c r="M45" s="70"/>
      <c r="N45" s="44"/>
    </row>
    <row r="46" spans="1:18" ht="20.100000000000001" customHeight="1" x14ac:dyDescent="0.3">
      <c r="A46" s="39"/>
      <c r="B46" s="27"/>
      <c r="C46" s="27"/>
      <c r="D46" s="27"/>
      <c r="E46" s="27"/>
      <c r="F46" s="27"/>
      <c r="G46" s="27"/>
      <c r="H46" s="27"/>
      <c r="I46" s="27"/>
      <c r="J46" s="40"/>
      <c r="K46" s="41"/>
      <c r="L46" s="42"/>
      <c r="M46" s="70"/>
      <c r="N46" s="44"/>
    </row>
    <row r="47" spans="1:18" ht="20.100000000000001" customHeight="1" x14ac:dyDescent="0.3">
      <c r="A47" s="39"/>
      <c r="B47" s="27"/>
      <c r="C47" s="27"/>
      <c r="D47" s="27"/>
      <c r="E47" s="27"/>
      <c r="F47" s="27"/>
      <c r="G47" s="27"/>
      <c r="H47" s="27"/>
      <c r="I47" s="27"/>
      <c r="J47" s="40"/>
      <c r="K47" s="41"/>
      <c r="L47" s="42"/>
      <c r="M47" s="70"/>
      <c r="N47" s="44"/>
      <c r="O47" s="45"/>
      <c r="P47" s="45"/>
      <c r="Q47" s="45"/>
      <c r="R47" s="45"/>
    </row>
    <row r="48" spans="1:18" ht="20.100000000000001" customHeight="1" x14ac:dyDescent="0.3">
      <c r="A48" s="39"/>
      <c r="B48" s="27"/>
      <c r="C48" s="27"/>
      <c r="D48" s="27"/>
      <c r="E48" s="27"/>
      <c r="F48" s="27"/>
      <c r="G48" s="27"/>
      <c r="H48" s="27"/>
      <c r="I48" s="27"/>
      <c r="J48" s="40"/>
      <c r="K48" s="41"/>
      <c r="L48" s="42"/>
      <c r="M48" s="70"/>
      <c r="N48" s="44"/>
    </row>
    <row r="49" spans="1:14" ht="20.100000000000001" customHeight="1" x14ac:dyDescent="0.3">
      <c r="A49" s="39"/>
      <c r="B49" s="27"/>
      <c r="C49" s="27"/>
      <c r="D49" s="27"/>
      <c r="E49" s="27"/>
      <c r="F49" s="27"/>
      <c r="G49" s="27"/>
      <c r="H49" s="27"/>
      <c r="I49" s="27"/>
      <c r="J49" s="40"/>
      <c r="K49" s="41"/>
      <c r="L49" s="42"/>
      <c r="M49" s="70"/>
      <c r="N49" s="44"/>
    </row>
    <row r="50" spans="1:14" ht="20.100000000000001" customHeight="1" x14ac:dyDescent="0.3">
      <c r="A50" s="39"/>
      <c r="B50" s="27"/>
      <c r="C50" s="27"/>
      <c r="D50" s="27"/>
      <c r="E50" s="27"/>
      <c r="F50" s="27"/>
      <c r="G50" s="27"/>
      <c r="H50" s="27"/>
      <c r="I50" s="27"/>
      <c r="J50" s="40"/>
      <c r="K50" s="41"/>
      <c r="L50" s="42"/>
      <c r="M50" s="70"/>
      <c r="N50" s="44"/>
    </row>
    <row r="51" spans="1:14" ht="20.100000000000001" customHeight="1" x14ac:dyDescent="0.3">
      <c r="A51" s="39"/>
      <c r="B51" s="27"/>
      <c r="C51" s="27"/>
      <c r="D51" s="27"/>
      <c r="E51" s="27"/>
      <c r="F51" s="27"/>
      <c r="G51" s="27"/>
      <c r="H51" s="27"/>
      <c r="I51" s="27"/>
      <c r="J51" s="40"/>
      <c r="K51" s="41"/>
      <c r="L51" s="42"/>
      <c r="M51" s="70"/>
      <c r="N51" s="44"/>
    </row>
    <row r="52" spans="1:14" ht="20.100000000000001" customHeight="1" x14ac:dyDescent="0.3">
      <c r="A52" s="39"/>
      <c r="B52" s="27"/>
      <c r="C52" s="27"/>
      <c r="D52" s="27"/>
      <c r="E52" s="27"/>
      <c r="F52" s="27"/>
      <c r="G52" s="27"/>
      <c r="H52" s="27"/>
      <c r="I52" s="27"/>
      <c r="J52" s="40"/>
      <c r="K52" s="41"/>
      <c r="L52" s="42"/>
      <c r="M52" s="70"/>
      <c r="N52" s="44"/>
    </row>
    <row r="53" spans="1:14" ht="20.100000000000001" customHeight="1" x14ac:dyDescent="0.3">
      <c r="A53" s="39"/>
      <c r="B53" s="27"/>
      <c r="C53" s="27"/>
      <c r="D53" s="27"/>
      <c r="E53" s="27"/>
      <c r="F53" s="27"/>
      <c r="G53" s="27"/>
      <c r="H53" s="27"/>
      <c r="I53" s="27"/>
      <c r="J53" s="40"/>
      <c r="K53" s="41"/>
      <c r="L53" s="42"/>
      <c r="M53" s="70"/>
      <c r="N53" s="44"/>
    </row>
    <row r="54" spans="1:14" ht="20.100000000000001" customHeight="1" x14ac:dyDescent="0.3">
      <c r="A54" s="39"/>
      <c r="B54" s="27"/>
      <c r="C54" s="27"/>
      <c r="D54" s="27"/>
      <c r="E54" s="27"/>
      <c r="F54" s="27"/>
      <c r="G54" s="27"/>
      <c r="H54" s="27"/>
      <c r="I54" s="27"/>
      <c r="J54" s="40"/>
      <c r="K54" s="41"/>
      <c r="L54" s="42"/>
      <c r="M54" s="70"/>
      <c r="N54" s="44"/>
    </row>
    <row r="55" spans="1:14" ht="20.100000000000001" customHeight="1" x14ac:dyDescent="0.3">
      <c r="A55" s="39"/>
      <c r="B55" s="27"/>
      <c r="C55" s="27"/>
      <c r="D55" s="27"/>
      <c r="E55" s="27"/>
      <c r="F55" s="27"/>
      <c r="G55" s="27"/>
      <c r="H55" s="27"/>
      <c r="I55" s="27"/>
      <c r="J55" s="40"/>
      <c r="K55" s="41"/>
      <c r="L55" s="42"/>
      <c r="M55" s="70"/>
      <c r="N55" s="44"/>
    </row>
    <row r="56" spans="1:14" ht="20.100000000000001" customHeight="1" x14ac:dyDescent="0.3">
      <c r="A56" s="39"/>
      <c r="B56" s="27"/>
      <c r="C56" s="27"/>
      <c r="D56" s="27"/>
      <c r="E56" s="27"/>
      <c r="F56" s="27"/>
      <c r="G56" s="27"/>
      <c r="H56" s="27"/>
      <c r="I56" s="27"/>
      <c r="J56" s="40"/>
      <c r="K56" s="41"/>
      <c r="L56" s="42"/>
      <c r="M56" s="70"/>
      <c r="N56" s="44"/>
    </row>
    <row r="57" spans="1:14" ht="20.100000000000001" customHeight="1" x14ac:dyDescent="0.3">
      <c r="A57" s="39"/>
      <c r="B57" s="27"/>
      <c r="C57" s="27"/>
      <c r="D57" s="27"/>
      <c r="E57" s="27"/>
      <c r="F57" s="27"/>
      <c r="G57" s="27"/>
      <c r="H57" s="27"/>
      <c r="I57" s="27"/>
      <c r="J57" s="40"/>
      <c r="K57" s="41"/>
      <c r="L57" s="42"/>
      <c r="M57" s="70"/>
      <c r="N57" s="44"/>
    </row>
    <row r="58" spans="1:14" ht="20.100000000000001" customHeight="1" x14ac:dyDescent="0.3">
      <c r="A58" s="39"/>
      <c r="B58" s="27"/>
      <c r="C58" s="27"/>
      <c r="D58" s="27"/>
      <c r="E58" s="27"/>
      <c r="F58" s="27"/>
      <c r="G58" s="27"/>
      <c r="H58" s="27"/>
      <c r="I58" s="27"/>
      <c r="J58" s="40"/>
      <c r="K58" s="41"/>
      <c r="L58" s="42"/>
      <c r="M58" s="70"/>
      <c r="N58" s="44"/>
    </row>
    <row r="59" spans="1:14" ht="20.100000000000001" customHeight="1" x14ac:dyDescent="0.3">
      <c r="A59" s="39"/>
      <c r="B59" s="27"/>
      <c r="C59" s="27"/>
      <c r="D59" s="27"/>
      <c r="E59" s="27"/>
      <c r="F59" s="27"/>
      <c r="G59" s="27"/>
      <c r="H59" s="27"/>
      <c r="I59" s="27"/>
      <c r="J59" s="40"/>
      <c r="K59" s="41"/>
      <c r="L59" s="42"/>
      <c r="M59" s="70"/>
      <c r="N59" s="44"/>
    </row>
    <row r="60" spans="1:14" ht="20.100000000000001" customHeight="1" x14ac:dyDescent="0.3">
      <c r="A60" s="39"/>
      <c r="B60" s="27"/>
      <c r="C60" s="27"/>
      <c r="D60" s="27"/>
      <c r="E60" s="27"/>
      <c r="F60" s="27"/>
      <c r="G60" s="27"/>
      <c r="H60" s="27"/>
      <c r="I60" s="27"/>
      <c r="J60" s="40"/>
      <c r="K60" s="41"/>
      <c r="L60" s="42"/>
      <c r="M60" s="70"/>
      <c r="N60" s="44"/>
    </row>
    <row r="61" spans="1:14" ht="20.100000000000001" customHeight="1" x14ac:dyDescent="0.3">
      <c r="A61" s="39"/>
      <c r="B61" s="27"/>
      <c r="C61" s="27"/>
      <c r="D61" s="27"/>
      <c r="E61" s="27"/>
      <c r="F61" s="27"/>
      <c r="G61" s="27"/>
      <c r="H61" s="27"/>
      <c r="I61" s="27"/>
      <c r="J61" s="40"/>
      <c r="K61" s="41"/>
      <c r="L61" s="42"/>
      <c r="M61" s="70"/>
      <c r="N61" s="44"/>
    </row>
    <row r="62" spans="1:14" ht="20.100000000000001" customHeight="1" x14ac:dyDescent="0.3">
      <c r="A62" s="39"/>
      <c r="B62" s="27"/>
      <c r="C62" s="27"/>
      <c r="D62" s="27"/>
      <c r="E62" s="27"/>
      <c r="F62" s="27"/>
      <c r="G62" s="27"/>
      <c r="H62" s="27"/>
      <c r="I62" s="27"/>
      <c r="J62" s="40"/>
      <c r="K62" s="41"/>
      <c r="L62" s="42"/>
      <c r="M62" s="70"/>
      <c r="N62" s="44"/>
    </row>
    <row r="63" spans="1:14" ht="20.100000000000001" customHeight="1" x14ac:dyDescent="0.3">
      <c r="A63" s="39"/>
      <c r="B63" s="27"/>
      <c r="C63" s="27"/>
      <c r="D63" s="27"/>
      <c r="E63" s="27"/>
      <c r="F63" s="27"/>
      <c r="G63" s="27"/>
      <c r="H63" s="27"/>
      <c r="I63" s="27"/>
      <c r="J63" s="40"/>
      <c r="K63" s="41"/>
      <c r="L63" s="42"/>
      <c r="M63" s="70"/>
      <c r="N63" s="44"/>
    </row>
    <row r="64" spans="1:14" ht="20.100000000000001" customHeight="1" x14ac:dyDescent="0.3">
      <c r="A64" s="39"/>
      <c r="B64" s="27"/>
      <c r="C64" s="27"/>
      <c r="D64" s="27"/>
      <c r="E64" s="27"/>
      <c r="F64" s="27"/>
      <c r="G64" s="27"/>
      <c r="H64" s="27"/>
      <c r="I64" s="27"/>
      <c r="J64" s="40"/>
      <c r="K64" s="41"/>
      <c r="L64" s="42"/>
      <c r="M64" s="70"/>
      <c r="N64" s="44"/>
    </row>
    <row r="65" spans="1:18" ht="20.100000000000001" customHeight="1" x14ac:dyDescent="0.3">
      <c r="A65" s="39"/>
      <c r="B65" s="27"/>
      <c r="C65" s="27"/>
      <c r="D65" s="27"/>
      <c r="E65" s="27"/>
      <c r="F65" s="27"/>
      <c r="G65" s="27"/>
      <c r="H65" s="27"/>
      <c r="I65" s="27"/>
      <c r="J65" s="40"/>
      <c r="K65" s="41"/>
      <c r="L65" s="42"/>
      <c r="M65" s="70"/>
      <c r="N65" s="44"/>
    </row>
    <row r="66" spans="1:18" ht="20.100000000000001" customHeight="1" x14ac:dyDescent="0.3">
      <c r="A66" s="39"/>
      <c r="B66" s="27"/>
      <c r="C66" s="27"/>
      <c r="D66" s="27"/>
      <c r="E66" s="27"/>
      <c r="F66" s="27"/>
      <c r="G66" s="27"/>
      <c r="H66" s="27"/>
      <c r="I66" s="27"/>
      <c r="J66" s="40"/>
      <c r="K66" s="41"/>
      <c r="L66" s="42"/>
      <c r="M66" s="70"/>
      <c r="N66" s="44"/>
    </row>
    <row r="67" spans="1:18" ht="20.100000000000001" customHeight="1" x14ac:dyDescent="0.3">
      <c r="A67" s="39"/>
      <c r="B67" s="27"/>
      <c r="C67" s="27"/>
      <c r="D67" s="27"/>
      <c r="E67" s="27"/>
      <c r="F67" s="27"/>
      <c r="G67" s="27"/>
      <c r="H67" s="27"/>
      <c r="I67" s="27"/>
      <c r="J67" s="40"/>
      <c r="K67" s="41"/>
      <c r="L67" s="42"/>
      <c r="M67" s="70"/>
      <c r="N67" s="44"/>
    </row>
    <row r="68" spans="1:18" ht="20.100000000000001" customHeight="1" x14ac:dyDescent="0.3">
      <c r="A68" s="39"/>
      <c r="B68" s="27"/>
      <c r="C68" s="27"/>
      <c r="D68" s="27"/>
      <c r="E68" s="27"/>
      <c r="F68" s="27"/>
      <c r="G68" s="27"/>
      <c r="H68" s="27"/>
      <c r="I68" s="27"/>
      <c r="J68" s="40"/>
      <c r="K68" s="41"/>
      <c r="L68" s="42"/>
      <c r="M68" s="70"/>
      <c r="N68" s="44"/>
    </row>
    <row r="69" spans="1:18" ht="20.100000000000001" customHeight="1" x14ac:dyDescent="0.3">
      <c r="A69" s="39"/>
      <c r="B69" s="27"/>
      <c r="C69" s="27"/>
      <c r="D69" s="27"/>
      <c r="E69" s="27"/>
      <c r="F69" s="27"/>
      <c r="G69" s="27"/>
      <c r="H69" s="27"/>
      <c r="I69" s="27"/>
      <c r="J69" s="40"/>
      <c r="K69" s="41"/>
      <c r="L69" s="42"/>
      <c r="M69" s="70"/>
      <c r="N69" s="44"/>
    </row>
    <row r="70" spans="1:18" ht="20.100000000000001" customHeight="1" x14ac:dyDescent="0.3">
      <c r="A70" s="39"/>
      <c r="B70" s="27"/>
      <c r="C70" s="27"/>
      <c r="D70" s="27"/>
      <c r="E70" s="27"/>
      <c r="F70" s="27"/>
      <c r="G70" s="27"/>
      <c r="H70" s="27"/>
      <c r="I70" s="27"/>
      <c r="J70" s="40"/>
      <c r="K70" s="41"/>
      <c r="L70" s="42"/>
      <c r="M70" s="70"/>
      <c r="N70" s="44"/>
    </row>
    <row r="71" spans="1:18" ht="20.100000000000001" customHeight="1" x14ac:dyDescent="0.3">
      <c r="A71" s="39"/>
      <c r="B71" s="27"/>
      <c r="C71" s="27"/>
      <c r="D71" s="27"/>
      <c r="E71" s="27"/>
      <c r="F71" s="27"/>
      <c r="G71" s="27"/>
      <c r="H71" s="27"/>
      <c r="I71" s="27"/>
      <c r="J71" s="40"/>
      <c r="K71" s="41"/>
      <c r="L71" s="42"/>
      <c r="M71" s="70"/>
      <c r="N71" s="44"/>
    </row>
    <row r="72" spans="1:18" ht="20.100000000000001" customHeight="1" x14ac:dyDescent="0.3">
      <c r="A72" s="39"/>
      <c r="B72" s="27"/>
      <c r="C72" s="27"/>
      <c r="D72" s="27"/>
      <c r="E72" s="27"/>
      <c r="F72" s="27"/>
      <c r="G72" s="27"/>
      <c r="H72" s="27"/>
      <c r="I72" s="27"/>
      <c r="J72" s="40"/>
      <c r="K72" s="41"/>
      <c r="L72" s="42"/>
      <c r="M72" s="70"/>
      <c r="N72" s="44"/>
    </row>
    <row r="73" spans="1:18" ht="20.100000000000001" customHeight="1" x14ac:dyDescent="0.3">
      <c r="A73" s="39"/>
      <c r="B73" s="27"/>
      <c r="C73" s="27"/>
      <c r="D73" s="27"/>
      <c r="E73" s="27"/>
      <c r="F73" s="27"/>
      <c r="G73" s="27"/>
      <c r="H73" s="27"/>
      <c r="I73" s="27"/>
      <c r="J73" s="40"/>
      <c r="K73" s="41"/>
      <c r="L73" s="42"/>
      <c r="M73" s="70"/>
      <c r="N73" s="44"/>
    </row>
    <row r="74" spans="1:18" ht="20.100000000000001" customHeight="1" x14ac:dyDescent="0.3">
      <c r="A74" s="39"/>
      <c r="B74" s="27"/>
      <c r="C74" s="27"/>
      <c r="D74" s="27"/>
      <c r="E74" s="27"/>
      <c r="F74" s="27"/>
      <c r="G74" s="27"/>
      <c r="H74" s="27"/>
      <c r="I74" s="27"/>
      <c r="J74" s="40"/>
      <c r="K74" s="41"/>
      <c r="L74" s="42"/>
      <c r="M74" s="70"/>
      <c r="N74" s="44"/>
      <c r="O74" s="45"/>
      <c r="P74" s="45"/>
      <c r="Q74" s="45"/>
      <c r="R74" s="45"/>
    </row>
    <row r="75" spans="1:18" ht="20.100000000000001" customHeight="1" x14ac:dyDescent="0.3">
      <c r="A75" s="39"/>
      <c r="B75" s="27"/>
      <c r="C75" s="27"/>
      <c r="D75" s="27"/>
      <c r="E75" s="27"/>
      <c r="F75" s="27"/>
      <c r="G75" s="27"/>
      <c r="H75" s="27"/>
      <c r="I75" s="27"/>
      <c r="J75" s="40"/>
      <c r="K75" s="41"/>
      <c r="L75" s="42"/>
      <c r="M75" s="70"/>
      <c r="N75" s="44"/>
    </row>
    <row r="76" spans="1:18" ht="20.100000000000001" customHeight="1" x14ac:dyDescent="0.3">
      <c r="A76" s="39"/>
      <c r="B76" s="27"/>
      <c r="C76" s="27"/>
      <c r="D76" s="27"/>
      <c r="E76" s="27"/>
      <c r="F76" s="27"/>
      <c r="G76" s="27"/>
      <c r="H76" s="27"/>
      <c r="I76" s="27"/>
      <c r="J76" s="40"/>
      <c r="K76" s="41"/>
      <c r="L76" s="42"/>
      <c r="M76" s="70"/>
      <c r="N76" s="44"/>
    </row>
    <row r="77" spans="1:18" ht="20.100000000000001" customHeight="1" x14ac:dyDescent="0.3">
      <c r="A77" s="39"/>
      <c r="B77" s="27"/>
      <c r="C77" s="27"/>
      <c r="D77" s="27"/>
      <c r="E77" s="27"/>
      <c r="F77" s="27"/>
      <c r="G77" s="27"/>
      <c r="H77" s="27"/>
      <c r="I77" s="27"/>
      <c r="J77" s="40"/>
      <c r="K77" s="41"/>
      <c r="L77" s="42"/>
      <c r="M77" s="70"/>
      <c r="N77" s="44"/>
      <c r="O77" s="45"/>
      <c r="P77" s="45"/>
      <c r="Q77" s="45"/>
      <c r="R77" s="45"/>
    </row>
    <row r="78" spans="1:18" ht="20.100000000000001" customHeight="1" x14ac:dyDescent="0.3">
      <c r="A78" s="39"/>
      <c r="B78" s="27"/>
      <c r="C78" s="27"/>
      <c r="D78" s="27"/>
      <c r="E78" s="27"/>
      <c r="F78" s="27"/>
      <c r="G78" s="27"/>
      <c r="H78" s="27"/>
      <c r="I78" s="27"/>
      <c r="J78" s="40"/>
      <c r="K78" s="41"/>
      <c r="L78" s="42"/>
      <c r="M78" s="70"/>
      <c r="N78" s="44"/>
    </row>
    <row r="79" spans="1:18" ht="20.100000000000001" customHeight="1" x14ac:dyDescent="0.3">
      <c r="A79" s="39"/>
      <c r="B79" s="27"/>
      <c r="C79" s="27"/>
      <c r="D79" s="27"/>
      <c r="E79" s="27"/>
      <c r="F79" s="27"/>
      <c r="G79" s="27"/>
      <c r="H79" s="27"/>
      <c r="I79" s="27"/>
      <c r="J79" s="40"/>
      <c r="K79" s="41"/>
      <c r="L79" s="42"/>
      <c r="M79" s="70"/>
      <c r="N79" s="44"/>
    </row>
    <row r="80" spans="1:18" ht="20.100000000000001" customHeight="1" x14ac:dyDescent="0.3">
      <c r="A80" s="39"/>
      <c r="B80" s="27"/>
      <c r="C80" s="27"/>
      <c r="D80" s="27"/>
      <c r="E80" s="27"/>
      <c r="F80" s="27"/>
      <c r="G80" s="27"/>
      <c r="H80" s="27"/>
      <c r="I80" s="27"/>
      <c r="J80" s="40"/>
      <c r="K80" s="41"/>
      <c r="L80" s="42"/>
      <c r="M80" s="70"/>
      <c r="N80" s="44"/>
      <c r="O80" s="45"/>
      <c r="P80" s="45"/>
      <c r="Q80" s="45"/>
      <c r="R80" s="45"/>
    </row>
    <row r="81" spans="1:18" ht="20.100000000000001" customHeight="1" x14ac:dyDescent="0.3">
      <c r="A81" s="39"/>
      <c r="B81" s="27"/>
      <c r="C81" s="27"/>
      <c r="D81" s="27"/>
      <c r="E81" s="27"/>
      <c r="F81" s="27"/>
      <c r="G81" s="27"/>
      <c r="H81" s="27"/>
      <c r="I81" s="27"/>
      <c r="J81" s="40"/>
      <c r="K81" s="41"/>
      <c r="L81" s="42"/>
      <c r="M81" s="70"/>
      <c r="N81" s="44"/>
    </row>
    <row r="82" spans="1:18" ht="20.100000000000001" customHeight="1" x14ac:dyDescent="0.3">
      <c r="A82" s="39"/>
      <c r="B82" s="27"/>
      <c r="C82" s="27"/>
      <c r="D82" s="27"/>
      <c r="E82" s="27"/>
      <c r="F82" s="27"/>
      <c r="G82" s="27"/>
      <c r="H82" s="27"/>
      <c r="I82" s="27"/>
      <c r="J82" s="40"/>
      <c r="K82" s="41"/>
      <c r="L82" s="42"/>
      <c r="M82" s="70"/>
      <c r="N82" s="44"/>
    </row>
    <row r="83" spans="1:18" ht="20.100000000000001" customHeight="1" x14ac:dyDescent="0.3">
      <c r="A83" s="39"/>
      <c r="B83" s="27"/>
      <c r="C83" s="27"/>
      <c r="D83" s="27"/>
      <c r="E83" s="27"/>
      <c r="F83" s="27"/>
      <c r="G83" s="27"/>
      <c r="H83" s="27"/>
      <c r="I83" s="27"/>
      <c r="J83" s="40"/>
      <c r="K83" s="41"/>
      <c r="L83" s="42"/>
      <c r="M83" s="70"/>
      <c r="N83" s="44"/>
    </row>
    <row r="84" spans="1:18" ht="20.100000000000001" customHeight="1" x14ac:dyDescent="0.3">
      <c r="A84" s="39"/>
      <c r="B84" s="27"/>
      <c r="C84" s="27"/>
      <c r="D84" s="27"/>
      <c r="E84" s="27"/>
      <c r="F84" s="27"/>
      <c r="G84" s="27"/>
      <c r="H84" s="27"/>
      <c r="I84" s="27"/>
      <c r="J84" s="40"/>
      <c r="K84" s="41"/>
      <c r="L84" s="42"/>
      <c r="M84" s="70"/>
      <c r="N84" s="44"/>
      <c r="O84" s="45"/>
      <c r="P84" s="45"/>
      <c r="Q84" s="45"/>
      <c r="R84" s="45"/>
    </row>
    <row r="85" spans="1:18" ht="20.100000000000001" customHeight="1" x14ac:dyDescent="0.3">
      <c r="A85" s="39"/>
      <c r="B85" s="27"/>
      <c r="C85" s="27"/>
      <c r="D85" s="27"/>
      <c r="E85" s="27"/>
      <c r="F85" s="27"/>
      <c r="G85" s="27"/>
      <c r="H85" s="27"/>
      <c r="I85" s="27"/>
      <c r="J85" s="40"/>
      <c r="K85" s="41"/>
      <c r="L85" s="42"/>
      <c r="M85" s="70"/>
      <c r="N85" s="44"/>
    </row>
    <row r="86" spans="1:18" ht="20.100000000000001" customHeight="1" x14ac:dyDescent="0.3">
      <c r="A86" s="39"/>
      <c r="B86" s="27"/>
      <c r="C86" s="27"/>
      <c r="D86" s="27"/>
      <c r="E86" s="27"/>
      <c r="F86" s="27"/>
      <c r="G86" s="27"/>
      <c r="H86" s="27"/>
      <c r="I86" s="27"/>
      <c r="J86" s="40"/>
      <c r="K86" s="41"/>
      <c r="L86" s="42"/>
      <c r="M86" s="70"/>
      <c r="N86" s="44"/>
    </row>
    <row r="87" spans="1:18" ht="20.100000000000001" customHeight="1" x14ac:dyDescent="0.3">
      <c r="A87" s="39"/>
      <c r="B87" s="27"/>
      <c r="C87" s="27"/>
      <c r="D87" s="27"/>
      <c r="E87" s="27"/>
      <c r="F87" s="27"/>
      <c r="G87" s="27"/>
      <c r="H87" s="27"/>
      <c r="I87" s="27"/>
      <c r="J87" s="40"/>
      <c r="K87" s="41"/>
      <c r="L87" s="42"/>
      <c r="M87" s="70"/>
      <c r="N87" s="44"/>
      <c r="O87" s="45"/>
      <c r="P87" s="45"/>
      <c r="Q87" s="45"/>
      <c r="R87" s="45"/>
    </row>
    <row r="88" spans="1:18" ht="20.100000000000001" customHeight="1" x14ac:dyDescent="0.3">
      <c r="A88" s="39"/>
      <c r="B88" s="27"/>
      <c r="C88" s="27"/>
      <c r="D88" s="27"/>
      <c r="E88" s="27"/>
      <c r="F88" s="27"/>
      <c r="G88" s="27"/>
      <c r="H88" s="27"/>
      <c r="I88" s="27"/>
      <c r="J88" s="40"/>
      <c r="K88" s="41"/>
      <c r="L88" s="42"/>
      <c r="M88" s="70"/>
      <c r="N88" s="44"/>
    </row>
    <row r="89" spans="1:18" ht="20.100000000000001" customHeight="1" x14ac:dyDescent="0.3">
      <c r="A89" s="39"/>
      <c r="B89" s="27"/>
      <c r="C89" s="27"/>
      <c r="D89" s="27"/>
      <c r="E89" s="27"/>
      <c r="F89" s="27"/>
      <c r="G89" s="27"/>
      <c r="H89" s="27"/>
      <c r="I89" s="27"/>
      <c r="J89" s="40"/>
      <c r="K89" s="41"/>
      <c r="L89" s="42"/>
      <c r="M89" s="70"/>
      <c r="N89" s="44"/>
    </row>
    <row r="90" spans="1:18" ht="20.100000000000001" customHeight="1" x14ac:dyDescent="0.3">
      <c r="A90" s="39"/>
      <c r="B90" s="27"/>
      <c r="C90" s="27"/>
      <c r="D90" s="27"/>
      <c r="E90" s="27"/>
      <c r="F90" s="27"/>
      <c r="G90" s="27"/>
      <c r="H90" s="27"/>
      <c r="I90" s="27"/>
      <c r="J90" s="40"/>
      <c r="K90" s="41"/>
      <c r="L90" s="42"/>
      <c r="M90" s="70"/>
      <c r="N90" s="44"/>
      <c r="O90" s="16"/>
      <c r="P90" s="16"/>
      <c r="Q90" s="16"/>
      <c r="R90" s="3"/>
    </row>
    <row r="91" spans="1:18" ht="20.100000000000001" customHeight="1" x14ac:dyDescent="0.3">
      <c r="A91" s="39"/>
      <c r="B91" s="27"/>
      <c r="C91" s="27"/>
      <c r="D91" s="27"/>
      <c r="E91" s="27"/>
      <c r="F91" s="27"/>
      <c r="G91" s="27"/>
      <c r="H91" s="27"/>
      <c r="I91" s="27"/>
      <c r="J91" s="40"/>
      <c r="K91" s="41"/>
      <c r="L91" s="42"/>
      <c r="M91" s="70"/>
      <c r="N91" s="44"/>
    </row>
    <row r="92" spans="1:18" ht="20.100000000000001" customHeight="1" x14ac:dyDescent="0.3">
      <c r="A92" s="39"/>
      <c r="B92" s="27"/>
      <c r="C92" s="27"/>
      <c r="D92" s="27"/>
      <c r="E92" s="27"/>
      <c r="F92" s="27"/>
      <c r="G92" s="27"/>
      <c r="H92" s="27"/>
      <c r="I92" s="27"/>
      <c r="J92" s="40"/>
      <c r="K92" s="41"/>
      <c r="L92" s="42"/>
      <c r="M92" s="70"/>
      <c r="N92" s="44"/>
    </row>
    <row r="93" spans="1:18" ht="20.100000000000001" customHeight="1" x14ac:dyDescent="0.3">
      <c r="A93" s="39"/>
      <c r="B93" s="27"/>
      <c r="C93" s="27"/>
      <c r="D93" s="27"/>
      <c r="E93" s="27"/>
      <c r="F93" s="27"/>
      <c r="G93" s="27"/>
      <c r="H93" s="27"/>
      <c r="I93" s="27"/>
      <c r="J93" s="40"/>
      <c r="K93" s="41"/>
      <c r="L93" s="42"/>
      <c r="M93" s="70"/>
      <c r="N93" s="44"/>
    </row>
    <row r="94" spans="1:18" ht="20.100000000000001" customHeight="1" x14ac:dyDescent="0.3">
      <c r="A94" s="39"/>
      <c r="B94" s="27"/>
      <c r="C94" s="27"/>
      <c r="D94" s="27"/>
      <c r="E94" s="27"/>
      <c r="F94" s="27"/>
      <c r="G94" s="27"/>
      <c r="H94" s="27"/>
      <c r="I94" s="27"/>
      <c r="J94" s="40"/>
      <c r="K94" s="41"/>
      <c r="L94" s="42"/>
      <c r="M94" s="70"/>
      <c r="N94" s="44"/>
      <c r="O94" s="45"/>
      <c r="P94" s="45"/>
      <c r="Q94" s="45"/>
      <c r="R94" s="45"/>
    </row>
    <row r="95" spans="1:18" ht="20.100000000000001" customHeight="1" x14ac:dyDescent="0.3">
      <c r="A95" s="39"/>
      <c r="B95" s="27"/>
      <c r="C95" s="27"/>
      <c r="D95" s="27"/>
      <c r="E95" s="27"/>
      <c r="F95" s="27"/>
      <c r="G95" s="27"/>
      <c r="H95" s="27"/>
      <c r="I95" s="27"/>
      <c r="J95" s="40"/>
      <c r="K95" s="41"/>
      <c r="L95" s="42"/>
      <c r="M95" s="70"/>
      <c r="N95" s="44"/>
      <c r="O95" s="16"/>
      <c r="P95" s="16"/>
      <c r="Q95" s="16"/>
      <c r="R95" s="3"/>
    </row>
    <row r="96" spans="1:18" ht="20.100000000000001" customHeight="1" x14ac:dyDescent="0.3">
      <c r="A96" s="39"/>
      <c r="B96" s="27"/>
      <c r="C96" s="27"/>
      <c r="D96" s="27"/>
      <c r="E96" s="27"/>
      <c r="F96" s="27"/>
      <c r="G96" s="27"/>
      <c r="H96" s="27"/>
      <c r="I96" s="27"/>
      <c r="J96" s="40"/>
      <c r="K96" s="41"/>
      <c r="L96" s="42"/>
      <c r="M96" s="70"/>
      <c r="N96" s="44"/>
    </row>
    <row r="97" spans="1:18" ht="20.100000000000001" customHeight="1" x14ac:dyDescent="0.3">
      <c r="A97" s="39"/>
      <c r="B97" s="27"/>
      <c r="C97" s="27"/>
      <c r="D97" s="27"/>
      <c r="E97" s="27"/>
      <c r="F97" s="27"/>
      <c r="G97" s="27"/>
      <c r="H97" s="27"/>
      <c r="I97" s="27"/>
      <c r="J97" s="40"/>
      <c r="K97" s="41"/>
      <c r="L97" s="42"/>
      <c r="M97" s="70"/>
      <c r="N97" s="44"/>
    </row>
    <row r="98" spans="1:18" ht="20.100000000000001" customHeight="1" x14ac:dyDescent="0.3">
      <c r="A98" s="39"/>
      <c r="B98" s="27"/>
      <c r="C98" s="27"/>
      <c r="D98" s="27"/>
      <c r="E98" s="27"/>
      <c r="F98" s="27"/>
      <c r="G98" s="27"/>
      <c r="H98" s="27"/>
      <c r="I98" s="27"/>
      <c r="J98" s="40"/>
      <c r="K98" s="41"/>
      <c r="L98" s="42"/>
      <c r="M98" s="70"/>
      <c r="N98" s="44"/>
      <c r="O98" s="45"/>
      <c r="P98" s="45"/>
      <c r="Q98" s="45"/>
      <c r="R98" s="45"/>
    </row>
    <row r="99" spans="1:18" ht="20.100000000000001" customHeight="1" x14ac:dyDescent="0.3">
      <c r="A99" s="39"/>
      <c r="B99" s="27"/>
      <c r="C99" s="27"/>
      <c r="D99" s="27"/>
      <c r="E99" s="27"/>
      <c r="F99" s="27"/>
      <c r="G99" s="27"/>
      <c r="H99" s="27"/>
      <c r="I99" s="27"/>
      <c r="J99" s="40"/>
      <c r="K99" s="41"/>
      <c r="L99" s="42"/>
      <c r="M99" s="70"/>
      <c r="N99" s="44"/>
      <c r="O99" s="16"/>
      <c r="P99" s="16"/>
      <c r="Q99" s="16"/>
      <c r="R99" s="3"/>
    </row>
    <row r="100" spans="1:18" ht="20.100000000000001" customHeight="1" x14ac:dyDescent="0.3">
      <c r="A100" s="39"/>
      <c r="B100" s="27"/>
      <c r="C100" s="27"/>
      <c r="D100" s="27"/>
      <c r="E100" s="27"/>
      <c r="F100" s="27"/>
      <c r="G100" s="27"/>
      <c r="H100" s="27"/>
      <c r="I100" s="27"/>
      <c r="J100" s="40"/>
      <c r="K100" s="41"/>
      <c r="L100" s="42"/>
      <c r="M100" s="70"/>
      <c r="N100" s="44"/>
      <c r="O100" s="45"/>
      <c r="P100" s="45"/>
      <c r="Q100" s="45"/>
      <c r="R100" s="45"/>
    </row>
    <row r="101" spans="1:18" ht="20.100000000000001" customHeight="1" x14ac:dyDescent="0.3">
      <c r="A101" s="39"/>
      <c r="B101" s="27"/>
      <c r="C101" s="27"/>
      <c r="D101" s="27"/>
      <c r="E101" s="27"/>
      <c r="F101" s="27"/>
      <c r="G101" s="27"/>
      <c r="H101" s="27"/>
      <c r="I101" s="27"/>
      <c r="J101" s="40"/>
      <c r="K101" s="41"/>
      <c r="L101" s="42"/>
      <c r="M101" s="70"/>
      <c r="N101" s="44"/>
      <c r="O101" s="16"/>
      <c r="P101" s="16"/>
      <c r="Q101" s="16"/>
      <c r="R101" s="3"/>
    </row>
    <row r="102" spans="1:18" ht="20.100000000000001" customHeight="1" x14ac:dyDescent="0.3">
      <c r="A102" s="39"/>
      <c r="B102" s="27"/>
      <c r="C102" s="27"/>
      <c r="D102" s="27"/>
      <c r="E102" s="27"/>
      <c r="F102" s="27"/>
      <c r="G102" s="27"/>
      <c r="H102" s="27"/>
      <c r="I102" s="27"/>
      <c r="J102" s="40"/>
      <c r="K102" s="41"/>
      <c r="L102" s="42"/>
      <c r="M102" s="70"/>
      <c r="N102" s="44"/>
    </row>
    <row r="103" spans="1:18" ht="20.100000000000001" customHeight="1" x14ac:dyDescent="0.3">
      <c r="A103" s="39"/>
      <c r="B103" s="27"/>
      <c r="C103" s="27"/>
      <c r="D103" s="27"/>
      <c r="E103" s="27"/>
      <c r="F103" s="27"/>
      <c r="G103" s="27"/>
      <c r="H103" s="27"/>
      <c r="I103" s="27"/>
      <c r="J103" s="40"/>
      <c r="K103" s="41"/>
      <c r="L103" s="42"/>
      <c r="M103" s="70"/>
      <c r="N103" s="44"/>
    </row>
    <row r="104" spans="1:18" ht="20.100000000000001" customHeight="1" x14ac:dyDescent="0.3">
      <c r="A104" s="39"/>
      <c r="B104" s="27"/>
      <c r="C104" s="27"/>
      <c r="D104" s="27"/>
      <c r="E104" s="27"/>
      <c r="F104" s="27"/>
      <c r="G104" s="27"/>
      <c r="H104" s="27"/>
      <c r="I104" s="27"/>
      <c r="J104" s="40"/>
      <c r="K104" s="41"/>
      <c r="L104" s="42"/>
      <c r="M104" s="70"/>
      <c r="N104" s="44"/>
    </row>
    <row r="105" spans="1:18" ht="20.100000000000001" customHeight="1" x14ac:dyDescent="0.3">
      <c r="A105" s="39"/>
      <c r="B105" s="27"/>
      <c r="C105" s="27"/>
      <c r="D105" s="27"/>
      <c r="E105" s="27"/>
      <c r="F105" s="27"/>
      <c r="G105" s="27"/>
      <c r="H105" s="27"/>
      <c r="I105" s="27"/>
      <c r="J105" s="40"/>
      <c r="K105" s="41"/>
      <c r="L105" s="42"/>
      <c r="M105" s="70"/>
      <c r="N105" s="44"/>
      <c r="O105" s="45"/>
      <c r="P105" s="45"/>
      <c r="Q105" s="45"/>
      <c r="R105" s="45"/>
    </row>
    <row r="106" spans="1:18" ht="20.100000000000001" customHeight="1" x14ac:dyDescent="0.3">
      <c r="A106" s="39"/>
      <c r="B106" s="27"/>
      <c r="C106" s="27"/>
      <c r="D106" s="27"/>
      <c r="E106" s="27"/>
      <c r="F106" s="27"/>
      <c r="G106" s="27"/>
      <c r="H106" s="27"/>
      <c r="I106" s="27"/>
      <c r="J106" s="40"/>
      <c r="K106" s="41"/>
      <c r="L106" s="42"/>
      <c r="M106" s="70"/>
      <c r="N106" s="44"/>
      <c r="O106" s="45"/>
      <c r="P106" s="45"/>
      <c r="Q106" s="45"/>
      <c r="R106" s="45"/>
    </row>
    <row r="107" spans="1:18" ht="20.100000000000001" customHeight="1" x14ac:dyDescent="0.3">
      <c r="A107" s="39"/>
      <c r="B107" s="27"/>
      <c r="C107" s="27"/>
      <c r="D107" s="27"/>
      <c r="E107" s="27"/>
      <c r="F107" s="27"/>
      <c r="G107" s="27"/>
      <c r="H107" s="27"/>
      <c r="I107" s="27"/>
      <c r="J107" s="40"/>
      <c r="K107" s="41"/>
      <c r="L107" s="42"/>
      <c r="M107" s="70"/>
      <c r="N107" s="44"/>
      <c r="O107" s="47"/>
      <c r="P107" s="47"/>
      <c r="Q107" s="47"/>
      <c r="R107" s="47"/>
    </row>
    <row r="108" spans="1:18" ht="20.100000000000001" customHeight="1" x14ac:dyDescent="0.3">
      <c r="A108" s="39"/>
      <c r="B108" s="27"/>
      <c r="C108" s="27"/>
      <c r="D108" s="27"/>
      <c r="E108" s="27"/>
      <c r="F108" s="27"/>
      <c r="G108" s="27"/>
      <c r="H108" s="27"/>
      <c r="I108" s="27"/>
      <c r="J108" s="40"/>
      <c r="K108" s="41"/>
      <c r="L108" s="42"/>
      <c r="M108" s="70"/>
      <c r="N108" s="44"/>
      <c r="O108" s="47"/>
      <c r="P108" s="47"/>
      <c r="Q108" s="47"/>
      <c r="R108" s="47"/>
    </row>
    <row r="109" spans="1:18" ht="20.100000000000001" customHeight="1" x14ac:dyDescent="0.3">
      <c r="A109" s="39"/>
      <c r="B109" s="27"/>
      <c r="C109" s="27"/>
      <c r="D109" s="27"/>
      <c r="E109" s="27"/>
      <c r="F109" s="27"/>
      <c r="G109" s="27"/>
      <c r="H109" s="27"/>
      <c r="I109" s="27"/>
      <c r="J109" s="40"/>
      <c r="K109" s="41"/>
      <c r="L109" s="42"/>
      <c r="M109" s="70"/>
      <c r="N109" s="44"/>
    </row>
    <row r="110" spans="1:18" ht="20.100000000000001" customHeight="1" x14ac:dyDescent="0.3">
      <c r="A110" s="39"/>
      <c r="B110" s="27"/>
      <c r="C110" s="27"/>
      <c r="D110" s="27"/>
      <c r="E110" s="27"/>
      <c r="F110" s="27"/>
      <c r="G110" s="27"/>
      <c r="H110" s="27"/>
      <c r="I110" s="27"/>
      <c r="J110" s="40"/>
      <c r="K110" s="41"/>
      <c r="L110" s="42"/>
      <c r="M110" s="70"/>
      <c r="N110" s="44"/>
    </row>
    <row r="111" spans="1:18" ht="20.100000000000001" customHeight="1" x14ac:dyDescent="0.3">
      <c r="A111" s="39"/>
      <c r="B111" s="27"/>
      <c r="C111" s="27"/>
      <c r="D111" s="27"/>
      <c r="E111" s="27"/>
      <c r="F111" s="27"/>
      <c r="G111" s="27"/>
      <c r="H111" s="27"/>
      <c r="I111" s="27"/>
      <c r="J111" s="40"/>
      <c r="K111" s="41"/>
      <c r="L111" s="42"/>
      <c r="M111" s="70"/>
      <c r="N111" s="44"/>
      <c r="O111" s="45"/>
      <c r="P111" s="45"/>
      <c r="Q111" s="45"/>
      <c r="R111" s="45"/>
    </row>
    <row r="112" spans="1:18" ht="20.100000000000001" customHeight="1" x14ac:dyDescent="0.3">
      <c r="A112" s="39"/>
      <c r="B112" s="27"/>
      <c r="C112" s="27"/>
      <c r="D112" s="27"/>
      <c r="E112" s="27"/>
      <c r="F112" s="27"/>
      <c r="G112" s="27"/>
      <c r="H112" s="27"/>
      <c r="I112" s="27"/>
      <c r="J112" s="40"/>
      <c r="K112" s="41"/>
      <c r="L112" s="42"/>
      <c r="M112" s="70"/>
      <c r="N112" s="44"/>
    </row>
    <row r="113" spans="1:18" ht="20.100000000000001" customHeight="1" x14ac:dyDescent="0.3">
      <c r="A113" s="39"/>
      <c r="B113" s="27"/>
      <c r="C113" s="27"/>
      <c r="D113" s="27"/>
      <c r="E113" s="27"/>
      <c r="F113" s="27"/>
      <c r="G113" s="27"/>
      <c r="H113" s="27"/>
      <c r="I113" s="27"/>
      <c r="J113" s="40"/>
      <c r="K113" s="41"/>
      <c r="L113" s="42"/>
      <c r="M113" s="70"/>
      <c r="N113" s="44"/>
    </row>
    <row r="114" spans="1:18" ht="20.100000000000001" customHeight="1" x14ac:dyDescent="0.3">
      <c r="A114" s="39"/>
      <c r="B114" s="27"/>
      <c r="C114" s="27"/>
      <c r="D114" s="27"/>
      <c r="E114" s="27"/>
      <c r="F114" s="27"/>
      <c r="G114" s="27"/>
      <c r="H114" s="27"/>
      <c r="I114" s="27"/>
      <c r="J114" s="40"/>
      <c r="K114" s="41"/>
      <c r="L114" s="42"/>
      <c r="M114" s="70"/>
      <c r="N114" s="44"/>
    </row>
    <row r="115" spans="1:18" ht="20.100000000000001" customHeight="1" x14ac:dyDescent="0.3">
      <c r="A115" s="39"/>
      <c r="B115" s="27"/>
      <c r="C115" s="27"/>
      <c r="D115" s="27"/>
      <c r="E115" s="27"/>
      <c r="F115" s="27"/>
      <c r="G115" s="27"/>
      <c r="H115" s="27"/>
      <c r="I115" s="27"/>
      <c r="J115" s="40"/>
      <c r="K115" s="41"/>
      <c r="L115" s="42"/>
      <c r="M115" s="70"/>
      <c r="N115" s="44"/>
      <c r="O115" s="45"/>
      <c r="P115" s="45"/>
      <c r="Q115" s="45"/>
      <c r="R115" s="45"/>
    </row>
    <row r="116" spans="1:18" ht="20.100000000000001" customHeight="1" x14ac:dyDescent="0.3">
      <c r="A116" s="39"/>
      <c r="B116" s="27"/>
      <c r="C116" s="27"/>
      <c r="D116" s="27"/>
      <c r="E116" s="27"/>
      <c r="F116" s="27"/>
      <c r="G116" s="27"/>
      <c r="H116" s="27"/>
      <c r="I116" s="27"/>
      <c r="J116" s="40"/>
      <c r="K116" s="41"/>
      <c r="L116" s="42"/>
      <c r="M116" s="70"/>
      <c r="N116" s="44"/>
      <c r="O116" s="45"/>
      <c r="P116" s="45"/>
      <c r="Q116" s="45"/>
      <c r="R116" s="45"/>
    </row>
    <row r="117" spans="1:18" ht="20.100000000000001" customHeight="1" x14ac:dyDescent="0.3">
      <c r="A117" s="39"/>
      <c r="B117" s="27"/>
      <c r="C117" s="27"/>
      <c r="D117" s="27"/>
      <c r="E117" s="27"/>
      <c r="F117" s="27"/>
      <c r="G117" s="27"/>
      <c r="H117" s="27"/>
      <c r="I117" s="27"/>
      <c r="J117" s="40"/>
      <c r="K117" s="41"/>
      <c r="L117" s="42"/>
      <c r="M117" s="70"/>
      <c r="N117" s="44"/>
      <c r="O117" s="47"/>
      <c r="P117" s="47"/>
      <c r="Q117" s="47"/>
      <c r="R117" s="47"/>
    </row>
    <row r="118" spans="1:18" ht="20.100000000000001" customHeight="1" x14ac:dyDescent="0.3">
      <c r="A118" s="39"/>
      <c r="B118" s="27"/>
      <c r="C118" s="27"/>
      <c r="D118" s="27"/>
      <c r="E118" s="27"/>
      <c r="F118" s="27"/>
      <c r="G118" s="27"/>
      <c r="H118" s="27"/>
      <c r="I118" s="27"/>
      <c r="J118" s="40"/>
      <c r="K118" s="41"/>
      <c r="L118" s="42"/>
      <c r="M118" s="70"/>
      <c r="N118" s="44"/>
      <c r="O118" s="47"/>
      <c r="P118" s="47"/>
      <c r="Q118" s="47"/>
      <c r="R118" s="47"/>
    </row>
    <row r="119" spans="1:18" ht="20.100000000000001" customHeight="1" x14ac:dyDescent="0.3">
      <c r="A119" s="39"/>
      <c r="B119" s="27"/>
      <c r="C119" s="27"/>
      <c r="D119" s="27"/>
      <c r="E119" s="27"/>
      <c r="F119" s="27"/>
      <c r="G119" s="27"/>
      <c r="H119" s="27"/>
      <c r="I119" s="27"/>
      <c r="J119" s="40"/>
      <c r="K119" s="41"/>
      <c r="L119" s="42"/>
      <c r="M119" s="70"/>
      <c r="N119" s="44"/>
      <c r="O119" s="47"/>
      <c r="P119" s="47"/>
      <c r="Q119" s="47"/>
      <c r="R119" s="47"/>
    </row>
    <row r="120" spans="1:18" ht="20.100000000000001" customHeight="1" x14ac:dyDescent="0.3">
      <c r="A120" s="39"/>
      <c r="B120" s="27"/>
      <c r="C120" s="27"/>
      <c r="D120" s="27"/>
      <c r="E120" s="27"/>
      <c r="F120" s="27"/>
      <c r="G120" s="27"/>
      <c r="H120" s="27"/>
      <c r="I120" s="27"/>
      <c r="J120" s="40"/>
      <c r="K120" s="41"/>
      <c r="L120" s="42"/>
      <c r="M120" s="70"/>
      <c r="N120" s="44"/>
      <c r="O120" s="47"/>
      <c r="P120" s="47"/>
      <c r="Q120" s="47"/>
      <c r="R120" s="47"/>
    </row>
    <row r="121" spans="1:18" ht="20.100000000000001" customHeight="1" x14ac:dyDescent="0.3">
      <c r="A121" s="39"/>
      <c r="B121" s="27"/>
      <c r="C121" s="27"/>
      <c r="D121" s="27"/>
      <c r="E121" s="27"/>
      <c r="F121" s="27"/>
      <c r="G121" s="27"/>
      <c r="H121" s="27"/>
      <c r="I121" s="27"/>
      <c r="J121" s="40"/>
      <c r="K121" s="41"/>
      <c r="L121" s="42"/>
      <c r="M121" s="70"/>
      <c r="N121" s="44"/>
      <c r="O121" s="48"/>
      <c r="P121" s="48"/>
      <c r="Q121" s="48"/>
      <c r="R121" s="48"/>
    </row>
    <row r="122" spans="1:18" ht="20.100000000000001" customHeight="1" x14ac:dyDescent="0.3">
      <c r="A122" s="39"/>
      <c r="B122" s="27"/>
      <c r="C122" s="27"/>
      <c r="D122" s="27"/>
      <c r="E122" s="27"/>
      <c r="F122" s="27"/>
      <c r="G122" s="27"/>
      <c r="H122" s="27"/>
      <c r="I122" s="27"/>
      <c r="J122" s="40"/>
      <c r="K122" s="41"/>
      <c r="L122" s="42"/>
      <c r="M122" s="70"/>
      <c r="N122" s="44"/>
      <c r="O122" s="47"/>
      <c r="P122" s="47"/>
      <c r="Q122" s="47"/>
      <c r="R122" s="47"/>
    </row>
    <row r="123" spans="1:18" ht="20.100000000000001" customHeight="1" x14ac:dyDescent="0.3">
      <c r="A123" s="39"/>
      <c r="B123" s="27"/>
      <c r="C123" s="27"/>
      <c r="D123" s="27"/>
      <c r="E123" s="27"/>
      <c r="F123" s="27"/>
      <c r="G123" s="27"/>
      <c r="H123" s="27"/>
      <c r="I123" s="27"/>
      <c r="J123" s="40"/>
      <c r="K123" s="41"/>
      <c r="L123" s="42"/>
      <c r="M123" s="70"/>
      <c r="N123" s="44"/>
      <c r="O123" s="47"/>
      <c r="P123" s="47"/>
      <c r="Q123" s="47"/>
      <c r="R123" s="47"/>
    </row>
    <row r="124" spans="1:18" ht="20.100000000000001" customHeight="1" x14ac:dyDescent="0.3">
      <c r="A124" s="39"/>
      <c r="B124" s="27"/>
      <c r="C124" s="27"/>
      <c r="D124" s="27"/>
      <c r="E124" s="27"/>
      <c r="F124" s="27"/>
      <c r="G124" s="27"/>
      <c r="H124" s="27"/>
      <c r="I124" s="27"/>
      <c r="J124" s="40"/>
      <c r="K124" s="41"/>
      <c r="L124" s="42"/>
      <c r="M124" s="70"/>
      <c r="N124" s="44"/>
    </row>
    <row r="125" spans="1:18" ht="20.100000000000001" customHeight="1" x14ac:dyDescent="0.3">
      <c r="A125" s="39"/>
      <c r="B125" s="27"/>
      <c r="C125" s="27"/>
      <c r="D125" s="27"/>
      <c r="E125" s="27"/>
      <c r="F125" s="27"/>
      <c r="G125" s="27"/>
      <c r="H125" s="27"/>
      <c r="I125" s="27"/>
      <c r="J125" s="40"/>
      <c r="K125" s="41"/>
      <c r="L125" s="42"/>
      <c r="M125" s="70"/>
      <c r="N125" s="44"/>
      <c r="O125" s="45"/>
      <c r="P125" s="45"/>
      <c r="Q125" s="45"/>
      <c r="R125" s="45"/>
    </row>
    <row r="126" spans="1:18" ht="20.100000000000001" customHeight="1" x14ac:dyDescent="0.3">
      <c r="A126" s="39"/>
      <c r="B126" s="27"/>
      <c r="C126" s="27"/>
      <c r="D126" s="27"/>
      <c r="E126" s="27"/>
      <c r="F126" s="27"/>
      <c r="G126" s="27"/>
      <c r="H126" s="27"/>
      <c r="I126" s="27"/>
      <c r="J126" s="40"/>
      <c r="K126" s="41"/>
      <c r="L126" s="42"/>
      <c r="M126" s="70"/>
      <c r="N126" s="44"/>
    </row>
    <row r="127" spans="1:18" ht="20.100000000000001" customHeight="1" x14ac:dyDescent="0.3">
      <c r="A127" s="39"/>
      <c r="B127" s="27"/>
      <c r="C127" s="27"/>
      <c r="D127" s="27"/>
      <c r="E127" s="27"/>
      <c r="F127" s="27"/>
      <c r="G127" s="27"/>
      <c r="H127" s="27"/>
      <c r="I127" s="27"/>
      <c r="J127" s="40"/>
      <c r="K127" s="41"/>
      <c r="L127" s="42"/>
      <c r="M127" s="70"/>
      <c r="N127" s="44"/>
    </row>
    <row r="128" spans="1:18" ht="20.100000000000001" customHeight="1" x14ac:dyDescent="0.3">
      <c r="A128" s="39"/>
      <c r="B128" s="27"/>
      <c r="C128" s="27"/>
      <c r="D128" s="27"/>
      <c r="E128" s="27"/>
      <c r="F128" s="27"/>
      <c r="G128" s="27"/>
      <c r="H128" s="27"/>
      <c r="I128" s="27"/>
      <c r="J128" s="40"/>
      <c r="K128" s="41"/>
      <c r="L128" s="42"/>
      <c r="M128" s="70"/>
      <c r="N128" s="44"/>
      <c r="O128" s="45"/>
      <c r="P128" s="45"/>
      <c r="Q128" s="45"/>
      <c r="R128" s="45"/>
    </row>
    <row r="129" spans="1:18" ht="20.100000000000001" customHeight="1" x14ac:dyDescent="0.3">
      <c r="A129" s="39"/>
      <c r="B129" s="27"/>
      <c r="C129" s="27"/>
      <c r="D129" s="27"/>
      <c r="E129" s="27"/>
      <c r="F129" s="27"/>
      <c r="G129" s="27"/>
      <c r="H129" s="27"/>
      <c r="I129" s="27"/>
      <c r="J129" s="40"/>
      <c r="K129" s="41"/>
      <c r="L129" s="42"/>
      <c r="M129" s="70"/>
      <c r="N129" s="44"/>
      <c r="O129" s="45"/>
      <c r="P129" s="45"/>
      <c r="Q129" s="45"/>
      <c r="R129" s="45"/>
    </row>
    <row r="130" spans="1:18" ht="20.100000000000001" customHeight="1" x14ac:dyDescent="0.3">
      <c r="A130" s="39"/>
      <c r="B130" s="27"/>
      <c r="C130" s="27"/>
      <c r="D130" s="27"/>
      <c r="E130" s="27"/>
      <c r="F130" s="27"/>
      <c r="G130" s="27"/>
      <c r="H130" s="27"/>
      <c r="I130" s="27"/>
      <c r="J130" s="40"/>
      <c r="K130" s="41"/>
      <c r="L130" s="42"/>
      <c r="M130" s="70"/>
      <c r="N130" s="44"/>
    </row>
    <row r="131" spans="1:18" ht="20.100000000000001" customHeight="1" x14ac:dyDescent="0.3">
      <c r="A131" s="39"/>
      <c r="B131" s="27"/>
      <c r="C131" s="27"/>
      <c r="D131" s="27"/>
      <c r="E131" s="27"/>
      <c r="F131" s="27"/>
      <c r="G131" s="27"/>
      <c r="H131" s="27"/>
      <c r="I131" s="27"/>
      <c r="J131" s="40"/>
      <c r="K131" s="41"/>
      <c r="L131" s="42"/>
      <c r="M131" s="70"/>
      <c r="N131" s="44"/>
    </row>
    <row r="132" spans="1:18" ht="20.100000000000001" customHeight="1" x14ac:dyDescent="0.3">
      <c r="A132" s="39"/>
      <c r="B132" s="27"/>
      <c r="C132" s="27"/>
      <c r="D132" s="27"/>
      <c r="E132" s="27"/>
      <c r="F132" s="27"/>
      <c r="G132" s="27"/>
      <c r="H132" s="27"/>
      <c r="I132" s="27"/>
      <c r="J132" s="40"/>
      <c r="K132" s="41"/>
      <c r="L132" s="42"/>
      <c r="M132" s="70"/>
      <c r="N132" s="44"/>
    </row>
    <row r="133" spans="1:18" ht="20.100000000000001" customHeight="1" x14ac:dyDescent="0.3">
      <c r="A133" s="39"/>
      <c r="B133" s="27"/>
      <c r="C133" s="27"/>
      <c r="D133" s="27"/>
      <c r="E133" s="27"/>
      <c r="F133" s="27"/>
      <c r="G133" s="27"/>
      <c r="H133" s="27"/>
      <c r="I133" s="27"/>
      <c r="J133" s="40"/>
      <c r="K133" s="41"/>
      <c r="L133" s="42"/>
      <c r="M133" s="70"/>
      <c r="N133" s="44"/>
    </row>
    <row r="134" spans="1:18" ht="20.100000000000001" customHeight="1" x14ac:dyDescent="0.3">
      <c r="A134" s="39"/>
      <c r="B134" s="27"/>
      <c r="C134" s="27"/>
      <c r="D134" s="27"/>
      <c r="E134" s="27"/>
      <c r="F134" s="27"/>
      <c r="G134" s="27"/>
      <c r="H134" s="27"/>
      <c r="I134" s="27"/>
      <c r="J134" s="40"/>
      <c r="K134" s="41"/>
      <c r="L134" s="42"/>
      <c r="M134" s="70"/>
      <c r="N134" s="44"/>
    </row>
    <row r="135" spans="1:18" ht="20.100000000000001" customHeight="1" x14ac:dyDescent="0.3">
      <c r="A135" s="39"/>
      <c r="B135" s="27"/>
      <c r="C135" s="27"/>
      <c r="D135" s="27"/>
      <c r="E135" s="27"/>
      <c r="F135" s="27"/>
      <c r="G135" s="27"/>
      <c r="H135" s="27"/>
      <c r="I135" s="27"/>
      <c r="J135" s="40"/>
      <c r="K135" s="41"/>
      <c r="L135" s="42"/>
      <c r="M135" s="70"/>
      <c r="N135" s="44"/>
    </row>
    <row r="136" spans="1:18" ht="20.100000000000001" customHeight="1" x14ac:dyDescent="0.3">
      <c r="A136" s="39"/>
      <c r="B136" s="27"/>
      <c r="C136" s="27"/>
      <c r="D136" s="27"/>
      <c r="E136" s="27"/>
      <c r="F136" s="27"/>
      <c r="G136" s="27"/>
      <c r="H136" s="27"/>
      <c r="I136" s="27"/>
      <c r="J136" s="40"/>
      <c r="K136" s="41"/>
      <c r="L136" s="42"/>
      <c r="M136" s="70"/>
      <c r="N136" s="44"/>
    </row>
    <row r="137" spans="1:18" ht="20.100000000000001" customHeight="1" x14ac:dyDescent="0.3">
      <c r="A137" s="39"/>
      <c r="B137" s="27"/>
      <c r="C137" s="27"/>
      <c r="D137" s="27"/>
      <c r="E137" s="27"/>
      <c r="F137" s="27"/>
      <c r="G137" s="27"/>
      <c r="H137" s="27"/>
      <c r="I137" s="27"/>
      <c r="J137" s="40"/>
      <c r="K137" s="41"/>
      <c r="L137" s="42"/>
      <c r="M137" s="70"/>
      <c r="N137" s="44"/>
    </row>
    <row r="138" spans="1:18" ht="20.100000000000001" customHeight="1" x14ac:dyDescent="0.3">
      <c r="A138" s="39"/>
      <c r="B138" s="27"/>
      <c r="C138" s="27"/>
      <c r="D138" s="27"/>
      <c r="E138" s="27"/>
      <c r="F138" s="27"/>
      <c r="G138" s="27"/>
      <c r="H138" s="27"/>
      <c r="I138" s="27"/>
      <c r="J138" s="40"/>
      <c r="K138" s="41"/>
      <c r="L138" s="42"/>
      <c r="M138" s="70"/>
      <c r="N138" s="44"/>
    </row>
    <row r="139" spans="1:18" ht="20.100000000000001" customHeight="1" x14ac:dyDescent="0.3">
      <c r="A139" s="39"/>
      <c r="B139" s="27"/>
      <c r="C139" s="27"/>
      <c r="D139" s="27"/>
      <c r="E139" s="27"/>
      <c r="F139" s="27"/>
      <c r="G139" s="27"/>
      <c r="H139" s="27"/>
      <c r="I139" s="27"/>
      <c r="J139" s="40"/>
      <c r="K139" s="41"/>
      <c r="L139" s="42"/>
      <c r="M139" s="70"/>
      <c r="N139" s="44"/>
    </row>
    <row r="140" spans="1:18" ht="20.100000000000001" customHeight="1" x14ac:dyDescent="0.3">
      <c r="A140" s="39"/>
      <c r="B140" s="27"/>
      <c r="C140" s="27"/>
      <c r="D140" s="27"/>
      <c r="E140" s="27"/>
      <c r="F140" s="27"/>
      <c r="G140" s="27"/>
      <c r="H140" s="27"/>
      <c r="I140" s="27"/>
      <c r="J140" s="40"/>
      <c r="K140" s="41"/>
      <c r="L140" s="42"/>
      <c r="M140" s="70"/>
      <c r="N140" s="44"/>
    </row>
    <row r="141" spans="1:18" ht="20.100000000000001" customHeight="1" x14ac:dyDescent="0.3">
      <c r="A141" s="39"/>
      <c r="B141" s="27"/>
      <c r="C141" s="27"/>
      <c r="D141" s="27"/>
      <c r="E141" s="27"/>
      <c r="F141" s="27"/>
      <c r="G141" s="27"/>
      <c r="H141" s="27"/>
      <c r="I141" s="27"/>
      <c r="J141" s="40"/>
      <c r="K141" s="41"/>
      <c r="L141" s="42"/>
      <c r="M141" s="70"/>
      <c r="N141" s="44"/>
    </row>
    <row r="142" spans="1:18" ht="20.100000000000001" customHeight="1" x14ac:dyDescent="0.3">
      <c r="A142" s="39"/>
      <c r="B142" s="27"/>
      <c r="C142" s="27"/>
      <c r="D142" s="27"/>
      <c r="E142" s="27"/>
      <c r="F142" s="27"/>
      <c r="G142" s="27"/>
      <c r="H142" s="27"/>
      <c r="I142" s="27"/>
      <c r="J142" s="40"/>
      <c r="K142" s="41"/>
      <c r="L142" s="42"/>
      <c r="M142" s="70"/>
      <c r="N142" s="44"/>
    </row>
    <row r="143" spans="1:18" ht="20.100000000000001" customHeight="1" x14ac:dyDescent="0.3">
      <c r="A143" s="39"/>
      <c r="B143" s="27"/>
      <c r="C143" s="27"/>
      <c r="D143" s="27"/>
      <c r="E143" s="27"/>
      <c r="F143" s="27"/>
      <c r="G143" s="27"/>
      <c r="H143" s="27"/>
      <c r="I143" s="27"/>
      <c r="J143" s="40"/>
      <c r="K143" s="41"/>
      <c r="L143" s="42"/>
      <c r="M143" s="70"/>
      <c r="N143" s="44"/>
    </row>
    <row r="144" spans="1:18" ht="20.100000000000001" customHeight="1" x14ac:dyDescent="0.3">
      <c r="A144" s="39"/>
      <c r="B144" s="27"/>
      <c r="C144" s="27"/>
      <c r="D144" s="27"/>
      <c r="E144" s="27"/>
      <c r="F144" s="27"/>
      <c r="G144" s="27"/>
      <c r="H144" s="27"/>
      <c r="I144" s="27"/>
      <c r="J144" s="40"/>
      <c r="K144" s="41"/>
      <c r="L144" s="42"/>
      <c r="M144" s="70"/>
      <c r="N144" s="44"/>
    </row>
    <row r="145" spans="1:14" ht="20.100000000000001" customHeight="1" x14ac:dyDescent="0.3">
      <c r="A145" s="26"/>
      <c r="B145" s="27"/>
      <c r="C145" s="27"/>
      <c r="D145" s="27"/>
      <c r="E145" s="27"/>
      <c r="F145" s="27"/>
      <c r="G145" s="27"/>
      <c r="H145" s="27"/>
      <c r="I145" s="27"/>
      <c r="J145" s="29"/>
      <c r="K145" s="41"/>
      <c r="L145" s="46"/>
      <c r="M145" s="76"/>
      <c r="N145" s="47"/>
    </row>
    <row r="146" spans="1:14" ht="20.100000000000001" customHeight="1" x14ac:dyDescent="0.3">
      <c r="A146" s="26"/>
      <c r="B146" s="27"/>
      <c r="C146" s="27"/>
      <c r="D146" s="27"/>
      <c r="E146" s="27"/>
      <c r="F146" s="27"/>
      <c r="G146" s="27"/>
      <c r="H146" s="27"/>
      <c r="I146" s="27"/>
      <c r="J146" s="29"/>
      <c r="K146" s="41"/>
      <c r="L146" s="46"/>
      <c r="M146" s="76"/>
      <c r="N146" s="47"/>
    </row>
    <row r="147" spans="1:14" ht="20.100000000000001" customHeight="1" x14ac:dyDescent="0.3">
      <c r="A147" s="26"/>
      <c r="B147" s="27"/>
      <c r="C147" s="27"/>
      <c r="D147" s="27"/>
      <c r="E147" s="27"/>
      <c r="F147" s="27"/>
      <c r="G147" s="27"/>
      <c r="H147" s="27"/>
      <c r="I147" s="27"/>
      <c r="J147" s="29"/>
      <c r="K147" s="41"/>
      <c r="L147" s="46"/>
    </row>
    <row r="148" spans="1:14" ht="20.100000000000001" customHeight="1" x14ac:dyDescent="0.3">
      <c r="A148" s="26"/>
      <c r="B148" s="27"/>
      <c r="C148" s="27"/>
      <c r="D148" s="49"/>
      <c r="E148" s="27"/>
      <c r="F148" s="27"/>
      <c r="G148" s="50"/>
      <c r="H148" s="50"/>
      <c r="I148" s="50"/>
      <c r="J148" s="51"/>
      <c r="K148" s="41"/>
      <c r="L148" s="46"/>
    </row>
    <row r="149" spans="1:14" ht="20.100000000000001" customHeight="1" x14ac:dyDescent="0.3">
      <c r="A149" s="26"/>
      <c r="B149" s="27"/>
      <c r="C149" s="27"/>
      <c r="D149" s="27"/>
      <c r="E149" s="27"/>
      <c r="F149" s="27"/>
      <c r="G149" s="27"/>
      <c r="H149" s="27"/>
      <c r="I149" s="27"/>
      <c r="J149" s="29"/>
      <c r="K149" s="41"/>
      <c r="L149" s="46"/>
    </row>
    <row r="150" spans="1:14" ht="20.100000000000001" customHeight="1" x14ac:dyDescent="0.3">
      <c r="A150" s="26"/>
      <c r="B150" s="27"/>
      <c r="C150" s="27"/>
      <c r="D150" s="27"/>
      <c r="E150" s="27"/>
      <c r="F150" s="27"/>
      <c r="G150" s="27"/>
      <c r="H150" s="27"/>
      <c r="I150" s="27"/>
      <c r="J150" s="29"/>
      <c r="K150" s="41"/>
      <c r="L150" s="46"/>
    </row>
    <row r="151" spans="1:14" ht="20.100000000000001" customHeight="1" x14ac:dyDescent="0.3">
      <c r="A151" s="26"/>
      <c r="B151" s="27"/>
      <c r="C151" s="27"/>
      <c r="D151" s="27"/>
      <c r="E151" s="27"/>
      <c r="F151" s="27"/>
      <c r="G151" s="27"/>
      <c r="H151" s="27"/>
      <c r="I151" s="27"/>
      <c r="J151" s="29"/>
      <c r="K151" s="41"/>
      <c r="L151" s="46"/>
    </row>
    <row r="152" spans="1:14" ht="20.100000000000001" customHeight="1" x14ac:dyDescent="0.3">
      <c r="A152" s="26"/>
      <c r="B152" s="27"/>
      <c r="C152" s="27"/>
      <c r="D152" s="27"/>
      <c r="E152" s="27"/>
      <c r="F152" s="27"/>
      <c r="G152" s="27"/>
      <c r="H152" s="27"/>
      <c r="I152" s="27"/>
      <c r="J152" s="29"/>
      <c r="K152" s="41"/>
      <c r="L152" s="46"/>
    </row>
    <row r="153" spans="1:14" ht="20.100000000000001" customHeight="1" x14ac:dyDescent="0.3">
      <c r="A153" s="26"/>
      <c r="B153" s="27"/>
      <c r="C153" s="27"/>
      <c r="D153" s="27"/>
      <c r="E153" s="27"/>
      <c r="F153" s="27"/>
      <c r="G153" s="27"/>
      <c r="H153" s="27"/>
      <c r="I153" s="27"/>
      <c r="J153" s="29"/>
      <c r="K153" s="41"/>
      <c r="L153" s="46"/>
    </row>
    <row r="154" spans="1:14" ht="20.100000000000001" customHeight="1" x14ac:dyDescent="0.3">
      <c r="A154" s="26"/>
      <c r="B154" s="27"/>
      <c r="C154" s="27"/>
      <c r="D154" s="27"/>
      <c r="E154" s="27"/>
      <c r="F154" s="27"/>
      <c r="G154" s="27"/>
      <c r="H154" s="27"/>
      <c r="I154" s="27"/>
      <c r="J154" s="29"/>
      <c r="K154" s="41"/>
      <c r="L154" s="46"/>
    </row>
  </sheetData>
  <mergeCells count="1">
    <mergeCell ref="A1:L3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zoomScale="85" zoomScaleNormal="85" workbookViewId="0">
      <pane ySplit="4" topLeftCell="A5" activePane="bottomLeft" state="frozen"/>
      <selection activeCell="B10" sqref="B10:L10"/>
      <selection pane="bottomLeft" activeCell="T9" sqref="T9"/>
    </sheetView>
  </sheetViews>
  <sheetFormatPr defaultColWidth="9" defaultRowHeight="20.100000000000001" customHeight="1" x14ac:dyDescent="0.3"/>
  <cols>
    <col min="1" max="1" width="12.875" bestFit="1" customWidth="1"/>
    <col min="2" max="6" width="8.625" customWidth="1"/>
    <col min="7" max="7" width="12.625" customWidth="1"/>
    <col min="8" max="8" width="16.25" bestFit="1" customWidth="1"/>
    <col min="9" max="9" width="8.25" customWidth="1"/>
    <col min="10" max="10" width="14.25" style="84" customWidth="1"/>
    <col min="11" max="11" width="10" bestFit="1" customWidth="1"/>
    <col min="12" max="12" width="10.625" bestFit="1" customWidth="1"/>
    <col min="13" max="13" width="8.75" bestFit="1" customWidth="1"/>
    <col min="14" max="15" width="11.625" customWidth="1"/>
    <col min="16" max="16" width="1.625" customWidth="1"/>
    <col min="17" max="18" width="11.625" customWidth="1"/>
  </cols>
  <sheetData>
    <row r="1" spans="1:19" ht="20.100000000000001" customHeight="1" x14ac:dyDescent="0.3">
      <c r="A1" s="125" t="s">
        <v>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20" t="s">
        <v>0</v>
      </c>
      <c r="N1" s="10">
        <f>SUM(K3:K9971)</f>
        <v>11131800</v>
      </c>
      <c r="O1" s="11"/>
      <c r="P1" s="20" t="s">
        <v>1</v>
      </c>
      <c r="Q1" s="10">
        <f>SUM(L3:L9971)</f>
        <v>12466800</v>
      </c>
    </row>
    <row r="2" spans="1:19" ht="20.100000000000001" customHeight="1" x14ac:dyDescent="0.3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</row>
    <row r="3" spans="1:19" ht="20.100000000000001" customHeight="1" x14ac:dyDescent="0.3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38"/>
      <c r="S3" s="21"/>
    </row>
    <row r="4" spans="1:19" ht="20.100000000000001" customHeight="1" x14ac:dyDescent="0.3">
      <c r="A4" s="22" t="s">
        <v>8</v>
      </c>
      <c r="B4" s="22" t="s">
        <v>9</v>
      </c>
      <c r="C4" s="22" t="s">
        <v>10</v>
      </c>
      <c r="D4" s="22" t="s">
        <v>11</v>
      </c>
      <c r="E4" s="22" t="s">
        <v>12</v>
      </c>
      <c r="F4" s="22" t="s">
        <v>13</v>
      </c>
      <c r="G4" s="22" t="s">
        <v>39</v>
      </c>
      <c r="H4" s="22" t="s">
        <v>15</v>
      </c>
      <c r="I4" s="22" t="s">
        <v>16</v>
      </c>
      <c r="J4" s="78" t="s">
        <v>17</v>
      </c>
      <c r="K4" s="22" t="s">
        <v>0</v>
      </c>
      <c r="L4" s="22" t="s">
        <v>1</v>
      </c>
      <c r="M4" s="22" t="s">
        <v>25</v>
      </c>
      <c r="N4" s="86" t="s">
        <v>203</v>
      </c>
      <c r="O4" s="25"/>
      <c r="P4" s="25"/>
      <c r="Q4" s="25"/>
      <c r="R4" s="25"/>
      <c r="S4" s="24"/>
    </row>
    <row r="5" spans="1:19" ht="20.100000000000001" customHeight="1" x14ac:dyDescent="0.3">
      <c r="A5" s="39" t="s">
        <v>194</v>
      </c>
      <c r="B5" s="27" t="s">
        <v>195</v>
      </c>
      <c r="C5" s="27" t="s">
        <v>196</v>
      </c>
      <c r="D5" s="27" t="s">
        <v>133</v>
      </c>
      <c r="E5" s="27"/>
      <c r="F5" s="27" t="s">
        <v>197</v>
      </c>
      <c r="G5" s="27"/>
      <c r="H5" s="37"/>
      <c r="I5" s="37" t="s">
        <v>204</v>
      </c>
      <c r="J5" s="79">
        <v>1002463579165</v>
      </c>
      <c r="K5" s="33">
        <v>1565500</v>
      </c>
      <c r="L5" s="46">
        <v>1730500</v>
      </c>
      <c r="M5" s="85">
        <f>L5-K5</f>
        <v>165000</v>
      </c>
      <c r="N5" s="92" t="s">
        <v>270</v>
      </c>
      <c r="O5" s="34"/>
      <c r="P5" s="34"/>
      <c r="Q5" s="34"/>
      <c r="R5" s="34"/>
      <c r="S5" s="34"/>
    </row>
    <row r="6" spans="1:19" ht="20.100000000000001" customHeight="1" x14ac:dyDescent="0.3">
      <c r="A6" s="39" t="s">
        <v>194</v>
      </c>
      <c r="B6" s="27" t="s">
        <v>195</v>
      </c>
      <c r="C6" s="27" t="s">
        <v>196</v>
      </c>
      <c r="D6" s="27" t="s">
        <v>133</v>
      </c>
      <c r="E6" s="27"/>
      <c r="F6" s="27" t="s">
        <v>198</v>
      </c>
      <c r="G6" s="27"/>
      <c r="H6" s="37"/>
      <c r="I6" s="37" t="s">
        <v>205</v>
      </c>
      <c r="J6" s="79">
        <v>100067464939</v>
      </c>
      <c r="K6" s="33">
        <v>1704200</v>
      </c>
      <c r="L6" s="41">
        <v>1884200</v>
      </c>
      <c r="M6" s="85">
        <f t="shared" ref="M6:M15" si="0">L6-K6</f>
        <v>180000</v>
      </c>
      <c r="N6" s="92" t="s">
        <v>270</v>
      </c>
      <c r="O6" s="34"/>
      <c r="P6" s="34"/>
      <c r="Q6" s="34"/>
      <c r="R6" s="34"/>
      <c r="S6" s="34"/>
    </row>
    <row r="7" spans="1:19" ht="20.100000000000001" customHeight="1" x14ac:dyDescent="0.3">
      <c r="A7" s="39" t="s">
        <v>194</v>
      </c>
      <c r="B7" s="27" t="s">
        <v>195</v>
      </c>
      <c r="C7" s="27" t="s">
        <v>196</v>
      </c>
      <c r="D7" s="27" t="s">
        <v>133</v>
      </c>
      <c r="E7" s="27"/>
      <c r="F7" s="27" t="s">
        <v>199</v>
      </c>
      <c r="G7" s="27"/>
      <c r="H7" s="37"/>
      <c r="I7" s="37" t="s">
        <v>205</v>
      </c>
      <c r="J7" s="79">
        <v>100202869707</v>
      </c>
      <c r="K7" s="33">
        <v>991000</v>
      </c>
      <c r="L7" s="41">
        <v>1096000</v>
      </c>
      <c r="M7" s="85">
        <f t="shared" si="0"/>
        <v>105000</v>
      </c>
      <c r="N7" s="92" t="s">
        <v>270</v>
      </c>
      <c r="O7" s="34"/>
      <c r="P7" s="34"/>
      <c r="Q7" s="34"/>
      <c r="R7" s="34"/>
      <c r="S7" s="34"/>
    </row>
    <row r="8" spans="1:19" ht="20.100000000000001" customHeight="1" x14ac:dyDescent="0.3">
      <c r="A8" s="39" t="s">
        <v>194</v>
      </c>
      <c r="B8" s="27" t="s">
        <v>195</v>
      </c>
      <c r="C8" s="27" t="s">
        <v>196</v>
      </c>
      <c r="D8" s="27" t="s">
        <v>133</v>
      </c>
      <c r="E8" s="27"/>
      <c r="F8" s="27" t="s">
        <v>200</v>
      </c>
      <c r="G8" s="27"/>
      <c r="H8" s="37"/>
      <c r="I8" s="37" t="s">
        <v>205</v>
      </c>
      <c r="J8" s="79">
        <v>100125746909</v>
      </c>
      <c r="K8" s="33">
        <v>1433100</v>
      </c>
      <c r="L8" s="41">
        <v>1598100</v>
      </c>
      <c r="M8" s="85">
        <f t="shared" si="0"/>
        <v>165000</v>
      </c>
      <c r="N8" s="92" t="s">
        <v>270</v>
      </c>
      <c r="O8" s="34"/>
      <c r="P8" s="34"/>
      <c r="Q8" s="91"/>
      <c r="R8" s="34"/>
      <c r="S8" s="34"/>
    </row>
    <row r="9" spans="1:19" ht="20.100000000000001" customHeight="1" x14ac:dyDescent="0.3">
      <c r="A9" s="39" t="s">
        <v>194</v>
      </c>
      <c r="B9" s="27" t="s">
        <v>195</v>
      </c>
      <c r="C9" s="27" t="s">
        <v>196</v>
      </c>
      <c r="D9" s="27" t="s">
        <v>133</v>
      </c>
      <c r="E9" s="27"/>
      <c r="F9" s="27" t="s">
        <v>201</v>
      </c>
      <c r="G9" s="27"/>
      <c r="H9" s="37"/>
      <c r="I9" s="37" t="s">
        <v>206</v>
      </c>
      <c r="J9" s="87" t="s">
        <v>208</v>
      </c>
      <c r="K9" s="33">
        <v>1038000</v>
      </c>
      <c r="L9" s="41">
        <v>1158000</v>
      </c>
      <c r="M9" s="85">
        <f t="shared" si="0"/>
        <v>120000</v>
      </c>
      <c r="N9" s="92" t="s">
        <v>270</v>
      </c>
    </row>
    <row r="10" spans="1:19" ht="20.100000000000001" customHeight="1" x14ac:dyDescent="0.3">
      <c r="A10" s="39" t="s">
        <v>194</v>
      </c>
      <c r="B10" s="27" t="s">
        <v>195</v>
      </c>
      <c r="C10" s="27" t="s">
        <v>196</v>
      </c>
      <c r="D10" s="27" t="s">
        <v>133</v>
      </c>
      <c r="E10" s="50"/>
      <c r="F10" s="50" t="s">
        <v>202</v>
      </c>
      <c r="G10" s="50"/>
      <c r="H10" s="37"/>
      <c r="I10" s="37" t="s">
        <v>207</v>
      </c>
      <c r="J10" s="79">
        <v>8010457913439</v>
      </c>
      <c r="K10" s="52">
        <v>770000</v>
      </c>
      <c r="L10" s="46">
        <v>875000</v>
      </c>
      <c r="M10" s="85">
        <f t="shared" si="0"/>
        <v>105000</v>
      </c>
      <c r="N10" s="92" t="s">
        <v>270</v>
      </c>
    </row>
    <row r="11" spans="1:19" ht="20.100000000000001" customHeight="1" x14ac:dyDescent="0.3">
      <c r="A11" s="39" t="s">
        <v>194</v>
      </c>
      <c r="B11" s="27" t="s">
        <v>195</v>
      </c>
      <c r="C11" s="27" t="s">
        <v>196</v>
      </c>
      <c r="D11" s="27" t="s">
        <v>209</v>
      </c>
      <c r="E11" s="54"/>
      <c r="F11" s="88" t="s">
        <v>211</v>
      </c>
      <c r="G11" s="55"/>
      <c r="H11" s="55"/>
      <c r="I11" s="55" t="s">
        <v>204</v>
      </c>
      <c r="J11" s="80">
        <v>1002466281395</v>
      </c>
      <c r="K11" s="56">
        <v>1210000</v>
      </c>
      <c r="L11" s="46">
        <v>1375000</v>
      </c>
      <c r="M11" s="46">
        <f t="shared" si="0"/>
        <v>165000</v>
      </c>
      <c r="N11" s="92" t="s">
        <v>270</v>
      </c>
    </row>
    <row r="12" spans="1:19" ht="20.100000000000001" customHeight="1" x14ac:dyDescent="0.3">
      <c r="A12" s="39" t="s">
        <v>194</v>
      </c>
      <c r="B12" s="27" t="s">
        <v>195</v>
      </c>
      <c r="C12" s="27" t="s">
        <v>196</v>
      </c>
      <c r="D12" s="27" t="s">
        <v>209</v>
      </c>
      <c r="E12" s="27"/>
      <c r="F12" s="28" t="s">
        <v>212</v>
      </c>
      <c r="G12" s="27"/>
      <c r="H12" s="37"/>
      <c r="I12" s="37" t="s">
        <v>206</v>
      </c>
      <c r="J12" s="79">
        <v>22930104344308</v>
      </c>
      <c r="K12" s="33">
        <v>1100000</v>
      </c>
      <c r="L12" s="41">
        <v>1250000</v>
      </c>
      <c r="M12" s="46">
        <f t="shared" si="0"/>
        <v>150000</v>
      </c>
      <c r="N12" s="92" t="s">
        <v>270</v>
      </c>
    </row>
    <row r="13" spans="1:19" ht="20.100000000000001" customHeight="1" x14ac:dyDescent="0.3">
      <c r="A13" s="39" t="s">
        <v>194</v>
      </c>
      <c r="B13" s="27" t="s">
        <v>195</v>
      </c>
      <c r="C13" s="27" t="s">
        <v>196</v>
      </c>
      <c r="D13" s="27" t="s">
        <v>209</v>
      </c>
      <c r="E13" s="27"/>
      <c r="F13" s="28" t="s">
        <v>213</v>
      </c>
      <c r="G13" s="27"/>
      <c r="H13" s="37"/>
      <c r="I13" s="37" t="s">
        <v>215</v>
      </c>
      <c r="J13" s="79">
        <v>9201032310249</v>
      </c>
      <c r="K13" s="33">
        <v>990000</v>
      </c>
      <c r="L13" s="46">
        <v>1125000</v>
      </c>
      <c r="M13" s="46">
        <f t="shared" si="0"/>
        <v>135000</v>
      </c>
      <c r="N13" s="92" t="s">
        <v>270</v>
      </c>
    </row>
    <row r="14" spans="1:19" ht="20.100000000000001" customHeight="1" x14ac:dyDescent="0.3">
      <c r="A14" s="39" t="s">
        <v>194</v>
      </c>
      <c r="B14" s="27" t="s">
        <v>195</v>
      </c>
      <c r="C14" s="27" t="s">
        <v>196</v>
      </c>
      <c r="D14" s="27" t="s">
        <v>209</v>
      </c>
      <c r="E14" s="27"/>
      <c r="F14" s="28" t="s">
        <v>214</v>
      </c>
      <c r="G14" s="27"/>
      <c r="H14" s="37"/>
      <c r="I14" s="37" t="s">
        <v>215</v>
      </c>
      <c r="J14" s="79">
        <v>9100052891829</v>
      </c>
      <c r="K14" s="33">
        <v>220000</v>
      </c>
      <c r="L14" s="46">
        <v>250000</v>
      </c>
      <c r="M14" s="46">
        <f t="shared" si="0"/>
        <v>30000</v>
      </c>
      <c r="N14" s="92" t="s">
        <v>270</v>
      </c>
    </row>
    <row r="15" spans="1:19" ht="19.149999999999999" customHeight="1" x14ac:dyDescent="0.3">
      <c r="A15" s="39" t="s">
        <v>194</v>
      </c>
      <c r="B15" s="27" t="s">
        <v>195</v>
      </c>
      <c r="C15" s="27" t="s">
        <v>196</v>
      </c>
      <c r="D15" s="27" t="s">
        <v>209</v>
      </c>
      <c r="E15" s="27"/>
      <c r="F15" s="28" t="s">
        <v>210</v>
      </c>
      <c r="G15" s="27"/>
      <c r="H15" s="37"/>
      <c r="I15" s="37" t="s">
        <v>206</v>
      </c>
      <c r="J15" s="79">
        <v>22930104344308</v>
      </c>
      <c r="K15" s="33">
        <v>110000</v>
      </c>
      <c r="L15" s="46">
        <v>125000</v>
      </c>
      <c r="M15" s="46">
        <f t="shared" si="0"/>
        <v>15000</v>
      </c>
      <c r="N15" s="92" t="s">
        <v>270</v>
      </c>
    </row>
    <row r="16" spans="1:19" ht="20.100000000000001" customHeight="1" x14ac:dyDescent="0.3">
      <c r="A16" s="26"/>
      <c r="B16" s="27"/>
      <c r="C16" s="27"/>
      <c r="D16" s="27"/>
      <c r="E16" s="27"/>
      <c r="F16" s="27"/>
      <c r="G16" s="27"/>
      <c r="H16" s="37"/>
      <c r="I16" s="37"/>
      <c r="J16" s="79"/>
      <c r="K16" s="33"/>
      <c r="L16" s="46"/>
      <c r="M16" s="46"/>
    </row>
    <row r="17" spans="1:13" ht="20.100000000000001" customHeight="1" x14ac:dyDescent="0.3">
      <c r="A17" s="26"/>
      <c r="B17" s="27"/>
      <c r="C17" s="27"/>
      <c r="D17" s="27"/>
      <c r="E17" s="27"/>
      <c r="F17" s="27"/>
      <c r="G17" s="27"/>
      <c r="H17" s="37"/>
      <c r="I17" s="37"/>
      <c r="J17" s="79"/>
      <c r="K17" s="33"/>
      <c r="L17" s="46"/>
      <c r="M17" s="46"/>
    </row>
    <row r="18" spans="1:13" ht="20.100000000000001" customHeight="1" x14ac:dyDescent="0.3">
      <c r="A18" s="26"/>
      <c r="B18" s="27"/>
      <c r="C18" s="27"/>
      <c r="D18" s="27"/>
      <c r="E18" s="27"/>
      <c r="F18" s="27"/>
      <c r="G18" s="27"/>
      <c r="H18" s="37"/>
      <c r="I18" s="37"/>
      <c r="J18" s="79"/>
      <c r="K18" s="33"/>
      <c r="L18" s="46"/>
      <c r="M18" s="46"/>
    </row>
    <row r="19" spans="1:13" ht="20.100000000000001" customHeight="1" x14ac:dyDescent="0.3">
      <c r="A19" s="26"/>
      <c r="B19" s="27"/>
      <c r="C19" s="27"/>
      <c r="D19" s="27"/>
      <c r="E19" s="27"/>
      <c r="F19" s="27"/>
      <c r="G19" s="27"/>
      <c r="H19" s="37"/>
      <c r="I19" s="37"/>
      <c r="J19" s="79"/>
      <c r="K19" s="33"/>
      <c r="L19" s="46"/>
      <c r="M19" s="46"/>
    </row>
    <row r="20" spans="1:13" ht="20.100000000000001" customHeight="1" x14ac:dyDescent="0.3">
      <c r="A20" s="26"/>
      <c r="B20" s="27"/>
      <c r="C20" s="27"/>
      <c r="D20" s="27"/>
      <c r="E20" s="27"/>
      <c r="F20" s="27"/>
      <c r="G20" s="27"/>
      <c r="H20" s="37"/>
      <c r="I20" s="37"/>
      <c r="J20" s="79"/>
      <c r="K20" s="33"/>
      <c r="L20" s="46"/>
      <c r="M20" s="46"/>
    </row>
    <row r="21" spans="1:13" ht="20.100000000000001" customHeight="1" x14ac:dyDescent="0.3">
      <c r="A21" s="26"/>
      <c r="B21" s="27"/>
      <c r="C21" s="27"/>
      <c r="D21" s="27"/>
      <c r="E21" s="27"/>
      <c r="F21" s="27"/>
      <c r="G21" s="27"/>
      <c r="H21" s="37"/>
      <c r="I21" s="37"/>
      <c r="J21" s="79"/>
      <c r="K21" s="33"/>
      <c r="L21" s="46"/>
      <c r="M21" s="46"/>
    </row>
    <row r="22" spans="1:13" ht="20.100000000000001" customHeight="1" x14ac:dyDescent="0.3">
      <c r="A22" s="26"/>
      <c r="B22" s="27"/>
      <c r="C22" s="27"/>
      <c r="D22" s="27"/>
      <c r="E22" s="27"/>
      <c r="F22" s="27"/>
      <c r="G22" s="27"/>
      <c r="H22" s="37"/>
      <c r="I22" s="37"/>
      <c r="J22" s="79"/>
      <c r="K22" s="33"/>
      <c r="L22" s="46"/>
      <c r="M22" s="46"/>
    </row>
    <row r="23" spans="1:13" ht="20.100000000000001" customHeight="1" x14ac:dyDescent="0.3">
      <c r="A23" s="26"/>
      <c r="B23" s="27"/>
      <c r="C23" s="27"/>
      <c r="D23" s="27"/>
      <c r="E23" s="27"/>
      <c r="F23" s="27"/>
      <c r="G23" s="27"/>
      <c r="H23" s="37"/>
      <c r="I23" s="37"/>
      <c r="J23" s="79"/>
      <c r="K23" s="33"/>
      <c r="L23" s="46"/>
      <c r="M23" s="46"/>
    </row>
    <row r="24" spans="1:13" ht="20.100000000000001" customHeight="1" x14ac:dyDescent="0.3">
      <c r="A24" s="26"/>
      <c r="B24" s="27"/>
      <c r="C24" s="27"/>
      <c r="D24" s="27"/>
      <c r="E24" s="27"/>
      <c r="F24" s="27"/>
      <c r="G24" s="27"/>
      <c r="H24" s="37"/>
      <c r="I24" s="37"/>
      <c r="J24" s="79"/>
      <c r="K24" s="33"/>
      <c r="L24" s="46"/>
      <c r="M24" s="46"/>
    </row>
    <row r="25" spans="1:13" ht="20.100000000000001" customHeight="1" x14ac:dyDescent="0.3">
      <c r="A25" s="26"/>
      <c r="B25" s="27"/>
      <c r="C25" s="27"/>
      <c r="D25" s="27"/>
      <c r="E25" s="27"/>
      <c r="F25" s="27"/>
      <c r="G25" s="27"/>
      <c r="H25" s="27"/>
      <c r="I25" s="27"/>
      <c r="J25" s="81"/>
      <c r="K25" s="41"/>
      <c r="L25" s="46"/>
      <c r="M25" s="46"/>
    </row>
    <row r="26" spans="1:13" ht="20.100000000000001" customHeight="1" x14ac:dyDescent="0.3">
      <c r="A26" s="53"/>
      <c r="B26" s="54"/>
      <c r="C26" s="54"/>
      <c r="D26" s="54"/>
      <c r="E26" s="54"/>
      <c r="F26" s="54"/>
      <c r="G26" s="54"/>
      <c r="H26" s="54"/>
      <c r="I26" s="54"/>
      <c r="J26" s="82"/>
      <c r="K26" s="57"/>
      <c r="L26" s="46"/>
      <c r="M26" s="46"/>
    </row>
    <row r="27" spans="1:13" ht="20.100000000000001" customHeight="1" x14ac:dyDescent="0.3">
      <c r="A27" s="26"/>
      <c r="B27" s="27"/>
      <c r="C27" s="27"/>
      <c r="D27" s="27"/>
      <c r="E27" s="27"/>
      <c r="F27" s="27"/>
      <c r="G27" s="50"/>
      <c r="H27" s="50"/>
      <c r="I27" s="50"/>
      <c r="J27" s="83"/>
      <c r="K27" s="41"/>
      <c r="L27" s="41"/>
      <c r="M27" s="46"/>
    </row>
    <row r="28" spans="1:13" ht="20.100000000000001" customHeight="1" x14ac:dyDescent="0.3">
      <c r="A28" s="26"/>
      <c r="B28" s="27"/>
      <c r="C28" s="27"/>
      <c r="D28" s="27"/>
      <c r="E28" s="27"/>
      <c r="F28" s="27"/>
      <c r="G28" s="27"/>
      <c r="H28" s="27"/>
      <c r="I28" s="27"/>
      <c r="J28" s="81"/>
      <c r="K28" s="41"/>
      <c r="L28" s="41"/>
      <c r="M28" s="46"/>
    </row>
    <row r="29" spans="1:13" ht="20.100000000000001" customHeight="1" x14ac:dyDescent="0.3">
      <c r="A29" s="26"/>
      <c r="B29" s="27"/>
      <c r="C29" s="27"/>
      <c r="D29" s="27"/>
      <c r="E29" s="27"/>
      <c r="F29" s="27"/>
      <c r="G29" s="27"/>
      <c r="H29" s="27"/>
      <c r="I29" s="27"/>
      <c r="J29" s="81"/>
      <c r="K29" s="41"/>
      <c r="L29" s="46"/>
      <c r="M29" s="46"/>
    </row>
    <row r="30" spans="1:13" ht="20.100000000000001" customHeight="1" x14ac:dyDescent="0.3">
      <c r="A30" s="26"/>
      <c r="B30" s="27"/>
      <c r="C30" s="27"/>
      <c r="D30" s="27"/>
      <c r="E30" s="27"/>
      <c r="F30" s="27"/>
      <c r="G30" s="50"/>
      <c r="H30" s="50"/>
      <c r="I30" s="50"/>
      <c r="J30" s="83"/>
      <c r="K30" s="41"/>
      <c r="L30" s="41"/>
      <c r="M30" s="46"/>
    </row>
    <row r="31" spans="1:13" ht="20.100000000000001" customHeight="1" x14ac:dyDescent="0.3">
      <c r="A31" s="26"/>
      <c r="B31" s="27"/>
      <c r="C31" s="27"/>
      <c r="D31" s="27"/>
      <c r="E31" s="27"/>
      <c r="F31" s="27"/>
      <c r="G31" s="50"/>
      <c r="H31" s="50"/>
      <c r="I31" s="50"/>
      <c r="J31" s="83"/>
      <c r="K31" s="41"/>
      <c r="L31" s="41"/>
      <c r="M31" s="46"/>
    </row>
    <row r="32" spans="1:13" ht="20.100000000000001" customHeight="1" x14ac:dyDescent="0.3">
      <c r="A32" s="26"/>
      <c r="B32" s="27"/>
      <c r="C32" s="27"/>
      <c r="D32" s="27"/>
      <c r="E32" s="27"/>
      <c r="F32" s="27"/>
      <c r="G32" s="27"/>
      <c r="H32" s="27"/>
      <c r="I32" s="27"/>
      <c r="J32" s="81"/>
      <c r="K32" s="41"/>
      <c r="L32" s="46"/>
    </row>
    <row r="33" spans="1:12" ht="20.100000000000001" customHeight="1" x14ac:dyDescent="0.3">
      <c r="A33" s="26"/>
      <c r="B33" s="27"/>
      <c r="C33" s="27"/>
      <c r="D33" s="27"/>
      <c r="E33" s="27"/>
      <c r="F33" s="27"/>
      <c r="G33" s="27"/>
      <c r="H33" s="27"/>
      <c r="I33" s="27"/>
      <c r="J33" s="81"/>
      <c r="K33" s="41"/>
      <c r="L33" s="46"/>
    </row>
    <row r="34" spans="1:12" ht="20.100000000000001" customHeight="1" x14ac:dyDescent="0.3">
      <c r="A34" s="26"/>
      <c r="B34" s="27"/>
      <c r="C34" s="27"/>
      <c r="D34" s="27"/>
      <c r="E34" s="27"/>
      <c r="F34" s="48"/>
      <c r="G34" s="37"/>
      <c r="H34" s="37"/>
      <c r="I34" s="37"/>
      <c r="J34" s="79"/>
      <c r="K34" s="41"/>
      <c r="L34" s="41"/>
    </row>
    <row r="35" spans="1:12" ht="20.100000000000001" customHeight="1" x14ac:dyDescent="0.3">
      <c r="A35" s="26"/>
      <c r="B35" s="27"/>
      <c r="C35" s="27"/>
      <c r="D35" s="27"/>
      <c r="E35" s="27"/>
      <c r="F35" s="27"/>
      <c r="G35" s="27"/>
      <c r="H35" s="27"/>
      <c r="I35" s="27"/>
      <c r="J35" s="81"/>
      <c r="K35" s="41"/>
      <c r="L35" s="46"/>
    </row>
    <row r="36" spans="1:12" ht="20.100000000000001" customHeight="1" x14ac:dyDescent="0.3">
      <c r="A36" s="26"/>
      <c r="B36" s="27"/>
      <c r="C36" s="27"/>
      <c r="D36" s="27"/>
      <c r="E36" s="27"/>
      <c r="F36" s="27"/>
      <c r="G36" s="27"/>
      <c r="H36" s="37"/>
      <c r="I36" s="37"/>
      <c r="J36" s="79"/>
      <c r="K36" s="41"/>
      <c r="L36" s="41"/>
    </row>
    <row r="37" spans="1:12" ht="20.100000000000001" customHeight="1" x14ac:dyDescent="0.3">
      <c r="A37" s="26"/>
      <c r="B37" s="27"/>
      <c r="C37" s="27"/>
      <c r="D37" s="27"/>
      <c r="E37" s="27"/>
      <c r="F37" s="27"/>
      <c r="G37" s="27"/>
      <c r="H37" s="37"/>
      <c r="I37" s="37"/>
      <c r="J37" s="79"/>
      <c r="K37" s="41"/>
      <c r="L37" s="41"/>
    </row>
  </sheetData>
  <mergeCells count="1">
    <mergeCell ref="A1:L3"/>
  </mergeCells>
  <phoneticPr fontId="3" type="noConversion"/>
  <conditionalFormatting sqref="E11:K11 A16:A24 B19:K24">
    <cfRule type="containsText" dxfId="2" priority="1" operator="containsText" text="2022">
      <formula>NOT(ISERROR(SEARCH("2022",A11)))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zoomScale="85" zoomScaleNormal="85" workbookViewId="0">
      <pane ySplit="2" topLeftCell="A3" activePane="bottomLeft" state="frozen"/>
      <selection activeCell="B10" sqref="B10:L10"/>
      <selection pane="bottomLeft" activeCell="N11" sqref="N11"/>
    </sheetView>
  </sheetViews>
  <sheetFormatPr defaultColWidth="9" defaultRowHeight="20.100000000000001" customHeight="1" x14ac:dyDescent="0.3"/>
  <cols>
    <col min="1" max="1" width="12.875" bestFit="1" customWidth="1"/>
    <col min="2" max="6" width="8.625" customWidth="1"/>
    <col min="7" max="7" width="12.625" customWidth="1"/>
    <col min="8" max="8" width="16.25" bestFit="1" customWidth="1"/>
    <col min="9" max="9" width="8.25" customWidth="1"/>
    <col min="10" max="10" width="14.25" style="84" customWidth="1"/>
    <col min="11" max="11" width="10" bestFit="1" customWidth="1"/>
    <col min="12" max="12" width="10.625" bestFit="1" customWidth="1"/>
    <col min="13" max="13" width="8.75" bestFit="1" customWidth="1"/>
    <col min="14" max="15" width="11.625" customWidth="1"/>
    <col min="16" max="16" width="1.625" customWidth="1"/>
    <col min="17" max="18" width="11.625" customWidth="1"/>
  </cols>
  <sheetData>
    <row r="1" spans="1:19" ht="20.100000000000001" customHeight="1" x14ac:dyDescent="0.3">
      <c r="A1" s="109" t="s">
        <v>6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38"/>
      <c r="N1" s="20" t="s">
        <v>0</v>
      </c>
      <c r="O1" s="10">
        <f>SUM(K1:K9959)</f>
        <v>350000</v>
      </c>
      <c r="P1" s="11"/>
      <c r="Q1" s="20" t="s">
        <v>1</v>
      </c>
      <c r="R1" s="10">
        <f>SUM(L1:L9959)</f>
        <v>425000</v>
      </c>
      <c r="S1" s="21"/>
    </row>
    <row r="2" spans="1:19" ht="20.100000000000001" customHeight="1" x14ac:dyDescent="0.3">
      <c r="A2" s="22" t="s">
        <v>8</v>
      </c>
      <c r="B2" s="22" t="s">
        <v>9</v>
      </c>
      <c r="C2" s="22" t="s">
        <v>10</v>
      </c>
      <c r="D2" s="22" t="s">
        <v>11</v>
      </c>
      <c r="E2" s="22" t="s">
        <v>12</v>
      </c>
      <c r="F2" s="22" t="s">
        <v>13</v>
      </c>
      <c r="G2" s="22" t="s">
        <v>39</v>
      </c>
      <c r="H2" s="22" t="s">
        <v>15</v>
      </c>
      <c r="I2" s="22" t="s">
        <v>16</v>
      </c>
      <c r="J2" s="78" t="s">
        <v>17</v>
      </c>
      <c r="K2" s="22" t="s">
        <v>0</v>
      </c>
      <c r="L2" s="22" t="s">
        <v>1</v>
      </c>
      <c r="M2" s="22" t="s">
        <v>25</v>
      </c>
      <c r="N2" s="86" t="s">
        <v>203</v>
      </c>
      <c r="O2" s="25"/>
      <c r="P2" s="25"/>
      <c r="Q2" s="25"/>
      <c r="R2" s="25"/>
      <c r="S2" s="24"/>
    </row>
    <row r="3" spans="1:19" ht="20.100000000000001" customHeight="1" x14ac:dyDescent="0.3">
      <c r="A3" s="39" t="s">
        <v>256</v>
      </c>
      <c r="B3" s="27" t="s">
        <v>195</v>
      </c>
      <c r="C3" s="27" t="s">
        <v>257</v>
      </c>
      <c r="D3" s="27" t="s">
        <v>133</v>
      </c>
      <c r="E3" s="27"/>
      <c r="F3" s="27" t="s">
        <v>258</v>
      </c>
      <c r="G3" s="27"/>
      <c r="H3" s="37"/>
      <c r="I3" s="37" t="s">
        <v>259</v>
      </c>
      <c r="J3" s="79">
        <v>1122198905106</v>
      </c>
      <c r="K3" s="33">
        <v>350000</v>
      </c>
      <c r="L3" s="46">
        <v>425000</v>
      </c>
      <c r="M3" s="46">
        <f t="shared" ref="M3" si="0">L3-K3</f>
        <v>75000</v>
      </c>
      <c r="N3" s="92" t="s">
        <v>273</v>
      </c>
    </row>
    <row r="4" spans="1:19" ht="20.100000000000001" customHeight="1" x14ac:dyDescent="0.3">
      <c r="A4" s="26"/>
      <c r="B4" s="27"/>
      <c r="C4" s="27"/>
      <c r="D4" s="27"/>
      <c r="E4" s="27"/>
      <c r="F4" s="27"/>
      <c r="G4" s="27"/>
      <c r="H4" s="37"/>
      <c r="I4" s="37"/>
      <c r="J4" s="79"/>
      <c r="K4" s="33"/>
      <c r="L4" s="46"/>
      <c r="M4" s="46"/>
    </row>
    <row r="5" spans="1:19" ht="20.100000000000001" customHeight="1" x14ac:dyDescent="0.3">
      <c r="A5" s="26"/>
      <c r="B5" s="27"/>
      <c r="C5" s="27"/>
      <c r="D5" s="27"/>
      <c r="E5" s="27"/>
      <c r="F5" s="27"/>
      <c r="G5" s="27"/>
      <c r="H5" s="37"/>
      <c r="I5" s="37"/>
      <c r="J5" s="79"/>
      <c r="K5" s="33"/>
      <c r="L5" s="46"/>
      <c r="M5" s="46"/>
    </row>
    <row r="6" spans="1:19" ht="20.100000000000001" customHeight="1" x14ac:dyDescent="0.3">
      <c r="A6" s="26"/>
      <c r="B6" s="27"/>
      <c r="C6" s="27"/>
      <c r="D6" s="27"/>
      <c r="E6" s="27"/>
      <c r="F6" s="27"/>
      <c r="G6" s="27"/>
      <c r="H6" s="37"/>
      <c r="I6" s="37"/>
      <c r="J6" s="79"/>
      <c r="K6" s="33"/>
      <c r="L6" s="46"/>
      <c r="M6" s="46"/>
    </row>
    <row r="7" spans="1:19" ht="20.100000000000001" customHeight="1" x14ac:dyDescent="0.3">
      <c r="A7" s="26"/>
      <c r="B7" s="27"/>
      <c r="C7" s="27"/>
      <c r="D7" s="27"/>
      <c r="E7" s="27"/>
      <c r="F7" s="27"/>
      <c r="G7" s="27"/>
      <c r="H7" s="37"/>
      <c r="I7" s="37"/>
      <c r="J7" s="79"/>
      <c r="K7" s="33"/>
      <c r="L7" s="46"/>
      <c r="M7" s="46"/>
    </row>
    <row r="8" spans="1:19" ht="20.100000000000001" customHeight="1" x14ac:dyDescent="0.3">
      <c r="A8" s="26"/>
      <c r="B8" s="27"/>
      <c r="C8" s="27"/>
      <c r="D8" s="27"/>
      <c r="E8" s="27"/>
      <c r="F8" s="27"/>
      <c r="G8" s="27"/>
      <c r="H8" s="37"/>
      <c r="I8" s="37"/>
      <c r="J8" s="79"/>
      <c r="K8" s="33"/>
      <c r="L8" s="46"/>
      <c r="M8" s="46"/>
    </row>
    <row r="9" spans="1:19" ht="20.100000000000001" customHeight="1" x14ac:dyDescent="0.3">
      <c r="A9" s="26"/>
      <c r="B9" s="27"/>
      <c r="C9" s="27"/>
      <c r="D9" s="27"/>
      <c r="E9" s="27"/>
      <c r="F9" s="27"/>
      <c r="G9" s="27"/>
      <c r="H9" s="37"/>
      <c r="I9" s="37"/>
      <c r="J9" s="79"/>
      <c r="K9" s="33"/>
      <c r="L9" s="46"/>
      <c r="M9" s="46"/>
    </row>
    <row r="10" spans="1:19" ht="20.100000000000001" customHeight="1" x14ac:dyDescent="0.3">
      <c r="A10" s="26"/>
      <c r="B10" s="27"/>
      <c r="C10" s="27"/>
      <c r="D10" s="27"/>
      <c r="E10" s="27"/>
      <c r="F10" s="27"/>
      <c r="G10" s="27"/>
      <c r="H10" s="37"/>
      <c r="I10" s="37"/>
      <c r="J10" s="79"/>
      <c r="K10" s="33"/>
      <c r="L10" s="46"/>
      <c r="M10" s="46"/>
    </row>
    <row r="11" spans="1:19" ht="20.100000000000001" customHeight="1" x14ac:dyDescent="0.3">
      <c r="A11" s="26"/>
      <c r="B11" s="27"/>
      <c r="C11" s="27"/>
      <c r="D11" s="27"/>
      <c r="E11" s="27"/>
      <c r="F11" s="27"/>
      <c r="G11" s="27"/>
      <c r="H11" s="37"/>
      <c r="I11" s="37"/>
      <c r="J11" s="79"/>
      <c r="K11" s="33"/>
      <c r="L11" s="46"/>
      <c r="M11" s="46"/>
    </row>
    <row r="12" spans="1:19" ht="20.100000000000001" customHeight="1" x14ac:dyDescent="0.3">
      <c r="A12" s="26"/>
      <c r="B12" s="27"/>
      <c r="C12" s="27"/>
      <c r="D12" s="27"/>
      <c r="E12" s="27"/>
      <c r="F12" s="27"/>
      <c r="G12" s="27"/>
      <c r="H12" s="37"/>
      <c r="I12" s="37"/>
      <c r="J12" s="79"/>
      <c r="K12" s="33"/>
      <c r="L12" s="46"/>
      <c r="M12" s="46"/>
    </row>
    <row r="13" spans="1:19" ht="20.100000000000001" customHeight="1" x14ac:dyDescent="0.3">
      <c r="A13" s="26"/>
      <c r="B13" s="27"/>
      <c r="C13" s="27"/>
      <c r="D13" s="27"/>
      <c r="E13" s="27"/>
      <c r="F13" s="27"/>
      <c r="G13" s="27"/>
      <c r="H13" s="27"/>
      <c r="I13" s="27"/>
      <c r="J13" s="81"/>
      <c r="K13" s="41"/>
      <c r="L13" s="46"/>
      <c r="M13" s="46"/>
    </row>
    <row r="14" spans="1:19" ht="20.100000000000001" customHeight="1" x14ac:dyDescent="0.3">
      <c r="A14" s="53"/>
      <c r="B14" s="54"/>
      <c r="C14" s="54"/>
      <c r="D14" s="54"/>
      <c r="E14" s="54"/>
      <c r="F14" s="54"/>
      <c r="G14" s="54"/>
      <c r="H14" s="54"/>
      <c r="I14" s="54"/>
      <c r="J14" s="82"/>
      <c r="K14" s="57"/>
      <c r="L14" s="46"/>
      <c r="M14" s="46"/>
    </row>
    <row r="15" spans="1:19" ht="20.100000000000001" customHeight="1" x14ac:dyDescent="0.3">
      <c r="A15" s="26"/>
      <c r="B15" s="27"/>
      <c r="C15" s="27"/>
      <c r="D15" s="27"/>
      <c r="E15" s="27"/>
      <c r="F15" s="27"/>
      <c r="G15" s="50"/>
      <c r="H15" s="50"/>
      <c r="I15" s="50"/>
      <c r="J15" s="83"/>
      <c r="K15" s="41"/>
      <c r="L15" s="41"/>
      <c r="M15" s="46"/>
    </row>
    <row r="16" spans="1:19" ht="20.100000000000001" customHeight="1" x14ac:dyDescent="0.3">
      <c r="A16" s="26"/>
      <c r="B16" s="27"/>
      <c r="C16" s="27"/>
      <c r="D16" s="27"/>
      <c r="E16" s="27"/>
      <c r="F16" s="27"/>
      <c r="G16" s="27"/>
      <c r="H16" s="27"/>
      <c r="I16" s="27"/>
      <c r="J16" s="81"/>
      <c r="K16" s="41"/>
      <c r="L16" s="41"/>
      <c r="M16" s="46"/>
    </row>
    <row r="17" spans="1:13" ht="20.100000000000001" customHeight="1" x14ac:dyDescent="0.3">
      <c r="A17" s="26"/>
      <c r="B17" s="27"/>
      <c r="C17" s="27"/>
      <c r="D17" s="27"/>
      <c r="E17" s="27"/>
      <c r="F17" s="27"/>
      <c r="G17" s="27"/>
      <c r="H17" s="27"/>
      <c r="I17" s="27"/>
      <c r="J17" s="81"/>
      <c r="K17" s="41"/>
      <c r="L17" s="46"/>
      <c r="M17" s="46"/>
    </row>
    <row r="18" spans="1:13" ht="20.100000000000001" customHeight="1" x14ac:dyDescent="0.3">
      <c r="A18" s="26"/>
      <c r="B18" s="27"/>
      <c r="C18" s="27"/>
      <c r="D18" s="27"/>
      <c r="E18" s="27"/>
      <c r="F18" s="27"/>
      <c r="G18" s="50"/>
      <c r="H18" s="50"/>
      <c r="I18" s="50"/>
      <c r="J18" s="83"/>
      <c r="K18" s="41"/>
      <c r="L18" s="41"/>
      <c r="M18" s="46"/>
    </row>
    <row r="19" spans="1:13" ht="20.100000000000001" customHeight="1" x14ac:dyDescent="0.3">
      <c r="A19" s="26"/>
      <c r="B19" s="27"/>
      <c r="C19" s="27"/>
      <c r="D19" s="27"/>
      <c r="E19" s="27"/>
      <c r="F19" s="27"/>
      <c r="G19" s="50"/>
      <c r="H19" s="50"/>
      <c r="I19" s="50"/>
      <c r="J19" s="83"/>
      <c r="K19" s="41"/>
      <c r="L19" s="41"/>
      <c r="M19" s="46"/>
    </row>
    <row r="20" spans="1:13" ht="20.100000000000001" customHeight="1" x14ac:dyDescent="0.3">
      <c r="A20" s="26"/>
      <c r="B20" s="27"/>
      <c r="C20" s="27"/>
      <c r="D20" s="27"/>
      <c r="E20" s="27"/>
      <c r="F20" s="27"/>
      <c r="G20" s="27"/>
      <c r="H20" s="27"/>
      <c r="I20" s="27"/>
      <c r="J20" s="81"/>
      <c r="K20" s="41"/>
      <c r="L20" s="46"/>
    </row>
    <row r="21" spans="1:13" ht="20.100000000000001" customHeight="1" x14ac:dyDescent="0.3">
      <c r="A21" s="26"/>
      <c r="B21" s="27"/>
      <c r="C21" s="27"/>
      <c r="D21" s="27"/>
      <c r="E21" s="27"/>
      <c r="F21" s="27"/>
      <c r="G21" s="27"/>
      <c r="H21" s="27"/>
      <c r="I21" s="27"/>
      <c r="J21" s="81"/>
      <c r="K21" s="41"/>
      <c r="L21" s="46"/>
    </row>
    <row r="22" spans="1:13" ht="20.100000000000001" customHeight="1" x14ac:dyDescent="0.3">
      <c r="A22" s="26"/>
      <c r="B22" s="27"/>
      <c r="C22" s="27"/>
      <c r="D22" s="27"/>
      <c r="E22" s="27"/>
      <c r="F22" s="48"/>
      <c r="G22" s="37"/>
      <c r="H22" s="37"/>
      <c r="I22" s="37"/>
      <c r="J22" s="79"/>
      <c r="K22" s="41"/>
      <c r="L22" s="41"/>
    </row>
    <row r="23" spans="1:13" ht="20.100000000000001" customHeight="1" x14ac:dyDescent="0.3">
      <c r="A23" s="26"/>
      <c r="B23" s="27"/>
      <c r="C23" s="27"/>
      <c r="D23" s="27"/>
      <c r="E23" s="27"/>
      <c r="F23" s="27"/>
      <c r="G23" s="27"/>
      <c r="H23" s="27"/>
      <c r="I23" s="27"/>
      <c r="J23" s="81"/>
      <c r="K23" s="41"/>
      <c r="L23" s="46"/>
    </row>
    <row r="24" spans="1:13" ht="20.100000000000001" customHeight="1" x14ac:dyDescent="0.3">
      <c r="A24" s="26"/>
      <c r="B24" s="27"/>
      <c r="C24" s="27"/>
      <c r="D24" s="27"/>
      <c r="E24" s="27"/>
      <c r="F24" s="27"/>
      <c r="G24" s="27"/>
      <c r="H24" s="37"/>
      <c r="I24" s="37"/>
      <c r="J24" s="79"/>
      <c r="K24" s="41"/>
      <c r="L24" s="41"/>
    </row>
    <row r="25" spans="1:13" ht="20.100000000000001" customHeight="1" x14ac:dyDescent="0.3">
      <c r="A25" s="26"/>
      <c r="B25" s="27"/>
      <c r="C25" s="27"/>
      <c r="D25" s="27"/>
      <c r="E25" s="27"/>
      <c r="F25" s="27"/>
      <c r="G25" s="27"/>
      <c r="H25" s="37"/>
      <c r="I25" s="37"/>
      <c r="J25" s="79"/>
      <c r="K25" s="41"/>
      <c r="L25" s="41"/>
    </row>
  </sheetData>
  <mergeCells count="1">
    <mergeCell ref="A1:L1"/>
  </mergeCells>
  <phoneticPr fontId="3" type="noConversion"/>
  <conditionalFormatting sqref="A4:A12 B7:K12">
    <cfRule type="containsText" dxfId="1" priority="1" operator="containsText" text="2022">
      <formula>NOT(ISERROR(SEARCH("2022",A4)))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"/>
  <sheetViews>
    <sheetView zoomScale="85" zoomScaleNormal="85" workbookViewId="0">
      <pane ySplit="2" topLeftCell="A3" activePane="bottomLeft" state="frozen"/>
      <selection activeCell="B10" sqref="B10:L10"/>
      <selection pane="bottomLeft" activeCell="A2" sqref="A2"/>
    </sheetView>
  </sheetViews>
  <sheetFormatPr defaultColWidth="9" defaultRowHeight="20.100000000000001" customHeight="1" x14ac:dyDescent="0.3"/>
  <cols>
    <col min="1" max="1" width="12.875" bestFit="1" customWidth="1"/>
    <col min="2" max="6" width="8.625" customWidth="1"/>
    <col min="7" max="7" width="12.625" customWidth="1"/>
    <col min="8" max="8" width="16.25" bestFit="1" customWidth="1"/>
    <col min="9" max="9" width="8.25" customWidth="1"/>
    <col min="10" max="10" width="14.25" style="84" customWidth="1"/>
    <col min="11" max="11" width="10" bestFit="1" customWidth="1"/>
    <col min="12" max="12" width="10.625" bestFit="1" customWidth="1"/>
    <col min="13" max="13" width="8.75" bestFit="1" customWidth="1"/>
    <col min="14" max="15" width="11.625" customWidth="1"/>
    <col min="16" max="16" width="1.625" customWidth="1"/>
    <col min="17" max="18" width="11.625" customWidth="1"/>
  </cols>
  <sheetData>
    <row r="1" spans="1:19" ht="20.100000000000001" customHeight="1" x14ac:dyDescent="0.3">
      <c r="A1" s="109" t="s">
        <v>298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38"/>
      <c r="N1" s="20" t="s">
        <v>0</v>
      </c>
      <c r="O1" s="10">
        <f>SUM(K1:K9969)</f>
        <v>0</v>
      </c>
      <c r="P1" s="11"/>
      <c r="Q1" s="20" t="s">
        <v>1</v>
      </c>
      <c r="R1" s="10">
        <f>SUM(L1:L9969)</f>
        <v>0</v>
      </c>
      <c r="S1" s="21"/>
    </row>
    <row r="2" spans="1:19" ht="20.100000000000001" customHeight="1" x14ac:dyDescent="0.3">
      <c r="A2" s="22" t="s">
        <v>8</v>
      </c>
      <c r="B2" s="22" t="s">
        <v>9</v>
      </c>
      <c r="C2" s="22" t="s">
        <v>10</v>
      </c>
      <c r="D2" s="22" t="s">
        <v>11</v>
      </c>
      <c r="E2" s="22" t="s">
        <v>12</v>
      </c>
      <c r="F2" s="22" t="s">
        <v>13</v>
      </c>
      <c r="G2" s="22" t="s">
        <v>39</v>
      </c>
      <c r="H2" s="22" t="s">
        <v>15</v>
      </c>
      <c r="I2" s="22" t="s">
        <v>16</v>
      </c>
      <c r="J2" s="78" t="s">
        <v>17</v>
      </c>
      <c r="K2" s="22" t="s">
        <v>0</v>
      </c>
      <c r="L2" s="22" t="s">
        <v>1</v>
      </c>
      <c r="M2" s="22" t="s">
        <v>25</v>
      </c>
      <c r="N2" s="86" t="s">
        <v>203</v>
      </c>
      <c r="O2" s="25"/>
      <c r="P2" s="25"/>
      <c r="Q2" s="25"/>
      <c r="R2" s="25"/>
      <c r="S2" s="24"/>
    </row>
    <row r="3" spans="1:19" ht="20.100000000000001" customHeight="1" x14ac:dyDescent="0.3">
      <c r="A3" s="39"/>
      <c r="B3" s="27"/>
      <c r="C3" s="27"/>
      <c r="D3" s="27"/>
      <c r="E3" s="27"/>
      <c r="F3" s="27"/>
      <c r="G3" s="27"/>
      <c r="H3" s="37"/>
      <c r="I3" s="37"/>
      <c r="J3" s="79"/>
      <c r="K3" s="33"/>
      <c r="L3" s="46"/>
      <c r="M3" s="85"/>
      <c r="N3" s="92"/>
      <c r="O3" s="34"/>
      <c r="P3" s="34"/>
      <c r="Q3" s="34"/>
      <c r="R3" s="34"/>
      <c r="S3" s="34"/>
    </row>
    <row r="4" spans="1:19" ht="20.100000000000001" customHeight="1" x14ac:dyDescent="0.3">
      <c r="A4" s="39"/>
      <c r="B4" s="27"/>
      <c r="C4" s="27"/>
      <c r="D4" s="27"/>
      <c r="E4" s="27"/>
      <c r="F4" s="27"/>
      <c r="G4" s="27"/>
      <c r="H4" s="37"/>
      <c r="I4" s="37"/>
      <c r="J4" s="79"/>
      <c r="K4" s="33"/>
      <c r="L4" s="41"/>
      <c r="M4" s="85"/>
      <c r="N4" s="92"/>
      <c r="O4" s="34"/>
      <c r="P4" s="34"/>
      <c r="Q4" s="34"/>
      <c r="R4" s="34"/>
      <c r="S4" s="34"/>
    </row>
    <row r="5" spans="1:19" ht="20.100000000000001" customHeight="1" x14ac:dyDescent="0.3">
      <c r="A5" s="39"/>
      <c r="B5" s="27"/>
      <c r="C5" s="27"/>
      <c r="D5" s="27"/>
      <c r="E5" s="27"/>
      <c r="F5" s="27"/>
      <c r="G5" s="27"/>
      <c r="H5" s="37"/>
      <c r="I5" s="37"/>
      <c r="J5" s="79"/>
      <c r="K5" s="33"/>
      <c r="L5" s="41"/>
      <c r="M5" s="85"/>
      <c r="N5" s="92"/>
      <c r="O5" s="34"/>
      <c r="P5" s="34"/>
      <c r="Q5" s="34"/>
      <c r="R5" s="34"/>
      <c r="S5" s="34"/>
    </row>
    <row r="6" spans="1:19" ht="20.100000000000001" customHeight="1" x14ac:dyDescent="0.3">
      <c r="A6" s="39"/>
      <c r="B6" s="27"/>
      <c r="C6" s="27"/>
      <c r="D6" s="27"/>
      <c r="E6" s="27"/>
      <c r="F6" s="27"/>
      <c r="G6" s="27"/>
      <c r="H6" s="37"/>
      <c r="I6" s="37"/>
      <c r="J6" s="79"/>
      <c r="K6" s="33"/>
      <c r="L6" s="41"/>
      <c r="M6" s="85"/>
      <c r="N6" s="92"/>
      <c r="O6" s="34"/>
      <c r="P6" s="34"/>
      <c r="Q6" s="91"/>
      <c r="R6" s="34"/>
      <c r="S6" s="34"/>
    </row>
    <row r="7" spans="1:19" ht="20.100000000000001" customHeight="1" x14ac:dyDescent="0.3">
      <c r="A7" s="39"/>
      <c r="B7" s="27"/>
      <c r="C7" s="27"/>
      <c r="D7" s="27"/>
      <c r="E7" s="27"/>
      <c r="F7" s="27"/>
      <c r="G7" s="27"/>
      <c r="H7" s="37"/>
      <c r="I7" s="37"/>
      <c r="J7" s="87"/>
      <c r="K7" s="33"/>
      <c r="L7" s="41"/>
      <c r="M7" s="85"/>
      <c r="N7" s="92"/>
    </row>
    <row r="8" spans="1:19" ht="20.100000000000001" customHeight="1" x14ac:dyDescent="0.3">
      <c r="A8" s="39"/>
      <c r="B8" s="27"/>
      <c r="C8" s="27"/>
      <c r="D8" s="27"/>
      <c r="E8" s="50"/>
      <c r="F8" s="50"/>
      <c r="G8" s="50"/>
      <c r="H8" s="37"/>
      <c r="I8" s="37"/>
      <c r="J8" s="79"/>
      <c r="K8" s="52"/>
      <c r="L8" s="46"/>
      <c r="M8" s="85"/>
      <c r="N8" s="92"/>
    </row>
    <row r="9" spans="1:19" ht="20.100000000000001" customHeight="1" x14ac:dyDescent="0.3">
      <c r="A9" s="39"/>
      <c r="B9" s="27"/>
      <c r="C9" s="27"/>
      <c r="D9" s="27"/>
      <c r="E9" s="54"/>
      <c r="F9" s="88"/>
      <c r="G9" s="55"/>
      <c r="H9" s="55"/>
      <c r="I9" s="55"/>
      <c r="J9" s="80"/>
      <c r="K9" s="56"/>
      <c r="L9" s="46"/>
      <c r="M9" s="46"/>
      <c r="N9" s="92"/>
    </row>
    <row r="10" spans="1:19" ht="20.100000000000001" customHeight="1" x14ac:dyDescent="0.3">
      <c r="A10" s="39"/>
      <c r="B10" s="27"/>
      <c r="C10" s="27"/>
      <c r="D10" s="27"/>
      <c r="E10" s="27"/>
      <c r="F10" s="28"/>
      <c r="G10" s="27"/>
      <c r="H10" s="37"/>
      <c r="I10" s="37"/>
      <c r="J10" s="79"/>
      <c r="K10" s="33"/>
      <c r="L10" s="41"/>
      <c r="M10" s="46"/>
      <c r="N10" s="92"/>
    </row>
    <row r="11" spans="1:19" ht="20.100000000000001" customHeight="1" x14ac:dyDescent="0.3">
      <c r="A11" s="39"/>
      <c r="B11" s="27"/>
      <c r="C11" s="27"/>
      <c r="D11" s="27"/>
      <c r="E11" s="27"/>
      <c r="F11" s="28"/>
      <c r="G11" s="27"/>
      <c r="H11" s="37"/>
      <c r="I11" s="37"/>
      <c r="J11" s="79"/>
      <c r="K11" s="33"/>
      <c r="L11" s="46"/>
      <c r="M11" s="46"/>
      <c r="N11" s="92"/>
    </row>
    <row r="12" spans="1:19" ht="20.100000000000001" customHeight="1" x14ac:dyDescent="0.3">
      <c r="A12" s="39"/>
      <c r="B12" s="27"/>
      <c r="C12" s="27"/>
      <c r="D12" s="27"/>
      <c r="E12" s="27"/>
      <c r="F12" s="28"/>
      <c r="G12" s="27"/>
      <c r="H12" s="37"/>
      <c r="I12" s="37"/>
      <c r="J12" s="79"/>
      <c r="K12" s="33"/>
      <c r="L12" s="46"/>
      <c r="M12" s="46"/>
      <c r="N12" s="92"/>
    </row>
    <row r="13" spans="1:19" ht="19.149999999999999" customHeight="1" x14ac:dyDescent="0.3">
      <c r="A13" s="39"/>
      <c r="B13" s="27"/>
      <c r="C13" s="27"/>
      <c r="D13" s="27"/>
      <c r="E13" s="27"/>
      <c r="F13" s="28"/>
      <c r="G13" s="27"/>
      <c r="H13" s="37"/>
      <c r="I13" s="37"/>
      <c r="J13" s="79"/>
      <c r="K13" s="33"/>
      <c r="L13" s="46"/>
      <c r="M13" s="46"/>
      <c r="N13" s="92"/>
    </row>
    <row r="14" spans="1:19" ht="20.100000000000001" customHeight="1" x14ac:dyDescent="0.3">
      <c r="A14" s="26"/>
      <c r="B14" s="27"/>
      <c r="C14" s="27"/>
      <c r="D14" s="27"/>
      <c r="E14" s="27"/>
      <c r="F14" s="27"/>
      <c r="G14" s="27"/>
      <c r="H14" s="37"/>
      <c r="I14" s="37"/>
      <c r="J14" s="79"/>
      <c r="K14" s="33"/>
      <c r="L14" s="46"/>
      <c r="M14" s="46"/>
    </row>
    <row r="15" spans="1:19" ht="20.100000000000001" customHeight="1" x14ac:dyDescent="0.3">
      <c r="A15" s="26"/>
      <c r="B15" s="27"/>
      <c r="C15" s="27"/>
      <c r="D15" s="27"/>
      <c r="E15" s="27"/>
      <c r="F15" s="27"/>
      <c r="G15" s="27"/>
      <c r="H15" s="37"/>
      <c r="I15" s="37"/>
      <c r="J15" s="79"/>
      <c r="K15" s="33"/>
      <c r="L15" s="46"/>
      <c r="M15" s="46"/>
    </row>
    <row r="16" spans="1:19" ht="20.100000000000001" customHeight="1" x14ac:dyDescent="0.3">
      <c r="A16" s="26"/>
      <c r="B16" s="27"/>
      <c r="C16" s="27"/>
      <c r="D16" s="27"/>
      <c r="E16" s="27"/>
      <c r="F16" s="27"/>
      <c r="G16" s="27"/>
      <c r="H16" s="37"/>
      <c r="I16" s="37"/>
      <c r="J16" s="79"/>
      <c r="K16" s="33"/>
      <c r="L16" s="46"/>
      <c r="M16" s="46"/>
    </row>
    <row r="17" spans="1:13" ht="20.100000000000001" customHeight="1" x14ac:dyDescent="0.3">
      <c r="A17" s="26"/>
      <c r="B17" s="27"/>
      <c r="C17" s="27"/>
      <c r="D17" s="27"/>
      <c r="E17" s="27"/>
      <c r="F17" s="27"/>
      <c r="G17" s="27"/>
      <c r="H17" s="37"/>
      <c r="I17" s="37"/>
      <c r="J17" s="79"/>
      <c r="K17" s="33"/>
      <c r="L17" s="46"/>
      <c r="M17" s="46"/>
    </row>
    <row r="18" spans="1:13" ht="20.100000000000001" customHeight="1" x14ac:dyDescent="0.3">
      <c r="A18" s="26"/>
      <c r="B18" s="27"/>
      <c r="C18" s="27"/>
      <c r="D18" s="27"/>
      <c r="E18" s="27"/>
      <c r="F18" s="27"/>
      <c r="G18" s="27"/>
      <c r="H18" s="37"/>
      <c r="I18" s="37"/>
      <c r="J18" s="79"/>
      <c r="K18" s="33"/>
      <c r="L18" s="46"/>
      <c r="M18" s="46"/>
    </row>
    <row r="19" spans="1:13" ht="20.100000000000001" customHeight="1" x14ac:dyDescent="0.3">
      <c r="A19" s="26"/>
      <c r="B19" s="27"/>
      <c r="C19" s="27"/>
      <c r="D19" s="27"/>
      <c r="E19" s="27"/>
      <c r="F19" s="27"/>
      <c r="G19" s="27"/>
      <c r="H19" s="37"/>
      <c r="I19" s="37"/>
      <c r="J19" s="79"/>
      <c r="K19" s="33"/>
      <c r="L19" s="46"/>
      <c r="M19" s="46"/>
    </row>
    <row r="20" spans="1:13" ht="20.100000000000001" customHeight="1" x14ac:dyDescent="0.3">
      <c r="A20" s="26"/>
      <c r="B20" s="27"/>
      <c r="C20" s="27"/>
      <c r="D20" s="27"/>
      <c r="E20" s="27"/>
      <c r="F20" s="27"/>
      <c r="G20" s="27"/>
      <c r="H20" s="37"/>
      <c r="I20" s="37"/>
      <c r="J20" s="79"/>
      <c r="K20" s="33"/>
      <c r="L20" s="46"/>
      <c r="M20" s="46"/>
    </row>
    <row r="21" spans="1:13" ht="20.100000000000001" customHeight="1" x14ac:dyDescent="0.3">
      <c r="A21" s="26"/>
      <c r="B21" s="27"/>
      <c r="C21" s="27"/>
      <c r="D21" s="27"/>
      <c r="E21" s="27"/>
      <c r="F21" s="27"/>
      <c r="G21" s="27"/>
      <c r="H21" s="37"/>
      <c r="I21" s="37"/>
      <c r="J21" s="79"/>
      <c r="K21" s="33"/>
      <c r="L21" s="46"/>
      <c r="M21" s="46"/>
    </row>
    <row r="22" spans="1:13" ht="20.100000000000001" customHeight="1" x14ac:dyDescent="0.3">
      <c r="A22" s="26"/>
      <c r="B22" s="27"/>
      <c r="C22" s="27"/>
      <c r="D22" s="27"/>
      <c r="E22" s="27"/>
      <c r="F22" s="27"/>
      <c r="G22" s="27"/>
      <c r="H22" s="37"/>
      <c r="I22" s="37"/>
      <c r="J22" s="79"/>
      <c r="K22" s="33"/>
      <c r="L22" s="46"/>
      <c r="M22" s="46"/>
    </row>
    <row r="23" spans="1:13" ht="20.100000000000001" customHeight="1" x14ac:dyDescent="0.3">
      <c r="A23" s="26"/>
      <c r="B23" s="27"/>
      <c r="C23" s="27"/>
      <c r="D23" s="27"/>
      <c r="E23" s="27"/>
      <c r="F23" s="27"/>
      <c r="G23" s="27"/>
      <c r="H23" s="27"/>
      <c r="I23" s="27"/>
      <c r="J23" s="81"/>
      <c r="K23" s="41"/>
      <c r="L23" s="46"/>
      <c r="M23" s="46"/>
    </row>
    <row r="24" spans="1:13" ht="20.100000000000001" customHeight="1" x14ac:dyDescent="0.3">
      <c r="A24" s="53"/>
      <c r="B24" s="54"/>
      <c r="C24" s="54"/>
      <c r="D24" s="54"/>
      <c r="E24" s="54"/>
      <c r="F24" s="54"/>
      <c r="G24" s="54"/>
      <c r="H24" s="54"/>
      <c r="I24" s="54"/>
      <c r="J24" s="82"/>
      <c r="K24" s="57"/>
      <c r="L24" s="46"/>
      <c r="M24" s="46"/>
    </row>
    <row r="25" spans="1:13" ht="20.100000000000001" customHeight="1" x14ac:dyDescent="0.3">
      <c r="A25" s="26"/>
      <c r="B25" s="27"/>
      <c r="C25" s="27"/>
      <c r="D25" s="27"/>
      <c r="E25" s="27"/>
      <c r="F25" s="27"/>
      <c r="G25" s="50"/>
      <c r="H25" s="50"/>
      <c r="I25" s="50"/>
      <c r="J25" s="83"/>
      <c r="K25" s="41"/>
      <c r="L25" s="41"/>
      <c r="M25" s="46"/>
    </row>
    <row r="26" spans="1:13" ht="20.100000000000001" customHeight="1" x14ac:dyDescent="0.3">
      <c r="A26" s="26"/>
      <c r="B26" s="27"/>
      <c r="C26" s="27"/>
      <c r="D26" s="27"/>
      <c r="E26" s="27"/>
      <c r="F26" s="27"/>
      <c r="G26" s="27"/>
      <c r="H26" s="27"/>
      <c r="I26" s="27"/>
      <c r="J26" s="81"/>
      <c r="K26" s="41"/>
      <c r="L26" s="41"/>
      <c r="M26" s="46"/>
    </row>
    <row r="27" spans="1:13" ht="20.100000000000001" customHeight="1" x14ac:dyDescent="0.3">
      <c r="A27" s="26"/>
      <c r="B27" s="27"/>
      <c r="C27" s="27"/>
      <c r="D27" s="27"/>
      <c r="E27" s="27"/>
      <c r="F27" s="27"/>
      <c r="G27" s="27"/>
      <c r="H27" s="27"/>
      <c r="I27" s="27"/>
      <c r="J27" s="81"/>
      <c r="K27" s="41"/>
      <c r="L27" s="46"/>
      <c r="M27" s="46"/>
    </row>
    <row r="28" spans="1:13" ht="20.100000000000001" customHeight="1" x14ac:dyDescent="0.3">
      <c r="A28" s="26"/>
      <c r="B28" s="27"/>
      <c r="C28" s="27"/>
      <c r="D28" s="27"/>
      <c r="E28" s="27"/>
      <c r="F28" s="27"/>
      <c r="G28" s="50"/>
      <c r="H28" s="50"/>
      <c r="I28" s="50"/>
      <c r="J28" s="83"/>
      <c r="K28" s="41"/>
      <c r="L28" s="41"/>
      <c r="M28" s="46"/>
    </row>
    <row r="29" spans="1:13" ht="20.100000000000001" customHeight="1" x14ac:dyDescent="0.3">
      <c r="A29" s="26"/>
      <c r="B29" s="27"/>
      <c r="C29" s="27"/>
      <c r="D29" s="27"/>
      <c r="E29" s="27"/>
      <c r="F29" s="27"/>
      <c r="G29" s="50"/>
      <c r="H29" s="50"/>
      <c r="I29" s="50"/>
      <c r="J29" s="83"/>
      <c r="K29" s="41"/>
      <c r="L29" s="41"/>
      <c r="M29" s="46"/>
    </row>
    <row r="30" spans="1:13" ht="20.100000000000001" customHeight="1" x14ac:dyDescent="0.3">
      <c r="A30" s="26"/>
      <c r="B30" s="27"/>
      <c r="C30" s="27"/>
      <c r="D30" s="27"/>
      <c r="E30" s="27"/>
      <c r="F30" s="27"/>
      <c r="G30" s="27"/>
      <c r="H30" s="27"/>
      <c r="I30" s="27"/>
      <c r="J30" s="81"/>
      <c r="K30" s="41"/>
      <c r="L30" s="46"/>
    </row>
    <row r="31" spans="1:13" ht="20.100000000000001" customHeight="1" x14ac:dyDescent="0.3">
      <c r="A31" s="26"/>
      <c r="B31" s="27"/>
      <c r="C31" s="27"/>
      <c r="D31" s="27"/>
      <c r="E31" s="27"/>
      <c r="F31" s="27"/>
      <c r="G31" s="27"/>
      <c r="H31" s="27"/>
      <c r="I31" s="27"/>
      <c r="J31" s="81"/>
      <c r="K31" s="41"/>
      <c r="L31" s="46"/>
    </row>
    <row r="32" spans="1:13" ht="20.100000000000001" customHeight="1" x14ac:dyDescent="0.3">
      <c r="A32" s="26"/>
      <c r="B32" s="27"/>
      <c r="C32" s="27"/>
      <c r="D32" s="27"/>
      <c r="E32" s="27"/>
      <c r="F32" s="48"/>
      <c r="G32" s="37"/>
      <c r="H32" s="37"/>
      <c r="I32" s="37"/>
      <c r="J32" s="79"/>
      <c r="K32" s="41"/>
      <c r="L32" s="41"/>
    </row>
    <row r="33" spans="1:12" ht="20.100000000000001" customHeight="1" x14ac:dyDescent="0.3">
      <c r="A33" s="26"/>
      <c r="B33" s="27"/>
      <c r="C33" s="27"/>
      <c r="D33" s="27"/>
      <c r="E33" s="27"/>
      <c r="F33" s="27"/>
      <c r="G33" s="27"/>
      <c r="H33" s="27"/>
      <c r="I33" s="27"/>
      <c r="J33" s="81"/>
      <c r="K33" s="41"/>
      <c r="L33" s="46"/>
    </row>
    <row r="34" spans="1:12" ht="20.100000000000001" customHeight="1" x14ac:dyDescent="0.3">
      <c r="A34" s="26"/>
      <c r="B34" s="27"/>
      <c r="C34" s="27"/>
      <c r="D34" s="27"/>
      <c r="E34" s="27"/>
      <c r="F34" s="27"/>
      <c r="G34" s="27"/>
      <c r="H34" s="37"/>
      <c r="I34" s="37"/>
      <c r="J34" s="79"/>
      <c r="K34" s="41"/>
      <c r="L34" s="41"/>
    </row>
    <row r="35" spans="1:12" ht="20.100000000000001" customHeight="1" x14ac:dyDescent="0.3">
      <c r="A35" s="26"/>
      <c r="B35" s="27"/>
      <c r="C35" s="27"/>
      <c r="D35" s="27"/>
      <c r="E35" s="27"/>
      <c r="F35" s="27"/>
      <c r="G35" s="27"/>
      <c r="H35" s="37"/>
      <c r="I35" s="37"/>
      <c r="J35" s="79"/>
      <c r="K35" s="41"/>
      <c r="L35" s="41"/>
    </row>
  </sheetData>
  <mergeCells count="1">
    <mergeCell ref="A1:L1"/>
  </mergeCells>
  <phoneticPr fontId="3" type="noConversion"/>
  <conditionalFormatting sqref="E9:K9 A14:A22 B17:K22">
    <cfRule type="containsText" dxfId="0" priority="1" operator="containsText" text="2022">
      <formula>NOT(ISERROR(SEARCH("2022",A9)))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2026년 04월채움</vt:lpstr>
      <vt:lpstr>제주</vt:lpstr>
      <vt:lpstr>조선</vt:lpstr>
      <vt:lpstr>소노벨</vt:lpstr>
      <vt:lpstr>소노캄_기물</vt:lpstr>
      <vt:lpstr>소노캄</vt:lpstr>
      <vt:lpstr>소노캄_런드리</vt:lpstr>
      <vt:lpstr>포시</vt:lpstr>
      <vt:lpstr>부산파크</vt:lpstr>
      <vt:lpstr>시그니엘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2026-01-16T09:14:51Z</dcterms:created>
  <dcterms:modified xsi:type="dcterms:W3CDTF">2026-04-28T13:01:29Z</dcterms:modified>
</cp:coreProperties>
</file>