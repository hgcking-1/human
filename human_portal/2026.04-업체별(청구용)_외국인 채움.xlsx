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0925~세무(휴먼)\4월\"/>
    </mc:Choice>
  </mc:AlternateContent>
  <xr:revisionPtr revIDLastSave="0" documentId="13_ncr:1_{47539A91-E3D8-4A51-9416-4950A3C10CFA}" xr6:coauthVersionLast="47" xr6:coauthVersionMax="47" xr10:uidLastSave="{00000000-0000-0000-0000-000000000000}"/>
  <bookViews>
    <workbookView xWindow="5460" yWindow="0" windowWidth="21840" windowHeight="14565" xr2:uid="{81FA5FCE-8A34-4A3A-A116-888B5E041E22}"/>
  </bookViews>
  <sheets>
    <sheet name="2026년 04월채움" sheetId="1" r:id="rId1"/>
    <sheet name="제주" sheetId="5" r:id="rId2"/>
    <sheet name="조선" sheetId="10" r:id="rId3"/>
    <sheet name="소노벨" sheetId="7" r:id="rId4"/>
    <sheet name="소노캄_기물" sheetId="3" r:id="rId5"/>
    <sheet name="소노캄" sheetId="6" r:id="rId6"/>
    <sheet name="소노캄_런드리" sheetId="8" r:id="rId7"/>
    <sheet name="포시" sheetId="4" r:id="rId8"/>
    <sheet name="부산파크" sheetId="12" r:id="rId9"/>
    <sheet name="시그니엘" sheetId="13" r:id="rId10"/>
  </sheets>
  <definedNames>
    <definedName name="_xlnm._FilterDatabase" localSheetId="8" hidden="1">부산파크!$A$2:$L$12</definedName>
    <definedName name="_xlnm._FilterDatabase" localSheetId="3" hidden="1">소노벨!$A$2:$U$157</definedName>
    <definedName name="_xlnm._FilterDatabase" localSheetId="5" hidden="1">소노캄!$A$2:$R$2</definedName>
    <definedName name="_xlnm._FilterDatabase" localSheetId="4" hidden="1">소노캄_기물!$F$1:$F$152</definedName>
    <definedName name="_xlnm._FilterDatabase" localSheetId="6" hidden="1">소노캄_런드리!$F$1:$F$152</definedName>
    <definedName name="_xlnm._FilterDatabase" localSheetId="9" hidden="1">시그니엘!$A$2:$L$22</definedName>
    <definedName name="_xlnm._FilterDatabase" localSheetId="1" hidden="1">제주!$A$2:$L$16</definedName>
    <definedName name="_xlnm._FilterDatabase" localSheetId="2" hidden="1">조선!$A$2:$L$16</definedName>
    <definedName name="_xlnm._FilterDatabase" localSheetId="7" hidden="1">포시!$A$2:$L$22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6" i="1" l="1"/>
  <c r="H9" i="1"/>
  <c r="E9" i="1"/>
  <c r="D9" i="1"/>
  <c r="C9" i="1"/>
  <c r="R1" i="13"/>
  <c r="O1" i="13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84" i="6"/>
  <c r="G4" i="1" l="1"/>
  <c r="C10" i="1" l="1"/>
  <c r="M3" i="12"/>
  <c r="R1" i="12"/>
  <c r="D10" i="1" s="1"/>
  <c r="O1" i="12"/>
  <c r="K4" i="10"/>
  <c r="L4" i="10"/>
  <c r="L3" i="10"/>
  <c r="K3" i="10"/>
  <c r="H10" i="1" l="1"/>
  <c r="E10" i="1"/>
  <c r="R1" i="10"/>
  <c r="D11" i="1" s="1"/>
  <c r="O1" i="10"/>
  <c r="C11" i="1" s="1"/>
  <c r="H11" i="1" l="1"/>
  <c r="K52" i="6" l="1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51" i="6"/>
  <c r="M13" i="4" l="1"/>
  <c r="M12" i="4"/>
  <c r="M11" i="4"/>
  <c r="M10" i="4"/>
  <c r="M9" i="4"/>
  <c r="M4" i="4"/>
  <c r="M5" i="4"/>
  <c r="M6" i="4"/>
  <c r="M7" i="4"/>
  <c r="M8" i="4"/>
  <c r="M3" i="4"/>
  <c r="K4" i="8" l="1"/>
  <c r="L4" i="8"/>
  <c r="K5" i="8"/>
  <c r="L5" i="8"/>
  <c r="M5" i="8" s="1"/>
  <c r="K6" i="8"/>
  <c r="L6" i="8"/>
  <c r="K7" i="8"/>
  <c r="L7" i="8"/>
  <c r="M7" i="8" s="1"/>
  <c r="K8" i="8"/>
  <c r="L8" i="8"/>
  <c r="K9" i="8"/>
  <c r="L9" i="8"/>
  <c r="K10" i="8"/>
  <c r="L10" i="8"/>
  <c r="K11" i="8"/>
  <c r="L11" i="8"/>
  <c r="M11" i="8" s="1"/>
  <c r="K12" i="8"/>
  <c r="L12" i="8"/>
  <c r="M12" i="8" s="1"/>
  <c r="K13" i="8"/>
  <c r="L13" i="8"/>
  <c r="K14" i="8"/>
  <c r="L14" i="8"/>
  <c r="M14" i="8" s="1"/>
  <c r="K15" i="8"/>
  <c r="L15" i="8"/>
  <c r="M15" i="8" s="1"/>
  <c r="K16" i="8"/>
  <c r="L16" i="8"/>
  <c r="M16" i="8" s="1"/>
  <c r="K17" i="8"/>
  <c r="L17" i="8"/>
  <c r="K18" i="8"/>
  <c r="L18" i="8"/>
  <c r="M18" i="8" s="1"/>
  <c r="K19" i="8"/>
  <c r="L19" i="8"/>
  <c r="M19" i="8" s="1"/>
  <c r="K20" i="8"/>
  <c r="L20" i="8"/>
  <c r="K21" i="8"/>
  <c r="L21" i="8"/>
  <c r="K22" i="8"/>
  <c r="L22" i="8"/>
  <c r="K23" i="8"/>
  <c r="L23" i="8"/>
  <c r="K24" i="8"/>
  <c r="L24" i="8"/>
  <c r="K25" i="8"/>
  <c r="L25" i="8"/>
  <c r="K26" i="8"/>
  <c r="L26" i="8"/>
  <c r="K27" i="8"/>
  <c r="L27" i="8"/>
  <c r="M27" i="8" s="1"/>
  <c r="K28" i="8"/>
  <c r="L28" i="8"/>
  <c r="M28" i="8" s="1"/>
  <c r="K29" i="8"/>
  <c r="L29" i="8"/>
  <c r="L3" i="8"/>
  <c r="K3" i="8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3" i="6"/>
  <c r="N1" i="6" l="1"/>
  <c r="M23" i="8"/>
  <c r="M17" i="8"/>
  <c r="M13" i="8"/>
  <c r="M29" i="8"/>
  <c r="M25" i="8"/>
  <c r="M9" i="8"/>
  <c r="M3" i="8"/>
  <c r="M26" i="8"/>
  <c r="M24" i="8"/>
  <c r="M21" i="8"/>
  <c r="M10" i="8"/>
  <c r="M8" i="8"/>
  <c r="M22" i="8"/>
  <c r="M20" i="8"/>
  <c r="M6" i="8"/>
  <c r="M4" i="8"/>
  <c r="U1" i="7"/>
  <c r="N3" i="6" l="1"/>
  <c r="R1" i="8" l="1"/>
  <c r="D7" i="1" s="1"/>
  <c r="O1" i="8"/>
  <c r="C7" i="1" s="1"/>
  <c r="D15" i="1"/>
  <c r="C15" i="1"/>
  <c r="D14" i="1"/>
  <c r="C14" i="1"/>
  <c r="D13" i="1"/>
  <c r="C13" i="1"/>
  <c r="D12" i="1"/>
  <c r="C12" i="1"/>
  <c r="R1" i="7"/>
  <c r="D4" i="1" s="1"/>
  <c r="H4" i="1" s="1"/>
  <c r="O1" i="7"/>
  <c r="C4" i="1" s="1"/>
  <c r="Q1" i="6"/>
  <c r="D6" i="1" s="1"/>
  <c r="H6" i="1" s="1"/>
  <c r="C6" i="1"/>
  <c r="R1" i="5"/>
  <c r="D3" i="1" s="1"/>
  <c r="H3" i="1" s="1"/>
  <c r="O1" i="5"/>
  <c r="C3" i="1" s="1"/>
  <c r="R1" i="4"/>
  <c r="D8" i="1" s="1"/>
  <c r="H8" i="1" s="1"/>
  <c r="O1" i="4"/>
  <c r="C8" i="1" s="1"/>
  <c r="R1" i="3"/>
  <c r="D5" i="1" s="1"/>
  <c r="H5" i="1" s="1"/>
  <c r="O1" i="3"/>
  <c r="C5" i="1" s="1"/>
  <c r="E17" i="1"/>
  <c r="E11" i="1" l="1"/>
  <c r="H16" i="1"/>
  <c r="E13" i="1"/>
  <c r="E12" i="1"/>
  <c r="E14" i="1"/>
  <c r="E8" i="1"/>
  <c r="E7" i="1"/>
  <c r="E6" i="1"/>
  <c r="E15" i="1"/>
  <c r="E5" i="1"/>
  <c r="C16" i="1"/>
  <c r="E4" i="1"/>
  <c r="E3" i="1"/>
  <c r="D16" i="1"/>
  <c r="E16" i="1" l="1"/>
</calcChain>
</file>

<file path=xl/sharedStrings.xml><?xml version="1.0" encoding="utf-8"?>
<sst xmlns="http://schemas.openxmlformats.org/spreadsheetml/2006/main" count="2867" uniqueCount="304">
  <si>
    <t>지급액</t>
    <phoneticPr fontId="3" type="noConversion"/>
  </si>
  <si>
    <t>청구액</t>
    <phoneticPr fontId="3" type="noConversion"/>
  </si>
  <si>
    <t>결재</t>
    <phoneticPr fontId="3" type="noConversion"/>
  </si>
  <si>
    <t>한달</t>
    <phoneticPr fontId="3" type="noConversion"/>
  </si>
  <si>
    <t>두잉-제주롯데호텔</t>
    <phoneticPr fontId="3" type="noConversion"/>
  </si>
  <si>
    <t>매주</t>
    <phoneticPr fontId="3" type="noConversion"/>
  </si>
  <si>
    <t>(주)프로에스콤-포시즌스</t>
    <phoneticPr fontId="3" type="noConversion"/>
  </si>
  <si>
    <t>계</t>
    <phoneticPr fontId="3" type="noConversion"/>
  </si>
  <si>
    <t>날짜</t>
    <phoneticPr fontId="3" type="noConversion"/>
  </si>
  <si>
    <t>업체</t>
    <phoneticPr fontId="3" type="noConversion"/>
  </si>
  <si>
    <t>현장</t>
    <phoneticPr fontId="3" type="noConversion"/>
  </si>
  <si>
    <t>업무</t>
    <phoneticPr fontId="3" type="noConversion"/>
  </si>
  <si>
    <t>근무시간</t>
    <phoneticPr fontId="3" type="noConversion"/>
  </si>
  <si>
    <t>이름</t>
    <phoneticPr fontId="3" type="noConversion"/>
  </si>
  <si>
    <t>전화번호</t>
    <phoneticPr fontId="3" type="noConversion"/>
  </si>
  <si>
    <t>주민등록번호</t>
    <phoneticPr fontId="3" type="noConversion"/>
  </si>
  <si>
    <t>은행</t>
    <phoneticPr fontId="3" type="noConversion"/>
  </si>
  <si>
    <t>계좌번호</t>
    <phoneticPr fontId="3" type="noConversion"/>
  </si>
  <si>
    <t>지급일</t>
    <phoneticPr fontId="3" type="noConversion"/>
  </si>
  <si>
    <t>삼구-소노캄_룸메이드</t>
    <phoneticPr fontId="3" type="noConversion"/>
  </si>
  <si>
    <t>삼구-소노캄_기물</t>
    <phoneticPr fontId="3" type="noConversion"/>
  </si>
  <si>
    <t>삼구-소노벨_룸메이드</t>
    <phoneticPr fontId="3" type="noConversion"/>
  </si>
  <si>
    <t>삼구-소노캄 런드리</t>
    <phoneticPr fontId="3" type="noConversion"/>
  </si>
  <si>
    <t>차감</t>
    <phoneticPr fontId="3" type="noConversion"/>
  </si>
  <si>
    <t>입금</t>
    <phoneticPr fontId="3" type="noConversion"/>
  </si>
  <si>
    <t>차액</t>
    <phoneticPr fontId="3" type="noConversion"/>
  </si>
  <si>
    <t>소노캄 룸메이드</t>
  </si>
  <si>
    <t>근무일 25.01.05 ~</t>
  </si>
  <si>
    <t>*청구 12만원</t>
  </si>
  <si>
    <t>*지급 10만원</t>
  </si>
  <si>
    <t>14유닛 이상</t>
    <phoneticPr fontId="3" type="noConversion"/>
  </si>
  <si>
    <t>소노캄 기물, 런드리</t>
  </si>
  <si>
    <t>*청구 11만원</t>
  </si>
  <si>
    <t>14유닛 이상(미반영)</t>
    <phoneticPr fontId="3" type="noConversion"/>
  </si>
  <si>
    <t>AND(ISNUMBER(E5),E5&gt;12)</t>
    <phoneticPr fontId="3" type="noConversion"/>
  </si>
  <si>
    <t>*13유닛부터 +1유닛(6,200원) 자체 수익</t>
    <phoneticPr fontId="3" type="noConversion"/>
  </si>
  <si>
    <t>SUMPRODUCT(--ISNUMBER(E6:K6), --(E6:K6&gt;12), (E6:K6-12)*(E6:K6&lt;13) + (E6:K6&gt;=13))</t>
    <phoneticPr fontId="3" type="noConversion"/>
  </si>
  <si>
    <t>조건</t>
    <phoneticPr fontId="3" type="noConversion"/>
  </si>
  <si>
    <t>*13유닛 미만건에 대해서 차감할건지 확인 - 차감안하기로 함</t>
    <phoneticPr fontId="3" type="noConversion"/>
  </si>
  <si>
    <t>근무일수</t>
    <phoneticPr fontId="3" type="noConversion"/>
  </si>
  <si>
    <t>미입금(세후)</t>
    <phoneticPr fontId="3" type="noConversion"/>
  </si>
  <si>
    <t>이익금</t>
    <phoneticPr fontId="3" type="noConversion"/>
  </si>
  <si>
    <t>주민번호</t>
    <phoneticPr fontId="3" type="noConversion"/>
  </si>
  <si>
    <t>2026년 04월 업체별 결산-외국인</t>
    <phoneticPr fontId="3" type="noConversion"/>
  </si>
  <si>
    <t>26.03.30~04.05</t>
    <phoneticPr fontId="3" type="noConversion"/>
  </si>
  <si>
    <t>삼구</t>
  </si>
  <si>
    <t>소노벨</t>
  </si>
  <si>
    <t>소노캄 고양(외국인)</t>
  </si>
  <si>
    <t>기물</t>
  </si>
  <si>
    <t>김수빈</t>
  </si>
  <si>
    <t>010-9965-7441</t>
  </si>
  <si>
    <t>농협</t>
  </si>
  <si>
    <t>3522014792023</t>
  </si>
  <si>
    <t>김윤서</t>
  </si>
  <si>
    <t>010-8733-1338</t>
  </si>
  <si>
    <t>우리</t>
  </si>
  <si>
    <t>아르오나(김아리)</t>
  </si>
  <si>
    <t>010-9855-2211</t>
  </si>
  <si>
    <t>국민</t>
  </si>
  <si>
    <t>29250101395976</t>
  </si>
  <si>
    <t>더기(최다빈)</t>
  </si>
  <si>
    <t>010-3254-5512</t>
  </si>
  <si>
    <t>전북</t>
  </si>
  <si>
    <t>9500020568373</t>
  </si>
  <si>
    <t>샤탈(김수연)</t>
  </si>
  <si>
    <t>010-3665-4100</t>
  </si>
  <si>
    <t>29250101236893</t>
  </si>
  <si>
    <t>소시주(김연우)</t>
  </si>
  <si>
    <t>010-4111-2357</t>
  </si>
  <si>
    <t>9100054122011</t>
  </si>
  <si>
    <t>졸라(이다인)</t>
  </si>
  <si>
    <t>010-8094-1903</t>
  </si>
  <si>
    <t>하나</t>
  </si>
  <si>
    <t>19891034404307</t>
  </si>
  <si>
    <t>투야</t>
  </si>
  <si>
    <t>너모카</t>
  </si>
  <si>
    <t>토스</t>
  </si>
  <si>
    <t>100208736982</t>
  </si>
  <si>
    <t>차키</t>
  </si>
  <si>
    <t>1002944606021</t>
  </si>
  <si>
    <t>김태리</t>
  </si>
  <si>
    <t>010-7788-1363</t>
  </si>
  <si>
    <t>4/10 지급</t>
    <phoneticPr fontId="3" type="noConversion"/>
  </si>
  <si>
    <t>이하나</t>
  </si>
  <si>
    <t>이기숙</t>
  </si>
  <si>
    <t>이나영</t>
  </si>
  <si>
    <t>김유나</t>
  </si>
  <si>
    <t>처머</t>
  </si>
  <si>
    <t>임아리</t>
  </si>
  <si>
    <t>한애네</t>
  </si>
  <si>
    <t>김미라</t>
  </si>
  <si>
    <t>한장미</t>
  </si>
  <si>
    <t>이노민</t>
  </si>
  <si>
    <t>박은숙</t>
  </si>
  <si>
    <t>절멍</t>
  </si>
  <si>
    <t>투기</t>
  </si>
  <si>
    <t>본자</t>
  </si>
  <si>
    <t>이수지</t>
  </si>
  <si>
    <t>김세인</t>
  </si>
  <si>
    <t>유빈</t>
  </si>
  <si>
    <t>아치</t>
  </si>
  <si>
    <t>미나</t>
  </si>
  <si>
    <t>우레</t>
  </si>
  <si>
    <t>강인운</t>
  </si>
  <si>
    <t>김서라</t>
  </si>
  <si>
    <t>이아영</t>
  </si>
  <si>
    <t>어윤미</t>
  </si>
  <si>
    <t>허지</t>
  </si>
  <si>
    <t>졸라</t>
  </si>
  <si>
    <t>혜인</t>
  </si>
  <si>
    <t>한나</t>
  </si>
  <si>
    <t>아나</t>
  </si>
  <si>
    <t>푸기</t>
  </si>
  <si>
    <t>체체그</t>
  </si>
  <si>
    <t>앤디</t>
  </si>
  <si>
    <t>채기</t>
  </si>
  <si>
    <t>나라카</t>
  </si>
  <si>
    <t>나몬</t>
  </si>
  <si>
    <t>나라</t>
  </si>
  <si>
    <t>홀란</t>
  </si>
  <si>
    <t>우진</t>
  </si>
  <si>
    <t>이민지</t>
  </si>
  <si>
    <t>허기</t>
  </si>
  <si>
    <t>소원</t>
  </si>
  <si>
    <t>지호</t>
  </si>
  <si>
    <t>에기</t>
  </si>
  <si>
    <t>하윤</t>
  </si>
  <si>
    <t>수기</t>
  </si>
  <si>
    <t>나미</t>
  </si>
  <si>
    <t>이성주</t>
  </si>
  <si>
    <t>돌궁</t>
  </si>
  <si>
    <t>26.04.01~04.05</t>
    <phoneticPr fontId="3" type="noConversion"/>
  </si>
  <si>
    <t>소노캄</t>
    <phoneticPr fontId="3" type="noConversion"/>
  </si>
  <si>
    <t>룸메이드</t>
    <phoneticPr fontId="3" type="noConversion"/>
  </si>
  <si>
    <t>소노캄</t>
  </si>
  <si>
    <t>런드리</t>
  </si>
  <si>
    <t>보라</t>
  </si>
  <si>
    <t>너마</t>
  </si>
  <si>
    <t>아리</t>
  </si>
  <si>
    <t>할룽</t>
  </si>
  <si>
    <t>린</t>
  </si>
  <si>
    <t>준호</t>
  </si>
  <si>
    <t>김보미</t>
  </si>
  <si>
    <t>조미나</t>
  </si>
  <si>
    <t>빔</t>
  </si>
  <si>
    <t>지혜</t>
  </si>
  <si>
    <t>미소</t>
  </si>
  <si>
    <t>수지라</t>
  </si>
  <si>
    <t>짠티마</t>
  </si>
  <si>
    <t>사라</t>
  </si>
  <si>
    <t>백</t>
  </si>
  <si>
    <t>나비</t>
  </si>
  <si>
    <t>엘레나</t>
  </si>
  <si>
    <t>김하늘</t>
  </si>
  <si>
    <t>김수진</t>
  </si>
  <si>
    <t>김안나</t>
  </si>
  <si>
    <t>가은</t>
  </si>
  <si>
    <t>라징(신)</t>
  </si>
  <si>
    <t>어유나</t>
  </si>
  <si>
    <t xml:space="preserve">짐게 </t>
  </si>
  <si>
    <t>에르덴</t>
  </si>
  <si>
    <t>세아(사이항)</t>
  </si>
  <si>
    <t>가랍</t>
  </si>
  <si>
    <t>문성주</t>
  </si>
  <si>
    <t>헝거르졸</t>
  </si>
  <si>
    <t>아나르</t>
  </si>
  <si>
    <t>소담</t>
  </si>
  <si>
    <t>흐진</t>
  </si>
  <si>
    <t>바야르마</t>
  </si>
  <si>
    <t>마를마</t>
  </si>
  <si>
    <t>채영</t>
  </si>
  <si>
    <t>히시게</t>
  </si>
  <si>
    <t>어유카</t>
  </si>
  <si>
    <t>아마라</t>
  </si>
  <si>
    <t>아난드</t>
  </si>
  <si>
    <t>이현주</t>
  </si>
  <si>
    <t>수빈</t>
  </si>
  <si>
    <t>찬드만</t>
  </si>
  <si>
    <t>몽흐체첵</t>
  </si>
  <si>
    <t>서커</t>
  </si>
  <si>
    <t>유나</t>
  </si>
  <si>
    <t>하나(신입)</t>
  </si>
  <si>
    <t>무기</t>
  </si>
  <si>
    <t>더기</t>
  </si>
  <si>
    <t>체기</t>
  </si>
  <si>
    <t>신지수</t>
  </si>
  <si>
    <t>미리나</t>
  </si>
  <si>
    <t>책미드</t>
  </si>
  <si>
    <t>기업</t>
  </si>
  <si>
    <t>제주</t>
  </si>
  <si>
    <t>새마을금고</t>
  </si>
  <si>
    <t>전복</t>
  </si>
  <si>
    <t>4/10 지급</t>
    <phoneticPr fontId="3" type="noConversion"/>
  </si>
  <si>
    <t>펜츄리</t>
    <phoneticPr fontId="3" type="noConversion"/>
  </si>
  <si>
    <t>26.04.01~04.12</t>
    <phoneticPr fontId="3" type="noConversion"/>
  </si>
  <si>
    <t>프로에스콤</t>
    <phoneticPr fontId="3" type="noConversion"/>
  </si>
  <si>
    <t>포시즌스</t>
    <phoneticPr fontId="3" type="noConversion"/>
  </si>
  <si>
    <t>다리아</t>
    <phoneticPr fontId="3" type="noConversion"/>
  </si>
  <si>
    <t>버기</t>
    <phoneticPr fontId="3" type="noConversion"/>
  </si>
  <si>
    <t>자야</t>
    <phoneticPr fontId="3" type="noConversion"/>
  </si>
  <si>
    <t>사라</t>
    <phoneticPr fontId="3" type="noConversion"/>
  </si>
  <si>
    <t>오양가</t>
    <phoneticPr fontId="3" type="noConversion"/>
  </si>
  <si>
    <t>미나</t>
    <phoneticPr fontId="3" type="noConversion"/>
  </si>
  <si>
    <t>입금일</t>
    <phoneticPr fontId="3" type="noConversion"/>
  </si>
  <si>
    <t>우리</t>
    <phoneticPr fontId="3" type="noConversion"/>
  </si>
  <si>
    <t>토스</t>
    <phoneticPr fontId="3" type="noConversion"/>
  </si>
  <si>
    <t>국민</t>
    <phoneticPr fontId="3" type="noConversion"/>
  </si>
  <si>
    <t>경남</t>
    <phoneticPr fontId="3" type="noConversion"/>
  </si>
  <si>
    <t>04840204367673</t>
  </si>
  <si>
    <t>배딩조</t>
    <phoneticPr fontId="3" type="noConversion"/>
  </si>
  <si>
    <t>자야2</t>
  </si>
  <si>
    <t>절버</t>
    <phoneticPr fontId="3" type="noConversion"/>
  </si>
  <si>
    <t>가나</t>
    <phoneticPr fontId="3" type="noConversion"/>
  </si>
  <si>
    <t>주영</t>
    <phoneticPr fontId="3" type="noConversion"/>
  </si>
  <si>
    <t>도쿠</t>
    <phoneticPr fontId="3" type="noConversion"/>
  </si>
  <si>
    <t>전북</t>
    <phoneticPr fontId="3" type="noConversion"/>
  </si>
  <si>
    <t>4/17 지급</t>
    <phoneticPr fontId="3" type="noConversion"/>
  </si>
  <si>
    <t>5시간 연장근무 +77,500</t>
    <phoneticPr fontId="17" type="noConversion"/>
  </si>
  <si>
    <t>26.04.06~04.12</t>
  </si>
  <si>
    <t>26.04.06~04.12</t>
    <phoneticPr fontId="3" type="noConversion"/>
  </si>
  <si>
    <t>우래</t>
  </si>
  <si>
    <t>도하</t>
  </si>
  <si>
    <t>다와</t>
  </si>
  <si>
    <t>김민수</t>
  </si>
  <si>
    <t>레나</t>
  </si>
  <si>
    <t>김애란</t>
  </si>
  <si>
    <t>샤인</t>
  </si>
  <si>
    <t>투</t>
  </si>
  <si>
    <t>로안</t>
  </si>
  <si>
    <t>황</t>
  </si>
  <si>
    <t>남(신)</t>
  </si>
  <si>
    <t>푸(신)</t>
  </si>
  <si>
    <t>북(신)</t>
  </si>
  <si>
    <t>뚜(신)</t>
  </si>
  <si>
    <t>룩(신)</t>
  </si>
  <si>
    <t>아야</t>
  </si>
  <si>
    <t>아리오나</t>
  </si>
  <si>
    <t>사노카</t>
  </si>
  <si>
    <t>유나(신)</t>
  </si>
  <si>
    <t>오치랄(신)</t>
  </si>
  <si>
    <t>아리(하나)</t>
  </si>
  <si>
    <t>지수(홀랑)</t>
  </si>
  <si>
    <t>펜츄리</t>
    <phoneticPr fontId="3" type="noConversion"/>
  </si>
  <si>
    <t>3월 가스비</t>
  </si>
  <si>
    <t>3월 가스비 (20만원 본사부담)</t>
  </si>
  <si>
    <t>3월 가스비 (40만원 본사부담)</t>
  </si>
  <si>
    <t>15/31</t>
    <phoneticPr fontId="3" type="noConversion"/>
  </si>
  <si>
    <t>호산서비스-웨스턴 조선호텔</t>
    <phoneticPr fontId="3" type="noConversion"/>
  </si>
  <si>
    <t>26.04.01~04.15</t>
    <phoneticPr fontId="3" type="noConversion"/>
  </si>
  <si>
    <t>호산서비스</t>
    <phoneticPr fontId="3" type="noConversion"/>
  </si>
  <si>
    <t>웨스틴 조선 서울</t>
  </si>
  <si>
    <t>강미소</t>
  </si>
  <si>
    <t>김인정</t>
  </si>
  <si>
    <t>총 근무일</t>
    <phoneticPr fontId="3" type="noConversion"/>
  </si>
  <si>
    <t>4</t>
    <phoneticPr fontId="3" type="noConversion"/>
  </si>
  <si>
    <t>5</t>
    <phoneticPr fontId="3" type="noConversion"/>
  </si>
  <si>
    <t>26.04.01~04.06</t>
    <phoneticPr fontId="3" type="noConversion"/>
  </si>
  <si>
    <t>파크하얏트 부산</t>
    <phoneticPr fontId="3" type="noConversion"/>
  </si>
  <si>
    <t>마야</t>
    <phoneticPr fontId="3" type="noConversion"/>
  </si>
  <si>
    <t>부산</t>
    <phoneticPr fontId="3" type="noConversion"/>
  </si>
  <si>
    <t>부산파크</t>
    <phoneticPr fontId="3" type="noConversion"/>
  </si>
  <si>
    <t>두잉</t>
    <phoneticPr fontId="3" type="noConversion"/>
  </si>
  <si>
    <t>제주</t>
    <phoneticPr fontId="3" type="noConversion"/>
  </si>
  <si>
    <t>삼구</t>
    <phoneticPr fontId="3" type="noConversion"/>
  </si>
  <si>
    <t>소노벨</t>
    <phoneticPr fontId="3" type="noConversion"/>
  </si>
  <si>
    <t>소노캄_기물</t>
    <phoneticPr fontId="3" type="noConversion"/>
  </si>
  <si>
    <t>소노캄_런드리</t>
    <phoneticPr fontId="3" type="noConversion"/>
  </si>
  <si>
    <t>㈜프로에스콤</t>
    <phoneticPr fontId="3" type="noConversion"/>
  </si>
  <si>
    <t>포시</t>
    <phoneticPr fontId="3" type="noConversion"/>
  </si>
  <si>
    <t>조선</t>
    <phoneticPr fontId="3" type="noConversion"/>
  </si>
  <si>
    <t>4/20 지급</t>
    <phoneticPr fontId="3" type="noConversion"/>
  </si>
  <si>
    <t>4/24 지급</t>
    <phoneticPr fontId="3" type="noConversion"/>
  </si>
  <si>
    <t>어유카</t>
    <phoneticPr fontId="3" type="noConversion"/>
  </si>
  <si>
    <t>4/25 지급</t>
    <phoneticPr fontId="3" type="noConversion"/>
  </si>
  <si>
    <t>사와나(신입)</t>
  </si>
  <si>
    <t>침액(신입)</t>
  </si>
  <si>
    <t>디얀아</t>
  </si>
  <si>
    <t>26.04.13~04.19</t>
    <phoneticPr fontId="3" type="noConversion"/>
  </si>
  <si>
    <t>3월 관리비</t>
  </si>
  <si>
    <t>4/24 선입금</t>
  </si>
  <si>
    <t>4/24 지급 - 4/24 선지급</t>
    <phoneticPr fontId="3" type="noConversion"/>
  </si>
  <si>
    <t>미가</t>
  </si>
  <si>
    <t>이서</t>
  </si>
  <si>
    <t xml:space="preserve">박은숙 </t>
  </si>
  <si>
    <t>버기</t>
  </si>
  <si>
    <t>한미래</t>
  </si>
  <si>
    <t>김미라(아마라)</t>
  </si>
  <si>
    <t>자영</t>
  </si>
  <si>
    <t>지우</t>
  </si>
  <si>
    <t>예소</t>
  </si>
  <si>
    <t>버마</t>
  </si>
  <si>
    <t>우주</t>
  </si>
  <si>
    <t>서기</t>
  </si>
  <si>
    <t>뭉흐졸</t>
  </si>
  <si>
    <t>소미</t>
  </si>
  <si>
    <t>26.04.13~04.19</t>
    <phoneticPr fontId="3" type="noConversion"/>
  </si>
  <si>
    <t>한강</t>
  </si>
  <si>
    <t>조기영</t>
  </si>
  <si>
    <t>(주)프로에스콤-시그니엘</t>
    <phoneticPr fontId="3" type="noConversion"/>
  </si>
  <si>
    <t>시그니엘</t>
    <phoneticPr fontId="3" type="noConversion"/>
  </si>
  <si>
    <t>11/24</t>
    <phoneticPr fontId="3" type="noConversion"/>
  </si>
  <si>
    <t>유정화</t>
    <phoneticPr fontId="3" type="noConversion"/>
  </si>
  <si>
    <t>정현주</t>
    <phoneticPr fontId="3" type="noConversion"/>
  </si>
  <si>
    <t>채움으로 지급 진행 / 정산만 휴먼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</si>
</sst>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m&quot;월&quot;\ dd&quot;일&quot;"/>
    <numFmt numFmtId="177" formatCode="0_ "/>
    <numFmt numFmtId="178" formatCode="0_);[Red]\(0\)"/>
  </numFmts>
  <fonts count="1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  <scheme val="minor"/>
    </font>
    <font>
      <sz val="11"/>
      <name val="돋움"/>
      <family val="3"/>
      <charset val="129"/>
    </font>
    <font>
      <sz val="11"/>
      <color rgb="FF000000"/>
      <name val="돋움"/>
      <family val="3"/>
      <charset val="129"/>
    </font>
    <font>
      <sz val="10"/>
      <color theme="1"/>
      <name val="맑은 고딕"/>
      <family val="3"/>
      <charset val="129"/>
    </font>
    <font>
      <sz val="11"/>
      <color rgb="FF000000"/>
      <name val="Arial"/>
      <family val="2"/>
    </font>
    <font>
      <sz val="8"/>
      <name val="돋움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 style="hair">
        <color auto="1"/>
      </top>
      <bottom style="dashed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19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>
      <alignment vertical="center"/>
    </xf>
    <xf numFmtId="41" fontId="8" fillId="0" borderId="0">
      <alignment vertical="center"/>
    </xf>
    <xf numFmtId="41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3" fillId="0" borderId="0"/>
    <xf numFmtId="0" fontId="15" fillId="0" borderId="0">
      <alignment vertical="center"/>
    </xf>
    <xf numFmtId="0" fontId="13" fillId="0" borderId="0"/>
    <xf numFmtId="0" fontId="14" fillId="0" borderId="0"/>
    <xf numFmtId="0" fontId="16" fillId="0" borderId="0">
      <alignment vertical="center"/>
    </xf>
    <xf numFmtId="0" fontId="9" fillId="0" borderId="0">
      <alignment vertical="center"/>
    </xf>
  </cellStyleXfs>
  <cellXfs count="164">
    <xf numFmtId="0" fontId="0" fillId="0" borderId="0" xfId="0">
      <alignment vertical="center"/>
    </xf>
    <xf numFmtId="41" fontId="4" fillId="0" borderId="0" xfId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2" borderId="4" xfId="0" applyFont="1" applyFill="1" applyBorder="1" applyAlignment="1">
      <alignment horizontal="center" vertical="center" textRotation="255"/>
    </xf>
    <xf numFmtId="0" fontId="4" fillId="2" borderId="2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1" fontId="4" fillId="0" borderId="7" xfId="0" applyNumberFormat="1" applyFont="1" applyBorder="1" applyAlignment="1">
      <alignment horizontal="center" vertical="center"/>
    </xf>
    <xf numFmtId="41" fontId="4" fillId="0" borderId="0" xfId="1" applyFont="1" applyFill="1" applyAlignment="1">
      <alignment horizontal="center" vertical="center"/>
    </xf>
    <xf numFmtId="41" fontId="4" fillId="0" borderId="0" xfId="1" applyFont="1" applyFill="1" applyAlignment="1">
      <alignment horizontal="left" vertical="center"/>
    </xf>
    <xf numFmtId="41" fontId="6" fillId="0" borderId="0" xfId="1" applyFont="1" applyFill="1" applyBorder="1" applyAlignment="1"/>
    <xf numFmtId="0" fontId="4" fillId="0" borderId="9" xfId="0" applyFont="1" applyBorder="1" applyAlignment="1">
      <alignment horizontal="left" vertical="center"/>
    </xf>
    <xf numFmtId="41" fontId="4" fillId="0" borderId="9" xfId="0" applyNumberFormat="1" applyFont="1" applyBorder="1" applyAlignment="1">
      <alignment horizontal="center" vertical="center"/>
    </xf>
    <xf numFmtId="41" fontId="5" fillId="0" borderId="0" xfId="0" applyNumberFormat="1" applyFont="1" applyAlignment="1">
      <alignment horizontal="center" vertical="center"/>
    </xf>
    <xf numFmtId="41" fontId="5" fillId="0" borderId="10" xfId="0" applyNumberFormat="1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41" fontId="5" fillId="0" borderId="7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41" fontId="4" fillId="0" borderId="0" xfId="1" applyFont="1" applyFill="1" applyBorder="1" applyAlignment="1">
      <alignment horizontal="left" vertical="center"/>
    </xf>
    <xf numFmtId="41" fontId="4" fillId="0" borderId="0" xfId="1" applyFont="1" applyFill="1" applyBorder="1" applyAlignment="1">
      <alignment horizontal="center" vertical="center"/>
    </xf>
    <xf numFmtId="41" fontId="5" fillId="0" borderId="6" xfId="0" applyNumberFormat="1" applyFont="1" applyBorder="1" applyAlignment="1">
      <alignment horizontal="center" vertical="center"/>
    </xf>
    <xf numFmtId="41" fontId="4" fillId="0" borderId="10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41" fontId="4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41" fontId="5" fillId="0" borderId="13" xfId="0" applyNumberFormat="1" applyFont="1" applyBorder="1" applyAlignment="1">
      <alignment horizontal="center" vertical="center"/>
    </xf>
    <xf numFmtId="41" fontId="4" fillId="0" borderId="11" xfId="0" applyNumberFormat="1" applyFont="1" applyBorder="1" applyAlignment="1">
      <alignment horizontal="center" vertical="center"/>
    </xf>
    <xf numFmtId="41" fontId="4" fillId="0" borderId="0" xfId="1" applyFont="1" applyBorder="1" applyAlignment="1">
      <alignment horizontal="center" vertical="center"/>
    </xf>
    <xf numFmtId="41" fontId="4" fillId="0" borderId="6" xfId="0" applyNumberFormat="1" applyFont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41" fontId="7" fillId="2" borderId="12" xfId="0" applyNumberFormat="1" applyFont="1" applyFill="1" applyBorder="1" applyAlignment="1">
      <alignment horizontal="center" vertical="center"/>
    </xf>
    <xf numFmtId="41" fontId="5" fillId="2" borderId="1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textRotation="255"/>
    </xf>
    <xf numFmtId="41" fontId="4" fillId="0" borderId="0" xfId="0" applyNumberFormat="1" applyFont="1" applyAlignment="1">
      <alignment horizontal="center" vertical="center"/>
    </xf>
    <xf numFmtId="41" fontId="4" fillId="0" borderId="0" xfId="1" applyFont="1" applyAlignment="1">
      <alignment horizontal="left" vertical="center"/>
    </xf>
    <xf numFmtId="41" fontId="0" fillId="0" borderId="0" xfId="0" applyNumberFormat="1">
      <alignment vertical="center"/>
    </xf>
    <xf numFmtId="0" fontId="4" fillId="0" borderId="15" xfId="0" applyFont="1" applyBorder="1">
      <alignment vertical="center"/>
    </xf>
    <xf numFmtId="0" fontId="4" fillId="0" borderId="12" xfId="0" applyFont="1" applyBorder="1" applyAlignment="1">
      <alignment horizontal="right" vertical="center"/>
    </xf>
    <xf numFmtId="0" fontId="4" fillId="0" borderId="16" xfId="0" applyFont="1" applyBorder="1">
      <alignment vertical="center"/>
    </xf>
    <xf numFmtId="0" fontId="4" fillId="0" borderId="14" xfId="0" applyFont="1" applyBorder="1" applyAlignment="1">
      <alignment horizontal="center" vertical="center"/>
    </xf>
    <xf numFmtId="49" fontId="4" fillId="0" borderId="14" xfId="0" applyNumberFormat="1" applyFont="1" applyBorder="1" applyAlignment="1">
      <alignment horizontal="center" vertical="center"/>
    </xf>
    <xf numFmtId="0" fontId="4" fillId="0" borderId="14" xfId="0" applyFont="1" applyBorder="1">
      <alignment vertical="center"/>
    </xf>
    <xf numFmtId="0" fontId="4" fillId="0" borderId="17" xfId="0" applyFont="1" applyBorder="1" applyAlignment="1">
      <alignment horizontal="center" vertical="center"/>
    </xf>
    <xf numFmtId="176" fontId="9" fillId="0" borderId="18" xfId="2" applyNumberFormat="1" applyFont="1" applyBorder="1" applyAlignment="1">
      <alignment horizontal="center" vertical="center"/>
    </xf>
    <xf numFmtId="49" fontId="9" fillId="0" borderId="18" xfId="2" applyNumberFormat="1" applyFont="1" applyBorder="1" applyAlignment="1">
      <alignment horizontal="center" vertical="center"/>
    </xf>
    <xf numFmtId="49" fontId="10" fillId="0" borderId="18" xfId="2" applyNumberFormat="1" applyFont="1" applyBorder="1" applyAlignment="1">
      <alignment horizontal="center" vertical="center"/>
    </xf>
    <xf numFmtId="49" fontId="9" fillId="0" borderId="18" xfId="2" applyNumberFormat="1" applyFont="1" applyBorder="1" applyAlignment="1">
      <alignment horizontal="left" vertical="center"/>
    </xf>
    <xf numFmtId="41" fontId="10" fillId="0" borderId="18" xfId="3" applyFont="1" applyBorder="1" applyAlignment="1">
      <alignment horizontal="center" vertical="center"/>
    </xf>
    <xf numFmtId="41" fontId="10" fillId="0" borderId="18" xfId="4" applyFont="1" applyFill="1" applyBorder="1" applyAlignment="1">
      <alignment horizontal="center" vertical="center"/>
    </xf>
    <xf numFmtId="49" fontId="10" fillId="0" borderId="18" xfId="2" applyNumberFormat="1" applyFont="1" applyBorder="1" applyAlignment="1">
      <alignment horizontal="left" vertical="center"/>
    </xf>
    <xf numFmtId="41" fontId="9" fillId="0" borderId="18" xfId="3" applyFont="1" applyBorder="1" applyAlignment="1">
      <alignment horizontal="center" vertical="center"/>
    </xf>
    <xf numFmtId="0" fontId="6" fillId="0" borderId="0" xfId="0" applyFont="1">
      <alignment vertical="center"/>
    </xf>
    <xf numFmtId="14" fontId="9" fillId="0" borderId="0" xfId="3" applyNumberFormat="1" applyFont="1" applyAlignment="1">
      <alignment horizontal="left" vertical="center"/>
    </xf>
    <xf numFmtId="14" fontId="9" fillId="0" borderId="18" xfId="3" applyNumberFormat="1" applyFont="1" applyBorder="1" applyAlignment="1">
      <alignment horizontal="left" vertical="center"/>
    </xf>
    <xf numFmtId="49" fontId="9" fillId="0" borderId="18" xfId="0" applyNumberFormat="1" applyFont="1" applyBorder="1" applyAlignment="1">
      <alignment horizontal="center" vertical="center"/>
    </xf>
    <xf numFmtId="0" fontId="4" fillId="0" borderId="15" xfId="0" applyFont="1" applyBorder="1" applyAlignment="1">
      <alignment horizontal="left" vertical="center"/>
    </xf>
    <xf numFmtId="176" fontId="9" fillId="5" borderId="18" xfId="2" applyNumberFormat="1" applyFont="1" applyFill="1" applyBorder="1" applyAlignment="1">
      <alignment horizontal="center" vertical="center"/>
    </xf>
    <xf numFmtId="177" fontId="9" fillId="0" borderId="18" xfId="2" applyNumberFormat="1" applyFont="1" applyBorder="1" applyAlignment="1">
      <alignment horizontal="left" vertical="center"/>
    </xf>
    <xf numFmtId="41" fontId="9" fillId="0" borderId="18" xfId="7" applyFont="1" applyBorder="1" applyAlignment="1">
      <alignment horizontal="center" vertical="center"/>
    </xf>
    <xf numFmtId="41" fontId="11" fillId="4" borderId="18" xfId="3" applyFont="1" applyFill="1" applyBorder="1" applyAlignment="1">
      <alignment horizontal="center" vertical="center"/>
    </xf>
    <xf numFmtId="176" fontId="9" fillId="6" borderId="18" xfId="0" applyNumberFormat="1" applyFont="1" applyFill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6" borderId="18" xfId="0" applyFont="1" applyFill="1" applyBorder="1" applyAlignment="1">
      <alignment horizontal="left" vertical="center"/>
    </xf>
    <xf numFmtId="41" fontId="11" fillId="0" borderId="18" xfId="3" applyFont="1" applyBorder="1" applyAlignment="1">
      <alignment horizontal="center" vertical="center"/>
    </xf>
    <xf numFmtId="0" fontId="0" fillId="0" borderId="18" xfId="0" applyBorder="1">
      <alignment vertical="center"/>
    </xf>
    <xf numFmtId="0" fontId="9" fillId="0" borderId="18" xfId="0" applyFont="1" applyBorder="1" applyAlignment="1">
      <alignment horizontal="center" vertical="center"/>
    </xf>
    <xf numFmtId="0" fontId="9" fillId="0" borderId="18" xfId="2" applyFont="1" applyBorder="1" applyAlignment="1">
      <alignment horizontal="center" vertical="center"/>
    </xf>
    <xf numFmtId="49" fontId="9" fillId="0" borderId="18" xfId="8" applyNumberFormat="1" applyFont="1" applyBorder="1" applyAlignment="1">
      <alignment horizontal="center" vertical="center"/>
    </xf>
    <xf numFmtId="49" fontId="9" fillId="0" borderId="18" xfId="8" applyNumberFormat="1" applyFont="1" applyBorder="1" applyAlignment="1">
      <alignment horizontal="left" vertical="center"/>
    </xf>
    <xf numFmtId="41" fontId="9" fillId="0" borderId="18" xfId="9" applyFont="1" applyFill="1" applyBorder="1" applyAlignment="1">
      <alignment horizontal="center" vertical="center"/>
    </xf>
    <xf numFmtId="176" fontId="9" fillId="7" borderId="18" xfId="2" applyNumberFormat="1" applyFont="1" applyFill="1" applyBorder="1" applyAlignment="1">
      <alignment horizontal="center" vertical="center"/>
    </xf>
    <xf numFmtId="49" fontId="9" fillId="7" borderId="18" xfId="2" applyNumberFormat="1" applyFont="1" applyFill="1" applyBorder="1" applyAlignment="1">
      <alignment horizontal="center" vertical="center"/>
    </xf>
    <xf numFmtId="49" fontId="9" fillId="7" borderId="18" xfId="8" applyNumberFormat="1" applyFont="1" applyFill="1" applyBorder="1" applyAlignment="1">
      <alignment horizontal="center" vertical="center"/>
    </xf>
    <xf numFmtId="41" fontId="9" fillId="7" borderId="18" xfId="3" applyFont="1" applyFill="1" applyBorder="1" applyAlignment="1">
      <alignment horizontal="center" vertical="center"/>
    </xf>
    <xf numFmtId="41" fontId="9" fillId="7" borderId="18" xfId="6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9" fillId="0" borderId="0" xfId="3" applyNumberFormat="1" applyFont="1" applyAlignment="1">
      <alignment horizontal="left" vertical="center"/>
    </xf>
    <xf numFmtId="41" fontId="10" fillId="0" borderId="18" xfId="7" applyFont="1" applyBorder="1" applyAlignment="1">
      <alignment horizontal="center" vertical="center"/>
    </xf>
    <xf numFmtId="0" fontId="9" fillId="0" borderId="18" xfId="3" applyNumberFormat="1" applyFont="1" applyBorder="1" applyAlignment="1">
      <alignment horizontal="left" vertical="center"/>
    </xf>
    <xf numFmtId="41" fontId="9" fillId="0" borderId="18" xfId="10" applyFont="1" applyBorder="1" applyAlignment="1">
      <alignment horizontal="center" vertical="center"/>
    </xf>
    <xf numFmtId="14" fontId="9" fillId="0" borderId="18" xfId="3" applyNumberFormat="1" applyFont="1" applyBorder="1" applyAlignment="1">
      <alignment horizontal="center" vertical="center"/>
    </xf>
    <xf numFmtId="14" fontId="9" fillId="0" borderId="0" xfId="3" applyNumberFormat="1" applyFont="1" applyAlignment="1">
      <alignment horizontal="center" vertical="center"/>
    </xf>
    <xf numFmtId="41" fontId="9" fillId="0" borderId="18" xfId="3" applyFont="1" applyBorder="1" applyAlignment="1">
      <alignment horizontal="left" vertical="center"/>
    </xf>
    <xf numFmtId="41" fontId="9" fillId="0" borderId="0" xfId="7" applyFont="1" applyAlignment="1">
      <alignment horizontal="center" vertical="center"/>
    </xf>
    <xf numFmtId="49" fontId="10" fillId="0" borderId="19" xfId="2" applyNumberFormat="1" applyFont="1" applyBorder="1" applyAlignment="1">
      <alignment horizontal="center" vertical="center"/>
    </xf>
    <xf numFmtId="41" fontId="4" fillId="0" borderId="15" xfId="1" applyFont="1" applyBorder="1" applyAlignment="1">
      <alignment horizontal="left" vertical="center"/>
    </xf>
    <xf numFmtId="41" fontId="4" fillId="0" borderId="14" xfId="1" applyFont="1" applyBorder="1" applyAlignment="1">
      <alignment horizontal="center" vertical="center"/>
    </xf>
    <xf numFmtId="41" fontId="9" fillId="6" borderId="18" xfId="1" applyFont="1" applyFill="1" applyBorder="1" applyAlignment="1">
      <alignment horizontal="left" vertical="center"/>
    </xf>
    <xf numFmtId="41" fontId="0" fillId="0" borderId="0" xfId="1" applyFont="1">
      <alignment vertical="center"/>
    </xf>
    <xf numFmtId="41" fontId="11" fillId="4" borderId="18" xfId="1" applyFont="1" applyFill="1" applyBorder="1" applyAlignment="1">
      <alignment horizontal="center" vertical="center"/>
    </xf>
    <xf numFmtId="41" fontId="9" fillId="0" borderId="18" xfId="1" applyFont="1" applyBorder="1" applyAlignment="1">
      <alignment horizontal="center" vertical="center"/>
    </xf>
    <xf numFmtId="41" fontId="4" fillId="0" borderId="10" xfId="1" applyFont="1" applyFill="1" applyBorder="1" applyAlignment="1">
      <alignment vertical="center"/>
    </xf>
    <xf numFmtId="41" fontId="4" fillId="2" borderId="0" xfId="1" applyFont="1" applyFill="1" applyBorder="1" applyAlignment="1">
      <alignment horizontal="center" vertical="center"/>
    </xf>
    <xf numFmtId="41" fontId="4" fillId="2" borderId="8" xfId="1" applyFont="1" applyFill="1" applyBorder="1" applyAlignment="1">
      <alignment horizontal="center" vertical="center"/>
    </xf>
    <xf numFmtId="41" fontId="4" fillId="0" borderId="8" xfId="1" applyFont="1" applyFill="1" applyBorder="1" applyAlignment="1">
      <alignment horizontal="center" vertical="center"/>
    </xf>
    <xf numFmtId="41" fontId="4" fillId="0" borderId="8" xfId="1" applyFont="1" applyFill="1" applyBorder="1" applyAlignment="1">
      <alignment vertical="center"/>
    </xf>
    <xf numFmtId="41" fontId="9" fillId="0" borderId="20" xfId="0" applyNumberFormat="1" applyFont="1" applyBorder="1" applyAlignment="1">
      <alignment horizontal="center" vertical="center"/>
    </xf>
    <xf numFmtId="41" fontId="9" fillId="0" borderId="18" xfId="0" applyNumberFormat="1" applyFont="1" applyBorder="1" applyAlignment="1">
      <alignment horizontal="center" vertical="center"/>
    </xf>
    <xf numFmtId="41" fontId="4" fillId="0" borderId="21" xfId="1" applyFont="1" applyFill="1" applyBorder="1" applyAlignment="1">
      <alignment horizontal="center" vertical="center"/>
    </xf>
    <xf numFmtId="41" fontId="4" fillId="0" borderId="22" xfId="1" applyFont="1" applyFill="1" applyBorder="1" applyAlignment="1">
      <alignment horizontal="center" vertical="center"/>
    </xf>
    <xf numFmtId="41" fontId="9" fillId="0" borderId="18" xfId="1" applyFont="1" applyBorder="1" applyAlignment="1">
      <alignment horizontal="left" vertical="center"/>
    </xf>
    <xf numFmtId="41" fontId="4" fillId="0" borderId="12" xfId="1" applyFont="1" applyBorder="1" applyAlignment="1">
      <alignment horizontal="right" vertical="center"/>
    </xf>
    <xf numFmtId="178" fontId="4" fillId="0" borderId="14" xfId="0" applyNumberFormat="1" applyFont="1" applyBorder="1" applyAlignment="1">
      <alignment horizontal="center" vertical="center"/>
    </xf>
    <xf numFmtId="178" fontId="9" fillId="0" borderId="18" xfId="0" applyNumberFormat="1" applyFont="1" applyBorder="1" applyAlignment="1">
      <alignment horizontal="left" vertical="center"/>
    </xf>
    <xf numFmtId="178" fontId="9" fillId="7" borderId="18" xfId="8" applyNumberFormat="1" applyFont="1" applyFill="1" applyBorder="1" applyAlignment="1">
      <alignment horizontal="left" vertical="center"/>
    </xf>
    <xf numFmtId="178" fontId="9" fillId="0" borderId="18" xfId="2" applyNumberFormat="1" applyFont="1" applyBorder="1" applyAlignment="1">
      <alignment horizontal="left" vertical="center"/>
    </xf>
    <xf numFmtId="178" fontId="9" fillId="7" borderId="18" xfId="2" applyNumberFormat="1" applyFont="1" applyFill="1" applyBorder="1" applyAlignment="1">
      <alignment horizontal="left" vertical="center"/>
    </xf>
    <xf numFmtId="178" fontId="9" fillId="0" borderId="18" xfId="8" applyNumberFormat="1" applyFont="1" applyBorder="1" applyAlignment="1">
      <alignment horizontal="left" vertical="center"/>
    </xf>
    <xf numFmtId="178" fontId="0" fillId="0" borderId="0" xfId="0" applyNumberFormat="1">
      <alignment vertical="center"/>
    </xf>
    <xf numFmtId="14" fontId="9" fillId="0" borderId="18" xfId="2" applyNumberFormat="1" applyFont="1" applyBorder="1" applyAlignment="1">
      <alignment horizontal="left" vertical="center"/>
    </xf>
    <xf numFmtId="41" fontId="11" fillId="0" borderId="23" xfId="3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178" fontId="9" fillId="0" borderId="18" xfId="0" quotePrefix="1" applyNumberFormat="1" applyFont="1" applyBorder="1" applyAlignment="1">
      <alignment horizontal="left" vertical="center"/>
    </xf>
    <xf numFmtId="49" fontId="10" fillId="7" borderId="18" xfId="2" applyNumberFormat="1" applyFont="1" applyFill="1" applyBorder="1" applyAlignment="1">
      <alignment horizontal="center" vertical="center"/>
    </xf>
    <xf numFmtId="14" fontId="9" fillId="3" borderId="18" xfId="2" applyNumberFormat="1" applyFont="1" applyFill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41" fontId="5" fillId="0" borderId="9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41" fontId="4" fillId="0" borderId="2" xfId="1" applyFont="1" applyFill="1" applyBorder="1" applyAlignment="1">
      <alignment horizontal="center" vertical="center"/>
    </xf>
    <xf numFmtId="41" fontId="4" fillId="0" borderId="3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textRotation="255"/>
    </xf>
    <xf numFmtId="0" fontId="4" fillId="0" borderId="7" xfId="0" applyFont="1" applyBorder="1" applyAlignment="1">
      <alignment horizontal="center" vertical="center" textRotation="255"/>
    </xf>
    <xf numFmtId="0" fontId="4" fillId="0" borderId="4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5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3" fontId="6" fillId="0" borderId="0" xfId="0" applyNumberFormat="1" applyFont="1">
      <alignment vertical="center"/>
    </xf>
    <xf numFmtId="176" fontId="6" fillId="9" borderId="14" xfId="0" applyNumberFormat="1" applyFont="1" applyFill="1" applyBorder="1" applyAlignment="1">
      <alignment horizontal="center" vertical="center"/>
    </xf>
    <xf numFmtId="0" fontId="9" fillId="8" borderId="18" xfId="0" applyFont="1" applyFill="1" applyBorder="1" applyAlignment="1">
      <alignment horizontal="left" vertical="center"/>
    </xf>
    <xf numFmtId="41" fontId="4" fillId="0" borderId="8" xfId="1" applyFont="1" applyFill="1" applyBorder="1" applyAlignment="1">
      <alignment horizontal="center" vertical="center"/>
    </xf>
    <xf numFmtId="41" fontId="4" fillId="0" borderId="22" xfId="1" applyFont="1" applyFill="1" applyBorder="1" applyAlignment="1">
      <alignment horizontal="center" vertical="center"/>
    </xf>
    <xf numFmtId="41" fontId="4" fillId="0" borderId="10" xfId="1" applyFont="1" applyFill="1" applyBorder="1" applyAlignment="1">
      <alignment horizontal="center" vertical="center"/>
    </xf>
    <xf numFmtId="41" fontId="4" fillId="0" borderId="6" xfId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1" fontId="6" fillId="0" borderId="14" xfId="1" applyFont="1" applyBorder="1" applyAlignment="1">
      <alignment horizontal="center" vertical="center"/>
    </xf>
    <xf numFmtId="176" fontId="9" fillId="8" borderId="18" xfId="0" applyNumberFormat="1" applyFont="1" applyFill="1" applyBorder="1" applyAlignment="1">
      <alignment horizontal="left" vertical="center"/>
    </xf>
    <xf numFmtId="176" fontId="9" fillId="3" borderId="18" xfId="2" applyNumberFormat="1" applyFont="1" applyFill="1" applyBorder="1" applyAlignment="1">
      <alignment horizontal="center" vertical="center"/>
    </xf>
    <xf numFmtId="49" fontId="9" fillId="3" borderId="18" xfId="2" applyNumberFormat="1" applyFont="1" applyFill="1" applyBorder="1" applyAlignment="1">
      <alignment horizontal="center" vertical="center"/>
    </xf>
    <xf numFmtId="177" fontId="9" fillId="3" borderId="18" xfId="2" applyNumberFormat="1" applyFont="1" applyFill="1" applyBorder="1" applyAlignment="1">
      <alignment horizontal="left" vertical="center"/>
    </xf>
    <xf numFmtId="41" fontId="9" fillId="3" borderId="18" xfId="1" applyFont="1" applyFill="1" applyBorder="1" applyAlignment="1">
      <alignment horizontal="center" vertical="center"/>
    </xf>
    <xf numFmtId="41" fontId="11" fillId="3" borderId="18" xfId="1" applyFont="1" applyFill="1" applyBorder="1" applyAlignment="1">
      <alignment horizontal="center" vertical="center"/>
    </xf>
    <xf numFmtId="41" fontId="9" fillId="3" borderId="18" xfId="1" applyFont="1" applyFill="1" applyBorder="1" applyAlignment="1">
      <alignment horizontal="left" vertical="center"/>
    </xf>
    <xf numFmtId="0" fontId="9" fillId="3" borderId="18" xfId="0" applyFont="1" applyFill="1" applyBorder="1" applyAlignment="1">
      <alignment horizontal="left" vertical="center"/>
    </xf>
    <xf numFmtId="176" fontId="9" fillId="3" borderId="18" xfId="0" applyNumberFormat="1" applyFont="1" applyFill="1" applyBorder="1" applyAlignment="1">
      <alignment horizontal="left" vertical="center"/>
    </xf>
    <xf numFmtId="0" fontId="0" fillId="3" borderId="0" xfId="0" applyFill="1">
      <alignment vertical="center"/>
    </xf>
    <xf numFmtId="176" fontId="4" fillId="0" borderId="9" xfId="0" quotePrefix="1" applyNumberFormat="1" applyFont="1" applyBorder="1" applyAlignment="1">
      <alignment horizontal="center" vertical="center"/>
    </xf>
    <xf numFmtId="176" fontId="9" fillId="10" borderId="18" xfId="2" applyNumberFormat="1" applyFont="1" applyFill="1" applyBorder="1" applyAlignment="1">
      <alignment horizontal="center" vertical="center"/>
    </xf>
    <xf numFmtId="49" fontId="9" fillId="10" borderId="18" xfId="2" applyNumberFormat="1" applyFont="1" applyFill="1" applyBorder="1" applyAlignment="1">
      <alignment horizontal="center" vertical="center"/>
    </xf>
    <xf numFmtId="177" fontId="9" fillId="10" borderId="18" xfId="2" applyNumberFormat="1" applyFont="1" applyFill="1" applyBorder="1" applyAlignment="1">
      <alignment horizontal="left" vertical="center"/>
    </xf>
    <xf numFmtId="41" fontId="9" fillId="10" borderId="18" xfId="7" applyFont="1" applyFill="1" applyBorder="1" applyAlignment="1">
      <alignment horizontal="center" vertical="center"/>
    </xf>
    <xf numFmtId="41" fontId="11" fillId="10" borderId="18" xfId="3" applyFont="1" applyFill="1" applyBorder="1" applyAlignment="1">
      <alignment horizontal="center" vertical="center"/>
    </xf>
    <xf numFmtId="41" fontId="9" fillId="10" borderId="18" xfId="1" applyFont="1" applyFill="1" applyBorder="1" applyAlignment="1">
      <alignment horizontal="left" vertical="center"/>
    </xf>
  </cellXfs>
  <cellStyles count="19">
    <cellStyle name="Normal 2" xfId="17" xr:uid="{ACC061CF-8D95-4BAD-87D0-74C970E33D8E}"/>
    <cellStyle name="쉼표 [0]" xfId="1" builtinId="6"/>
    <cellStyle name="쉼표 [0] 16" xfId="6" xr:uid="{65F0A9A6-FEAF-45A3-BF7D-0B4A21CEFBE8}"/>
    <cellStyle name="쉼표 [0] 2" xfId="3" xr:uid="{ED41FE77-90AF-45A2-990C-FB2DD9345B2E}"/>
    <cellStyle name="쉼표 [0] 2 10" xfId="4" xr:uid="{9BEEB736-E8CC-4003-BBFC-5C5317C2791C}"/>
    <cellStyle name="쉼표 [0] 2 2" xfId="9" xr:uid="{D05F592B-D25F-4AA0-9256-E43113AE48EC}"/>
    <cellStyle name="쉼표 [0] 2 3" xfId="7" xr:uid="{8947D5C2-8E42-4D74-9CD8-13853777ED91}"/>
    <cellStyle name="쉼표 [0] 2 3 2" xfId="10" xr:uid="{83F4FD77-9E4D-40AA-81A2-7A7EB71268B5}"/>
    <cellStyle name="쉼표 [0] 24 10" xfId="5" xr:uid="{F0DF7686-3834-4ACF-8E4D-D16EF6176516}"/>
    <cellStyle name="표준" xfId="0" builtinId="0"/>
    <cellStyle name="표준 14 2" xfId="14" xr:uid="{4AD98050-B1FE-43B2-AD5C-D7ADF7EC0B1C}"/>
    <cellStyle name="표준 14 2 2" xfId="18" xr:uid="{D7241E37-292C-4349-AFD0-B22096691495}"/>
    <cellStyle name="표준 2" xfId="11" xr:uid="{F74DE8CF-F5E1-4927-8939-746C4868812E}"/>
    <cellStyle name="표준 2 10" xfId="2" xr:uid="{DF3874E8-9AF5-40E9-A172-3E523FE529A8}"/>
    <cellStyle name="표준 2 2" xfId="12" xr:uid="{0E13CE0C-B0E8-4648-8CC2-1159C8405FED}"/>
    <cellStyle name="표준 2 2 2 2" xfId="8" xr:uid="{BEA97455-4D88-4C97-8B76-500D83C9AE49}"/>
    <cellStyle name="표준 3" xfId="13" xr:uid="{CDB5F9A4-36E4-4BE7-A22A-60441977CFF3}"/>
    <cellStyle name="표준 8" xfId="15" xr:uid="{5659E558-A020-4586-917C-7A38836213A0}"/>
    <cellStyle name="표준 8 2" xfId="16" xr:uid="{18CC1E7B-223E-4A46-8092-04E43E7BCE8E}"/>
  </cellStyles>
  <dxfs count="17">
    <dxf>
      <font>
        <b/>
        <i/>
      </font>
    </dxf>
    <dxf>
      <font>
        <b/>
        <i/>
      </font>
    </dxf>
    <dxf>
      <font>
        <b/>
        <i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DFD71-E426-4BA7-9CB5-C21694688D5E}">
  <dimension ref="A1:T21"/>
  <sheetViews>
    <sheetView tabSelected="1" workbookViewId="0">
      <pane xSplit="1" ySplit="2" topLeftCell="B3" activePane="bottomRight" state="frozen"/>
      <selection activeCell="I15" sqref="I15"/>
      <selection pane="topRight" activeCell="I15" sqref="I15"/>
      <selection pane="bottomLeft" activeCell="I15" sqref="I15"/>
      <selection pane="bottomRight" activeCell="H5" sqref="H5"/>
    </sheetView>
  </sheetViews>
  <sheetFormatPr defaultColWidth="9" defaultRowHeight="16.5" x14ac:dyDescent="0.3"/>
  <cols>
    <col min="1" max="1" width="11.75" style="129" bestFit="1" customWidth="1"/>
    <col min="2" max="2" width="27.25" style="131" customWidth="1"/>
    <col min="3" max="5" width="20.625" customWidth="1"/>
    <col min="6" max="6" width="8.625" customWidth="1"/>
    <col min="7" max="7" width="12" bestFit="1" customWidth="1"/>
    <col min="8" max="8" width="12.75" bestFit="1" customWidth="1"/>
    <col min="9" max="9" width="11.5" bestFit="1" customWidth="1"/>
    <col min="10" max="10" width="10.625" bestFit="1" customWidth="1"/>
    <col min="11" max="11" width="10.625" customWidth="1"/>
    <col min="12" max="14" width="10.625" bestFit="1" customWidth="1"/>
    <col min="16" max="17" width="10.625" bestFit="1" customWidth="1"/>
    <col min="19" max="20" width="10.625" bestFit="1" customWidth="1"/>
  </cols>
  <sheetData>
    <row r="1" spans="1:20" ht="30" customHeight="1" x14ac:dyDescent="0.3">
      <c r="A1" s="139" t="s">
        <v>43</v>
      </c>
      <c r="B1" s="140"/>
      <c r="C1" s="140"/>
      <c r="D1" s="140"/>
      <c r="E1" s="140"/>
      <c r="F1" s="140"/>
      <c r="G1" s="140"/>
      <c r="H1" s="141"/>
      <c r="I1" s="1"/>
      <c r="J1" s="1"/>
      <c r="K1" s="1"/>
      <c r="L1" s="1"/>
      <c r="M1" s="1"/>
      <c r="N1" s="1"/>
      <c r="O1" s="2"/>
      <c r="P1" s="3"/>
      <c r="Q1" s="3"/>
      <c r="R1" s="3"/>
      <c r="S1" s="1"/>
      <c r="T1" s="3"/>
    </row>
    <row r="2" spans="1:20" ht="16.149999999999999" customHeight="1" x14ac:dyDescent="0.3">
      <c r="A2" s="4"/>
      <c r="B2" s="5"/>
      <c r="C2" s="6" t="s">
        <v>0</v>
      </c>
      <c r="D2" s="7" t="s">
        <v>1</v>
      </c>
      <c r="E2" s="6" t="s">
        <v>25</v>
      </c>
      <c r="F2" s="8" t="s">
        <v>2</v>
      </c>
      <c r="G2" s="97" t="s">
        <v>24</v>
      </c>
      <c r="H2" s="98" t="s">
        <v>40</v>
      </c>
      <c r="I2" s="1"/>
      <c r="J2" s="1"/>
      <c r="K2" s="1"/>
      <c r="L2" s="11"/>
      <c r="M2" s="11"/>
      <c r="N2" s="12"/>
      <c r="O2" s="2"/>
      <c r="P2" s="3"/>
      <c r="Q2" s="3"/>
      <c r="R2" s="3"/>
      <c r="S2" s="1"/>
      <c r="T2" s="3"/>
    </row>
    <row r="3" spans="1:20" ht="19.5" customHeight="1" x14ac:dyDescent="0.25">
      <c r="A3" s="21" t="s">
        <v>261</v>
      </c>
      <c r="B3" s="19" t="s">
        <v>262</v>
      </c>
      <c r="C3" s="10">
        <f>제주!O1</f>
        <v>0</v>
      </c>
      <c r="D3" s="24">
        <f>제주!R1</f>
        <v>0</v>
      </c>
      <c r="E3" s="10">
        <f t="shared" ref="E3" si="0">D3-C3</f>
        <v>0</v>
      </c>
      <c r="F3" s="21" t="s">
        <v>3</v>
      </c>
      <c r="G3" s="103"/>
      <c r="H3" s="104">
        <f t="shared" ref="H3" si="1">D3+(D3*10%)-G3</f>
        <v>0</v>
      </c>
      <c r="I3" s="12"/>
      <c r="J3" s="13"/>
      <c r="K3" s="13"/>
      <c r="L3" s="11"/>
      <c r="M3" s="11"/>
      <c r="N3" s="12"/>
      <c r="O3" s="2"/>
      <c r="P3" s="3"/>
      <c r="Q3" s="11"/>
      <c r="R3" s="2"/>
      <c r="S3" s="11"/>
      <c r="T3" s="11"/>
    </row>
    <row r="4" spans="1:20" ht="19.5" customHeight="1" x14ac:dyDescent="0.25">
      <c r="A4" s="142" t="s">
        <v>263</v>
      </c>
      <c r="B4" s="14" t="s">
        <v>264</v>
      </c>
      <c r="C4" s="15">
        <f>소노벨!O1</f>
        <v>58526840</v>
      </c>
      <c r="D4" s="17">
        <f>소노벨!R1</f>
        <v>70429850</v>
      </c>
      <c r="E4" s="25">
        <f t="shared" ref="E4:E15" si="2">D4-C4</f>
        <v>11903010</v>
      </c>
      <c r="F4" s="18" t="s">
        <v>5</v>
      </c>
      <c r="G4" s="23">
        <f>23604295+27823510</f>
        <v>51427805</v>
      </c>
      <c r="H4" s="99">
        <f>D4+(D4*10%)-G4</f>
        <v>26045030</v>
      </c>
      <c r="I4" s="12"/>
      <c r="J4" s="13"/>
      <c r="K4" s="13"/>
      <c r="L4" s="11"/>
      <c r="M4" s="11"/>
      <c r="N4" s="12"/>
      <c r="O4" s="2"/>
      <c r="P4" s="3"/>
      <c r="Q4" s="23"/>
      <c r="R4" s="2"/>
      <c r="S4" s="23"/>
      <c r="T4" s="23"/>
    </row>
    <row r="5" spans="1:20" ht="19.5" customHeight="1" x14ac:dyDescent="0.25">
      <c r="A5" s="143"/>
      <c r="B5" s="14" t="s">
        <v>265</v>
      </c>
      <c r="C5" s="15">
        <f>소노캄_기물!O1</f>
        <v>12455000</v>
      </c>
      <c r="D5" s="17">
        <f>소노캄_기물!R1</f>
        <v>14915000</v>
      </c>
      <c r="E5" s="25">
        <f t="shared" si="2"/>
        <v>2460000</v>
      </c>
      <c r="F5" s="18" t="s">
        <v>5</v>
      </c>
      <c r="G5" s="96">
        <v>10381250</v>
      </c>
      <c r="H5" s="100">
        <f>D5+(D5*10%)-G5</f>
        <v>6025250</v>
      </c>
      <c r="I5" s="12"/>
      <c r="J5" s="13"/>
      <c r="K5" s="13"/>
      <c r="L5" s="11"/>
      <c r="M5" s="11"/>
      <c r="N5" s="12"/>
      <c r="O5" s="2"/>
      <c r="P5" s="3"/>
      <c r="Q5" s="23"/>
      <c r="R5" s="2"/>
      <c r="S5" s="23"/>
      <c r="T5" s="23"/>
    </row>
    <row r="6" spans="1:20" ht="19.5" customHeight="1" x14ac:dyDescent="0.25">
      <c r="A6" s="143"/>
      <c r="B6" s="14" t="s">
        <v>132</v>
      </c>
      <c r="C6" s="15">
        <f>소노캄!N1</f>
        <v>37631740</v>
      </c>
      <c r="D6" s="17">
        <f>소노캄!Q1</f>
        <v>46490140</v>
      </c>
      <c r="E6" s="25">
        <f t="shared" si="2"/>
        <v>8858400</v>
      </c>
      <c r="F6" s="18" t="s">
        <v>5</v>
      </c>
      <c r="G6" s="137">
        <v>33338030</v>
      </c>
      <c r="H6" s="135">
        <f>D6+D7+((D6+D7)*10%)-G6</f>
        <v>22025124</v>
      </c>
      <c r="I6" s="12"/>
      <c r="J6" s="13"/>
      <c r="K6" s="13"/>
      <c r="L6" s="11"/>
      <c r="M6" s="11"/>
      <c r="N6" s="12"/>
      <c r="O6" s="2"/>
      <c r="P6" s="3"/>
      <c r="Q6" s="23"/>
      <c r="R6" s="2"/>
      <c r="S6" s="23"/>
      <c r="T6" s="23"/>
    </row>
    <row r="7" spans="1:20" ht="19.5" customHeight="1" x14ac:dyDescent="0.25">
      <c r="A7" s="144"/>
      <c r="B7" s="19" t="s">
        <v>266</v>
      </c>
      <c r="C7" s="10">
        <f>소노캄_런드리!O1</f>
        <v>3200000</v>
      </c>
      <c r="D7" s="24">
        <f>소노캄_런드리!R1</f>
        <v>3840000</v>
      </c>
      <c r="E7" s="32">
        <f t="shared" ref="E7" si="3">D7-C7</f>
        <v>640000</v>
      </c>
      <c r="F7" s="21" t="s">
        <v>5</v>
      </c>
      <c r="G7" s="138"/>
      <c r="H7" s="136"/>
      <c r="I7" s="12"/>
      <c r="J7" s="13"/>
      <c r="K7" s="13"/>
      <c r="L7" s="11"/>
      <c r="M7" s="11"/>
      <c r="N7" s="12"/>
      <c r="O7" s="2"/>
      <c r="P7" s="3"/>
      <c r="Q7" s="23"/>
      <c r="R7" s="2"/>
      <c r="S7" s="23"/>
      <c r="T7" s="23"/>
    </row>
    <row r="8" spans="1:20" ht="19.5" customHeight="1" x14ac:dyDescent="0.25">
      <c r="A8" s="142" t="s">
        <v>267</v>
      </c>
      <c r="B8" s="120" t="s">
        <v>268</v>
      </c>
      <c r="C8" s="15">
        <f>포시!O1</f>
        <v>11131800</v>
      </c>
      <c r="D8" s="121">
        <f>포시!R1</f>
        <v>12466800</v>
      </c>
      <c r="E8" s="15">
        <f t="shared" si="2"/>
        <v>1335000</v>
      </c>
      <c r="F8" s="127" t="s">
        <v>246</v>
      </c>
      <c r="G8" s="23">
        <v>13713480</v>
      </c>
      <c r="H8" s="99">
        <f t="shared" ref="H8:H11" si="4">D8+(D8*10%)-G8</f>
        <v>0</v>
      </c>
      <c r="I8" s="22"/>
      <c r="J8" s="13"/>
      <c r="K8" s="13"/>
      <c r="L8" s="23"/>
      <c r="M8" s="23"/>
      <c r="N8" s="11"/>
      <c r="O8" s="2"/>
      <c r="P8" s="3"/>
      <c r="Q8" s="23"/>
      <c r="R8" s="2"/>
      <c r="S8" s="23"/>
      <c r="T8" s="23"/>
    </row>
    <row r="9" spans="1:20" ht="19.5" customHeight="1" x14ac:dyDescent="0.25">
      <c r="A9" s="143"/>
      <c r="B9" s="120" t="s">
        <v>299</v>
      </c>
      <c r="C9" s="15">
        <f>시그니엘!O1</f>
        <v>0</v>
      </c>
      <c r="D9" s="121">
        <f>시그니엘!R1</f>
        <v>0</v>
      </c>
      <c r="E9" s="15">
        <f t="shared" si="2"/>
        <v>0</v>
      </c>
      <c r="F9" s="157" t="s">
        <v>300</v>
      </c>
      <c r="G9" s="23"/>
      <c r="H9" s="99">
        <f t="shared" si="4"/>
        <v>0</v>
      </c>
      <c r="I9" s="22"/>
      <c r="J9" s="13"/>
      <c r="K9" s="13"/>
      <c r="L9" s="23"/>
      <c r="M9" s="23"/>
      <c r="N9" s="11"/>
      <c r="O9" s="2"/>
      <c r="P9" s="3"/>
      <c r="Q9" s="23"/>
      <c r="R9" s="2"/>
      <c r="S9" s="23"/>
      <c r="T9" s="23"/>
    </row>
    <row r="10" spans="1:20" ht="19.5" customHeight="1" x14ac:dyDescent="0.25">
      <c r="A10" s="144"/>
      <c r="B10" s="120" t="s">
        <v>260</v>
      </c>
      <c r="C10" s="15">
        <f>부산파크!O1</f>
        <v>350000</v>
      </c>
      <c r="D10" s="121">
        <f>부산파크!R1</f>
        <v>425000</v>
      </c>
      <c r="E10" s="15">
        <f t="shared" si="2"/>
        <v>75000</v>
      </c>
      <c r="F10" s="21" t="s">
        <v>246</v>
      </c>
      <c r="G10" s="23">
        <v>467500</v>
      </c>
      <c r="H10" s="99">
        <f t="shared" si="4"/>
        <v>0</v>
      </c>
      <c r="I10" s="22"/>
      <c r="J10" s="13"/>
      <c r="K10" s="13"/>
      <c r="L10" s="23"/>
      <c r="M10" s="23"/>
      <c r="N10" s="11"/>
      <c r="O10" s="2"/>
      <c r="P10" s="3"/>
      <c r="Q10" s="23"/>
      <c r="R10" s="2"/>
      <c r="S10" s="23"/>
      <c r="T10" s="23"/>
    </row>
    <row r="11" spans="1:20" ht="18" customHeight="1" x14ac:dyDescent="0.3">
      <c r="A11" s="21" t="s">
        <v>249</v>
      </c>
      <c r="B11" s="122" t="s">
        <v>269</v>
      </c>
      <c r="C11" s="27">
        <f>조선!O1</f>
        <v>1080000</v>
      </c>
      <c r="D11" s="29">
        <f>조선!R1</f>
        <v>1170000</v>
      </c>
      <c r="E11" s="30">
        <f t="shared" si="2"/>
        <v>90000</v>
      </c>
      <c r="F11" s="28" t="s">
        <v>246</v>
      </c>
      <c r="G11" s="123">
        <v>1287000</v>
      </c>
      <c r="H11" s="124">
        <f t="shared" si="4"/>
        <v>0</v>
      </c>
      <c r="I11" s="23"/>
      <c r="J11" s="23"/>
      <c r="K11" s="23"/>
      <c r="L11" s="23"/>
      <c r="M11" s="23"/>
      <c r="N11" s="23"/>
      <c r="O11" s="2"/>
      <c r="P11" s="3"/>
      <c r="Q11" s="23"/>
      <c r="R11" s="2"/>
      <c r="S11" s="23"/>
      <c r="T11" s="23"/>
    </row>
    <row r="12" spans="1:20" ht="18" hidden="1" customHeight="1" x14ac:dyDescent="0.3">
      <c r="A12" s="125"/>
      <c r="B12" s="26"/>
      <c r="C12" s="27">
        <f>제주!O7</f>
        <v>0</v>
      </c>
      <c r="D12" s="29">
        <f>제주!R7</f>
        <v>0</v>
      </c>
      <c r="E12" s="30">
        <f t="shared" si="2"/>
        <v>0</v>
      </c>
      <c r="F12" s="28"/>
      <c r="G12" s="23"/>
      <c r="H12" s="99"/>
      <c r="I12" s="23"/>
      <c r="J12" s="23"/>
      <c r="K12" s="23"/>
      <c r="L12" s="23"/>
      <c r="M12" s="23"/>
      <c r="N12" s="23"/>
      <c r="O12" s="2"/>
      <c r="P12" s="3"/>
      <c r="Q12" s="23"/>
      <c r="R12" s="2"/>
      <c r="S12" s="23"/>
      <c r="T12" s="23"/>
    </row>
    <row r="13" spans="1:20" ht="18" hidden="1" customHeight="1" x14ac:dyDescent="0.3">
      <c r="A13" s="125"/>
      <c r="B13" s="26"/>
      <c r="C13" s="27">
        <f>제주!O8</f>
        <v>0</v>
      </c>
      <c r="D13" s="29">
        <f>제주!R8</f>
        <v>0</v>
      </c>
      <c r="E13" s="30">
        <f t="shared" si="2"/>
        <v>0</v>
      </c>
      <c r="F13" s="28"/>
      <c r="G13" s="23"/>
      <c r="H13" s="99"/>
      <c r="I13" s="23"/>
      <c r="J13" s="23"/>
      <c r="K13" s="23"/>
      <c r="L13" s="23"/>
      <c r="M13" s="23"/>
      <c r="N13" s="23"/>
      <c r="O13" s="2"/>
      <c r="P13" s="3"/>
      <c r="Q13" s="23"/>
      <c r="R13" s="2"/>
      <c r="S13" s="23"/>
      <c r="T13" s="23"/>
    </row>
    <row r="14" spans="1:20" ht="17.45" hidden="1" customHeight="1" x14ac:dyDescent="0.3">
      <c r="A14" s="126"/>
      <c r="B14" s="26"/>
      <c r="C14" s="27">
        <f>제주!O9</f>
        <v>0</v>
      </c>
      <c r="D14" s="29">
        <f>제주!R9</f>
        <v>0</v>
      </c>
      <c r="E14" s="30">
        <f t="shared" si="2"/>
        <v>0</v>
      </c>
      <c r="F14" s="28"/>
      <c r="G14" s="23"/>
      <c r="H14" s="99"/>
      <c r="I14" s="23"/>
      <c r="J14" s="23"/>
      <c r="K14" s="23"/>
      <c r="L14" s="23"/>
      <c r="M14" s="23"/>
      <c r="N14" s="23"/>
      <c r="O14" s="2"/>
      <c r="P14" s="3"/>
      <c r="Q14" s="3"/>
      <c r="R14" s="3"/>
      <c r="S14" s="31"/>
      <c r="T14" s="3"/>
    </row>
    <row r="15" spans="1:20" hidden="1" x14ac:dyDescent="0.3">
      <c r="A15" s="128"/>
      <c r="B15" s="9"/>
      <c r="C15" s="10">
        <f>제주!O10</f>
        <v>0</v>
      </c>
      <c r="D15" s="20">
        <f>제주!R10</f>
        <v>0</v>
      </c>
      <c r="E15" s="32">
        <f t="shared" si="2"/>
        <v>0</v>
      </c>
      <c r="F15" s="21"/>
      <c r="G15" s="23"/>
      <c r="H15" s="99"/>
      <c r="I15" s="11"/>
      <c r="J15" s="11"/>
      <c r="K15" s="11"/>
      <c r="L15" s="23"/>
      <c r="M15" s="31"/>
      <c r="N15" s="23"/>
      <c r="O15" s="2"/>
      <c r="P15" s="3"/>
      <c r="Q15" s="3"/>
      <c r="R15" s="3"/>
      <c r="S15" s="1"/>
      <c r="T15" s="3"/>
    </row>
    <row r="16" spans="1:20" x14ac:dyDescent="0.3">
      <c r="A16" s="33" t="s">
        <v>7</v>
      </c>
      <c r="B16" s="130"/>
      <c r="C16" s="34">
        <f>SUM(C3:C15)</f>
        <v>124375380</v>
      </c>
      <c r="D16" s="34">
        <f>SUM(D3:D15)</f>
        <v>149736790</v>
      </c>
      <c r="E16" s="34">
        <f>SUM(E3:E15)</f>
        <v>25361410</v>
      </c>
      <c r="F16" s="34"/>
      <c r="G16" s="35">
        <f>SUM(G3:G15)</f>
        <v>110615065</v>
      </c>
      <c r="H16" s="35">
        <f>SUM(H3:H15)</f>
        <v>54095404</v>
      </c>
      <c r="I16" s="1"/>
      <c r="J16" s="11"/>
      <c r="K16" s="1"/>
      <c r="L16" s="31"/>
      <c r="M16" s="1"/>
      <c r="N16" s="23"/>
      <c r="O16" s="2"/>
      <c r="P16" s="3"/>
      <c r="Q16" s="3"/>
      <c r="R16" s="3"/>
      <c r="S16" s="1"/>
      <c r="T16" s="3"/>
    </row>
    <row r="17" spans="1:20" x14ac:dyDescent="0.3">
      <c r="A17" s="36"/>
      <c r="B17" s="2"/>
      <c r="C17" s="16"/>
      <c r="D17" s="16"/>
      <c r="E17" s="37">
        <f>D17</f>
        <v>0</v>
      </c>
      <c r="F17" s="3"/>
      <c r="G17" s="3"/>
      <c r="H17" s="37"/>
      <c r="I17" s="38"/>
      <c r="J17" s="1"/>
      <c r="K17" s="1"/>
      <c r="L17" s="1"/>
      <c r="M17" s="1"/>
      <c r="N17" s="23"/>
      <c r="O17" s="2"/>
      <c r="P17" s="3"/>
      <c r="Q17" s="3"/>
      <c r="R17" s="3"/>
      <c r="S17" s="1"/>
      <c r="T17" s="3"/>
    </row>
    <row r="18" spans="1:20" x14ac:dyDescent="0.3">
      <c r="A18" s="36"/>
      <c r="B18" s="2"/>
      <c r="C18" s="37"/>
      <c r="D18" s="37"/>
      <c r="E18" s="37"/>
      <c r="F18" s="3"/>
      <c r="G18" s="1"/>
      <c r="H18" s="38"/>
      <c r="I18" s="1"/>
      <c r="J18" s="1"/>
      <c r="K18" s="1"/>
      <c r="L18" s="1"/>
      <c r="M18" s="1"/>
      <c r="N18" s="23"/>
      <c r="O18" s="2"/>
      <c r="P18" s="3"/>
      <c r="Q18" s="3"/>
      <c r="R18" s="3"/>
      <c r="S18" s="1"/>
      <c r="T18" s="3"/>
    </row>
    <row r="19" spans="1:20" x14ac:dyDescent="0.3">
      <c r="A19" s="3"/>
      <c r="B19" s="2"/>
      <c r="C19" s="37"/>
      <c r="D19" s="39"/>
      <c r="E19" s="3"/>
      <c r="F19" s="3"/>
      <c r="G19" s="1"/>
      <c r="H19" s="38"/>
      <c r="I19" s="1"/>
      <c r="J19" s="1"/>
      <c r="K19" s="1"/>
      <c r="L19" s="1"/>
      <c r="M19" s="1"/>
      <c r="N19" s="23"/>
      <c r="O19" s="23"/>
    </row>
    <row r="20" spans="1:20" x14ac:dyDescent="0.3">
      <c r="B20" s="2"/>
      <c r="C20" s="37"/>
      <c r="D20" s="16"/>
      <c r="E20" s="37"/>
      <c r="F20" s="3"/>
      <c r="G20" s="1"/>
      <c r="H20" s="1"/>
      <c r="I20" s="1"/>
      <c r="J20" s="1"/>
      <c r="K20" s="1"/>
      <c r="L20" s="1"/>
      <c r="N20" s="23"/>
      <c r="O20" s="2"/>
    </row>
    <row r="21" spans="1:20" x14ac:dyDescent="0.3">
      <c r="D21" s="37"/>
    </row>
  </sheetData>
  <mergeCells count="5">
    <mergeCell ref="H6:H7"/>
    <mergeCell ref="G6:G7"/>
    <mergeCell ref="A1:H1"/>
    <mergeCell ref="A4:A7"/>
    <mergeCell ref="A8:A10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76B4C-A480-43FB-B034-F08386AA9FBC}">
  <dimension ref="A1:S220"/>
  <sheetViews>
    <sheetView zoomScale="85" zoomScaleNormal="85" workbookViewId="0">
      <pane ySplit="2" topLeftCell="A3" activePane="bottomLeft" state="frozen"/>
      <selection activeCell="B10" sqref="B10:L10"/>
      <selection pane="bottomLeft" activeCell="B29" sqref="B29"/>
    </sheetView>
  </sheetViews>
  <sheetFormatPr defaultColWidth="9" defaultRowHeight="20.100000000000001" customHeight="1" x14ac:dyDescent="0.3"/>
  <cols>
    <col min="1" max="6" width="8.625" customWidth="1"/>
    <col min="7" max="7" width="12.625" customWidth="1"/>
    <col min="8" max="8" width="16.25" bestFit="1" customWidth="1"/>
    <col min="9" max="9" width="10.625" customWidth="1"/>
    <col min="10" max="10" width="14.75" customWidth="1"/>
    <col min="11" max="12" width="9.625" customWidth="1"/>
    <col min="13" max="13" width="10.625" bestFit="1" customWidth="1"/>
    <col min="14" max="14" width="9.25" customWidth="1"/>
    <col min="15" max="15" width="11.625" customWidth="1"/>
    <col min="16" max="16" width="1.625" customWidth="1"/>
    <col min="17" max="17" width="9.75" customWidth="1"/>
    <col min="18" max="18" width="11.625" customWidth="1"/>
  </cols>
  <sheetData>
    <row r="1" spans="1:19" ht="20.100000000000001" customHeight="1" x14ac:dyDescent="0.3">
      <c r="A1" s="145" t="s">
        <v>4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40"/>
      <c r="N1" s="41" t="s">
        <v>0</v>
      </c>
      <c r="O1" s="27">
        <f>SUM(K1:K9890)</f>
        <v>0</v>
      </c>
      <c r="P1" s="28"/>
      <c r="Q1" s="41" t="s">
        <v>1</v>
      </c>
      <c r="R1" s="27">
        <f>SUM(L1:L9890)</f>
        <v>0</v>
      </c>
      <c r="S1" s="42"/>
    </row>
    <row r="2" spans="1:19" ht="20.100000000000001" customHeight="1" x14ac:dyDescent="0.3">
      <c r="A2" s="43" t="s">
        <v>8</v>
      </c>
      <c r="B2" s="43" t="s">
        <v>9</v>
      </c>
      <c r="C2" s="43" t="s">
        <v>10</v>
      </c>
      <c r="D2" s="43" t="s">
        <v>11</v>
      </c>
      <c r="E2" s="43" t="s">
        <v>12</v>
      </c>
      <c r="F2" s="43" t="s">
        <v>13</v>
      </c>
      <c r="G2" s="43" t="s">
        <v>14</v>
      </c>
      <c r="H2" s="43" t="s">
        <v>15</v>
      </c>
      <c r="I2" s="43" t="s">
        <v>16</v>
      </c>
      <c r="J2" s="44" t="s">
        <v>17</v>
      </c>
      <c r="K2" s="43" t="s">
        <v>0</v>
      </c>
      <c r="L2" s="43" t="s">
        <v>1</v>
      </c>
      <c r="M2" s="45"/>
      <c r="N2" s="46"/>
      <c r="O2" s="46"/>
      <c r="P2" s="46"/>
      <c r="Q2" s="46"/>
      <c r="R2" s="46"/>
      <c r="S2" s="45"/>
    </row>
    <row r="3" spans="1:19" ht="20.100000000000001" customHeight="1" x14ac:dyDescent="0.3">
      <c r="A3" s="47"/>
      <c r="B3" s="49"/>
      <c r="C3" s="49"/>
      <c r="D3" s="49"/>
      <c r="E3" s="49"/>
      <c r="F3" s="49"/>
      <c r="G3" s="49"/>
      <c r="H3" s="49"/>
      <c r="I3" s="49"/>
      <c r="J3" s="53"/>
      <c r="K3" s="52"/>
      <c r="L3" s="54"/>
    </row>
    <row r="4" spans="1:19" ht="20.100000000000001" customHeight="1" x14ac:dyDescent="0.3">
      <c r="A4" s="47"/>
      <c r="B4" s="49"/>
      <c r="C4" s="49"/>
      <c r="D4" s="49"/>
      <c r="E4" s="49"/>
      <c r="F4" s="49"/>
      <c r="G4" s="49"/>
      <c r="H4" s="49"/>
      <c r="I4" s="49"/>
      <c r="J4" s="53"/>
      <c r="K4" s="52"/>
      <c r="L4" s="54"/>
    </row>
    <row r="5" spans="1:19" ht="20.100000000000001" customHeight="1" x14ac:dyDescent="0.3">
      <c r="A5" s="47"/>
      <c r="B5" s="49"/>
      <c r="C5" s="49"/>
      <c r="D5" s="49"/>
      <c r="E5" s="49"/>
      <c r="F5" s="49"/>
      <c r="G5" s="49"/>
      <c r="H5" s="49"/>
      <c r="I5" s="49"/>
      <c r="J5" s="53"/>
      <c r="K5" s="52"/>
      <c r="L5" s="54"/>
    </row>
    <row r="6" spans="1:19" ht="20.100000000000001" customHeight="1" x14ac:dyDescent="0.3">
      <c r="A6" s="47"/>
      <c r="B6" s="49"/>
      <c r="C6" s="49"/>
      <c r="D6" s="49"/>
      <c r="E6" s="49"/>
      <c r="F6" s="49"/>
      <c r="G6" s="49"/>
      <c r="H6" s="49"/>
      <c r="I6" s="49"/>
      <c r="J6" s="53"/>
      <c r="K6" s="52"/>
      <c r="L6" s="54"/>
    </row>
    <row r="7" spans="1:19" ht="20.100000000000001" customHeight="1" x14ac:dyDescent="0.3">
      <c r="A7" s="47"/>
      <c r="B7" s="49"/>
      <c r="C7" s="49"/>
      <c r="D7" s="49"/>
      <c r="E7" s="49"/>
      <c r="F7" s="49"/>
      <c r="G7" s="49"/>
      <c r="H7" s="49"/>
      <c r="I7" s="49"/>
      <c r="J7" s="53"/>
      <c r="K7" s="52"/>
      <c r="L7" s="54"/>
    </row>
    <row r="8" spans="1:19" ht="20.100000000000001" customHeight="1" x14ac:dyDescent="0.3">
      <c r="A8" s="47"/>
      <c r="B8" s="49"/>
      <c r="C8" s="49"/>
      <c r="D8" s="49"/>
      <c r="E8" s="49"/>
      <c r="F8" s="49"/>
      <c r="G8" s="49"/>
      <c r="H8" s="49"/>
      <c r="I8" s="49"/>
      <c r="J8" s="53"/>
      <c r="K8" s="52"/>
      <c r="L8" s="54"/>
    </row>
    <row r="9" spans="1:19" ht="20.100000000000001" customHeight="1" x14ac:dyDescent="0.3">
      <c r="A9" s="47"/>
      <c r="B9" s="49"/>
      <c r="C9" s="49"/>
      <c r="D9" s="49"/>
      <c r="E9" s="49"/>
      <c r="F9" s="49"/>
      <c r="G9" s="49"/>
      <c r="H9" s="49"/>
      <c r="I9" s="49"/>
      <c r="J9" s="53"/>
      <c r="K9" s="52"/>
      <c r="L9" s="54"/>
    </row>
    <row r="10" spans="1:19" ht="20.100000000000001" customHeight="1" x14ac:dyDescent="0.3">
      <c r="A10" s="47"/>
      <c r="B10" s="49"/>
      <c r="C10" s="49"/>
      <c r="D10" s="49"/>
      <c r="E10" s="49"/>
      <c r="F10" s="49"/>
      <c r="G10" s="49"/>
      <c r="H10" s="49"/>
      <c r="I10" s="49"/>
      <c r="J10" s="53"/>
      <c r="K10" s="52"/>
      <c r="L10" s="54"/>
      <c r="M10" s="56"/>
    </row>
    <row r="11" spans="1:19" ht="20.100000000000001" customHeight="1" x14ac:dyDescent="0.3">
      <c r="A11" s="47"/>
      <c r="B11" s="49"/>
      <c r="C11" s="49"/>
      <c r="D11" s="49"/>
      <c r="E11" s="49"/>
      <c r="F11" s="49"/>
      <c r="G11" s="49"/>
      <c r="H11" s="49"/>
      <c r="I11" s="49"/>
      <c r="J11" s="53"/>
      <c r="K11" s="52"/>
      <c r="L11" s="54"/>
    </row>
    <row r="12" spans="1:19" ht="20.100000000000001" customHeight="1" x14ac:dyDescent="0.3">
      <c r="A12" s="47"/>
      <c r="B12" s="49"/>
      <c r="C12" s="49"/>
      <c r="D12" s="49"/>
      <c r="E12" s="49"/>
      <c r="F12" s="49"/>
      <c r="G12" s="49"/>
      <c r="H12" s="49"/>
      <c r="I12" s="49"/>
      <c r="J12" s="53"/>
      <c r="K12" s="52"/>
      <c r="L12" s="54"/>
      <c r="M12" s="55"/>
    </row>
    <row r="13" spans="1:19" ht="20.100000000000001" customHeight="1" x14ac:dyDescent="0.3">
      <c r="A13" s="47"/>
      <c r="B13" s="49"/>
      <c r="C13" s="49"/>
      <c r="D13" s="49"/>
      <c r="E13" s="49"/>
      <c r="F13" s="49"/>
      <c r="G13" s="49"/>
      <c r="H13" s="49"/>
      <c r="I13" s="49"/>
      <c r="J13" s="53"/>
      <c r="K13" s="52"/>
      <c r="L13" s="54"/>
    </row>
    <row r="14" spans="1:19" ht="20.100000000000001" customHeight="1" x14ac:dyDescent="0.3">
      <c r="A14" s="47"/>
      <c r="B14" s="49"/>
      <c r="C14" s="49"/>
      <c r="D14" s="49"/>
      <c r="E14" s="49"/>
      <c r="F14" s="49"/>
      <c r="G14" s="49"/>
      <c r="H14" s="49"/>
      <c r="I14" s="49"/>
      <c r="J14" s="53"/>
      <c r="K14" s="52"/>
      <c r="L14" s="54"/>
    </row>
    <row r="15" spans="1:19" ht="20.100000000000001" customHeight="1" x14ac:dyDescent="0.3">
      <c r="A15" s="47"/>
      <c r="B15" s="49"/>
      <c r="C15" s="49"/>
      <c r="D15" s="49"/>
      <c r="E15" s="49"/>
      <c r="F15" s="49"/>
      <c r="G15" s="49"/>
      <c r="H15" s="49"/>
      <c r="I15" s="49"/>
      <c r="J15" s="53"/>
      <c r="K15" s="52"/>
      <c r="L15" s="54"/>
    </row>
    <row r="16" spans="1:19" ht="20.100000000000001" customHeight="1" x14ac:dyDescent="0.3">
      <c r="A16" s="47"/>
      <c r="B16" s="49"/>
      <c r="C16" s="49"/>
      <c r="D16" s="49"/>
      <c r="E16" s="49"/>
      <c r="F16" s="49"/>
      <c r="G16" s="49"/>
      <c r="H16" s="49"/>
      <c r="I16" s="49"/>
      <c r="J16" s="53"/>
      <c r="K16" s="52"/>
      <c r="L16" s="54"/>
      <c r="M16" s="55"/>
    </row>
    <row r="17" spans="1:13" ht="20.100000000000001" customHeight="1" x14ac:dyDescent="0.3">
      <c r="A17" s="47"/>
      <c r="B17" s="49"/>
      <c r="C17" s="49"/>
      <c r="D17" s="49"/>
      <c r="E17" s="49"/>
      <c r="F17" s="49"/>
      <c r="G17" s="49"/>
      <c r="H17" s="49"/>
      <c r="I17" s="49"/>
      <c r="J17" s="53"/>
      <c r="K17" s="52"/>
      <c r="L17" s="54"/>
    </row>
    <row r="18" spans="1:13" ht="20.100000000000001" customHeight="1" x14ac:dyDescent="0.3">
      <c r="A18" s="47"/>
      <c r="B18" s="49"/>
      <c r="C18" s="49"/>
      <c r="D18" s="49"/>
      <c r="E18" s="49"/>
      <c r="F18" s="49"/>
      <c r="G18" s="49"/>
      <c r="H18" s="49"/>
      <c r="I18" s="49"/>
      <c r="J18" s="53"/>
      <c r="K18" s="52"/>
      <c r="L18" s="54"/>
    </row>
    <row r="19" spans="1:13" ht="20.100000000000001" customHeight="1" x14ac:dyDescent="0.3">
      <c r="A19" s="47"/>
      <c r="B19" s="49"/>
      <c r="C19" s="49"/>
      <c r="D19" s="49"/>
      <c r="E19" s="49"/>
      <c r="F19" s="49"/>
      <c r="G19" s="49"/>
      <c r="H19" s="49"/>
      <c r="I19" s="49"/>
      <c r="J19" s="53"/>
      <c r="K19" s="52"/>
      <c r="L19" s="54"/>
      <c r="M19" s="80"/>
    </row>
    <row r="20" spans="1:13" ht="20.100000000000001" customHeight="1" x14ac:dyDescent="0.3">
      <c r="A20" s="47"/>
      <c r="B20" s="49"/>
      <c r="C20" s="49"/>
      <c r="D20" s="49"/>
      <c r="E20" s="49"/>
      <c r="F20" s="49"/>
      <c r="G20" s="49"/>
      <c r="H20" s="49"/>
      <c r="I20" s="49"/>
      <c r="J20" s="53"/>
      <c r="K20" s="52"/>
      <c r="L20" s="54"/>
      <c r="M20" s="80"/>
    </row>
    <row r="21" spans="1:13" ht="20.100000000000001" customHeight="1" x14ac:dyDescent="0.3">
      <c r="A21" s="47"/>
      <c r="B21" s="49"/>
      <c r="C21" s="49"/>
      <c r="D21" s="49"/>
      <c r="E21" s="49"/>
      <c r="F21" s="49"/>
      <c r="G21" s="49"/>
      <c r="H21" s="49"/>
      <c r="I21" s="49"/>
      <c r="J21" s="53"/>
      <c r="K21" s="52"/>
      <c r="L21" s="54"/>
      <c r="M21" s="80"/>
    </row>
    <row r="22" spans="1:13" ht="20.100000000000001" customHeight="1" x14ac:dyDescent="0.3">
      <c r="A22" s="47"/>
      <c r="B22" s="49"/>
      <c r="C22" s="49"/>
      <c r="D22" s="49"/>
      <c r="E22" s="49"/>
      <c r="F22" s="49"/>
      <c r="G22" s="49"/>
      <c r="H22" s="49"/>
      <c r="I22" s="49"/>
      <c r="J22" s="53"/>
      <c r="K22" s="52"/>
      <c r="L22" s="54"/>
    </row>
    <row r="23" spans="1:13" ht="20.100000000000001" customHeight="1" x14ac:dyDescent="0.3">
      <c r="A23" s="47"/>
      <c r="B23" s="49"/>
      <c r="C23" s="49"/>
      <c r="D23" s="49"/>
      <c r="E23" s="49"/>
      <c r="F23" s="49"/>
      <c r="G23" s="49"/>
      <c r="H23" s="49"/>
      <c r="I23" s="49"/>
      <c r="J23" s="53"/>
      <c r="K23" s="52"/>
      <c r="L23" s="54"/>
    </row>
    <row r="24" spans="1:13" ht="20.100000000000001" customHeight="1" x14ac:dyDescent="0.3">
      <c r="A24" s="47"/>
      <c r="B24" s="49"/>
      <c r="C24" s="49"/>
      <c r="D24" s="49"/>
      <c r="E24" s="49"/>
      <c r="F24" s="49"/>
      <c r="G24" s="49"/>
      <c r="H24" s="49"/>
      <c r="I24" s="49"/>
      <c r="J24" s="53"/>
      <c r="K24" s="52"/>
      <c r="L24" s="54"/>
    </row>
    <row r="25" spans="1:13" ht="20.100000000000001" customHeight="1" x14ac:dyDescent="0.3">
      <c r="A25" s="47"/>
      <c r="B25" s="49"/>
      <c r="C25" s="49"/>
      <c r="D25" s="49"/>
      <c r="E25" s="49"/>
      <c r="F25" s="49"/>
      <c r="G25" s="49"/>
      <c r="H25" s="49"/>
      <c r="I25" s="49"/>
      <c r="J25" s="53"/>
      <c r="K25" s="52"/>
      <c r="L25" s="54"/>
    </row>
    <row r="26" spans="1:13" ht="20.100000000000001" customHeight="1" x14ac:dyDescent="0.3">
      <c r="A26" s="47"/>
      <c r="B26" s="49"/>
      <c r="C26" s="49"/>
      <c r="D26" s="49"/>
      <c r="E26" s="49"/>
      <c r="F26" s="49"/>
      <c r="G26" s="49"/>
      <c r="H26" s="49"/>
      <c r="I26" s="49"/>
      <c r="J26" s="53"/>
      <c r="K26" s="52"/>
      <c r="L26" s="54"/>
      <c r="M26" s="81"/>
    </row>
    <row r="27" spans="1:13" ht="20.100000000000001" customHeight="1" x14ac:dyDescent="0.3">
      <c r="A27" s="47"/>
      <c r="B27" s="49"/>
      <c r="C27" s="49"/>
      <c r="D27" s="49"/>
      <c r="E27" s="49"/>
      <c r="F27" s="49"/>
      <c r="G27" s="49"/>
      <c r="H27" s="49"/>
      <c r="I27" s="49"/>
      <c r="J27" s="53"/>
      <c r="K27" s="52"/>
      <c r="L27" s="54"/>
    </row>
    <row r="28" spans="1:13" ht="20.100000000000001" customHeight="1" x14ac:dyDescent="0.3">
      <c r="A28" s="47"/>
      <c r="B28" s="49"/>
      <c r="C28" s="49"/>
      <c r="D28" s="49"/>
      <c r="E28" s="49"/>
      <c r="F28" s="49"/>
      <c r="G28" s="49"/>
      <c r="H28" s="49"/>
      <c r="I28" s="49"/>
      <c r="J28" s="53"/>
      <c r="K28" s="52"/>
      <c r="L28" s="54"/>
    </row>
    <row r="29" spans="1:13" ht="20.100000000000001" customHeight="1" x14ac:dyDescent="0.3">
      <c r="A29" s="47"/>
      <c r="B29" s="49"/>
      <c r="C29" s="49"/>
      <c r="D29" s="49"/>
      <c r="E29" s="49"/>
      <c r="F29" s="49"/>
      <c r="G29" s="49"/>
      <c r="H29" s="49"/>
      <c r="I29" s="49"/>
      <c r="J29" s="53"/>
      <c r="K29" s="52"/>
      <c r="L29" s="54"/>
    </row>
    <row r="30" spans="1:13" ht="20.100000000000001" customHeight="1" x14ac:dyDescent="0.3">
      <c r="A30" s="47"/>
      <c r="B30" s="49"/>
      <c r="C30" s="49"/>
      <c r="D30" s="49"/>
      <c r="E30" s="49"/>
      <c r="F30" s="49"/>
      <c r="G30" s="49"/>
      <c r="H30" s="49"/>
      <c r="I30" s="49"/>
      <c r="J30" s="53"/>
      <c r="K30" s="52"/>
      <c r="L30" s="54"/>
    </row>
    <row r="31" spans="1:13" ht="20.100000000000001" customHeight="1" x14ac:dyDescent="0.3">
      <c r="A31" s="47"/>
      <c r="B31" s="49"/>
      <c r="C31" s="49"/>
      <c r="D31" s="49"/>
      <c r="E31" s="49"/>
      <c r="F31" s="49"/>
      <c r="G31" s="49"/>
      <c r="H31" s="49"/>
      <c r="I31" s="49"/>
      <c r="J31" s="53"/>
      <c r="K31" s="52"/>
      <c r="L31" s="54"/>
    </row>
    <row r="32" spans="1:13" ht="20.65" customHeight="1" x14ac:dyDescent="0.3">
      <c r="A32" s="47"/>
      <c r="B32" s="49"/>
      <c r="C32" s="49"/>
      <c r="D32" s="49"/>
      <c r="E32" s="49"/>
      <c r="F32" s="49"/>
      <c r="G32" s="49"/>
      <c r="H32" s="49"/>
      <c r="I32" s="49"/>
      <c r="J32" s="53"/>
      <c r="K32" s="52"/>
      <c r="L32" s="54"/>
    </row>
    <row r="33" spans="1:13" ht="20.100000000000001" customHeight="1" x14ac:dyDescent="0.3">
      <c r="A33" s="47"/>
      <c r="B33" s="49"/>
      <c r="C33" s="49"/>
      <c r="D33" s="49"/>
      <c r="E33" s="49"/>
      <c r="F33" s="49"/>
      <c r="G33" s="49"/>
      <c r="H33" s="49"/>
      <c r="I33" s="49"/>
      <c r="J33" s="53"/>
      <c r="K33" s="52"/>
      <c r="L33" s="54"/>
    </row>
    <row r="34" spans="1:13" ht="20.100000000000001" customHeight="1" x14ac:dyDescent="0.3">
      <c r="A34" s="47"/>
      <c r="B34" s="49"/>
      <c r="C34" s="49"/>
      <c r="D34" s="49"/>
      <c r="E34" s="49"/>
      <c r="F34" s="49"/>
      <c r="G34" s="49"/>
      <c r="H34" s="49"/>
      <c r="I34" s="49"/>
      <c r="J34" s="53"/>
      <c r="K34" s="52"/>
      <c r="L34" s="54"/>
    </row>
    <row r="35" spans="1:13" ht="20.100000000000001" customHeight="1" x14ac:dyDescent="0.3">
      <c r="A35" s="47"/>
      <c r="B35" s="49"/>
      <c r="C35" s="49"/>
      <c r="D35" s="49"/>
      <c r="E35" s="48"/>
      <c r="F35" s="49"/>
      <c r="G35" s="49"/>
      <c r="H35" s="49"/>
      <c r="I35" s="49"/>
      <c r="J35" s="53"/>
      <c r="K35" s="52"/>
      <c r="L35" s="54"/>
    </row>
    <row r="36" spans="1:13" ht="20.100000000000001" customHeight="1" x14ac:dyDescent="0.3">
      <c r="A36" s="47"/>
      <c r="B36" s="49"/>
      <c r="C36" s="49"/>
      <c r="D36" s="49"/>
      <c r="E36" s="48"/>
      <c r="F36" s="49"/>
      <c r="G36" s="49"/>
      <c r="H36" s="49"/>
      <c r="I36" s="49"/>
      <c r="J36" s="53"/>
      <c r="K36" s="52"/>
      <c r="L36" s="54"/>
      <c r="M36" s="55"/>
    </row>
    <row r="37" spans="1:13" ht="20.100000000000001" customHeight="1" x14ac:dyDescent="0.3">
      <c r="A37" s="47"/>
      <c r="B37" s="49"/>
      <c r="C37" s="49"/>
      <c r="D37" s="49"/>
      <c r="E37" s="49"/>
      <c r="F37" s="49"/>
      <c r="G37" s="49"/>
      <c r="H37" s="49"/>
      <c r="I37" s="49"/>
      <c r="J37" s="53"/>
      <c r="K37" s="52"/>
      <c r="L37" s="54"/>
    </row>
    <row r="38" spans="1:13" ht="20.100000000000001" customHeight="1" x14ac:dyDescent="0.3">
      <c r="A38" s="47"/>
      <c r="B38" s="49"/>
      <c r="C38" s="49"/>
      <c r="D38" s="49"/>
      <c r="E38" s="49"/>
      <c r="F38" s="49"/>
      <c r="G38" s="49"/>
      <c r="H38" s="49"/>
      <c r="I38" s="49"/>
      <c r="J38" s="53"/>
      <c r="K38" s="52"/>
      <c r="L38" s="54"/>
    </row>
    <row r="39" spans="1:13" ht="20.100000000000001" customHeight="1" x14ac:dyDescent="0.3">
      <c r="A39" s="47"/>
      <c r="B39" s="49"/>
      <c r="C39" s="49"/>
      <c r="D39" s="49"/>
      <c r="E39" s="49"/>
      <c r="F39" s="49"/>
      <c r="G39" s="49"/>
      <c r="H39" s="49"/>
      <c r="I39" s="49"/>
      <c r="J39" s="53"/>
      <c r="K39" s="52"/>
      <c r="L39" s="54"/>
    </row>
    <row r="40" spans="1:13" ht="20.100000000000001" customHeight="1" x14ac:dyDescent="0.3">
      <c r="A40" s="47"/>
      <c r="B40" s="49"/>
      <c r="C40" s="49"/>
      <c r="D40" s="49"/>
      <c r="E40" s="49"/>
      <c r="F40" s="49"/>
      <c r="G40" s="49"/>
      <c r="H40" s="49"/>
      <c r="I40" s="49"/>
      <c r="J40" s="53"/>
      <c r="K40" s="52"/>
      <c r="L40" s="54"/>
    </row>
    <row r="41" spans="1:13" ht="20.100000000000001" customHeight="1" x14ac:dyDescent="0.3">
      <c r="A41" s="47"/>
      <c r="B41" s="49"/>
      <c r="C41" s="49"/>
      <c r="D41" s="49"/>
      <c r="E41" s="48"/>
      <c r="F41" s="49"/>
      <c r="G41" s="49"/>
      <c r="H41" s="49"/>
      <c r="I41" s="49"/>
      <c r="J41" s="53"/>
      <c r="K41" s="52"/>
      <c r="L41" s="54"/>
    </row>
    <row r="42" spans="1:13" ht="20.100000000000001" customHeight="1" x14ac:dyDescent="0.3">
      <c r="A42" s="47"/>
      <c r="B42" s="49"/>
      <c r="C42" s="49"/>
      <c r="D42" s="49"/>
      <c r="E42" s="49"/>
      <c r="F42" s="49"/>
      <c r="G42" s="49"/>
      <c r="H42" s="49"/>
      <c r="I42" s="49"/>
      <c r="J42" s="53"/>
      <c r="K42" s="52"/>
      <c r="L42" s="54"/>
    </row>
    <row r="43" spans="1:13" ht="20.100000000000001" customHeight="1" x14ac:dyDescent="0.3">
      <c r="A43" s="47"/>
      <c r="B43" s="49"/>
      <c r="C43" s="49"/>
      <c r="D43" s="49"/>
      <c r="E43" s="49"/>
      <c r="F43" s="49"/>
      <c r="G43" s="49"/>
      <c r="H43" s="49"/>
      <c r="I43" s="49"/>
      <c r="J43" s="53"/>
      <c r="K43" s="52"/>
      <c r="L43" s="54"/>
    </row>
    <row r="44" spans="1:13" ht="20.100000000000001" customHeight="1" x14ac:dyDescent="0.3">
      <c r="A44" s="47"/>
      <c r="B44" s="49"/>
      <c r="C44" s="49"/>
      <c r="D44" s="49"/>
      <c r="E44" s="48"/>
      <c r="F44" s="49"/>
      <c r="G44" s="49"/>
      <c r="H44" s="49"/>
      <c r="I44" s="49"/>
      <c r="J44" s="53"/>
      <c r="K44" s="52"/>
      <c r="L44" s="54"/>
    </row>
    <row r="45" spans="1:13" ht="20.100000000000001" customHeight="1" x14ac:dyDescent="0.3">
      <c r="A45" s="47"/>
      <c r="B45" s="49"/>
      <c r="C45" s="49"/>
      <c r="D45" s="49"/>
      <c r="E45" s="49"/>
      <c r="F45" s="49"/>
      <c r="G45" s="49"/>
      <c r="H45" s="49"/>
      <c r="I45" s="49"/>
      <c r="J45" s="53"/>
      <c r="K45" s="52"/>
      <c r="L45" s="54"/>
      <c r="M45" s="69"/>
    </row>
    <row r="46" spans="1:13" ht="20.100000000000001" customHeight="1" x14ac:dyDescent="0.3">
      <c r="A46" s="47"/>
      <c r="B46" s="49"/>
      <c r="C46" s="49"/>
      <c r="D46" s="49"/>
      <c r="E46" s="49"/>
      <c r="F46" s="49"/>
      <c r="G46" s="49"/>
      <c r="H46" s="49"/>
      <c r="I46" s="49"/>
      <c r="J46" s="53"/>
      <c r="K46" s="52"/>
      <c r="L46" s="54"/>
      <c r="M46" s="69"/>
    </row>
    <row r="47" spans="1:13" ht="20.100000000000001" customHeight="1" x14ac:dyDescent="0.3">
      <c r="A47" s="47"/>
      <c r="B47" s="49"/>
      <c r="C47" s="49"/>
      <c r="D47" s="49"/>
      <c r="E47" s="49"/>
      <c r="F47" s="48"/>
      <c r="G47" s="49"/>
      <c r="H47" s="49"/>
      <c r="I47" s="49"/>
      <c r="J47" s="53"/>
      <c r="K47" s="51"/>
      <c r="L47" s="82"/>
    </row>
    <row r="48" spans="1:13" ht="20.100000000000001" customHeight="1" x14ac:dyDescent="0.3">
      <c r="A48" s="47"/>
      <c r="B48" s="49"/>
      <c r="C48" s="49"/>
      <c r="D48" s="49"/>
      <c r="E48" s="49"/>
      <c r="F48" s="49"/>
      <c r="G48" s="49"/>
      <c r="H48" s="49"/>
      <c r="I48" s="49"/>
      <c r="J48" s="53"/>
      <c r="K48" s="51"/>
      <c r="L48" s="82"/>
      <c r="M48" s="81"/>
    </row>
    <row r="49" spans="1:13" ht="20.100000000000001" customHeight="1" x14ac:dyDescent="0.3">
      <c r="A49" s="47"/>
      <c r="B49" s="49"/>
      <c r="C49" s="49"/>
      <c r="D49" s="49"/>
      <c r="E49" s="49"/>
      <c r="F49" s="48"/>
      <c r="G49" s="49"/>
      <c r="H49" s="49"/>
      <c r="I49" s="49"/>
      <c r="J49" s="53"/>
      <c r="K49" s="51"/>
      <c r="L49" s="82"/>
    </row>
    <row r="50" spans="1:13" ht="20.100000000000001" customHeight="1" x14ac:dyDescent="0.3">
      <c r="A50" s="47"/>
      <c r="B50" s="49"/>
      <c r="C50" s="49"/>
      <c r="D50" s="49"/>
      <c r="E50" s="49"/>
      <c r="F50" s="49"/>
      <c r="G50" s="49"/>
      <c r="H50" s="49"/>
      <c r="I50" s="49"/>
      <c r="J50" s="53"/>
      <c r="K50" s="51"/>
      <c r="L50" s="82"/>
      <c r="M50" s="81"/>
    </row>
    <row r="51" spans="1:13" ht="20.100000000000001" customHeight="1" x14ac:dyDescent="0.3">
      <c r="A51" s="47"/>
      <c r="B51" s="49"/>
      <c r="C51" s="49"/>
      <c r="D51" s="49"/>
      <c r="E51" s="49"/>
      <c r="F51" s="48"/>
      <c r="G51" s="49"/>
      <c r="H51" s="49"/>
      <c r="I51" s="49"/>
      <c r="J51" s="53"/>
      <c r="K51" s="51"/>
      <c r="L51" s="82"/>
    </row>
    <row r="52" spans="1:13" ht="20.100000000000001" customHeight="1" x14ac:dyDescent="0.3">
      <c r="A52" s="47"/>
      <c r="B52" s="48"/>
      <c r="C52" s="48"/>
      <c r="D52" s="48"/>
      <c r="E52" s="48"/>
      <c r="F52" s="48"/>
      <c r="G52" s="72"/>
      <c r="H52" s="72"/>
      <c r="I52" s="72"/>
      <c r="J52" s="73"/>
      <c r="K52" s="62"/>
      <c r="L52" s="82"/>
    </row>
    <row r="53" spans="1:13" ht="20.100000000000001" customHeight="1" x14ac:dyDescent="0.3">
      <c r="A53" s="47"/>
      <c r="B53" s="48"/>
      <c r="C53" s="48"/>
      <c r="D53" s="48"/>
      <c r="E53" s="48"/>
      <c r="F53" s="48"/>
      <c r="G53" s="72"/>
      <c r="H53" s="72"/>
      <c r="I53" s="72"/>
      <c r="J53" s="73"/>
      <c r="K53" s="62"/>
      <c r="L53" s="82"/>
    </row>
    <row r="54" spans="1:13" ht="20.100000000000001" customHeight="1" x14ac:dyDescent="0.3">
      <c r="A54" s="47"/>
      <c r="B54" s="48"/>
      <c r="C54" s="48"/>
      <c r="D54" s="48"/>
      <c r="E54" s="48"/>
      <c r="F54" s="48"/>
      <c r="G54" s="72"/>
      <c r="H54" s="72"/>
      <c r="I54" s="72"/>
      <c r="J54" s="73"/>
      <c r="K54" s="62"/>
      <c r="L54" s="82"/>
    </row>
    <row r="55" spans="1:13" ht="20.100000000000001" customHeight="1" x14ac:dyDescent="0.3">
      <c r="A55" s="47"/>
      <c r="B55" s="49"/>
      <c r="C55" s="49"/>
      <c r="D55" s="49"/>
      <c r="E55" s="49"/>
      <c r="F55" s="49"/>
      <c r="G55" s="49"/>
      <c r="H55" s="49"/>
      <c r="I55" s="49"/>
      <c r="J55" s="53"/>
      <c r="K55" s="51"/>
      <c r="L55" s="82"/>
    </row>
    <row r="56" spans="1:13" ht="20.100000000000001" customHeight="1" x14ac:dyDescent="0.3">
      <c r="A56" s="47"/>
      <c r="B56" s="49"/>
      <c r="C56" s="49"/>
      <c r="D56" s="49"/>
      <c r="E56" s="49"/>
      <c r="F56" s="49"/>
      <c r="G56" s="49"/>
      <c r="H56" s="49"/>
      <c r="I56" s="49"/>
      <c r="J56" s="53"/>
      <c r="K56" s="51"/>
      <c r="L56" s="82"/>
    </row>
    <row r="57" spans="1:13" ht="20.100000000000001" customHeight="1" x14ac:dyDescent="0.3">
      <c r="A57" s="47"/>
      <c r="B57" s="49"/>
      <c r="C57" s="49"/>
      <c r="D57" s="49"/>
      <c r="E57" s="49"/>
      <c r="F57" s="49"/>
      <c r="G57" s="49"/>
      <c r="H57" s="49"/>
      <c r="I57" s="49"/>
      <c r="J57" s="53"/>
      <c r="K57" s="51"/>
      <c r="L57" s="82"/>
    </row>
    <row r="58" spans="1:13" ht="20.100000000000001" customHeight="1" x14ac:dyDescent="0.3">
      <c r="A58" s="47"/>
      <c r="B58" s="49"/>
      <c r="C58" s="49"/>
      <c r="D58" s="49"/>
      <c r="E58" s="49"/>
      <c r="F58" s="49"/>
      <c r="G58" s="49"/>
      <c r="H58" s="49"/>
      <c r="I58" s="49"/>
      <c r="J58" s="53"/>
      <c r="K58" s="51"/>
      <c r="L58" s="82"/>
      <c r="M58" s="69"/>
    </row>
    <row r="59" spans="1:13" ht="20.100000000000001" customHeight="1" x14ac:dyDescent="0.3">
      <c r="A59" s="47"/>
      <c r="B59" s="49"/>
      <c r="C59" s="49"/>
      <c r="D59" s="49"/>
      <c r="E59" s="49"/>
      <c r="F59" s="49"/>
      <c r="G59" s="49"/>
      <c r="H59" s="49"/>
      <c r="I59" s="49"/>
      <c r="J59" s="53"/>
      <c r="K59" s="51"/>
      <c r="L59" s="82"/>
    </row>
    <row r="60" spans="1:13" ht="20.100000000000001" customHeight="1" x14ac:dyDescent="0.3">
      <c r="A60" s="47"/>
      <c r="B60" s="49"/>
      <c r="C60" s="49"/>
      <c r="D60" s="49"/>
      <c r="E60" s="49"/>
      <c r="F60" s="49"/>
      <c r="G60" s="49"/>
      <c r="H60" s="49"/>
      <c r="I60" s="49"/>
      <c r="J60" s="53"/>
      <c r="K60" s="51"/>
      <c r="L60" s="82"/>
      <c r="M60" s="81"/>
    </row>
    <row r="61" spans="1:13" ht="20.100000000000001" customHeight="1" x14ac:dyDescent="0.3">
      <c r="A61" s="47"/>
      <c r="B61" s="49"/>
      <c r="C61" s="49"/>
      <c r="D61" s="49"/>
      <c r="E61" s="49"/>
      <c r="F61" s="49"/>
      <c r="G61" s="49"/>
      <c r="H61" s="49"/>
      <c r="I61" s="49"/>
      <c r="J61" s="53"/>
      <c r="K61" s="51"/>
      <c r="L61" s="82"/>
    </row>
    <row r="62" spans="1:13" ht="20.100000000000001" customHeight="1" x14ac:dyDescent="0.3">
      <c r="A62" s="47"/>
      <c r="B62" s="49"/>
      <c r="C62" s="49"/>
      <c r="D62" s="49"/>
      <c r="E62" s="49"/>
      <c r="F62" s="49"/>
      <c r="G62" s="49"/>
      <c r="H62" s="49"/>
      <c r="I62" s="49"/>
      <c r="J62" s="53"/>
      <c r="K62" s="51"/>
      <c r="L62" s="82"/>
    </row>
    <row r="63" spans="1:13" ht="20.100000000000001" customHeight="1" x14ac:dyDescent="0.3">
      <c r="A63" s="47"/>
      <c r="B63" s="49"/>
      <c r="C63" s="49"/>
      <c r="D63" s="49"/>
      <c r="E63" s="49"/>
      <c r="F63" s="49"/>
      <c r="G63" s="49"/>
      <c r="H63" s="49"/>
      <c r="I63" s="49"/>
      <c r="J63" s="53"/>
      <c r="K63" s="51"/>
      <c r="L63" s="82"/>
    </row>
    <row r="64" spans="1:13" ht="20.100000000000001" customHeight="1" x14ac:dyDescent="0.3">
      <c r="A64" s="47"/>
      <c r="B64" s="49"/>
      <c r="C64" s="49"/>
      <c r="D64" s="49"/>
      <c r="E64" s="49"/>
      <c r="F64" s="49"/>
      <c r="G64" s="49"/>
      <c r="H64" s="49"/>
      <c r="I64" s="49"/>
      <c r="J64" s="53"/>
      <c r="K64" s="51"/>
      <c r="L64" s="82"/>
    </row>
    <row r="65" spans="1:13" ht="20.100000000000001" customHeight="1" x14ac:dyDescent="0.3">
      <c r="A65" s="47"/>
      <c r="B65" s="49"/>
      <c r="C65" s="49"/>
      <c r="D65" s="49"/>
      <c r="E65" s="49"/>
      <c r="F65" s="49"/>
      <c r="G65" s="49"/>
      <c r="H65" s="49"/>
      <c r="I65" s="49"/>
      <c r="J65" s="53"/>
      <c r="K65" s="51"/>
      <c r="L65" s="82"/>
    </row>
    <row r="66" spans="1:13" ht="20.100000000000001" customHeight="1" x14ac:dyDescent="0.3">
      <c r="A66" s="47"/>
      <c r="B66" s="48"/>
      <c r="C66" s="48"/>
      <c r="D66" s="48"/>
      <c r="E66" s="48"/>
      <c r="F66" s="48"/>
      <c r="G66" s="72"/>
      <c r="H66" s="72"/>
      <c r="I66" s="72"/>
      <c r="J66" s="73"/>
      <c r="K66" s="62"/>
      <c r="L66" s="82"/>
    </row>
    <row r="67" spans="1:13" ht="20.100000000000001" customHeight="1" x14ac:dyDescent="0.3">
      <c r="A67" s="47"/>
      <c r="B67" s="48"/>
      <c r="C67" s="48"/>
      <c r="D67" s="48"/>
      <c r="E67" s="48"/>
      <c r="F67" s="48"/>
      <c r="G67" s="72"/>
      <c r="H67" s="72"/>
      <c r="I67" s="72"/>
      <c r="J67" s="73"/>
      <c r="K67" s="62"/>
      <c r="L67" s="82"/>
    </row>
    <row r="68" spans="1:13" ht="20.100000000000001" customHeight="1" x14ac:dyDescent="0.3">
      <c r="A68" s="47"/>
      <c r="B68" s="49"/>
      <c r="C68" s="49"/>
      <c r="D68" s="49"/>
      <c r="E68" s="49"/>
      <c r="F68" s="49"/>
      <c r="G68" s="49"/>
      <c r="H68" s="49"/>
      <c r="I68" s="49"/>
      <c r="J68" s="53"/>
      <c r="K68" s="51"/>
      <c r="L68" s="82"/>
    </row>
    <row r="69" spans="1:13" ht="20.100000000000001" customHeight="1" x14ac:dyDescent="0.3">
      <c r="A69" s="47"/>
      <c r="B69" s="49"/>
      <c r="C69" s="49"/>
      <c r="D69" s="49"/>
      <c r="E69" s="49"/>
      <c r="F69" s="49"/>
      <c r="G69" s="49"/>
      <c r="H69" s="49"/>
      <c r="I69" s="49"/>
      <c r="J69" s="53"/>
      <c r="K69" s="51"/>
      <c r="L69" s="82"/>
      <c r="M69" s="69"/>
    </row>
    <row r="70" spans="1:13" ht="20.100000000000001" customHeight="1" x14ac:dyDescent="0.3">
      <c r="A70" s="47"/>
      <c r="B70" s="49"/>
      <c r="C70" s="49"/>
      <c r="D70" s="49"/>
      <c r="E70" s="49"/>
      <c r="F70" s="49"/>
      <c r="G70" s="49"/>
      <c r="H70" s="49"/>
      <c r="I70" s="49"/>
      <c r="J70" s="53"/>
      <c r="K70" s="51"/>
      <c r="L70" s="82"/>
    </row>
    <row r="71" spans="1:13" ht="20.100000000000001" customHeight="1" x14ac:dyDescent="0.3">
      <c r="A71" s="47"/>
      <c r="B71" s="49"/>
      <c r="C71" s="49"/>
      <c r="D71" s="49"/>
      <c r="E71" s="49"/>
      <c r="F71" s="49"/>
      <c r="G71" s="49"/>
      <c r="H71" s="49"/>
      <c r="I71" s="49"/>
      <c r="J71" s="53"/>
      <c r="K71" s="51"/>
      <c r="L71" s="82"/>
    </row>
    <row r="72" spans="1:13" ht="20.100000000000001" customHeight="1" x14ac:dyDescent="0.3">
      <c r="A72" s="47"/>
      <c r="B72" s="49"/>
      <c r="C72" s="49"/>
      <c r="D72" s="49"/>
      <c r="E72" s="49"/>
      <c r="F72" s="49"/>
      <c r="G72" s="49"/>
      <c r="H72" s="49"/>
      <c r="I72" s="49"/>
      <c r="J72" s="53"/>
      <c r="K72" s="51"/>
      <c r="L72" s="82"/>
    </row>
    <row r="73" spans="1:13" ht="20.100000000000001" customHeight="1" x14ac:dyDescent="0.3">
      <c r="A73" s="47"/>
      <c r="B73" s="49"/>
      <c r="C73" s="49"/>
      <c r="D73" s="49"/>
      <c r="E73" s="49"/>
      <c r="F73" s="49"/>
      <c r="G73" s="49"/>
      <c r="H73" s="49"/>
      <c r="I73" s="49"/>
      <c r="J73" s="53"/>
      <c r="K73" s="51"/>
      <c r="L73" s="82"/>
      <c r="M73" s="83"/>
    </row>
    <row r="74" spans="1:13" ht="20.100000000000001" customHeight="1" x14ac:dyDescent="0.3">
      <c r="A74" s="47"/>
      <c r="B74" s="49"/>
      <c r="C74" s="49"/>
      <c r="D74" s="49"/>
      <c r="E74" s="49"/>
      <c r="F74" s="49"/>
      <c r="G74" s="49"/>
      <c r="H74" s="49"/>
      <c r="I74" s="49"/>
      <c r="J74" s="53"/>
      <c r="K74" s="51"/>
      <c r="L74" s="82"/>
    </row>
    <row r="75" spans="1:13" ht="20.100000000000001" customHeight="1" x14ac:dyDescent="0.3">
      <c r="A75" s="47"/>
      <c r="B75" s="49"/>
      <c r="C75" s="49"/>
      <c r="D75" s="49"/>
      <c r="E75" s="49"/>
      <c r="F75" s="49"/>
      <c r="G75" s="49"/>
      <c r="H75" s="49"/>
      <c r="I75" s="49"/>
      <c r="J75" s="53"/>
      <c r="K75" s="51"/>
      <c r="L75" s="82"/>
    </row>
    <row r="76" spans="1:13" ht="20.100000000000001" customHeight="1" x14ac:dyDescent="0.3">
      <c r="A76" s="47"/>
      <c r="B76" s="49"/>
      <c r="C76" s="49"/>
      <c r="D76" s="49"/>
      <c r="E76" s="49"/>
      <c r="F76" s="49"/>
      <c r="G76" s="49"/>
      <c r="H76" s="49"/>
      <c r="I76" s="49"/>
      <c r="J76" s="53"/>
      <c r="K76" s="51"/>
      <c r="L76" s="82"/>
    </row>
    <row r="77" spans="1:13" ht="20.100000000000001" customHeight="1" x14ac:dyDescent="0.3">
      <c r="A77" s="47"/>
      <c r="B77" s="49"/>
      <c r="C77" s="49"/>
      <c r="D77" s="49"/>
      <c r="E77" s="49"/>
      <c r="F77" s="49"/>
      <c r="G77" s="49"/>
      <c r="H77" s="49"/>
      <c r="I77" s="49"/>
      <c r="J77" s="53"/>
      <c r="K77" s="51"/>
      <c r="L77" s="82"/>
    </row>
    <row r="78" spans="1:13" ht="20.100000000000001" customHeight="1" x14ac:dyDescent="0.3">
      <c r="A78" s="47"/>
      <c r="B78" s="49"/>
      <c r="C78" s="49"/>
      <c r="D78" s="49"/>
      <c r="E78" s="49"/>
      <c r="F78" s="49"/>
      <c r="G78" s="49"/>
      <c r="H78" s="49"/>
      <c r="I78" s="49"/>
      <c r="J78" s="53"/>
      <c r="K78" s="51"/>
      <c r="L78" s="82"/>
    </row>
    <row r="79" spans="1:13" ht="20.100000000000001" customHeight="1" x14ac:dyDescent="0.3">
      <c r="A79" s="47"/>
      <c r="B79" s="48"/>
      <c r="C79" s="48"/>
      <c r="D79" s="48"/>
      <c r="E79" s="48"/>
      <c r="F79" s="48"/>
      <c r="G79" s="72"/>
      <c r="H79" s="72"/>
      <c r="I79" s="72"/>
      <c r="J79" s="73"/>
      <c r="K79" s="54"/>
      <c r="L79" s="82"/>
      <c r="M79" s="81"/>
    </row>
    <row r="80" spans="1:13" ht="20.100000000000001" customHeight="1" x14ac:dyDescent="0.3">
      <c r="A80" s="47"/>
      <c r="B80" s="48"/>
      <c r="C80" s="48"/>
      <c r="D80" s="48"/>
      <c r="E80" s="48"/>
      <c r="F80" s="48"/>
      <c r="G80" s="72"/>
      <c r="H80" s="72"/>
      <c r="I80" s="72"/>
      <c r="J80" s="73"/>
      <c r="K80" s="54"/>
      <c r="L80" s="82"/>
    </row>
    <row r="81" spans="1:12" ht="20.100000000000001" customHeight="1" x14ac:dyDescent="0.3">
      <c r="A81" s="47"/>
      <c r="B81" s="48"/>
      <c r="C81" s="48"/>
      <c r="D81" s="48"/>
      <c r="E81" s="48"/>
      <c r="F81" s="48"/>
      <c r="G81" s="72"/>
      <c r="H81" s="72"/>
      <c r="I81" s="72"/>
      <c r="J81" s="73"/>
      <c r="K81" s="54"/>
      <c r="L81" s="82"/>
    </row>
    <row r="82" spans="1:12" ht="20.100000000000001" customHeight="1" x14ac:dyDescent="0.3">
      <c r="A82" s="47"/>
      <c r="B82" s="48"/>
      <c r="C82" s="48"/>
      <c r="D82" s="48"/>
      <c r="E82" s="48"/>
      <c r="F82" s="48"/>
      <c r="G82" s="72"/>
      <c r="H82" s="72"/>
      <c r="I82" s="72"/>
      <c r="J82" s="73"/>
      <c r="K82" s="54"/>
      <c r="L82" s="82"/>
    </row>
    <row r="83" spans="1:12" ht="20.100000000000001" customHeight="1" x14ac:dyDescent="0.3">
      <c r="A83" s="47"/>
      <c r="B83" s="49"/>
      <c r="C83" s="49"/>
      <c r="D83" s="49"/>
      <c r="E83" s="49"/>
      <c r="F83" s="49"/>
      <c r="G83" s="49"/>
      <c r="H83" s="49"/>
      <c r="I83" s="49"/>
      <c r="J83" s="53"/>
      <c r="K83" s="51"/>
      <c r="L83" s="82"/>
    </row>
    <row r="84" spans="1:12" ht="20.100000000000001" customHeight="1" x14ac:dyDescent="0.3">
      <c r="A84" s="47"/>
      <c r="B84" s="48"/>
      <c r="C84" s="48"/>
      <c r="D84" s="48"/>
      <c r="E84" s="48"/>
      <c r="F84" s="48"/>
      <c r="G84" s="72"/>
      <c r="H84" s="72"/>
      <c r="I84" s="72"/>
      <c r="J84" s="73"/>
      <c r="K84" s="62"/>
      <c r="L84" s="82"/>
    </row>
    <row r="85" spans="1:12" ht="20.100000000000001" customHeight="1" x14ac:dyDescent="0.3">
      <c r="A85" s="47"/>
      <c r="B85" s="48"/>
      <c r="C85" s="48"/>
      <c r="D85" s="48"/>
      <c r="E85" s="48"/>
      <c r="F85" s="48"/>
      <c r="G85" s="72"/>
      <c r="H85" s="72"/>
      <c r="I85" s="72"/>
      <c r="J85" s="73"/>
      <c r="K85" s="62"/>
      <c r="L85" s="82"/>
    </row>
    <row r="86" spans="1:12" ht="20.100000000000001" customHeight="1" x14ac:dyDescent="0.3">
      <c r="A86" s="47"/>
      <c r="B86" s="48"/>
      <c r="C86" s="48"/>
      <c r="D86" s="48"/>
      <c r="E86" s="48"/>
      <c r="F86" s="48"/>
      <c r="G86" s="72"/>
      <c r="H86" s="72"/>
      <c r="I86" s="72"/>
      <c r="J86" s="73"/>
      <c r="K86" s="62"/>
      <c r="L86" s="82"/>
    </row>
    <row r="87" spans="1:12" ht="20.100000000000001" customHeight="1" x14ac:dyDescent="0.3">
      <c r="A87" s="47"/>
      <c r="B87" s="48"/>
      <c r="C87" s="48"/>
      <c r="D87" s="48"/>
      <c r="E87" s="48"/>
      <c r="F87" s="48"/>
      <c r="G87" s="72"/>
      <c r="H87" s="72"/>
      <c r="I87" s="72"/>
      <c r="J87" s="73"/>
      <c r="K87" s="62"/>
      <c r="L87" s="82"/>
    </row>
    <row r="88" spans="1:12" ht="20.100000000000001" customHeight="1" x14ac:dyDescent="0.3">
      <c r="A88" s="47"/>
      <c r="B88" s="48"/>
      <c r="C88" s="48"/>
      <c r="D88" s="48"/>
      <c r="E88" s="48"/>
      <c r="F88" s="48"/>
      <c r="G88" s="72"/>
      <c r="H88" s="72"/>
      <c r="I88" s="72"/>
      <c r="J88" s="73"/>
      <c r="K88" s="62"/>
      <c r="L88" s="82"/>
    </row>
    <row r="89" spans="1:12" ht="20.100000000000001" customHeight="1" x14ac:dyDescent="0.3">
      <c r="A89" s="47"/>
      <c r="B89" s="48"/>
      <c r="C89" s="48"/>
      <c r="D89" s="48"/>
      <c r="E89" s="48"/>
      <c r="F89" s="48"/>
      <c r="G89" s="72"/>
      <c r="H89" s="72"/>
      <c r="I89" s="72"/>
      <c r="J89" s="73"/>
      <c r="K89" s="62"/>
      <c r="L89" s="82"/>
    </row>
    <row r="90" spans="1:12" ht="20.100000000000001" customHeight="1" x14ac:dyDescent="0.3">
      <c r="A90" s="47"/>
      <c r="B90" s="48"/>
      <c r="C90" s="48"/>
      <c r="D90" s="48"/>
      <c r="E90" s="48"/>
      <c r="F90" s="48"/>
      <c r="G90" s="72"/>
      <c r="H90" s="72"/>
      <c r="I90" s="72"/>
      <c r="J90" s="73"/>
      <c r="K90" s="62"/>
      <c r="L90" s="82"/>
    </row>
    <row r="91" spans="1:12" ht="20.100000000000001" customHeight="1" x14ac:dyDescent="0.3">
      <c r="A91" s="47"/>
      <c r="B91" s="48"/>
      <c r="C91" s="48"/>
      <c r="D91" s="48"/>
      <c r="E91" s="48"/>
      <c r="F91" s="48"/>
      <c r="G91" s="72"/>
      <c r="H91" s="72"/>
      <c r="I91" s="72"/>
      <c r="J91" s="73"/>
      <c r="K91" s="62"/>
      <c r="L91" s="82"/>
    </row>
    <row r="92" spans="1:12" ht="20.100000000000001" customHeight="1" x14ac:dyDescent="0.3">
      <c r="A92" s="47"/>
      <c r="B92" s="48"/>
      <c r="C92" s="48"/>
      <c r="D92" s="48"/>
      <c r="E92" s="48"/>
      <c r="F92" s="48"/>
      <c r="G92" s="72"/>
      <c r="H92" s="72"/>
      <c r="I92" s="72"/>
      <c r="J92" s="73"/>
      <c r="K92" s="62"/>
      <c r="L92" s="82"/>
    </row>
    <row r="93" spans="1:12" ht="20.100000000000001" customHeight="1" x14ac:dyDescent="0.3">
      <c r="A93" s="47"/>
      <c r="B93" s="48"/>
      <c r="C93" s="48"/>
      <c r="D93" s="48"/>
      <c r="E93" s="48"/>
      <c r="F93" s="48"/>
      <c r="G93" s="72"/>
      <c r="H93" s="72"/>
      <c r="I93" s="72"/>
      <c r="J93" s="73"/>
      <c r="K93" s="62"/>
      <c r="L93" s="82"/>
    </row>
    <row r="94" spans="1:12" ht="20.100000000000001" customHeight="1" x14ac:dyDescent="0.3">
      <c r="A94" s="47"/>
      <c r="B94" s="48"/>
      <c r="C94" s="48"/>
      <c r="D94" s="48"/>
      <c r="E94" s="48"/>
      <c r="F94" s="48"/>
      <c r="G94" s="72"/>
      <c r="H94" s="72"/>
      <c r="I94" s="72"/>
      <c r="J94" s="73"/>
      <c r="K94" s="62"/>
      <c r="L94" s="82"/>
    </row>
    <row r="95" spans="1:12" ht="20.100000000000001" customHeight="1" x14ac:dyDescent="0.3">
      <c r="A95" s="47"/>
      <c r="B95" s="49"/>
      <c r="C95" s="49"/>
      <c r="D95" s="49"/>
      <c r="E95" s="49"/>
      <c r="F95" s="49"/>
      <c r="G95" s="49"/>
      <c r="H95" s="49"/>
      <c r="I95" s="49"/>
      <c r="J95" s="53"/>
      <c r="K95" s="51"/>
      <c r="L95" s="82"/>
    </row>
    <row r="96" spans="1:12" ht="20.100000000000001" customHeight="1" x14ac:dyDescent="0.3">
      <c r="A96" s="47"/>
      <c r="B96" s="48"/>
      <c r="C96" s="48"/>
      <c r="D96" s="48"/>
      <c r="E96" s="48"/>
      <c r="F96" s="48"/>
      <c r="G96" s="72"/>
      <c r="H96" s="72"/>
      <c r="I96" s="72"/>
      <c r="J96" s="73"/>
      <c r="K96" s="62"/>
      <c r="L96" s="82"/>
    </row>
    <row r="97" spans="1:13" ht="20.100000000000001" customHeight="1" x14ac:dyDescent="0.3">
      <c r="A97" s="47"/>
      <c r="B97" s="49"/>
      <c r="C97" s="49"/>
      <c r="D97" s="49"/>
      <c r="E97" s="49"/>
      <c r="F97" s="49"/>
      <c r="G97" s="49"/>
      <c r="H97" s="49"/>
      <c r="I97" s="49"/>
      <c r="J97" s="53"/>
      <c r="K97" s="51"/>
      <c r="L97" s="82"/>
    </row>
    <row r="98" spans="1:13" ht="20.100000000000001" customHeight="1" x14ac:dyDescent="0.3">
      <c r="A98" s="47"/>
      <c r="B98" s="48"/>
      <c r="C98" s="48"/>
      <c r="D98" s="48"/>
      <c r="E98" s="48"/>
      <c r="F98" s="48"/>
      <c r="G98" s="72"/>
      <c r="H98" s="72"/>
      <c r="I98" s="72"/>
      <c r="J98" s="73"/>
      <c r="K98" s="62"/>
      <c r="L98" s="82"/>
    </row>
    <row r="99" spans="1:13" ht="20.100000000000001" customHeight="1" x14ac:dyDescent="0.3">
      <c r="A99" s="47"/>
      <c r="B99" s="48"/>
      <c r="C99" s="48"/>
      <c r="D99" s="48"/>
      <c r="E99" s="48"/>
      <c r="F99" s="48"/>
      <c r="G99" s="72"/>
      <c r="H99" s="72"/>
      <c r="I99" s="72"/>
      <c r="J99" s="73"/>
      <c r="K99" s="62"/>
      <c r="L99" s="82"/>
    </row>
    <row r="100" spans="1:13" ht="20.100000000000001" customHeight="1" x14ac:dyDescent="0.3">
      <c r="A100" s="47"/>
      <c r="B100" s="48"/>
      <c r="C100" s="48"/>
      <c r="D100" s="48"/>
      <c r="E100" s="48"/>
      <c r="F100" s="48"/>
      <c r="G100" s="72"/>
      <c r="H100" s="72"/>
      <c r="I100" s="72"/>
      <c r="J100" s="73"/>
      <c r="K100" s="62"/>
      <c r="L100" s="82"/>
    </row>
    <row r="101" spans="1:13" ht="20.100000000000001" customHeight="1" x14ac:dyDescent="0.3">
      <c r="A101" s="47"/>
      <c r="B101" s="49"/>
      <c r="C101" s="49"/>
      <c r="D101" s="49"/>
      <c r="E101" s="49"/>
      <c r="F101" s="49"/>
      <c r="G101" s="49"/>
      <c r="H101" s="49"/>
      <c r="I101" s="49"/>
      <c r="J101" s="53"/>
      <c r="K101" s="51"/>
      <c r="L101" s="82"/>
    </row>
    <row r="102" spans="1:13" ht="20.100000000000001" customHeight="1" x14ac:dyDescent="0.3">
      <c r="A102" s="47"/>
      <c r="B102" s="49"/>
      <c r="C102" s="49"/>
      <c r="D102" s="49"/>
      <c r="E102" s="49"/>
      <c r="F102" s="49"/>
      <c r="G102" s="49"/>
      <c r="H102" s="49"/>
      <c r="I102" s="49"/>
      <c r="J102" s="53"/>
      <c r="K102" s="51"/>
      <c r="L102" s="82"/>
    </row>
    <row r="103" spans="1:13" ht="20.100000000000001" customHeight="1" x14ac:dyDescent="0.3">
      <c r="A103" s="47"/>
      <c r="B103" s="49"/>
      <c r="C103" s="49"/>
      <c r="D103" s="49"/>
      <c r="E103" s="49"/>
      <c r="F103" s="49"/>
      <c r="G103" s="49"/>
      <c r="H103" s="49"/>
      <c r="I103" s="49"/>
      <c r="J103" s="53"/>
      <c r="K103" s="51"/>
      <c r="L103" s="82"/>
    </row>
    <row r="104" spans="1:13" ht="20.100000000000001" customHeight="1" x14ac:dyDescent="0.3">
      <c r="A104" s="47"/>
      <c r="B104" s="49"/>
      <c r="C104" s="49"/>
      <c r="D104" s="49"/>
      <c r="E104" s="49"/>
      <c r="F104" s="49"/>
      <c r="G104" s="49"/>
      <c r="H104" s="49"/>
      <c r="I104" s="49"/>
      <c r="J104" s="53"/>
      <c r="K104" s="51"/>
      <c r="L104" s="82"/>
      <c r="M104" s="81"/>
    </row>
    <row r="105" spans="1:13" ht="20.100000000000001" customHeight="1" x14ac:dyDescent="0.3">
      <c r="A105" s="47"/>
      <c r="B105" s="49"/>
      <c r="C105" s="49"/>
      <c r="D105" s="49"/>
      <c r="E105" s="49"/>
      <c r="F105" s="49"/>
      <c r="G105" s="49"/>
      <c r="H105" s="49"/>
      <c r="I105" s="49"/>
      <c r="J105" s="53"/>
      <c r="K105" s="51"/>
      <c r="L105" s="82"/>
    </row>
    <row r="106" spans="1:13" ht="20.100000000000001" customHeight="1" x14ac:dyDescent="0.3">
      <c r="A106" s="47"/>
      <c r="B106" s="49"/>
      <c r="C106" s="49"/>
      <c r="D106" s="49"/>
      <c r="E106" s="49"/>
      <c r="F106" s="49"/>
      <c r="G106" s="49"/>
      <c r="H106" s="49"/>
      <c r="I106" s="49"/>
      <c r="J106" s="53"/>
      <c r="K106" s="51"/>
      <c r="L106" s="82"/>
      <c r="M106" s="69"/>
    </row>
    <row r="107" spans="1:13" ht="20.100000000000001" customHeight="1" x14ac:dyDescent="0.3">
      <c r="A107" s="47"/>
      <c r="B107" s="49"/>
      <c r="C107" s="49"/>
      <c r="D107" s="49"/>
      <c r="E107" s="49"/>
      <c r="F107" s="49"/>
      <c r="G107" s="49"/>
      <c r="H107" s="49"/>
      <c r="I107" s="49"/>
      <c r="J107" s="53"/>
      <c r="K107" s="51"/>
      <c r="L107" s="82"/>
    </row>
    <row r="108" spans="1:13" ht="20.100000000000001" customHeight="1" x14ac:dyDescent="0.3">
      <c r="A108" s="47"/>
      <c r="B108" s="48"/>
      <c r="C108" s="48"/>
      <c r="D108" s="48"/>
      <c r="E108" s="48"/>
      <c r="F108" s="48"/>
      <c r="G108" s="72"/>
      <c r="H108" s="72"/>
      <c r="I108" s="72"/>
      <c r="J108" s="73"/>
      <c r="K108" s="62"/>
      <c r="L108" s="82"/>
    </row>
    <row r="109" spans="1:13" ht="20.100000000000001" customHeight="1" x14ac:dyDescent="0.3">
      <c r="A109" s="47"/>
      <c r="B109" s="48"/>
      <c r="C109" s="48"/>
      <c r="D109" s="48"/>
      <c r="E109" s="48"/>
      <c r="F109" s="48"/>
      <c r="G109" s="72"/>
      <c r="H109" s="72"/>
      <c r="I109" s="72"/>
      <c r="J109" s="73"/>
      <c r="K109" s="62"/>
      <c r="L109" s="82"/>
    </row>
    <row r="110" spans="1:13" ht="20.100000000000001" customHeight="1" x14ac:dyDescent="0.3">
      <c r="A110" s="47"/>
      <c r="B110" s="48"/>
      <c r="C110" s="48"/>
      <c r="D110" s="48"/>
      <c r="E110" s="48"/>
      <c r="F110" s="48"/>
      <c r="G110" s="72"/>
      <c r="H110" s="72"/>
      <c r="I110" s="72"/>
      <c r="J110" s="73"/>
      <c r="K110" s="62"/>
      <c r="L110" s="82"/>
    </row>
    <row r="111" spans="1:13" ht="20.100000000000001" customHeight="1" x14ac:dyDescent="0.3">
      <c r="A111" s="47"/>
      <c r="B111" s="48"/>
      <c r="C111" s="48"/>
      <c r="D111" s="48"/>
      <c r="E111" s="48"/>
      <c r="F111" s="48"/>
      <c r="G111" s="72"/>
      <c r="H111" s="72"/>
      <c r="I111" s="72"/>
      <c r="J111" s="73"/>
      <c r="K111" s="62"/>
      <c r="L111" s="82"/>
    </row>
    <row r="112" spans="1:13" ht="20.100000000000001" customHeight="1" x14ac:dyDescent="0.3">
      <c r="A112" s="47"/>
      <c r="B112" s="48"/>
      <c r="C112" s="48"/>
      <c r="D112" s="48"/>
      <c r="E112" s="48"/>
      <c r="F112" s="48"/>
      <c r="G112" s="72"/>
      <c r="H112" s="72"/>
      <c r="I112" s="72"/>
      <c r="J112" s="73"/>
      <c r="K112" s="62"/>
      <c r="L112" s="82"/>
    </row>
    <row r="113" spans="1:13" ht="20.100000000000001" customHeight="1" x14ac:dyDescent="0.3">
      <c r="A113" s="47"/>
      <c r="B113" s="48"/>
      <c r="C113" s="48"/>
      <c r="D113" s="48"/>
      <c r="E113" s="48"/>
      <c r="F113" s="48"/>
      <c r="G113" s="72"/>
      <c r="H113" s="72"/>
      <c r="I113" s="72"/>
      <c r="J113" s="73"/>
      <c r="K113" s="62"/>
      <c r="L113" s="82"/>
    </row>
    <row r="114" spans="1:13" ht="20.100000000000001" customHeight="1" x14ac:dyDescent="0.3">
      <c r="A114" s="47"/>
      <c r="B114" s="48"/>
      <c r="C114" s="48"/>
      <c r="D114" s="48"/>
      <c r="E114" s="48"/>
      <c r="F114" s="48"/>
      <c r="G114" s="72"/>
      <c r="H114" s="72"/>
      <c r="I114" s="72"/>
      <c r="J114" s="73"/>
      <c r="K114" s="62"/>
      <c r="L114" s="82"/>
    </row>
    <row r="115" spans="1:13" ht="20.100000000000001" customHeight="1" x14ac:dyDescent="0.3">
      <c r="A115" s="47"/>
      <c r="B115" s="49"/>
      <c r="C115" s="49"/>
      <c r="D115" s="49"/>
      <c r="E115" s="49"/>
      <c r="F115" s="49"/>
      <c r="G115" s="49"/>
      <c r="H115" s="49"/>
      <c r="I115" s="49"/>
      <c r="J115" s="53"/>
      <c r="K115" s="51"/>
      <c r="L115" s="82"/>
      <c r="M115" s="69"/>
    </row>
    <row r="116" spans="1:13" ht="20.100000000000001" customHeight="1" x14ac:dyDescent="0.3">
      <c r="A116" s="47"/>
      <c r="B116" s="49"/>
      <c r="C116" s="49"/>
      <c r="D116" s="49"/>
      <c r="E116" s="49"/>
      <c r="F116" s="49"/>
      <c r="G116" s="49"/>
      <c r="H116" s="49"/>
      <c r="I116" s="49"/>
      <c r="J116" s="53"/>
      <c r="K116" s="51"/>
      <c r="L116" s="82"/>
    </row>
    <row r="117" spans="1:13" ht="20.100000000000001" customHeight="1" x14ac:dyDescent="0.3">
      <c r="A117" s="47"/>
      <c r="B117" s="49"/>
      <c r="C117" s="49"/>
      <c r="D117" s="49"/>
      <c r="E117" s="49"/>
      <c r="F117" s="49"/>
      <c r="G117" s="49"/>
      <c r="H117" s="49"/>
      <c r="I117" s="49"/>
      <c r="J117" s="53"/>
      <c r="K117" s="51"/>
      <c r="L117" s="82"/>
      <c r="M117" s="56"/>
    </row>
    <row r="118" spans="1:13" ht="20.100000000000001" customHeight="1" x14ac:dyDescent="0.3">
      <c r="A118" s="47"/>
      <c r="B118" s="49"/>
      <c r="C118" s="49"/>
      <c r="D118" s="49"/>
      <c r="E118" s="49"/>
      <c r="F118" s="49"/>
      <c r="G118" s="49"/>
      <c r="H118" s="49"/>
      <c r="I118" s="49"/>
      <c r="J118" s="53"/>
      <c r="K118" s="51"/>
      <c r="L118" s="82"/>
      <c r="M118" s="83"/>
    </row>
    <row r="119" spans="1:13" ht="20.100000000000001" customHeight="1" x14ac:dyDescent="0.3">
      <c r="A119" s="47"/>
      <c r="B119" s="49"/>
      <c r="C119" s="49"/>
      <c r="D119" s="49"/>
      <c r="E119" s="49"/>
      <c r="F119" s="49"/>
      <c r="G119" s="49"/>
      <c r="H119" s="49"/>
      <c r="I119" s="49"/>
      <c r="J119" s="53"/>
      <c r="K119" s="51"/>
      <c r="L119" s="82"/>
      <c r="M119" s="57"/>
    </row>
    <row r="120" spans="1:13" ht="20.100000000000001" customHeight="1" x14ac:dyDescent="0.3">
      <c r="A120" s="47"/>
      <c r="B120" s="48"/>
      <c r="C120" s="48"/>
      <c r="D120" s="48"/>
      <c r="E120" s="48"/>
      <c r="F120" s="48"/>
      <c r="G120" s="72"/>
      <c r="H120" s="72"/>
      <c r="I120" s="72"/>
      <c r="J120" s="73"/>
      <c r="K120" s="84"/>
      <c r="L120" s="82"/>
    </row>
    <row r="121" spans="1:13" ht="20.100000000000001" customHeight="1" x14ac:dyDescent="0.3">
      <c r="A121" s="47"/>
      <c r="B121" s="49"/>
      <c r="C121" s="49"/>
      <c r="D121" s="49"/>
      <c r="E121" s="49"/>
      <c r="F121" s="49"/>
      <c r="G121" s="49"/>
      <c r="H121" s="49"/>
      <c r="I121" s="49"/>
      <c r="J121" s="53"/>
      <c r="K121" s="51"/>
      <c r="L121" s="82"/>
    </row>
    <row r="122" spans="1:13" ht="20.100000000000001" customHeight="1" x14ac:dyDescent="0.3">
      <c r="A122" s="47"/>
      <c r="B122" s="49"/>
      <c r="C122" s="49"/>
      <c r="D122" s="49"/>
      <c r="E122" s="49"/>
      <c r="F122" s="49"/>
      <c r="G122" s="49"/>
      <c r="H122" s="49"/>
      <c r="I122" s="49"/>
      <c r="J122" s="53"/>
      <c r="K122" s="51"/>
      <c r="L122" s="82"/>
    </row>
    <row r="123" spans="1:13" ht="20.100000000000001" customHeight="1" x14ac:dyDescent="0.3">
      <c r="A123" s="47"/>
      <c r="B123" s="49"/>
      <c r="C123" s="49"/>
      <c r="D123" s="49"/>
      <c r="E123" s="49"/>
      <c r="F123" s="49"/>
      <c r="G123" s="49"/>
      <c r="H123" s="49"/>
      <c r="I123" s="49"/>
      <c r="J123" s="53"/>
      <c r="K123" s="51"/>
      <c r="L123" s="82"/>
      <c r="M123" s="85"/>
    </row>
    <row r="124" spans="1:13" ht="20.100000000000001" customHeight="1" x14ac:dyDescent="0.3">
      <c r="A124" s="47"/>
      <c r="B124" s="49"/>
      <c r="C124" s="49"/>
      <c r="D124" s="49"/>
      <c r="E124" s="49"/>
      <c r="F124" s="49"/>
      <c r="G124" s="49"/>
      <c r="H124" s="49"/>
      <c r="I124" s="49"/>
      <c r="J124" s="53"/>
      <c r="K124" s="51"/>
      <c r="L124" s="82"/>
      <c r="M124" s="86"/>
    </row>
    <row r="125" spans="1:13" ht="20.100000000000001" customHeight="1" x14ac:dyDescent="0.3">
      <c r="A125" s="47"/>
      <c r="B125" s="49"/>
      <c r="C125" s="49"/>
      <c r="D125" s="49"/>
      <c r="E125" s="49"/>
      <c r="F125" s="49"/>
      <c r="G125" s="49"/>
      <c r="H125" s="49"/>
      <c r="I125" s="49"/>
      <c r="J125" s="53"/>
      <c r="K125" s="51"/>
      <c r="L125" s="82"/>
      <c r="M125" s="85"/>
    </row>
    <row r="126" spans="1:13" ht="20.100000000000001" customHeight="1" x14ac:dyDescent="0.3">
      <c r="A126" s="47"/>
      <c r="B126" s="49"/>
      <c r="C126" s="49"/>
      <c r="D126" s="49"/>
      <c r="E126" s="49"/>
      <c r="F126" s="49"/>
      <c r="G126" s="49"/>
      <c r="H126" s="49"/>
      <c r="I126" s="49"/>
      <c r="J126" s="53"/>
      <c r="K126" s="51"/>
      <c r="L126" s="82"/>
      <c r="M126" s="85"/>
    </row>
    <row r="127" spans="1:13" ht="20.100000000000001" customHeight="1" x14ac:dyDescent="0.3">
      <c r="A127" s="47"/>
      <c r="B127" s="49"/>
      <c r="C127" s="49"/>
      <c r="D127" s="49"/>
      <c r="E127" s="49"/>
      <c r="F127" s="49"/>
      <c r="G127" s="49"/>
      <c r="H127" s="49"/>
      <c r="I127" s="49"/>
      <c r="J127" s="53"/>
      <c r="K127" s="51"/>
      <c r="L127" s="82"/>
      <c r="M127" s="85"/>
    </row>
    <row r="128" spans="1:13" ht="20.100000000000001" customHeight="1" x14ac:dyDescent="0.3">
      <c r="A128" s="47"/>
      <c r="B128" s="49"/>
      <c r="C128" s="49"/>
      <c r="D128" s="49"/>
      <c r="E128" s="49"/>
      <c r="F128" s="49"/>
      <c r="G128" s="49"/>
      <c r="H128" s="49"/>
      <c r="I128" s="49"/>
      <c r="J128" s="53"/>
      <c r="K128" s="51"/>
      <c r="L128" s="82"/>
      <c r="M128" s="85"/>
    </row>
    <row r="129" spans="1:13" ht="20.100000000000001" customHeight="1" x14ac:dyDescent="0.3">
      <c r="A129" s="47"/>
      <c r="B129" s="49"/>
      <c r="C129" s="49"/>
      <c r="D129" s="49"/>
      <c r="E129" s="49"/>
      <c r="F129" s="49"/>
      <c r="G129" s="49"/>
      <c r="H129" s="49"/>
      <c r="I129" s="49"/>
      <c r="J129" s="53"/>
      <c r="K129" s="51"/>
      <c r="L129" s="82"/>
      <c r="M129" s="85"/>
    </row>
    <row r="130" spans="1:13" ht="20.100000000000001" customHeight="1" x14ac:dyDescent="0.3">
      <c r="A130" s="47"/>
      <c r="B130" s="49"/>
      <c r="C130" s="49"/>
      <c r="D130" s="49"/>
      <c r="E130" s="49"/>
      <c r="F130" s="49"/>
      <c r="G130" s="49"/>
      <c r="H130" s="49"/>
      <c r="I130" s="49"/>
      <c r="J130" s="53"/>
      <c r="K130" s="51"/>
      <c r="L130" s="82"/>
      <c r="M130" s="87"/>
    </row>
    <row r="131" spans="1:13" ht="20.100000000000001" customHeight="1" x14ac:dyDescent="0.3">
      <c r="A131" s="47"/>
      <c r="B131" s="49"/>
      <c r="C131" s="49"/>
      <c r="D131" s="49"/>
      <c r="E131" s="49"/>
      <c r="F131" s="49"/>
      <c r="G131" s="49"/>
      <c r="H131" s="49"/>
      <c r="I131" s="49"/>
      <c r="J131" s="53"/>
      <c r="K131" s="51"/>
      <c r="L131" s="82"/>
      <c r="M131" s="85"/>
    </row>
    <row r="132" spans="1:13" ht="20.100000000000001" customHeight="1" x14ac:dyDescent="0.3">
      <c r="A132" s="47"/>
      <c r="B132" s="49"/>
      <c r="C132" s="49"/>
      <c r="D132" s="49"/>
      <c r="E132" s="49"/>
      <c r="F132" s="49"/>
      <c r="G132" s="49"/>
      <c r="H132" s="49"/>
      <c r="I132" s="49"/>
      <c r="J132" s="53"/>
      <c r="K132" s="51"/>
      <c r="L132" s="82"/>
      <c r="M132" s="85"/>
    </row>
    <row r="133" spans="1:13" ht="20.100000000000001" customHeight="1" x14ac:dyDescent="0.3">
      <c r="A133" s="47"/>
      <c r="B133" s="49"/>
      <c r="C133" s="49"/>
      <c r="D133" s="49"/>
      <c r="E133" s="49"/>
      <c r="F133" s="49"/>
      <c r="G133" s="49"/>
      <c r="H133" s="49"/>
      <c r="I133" s="49"/>
      <c r="J133" s="53"/>
      <c r="K133" s="51"/>
      <c r="L133" s="82"/>
      <c r="M133" s="69"/>
    </row>
    <row r="134" spans="1:13" ht="20.100000000000001" customHeight="1" x14ac:dyDescent="0.3">
      <c r="A134" s="47"/>
      <c r="B134" s="48"/>
      <c r="C134" s="48"/>
      <c r="D134" s="48"/>
      <c r="E134" s="48"/>
      <c r="F134" s="48"/>
      <c r="G134" s="72"/>
      <c r="H134" s="72"/>
      <c r="I134" s="72"/>
      <c r="J134" s="73"/>
      <c r="K134" s="62"/>
      <c r="L134" s="82"/>
      <c r="M134" s="69"/>
    </row>
    <row r="135" spans="1:13" ht="20.100000000000001" customHeight="1" x14ac:dyDescent="0.3">
      <c r="A135" s="47"/>
      <c r="B135" s="48"/>
      <c r="C135" s="48"/>
      <c r="D135" s="48"/>
      <c r="E135" s="48"/>
      <c r="F135" s="48"/>
      <c r="G135" s="72"/>
      <c r="H135" s="72"/>
      <c r="I135" s="72"/>
      <c r="J135" s="73"/>
      <c r="K135" s="62"/>
      <c r="L135" s="82"/>
      <c r="M135" s="88"/>
    </row>
    <row r="136" spans="1:13" ht="20.100000000000001" customHeight="1" x14ac:dyDescent="0.3">
      <c r="A136" s="47"/>
      <c r="B136" s="49"/>
      <c r="C136" s="49"/>
      <c r="D136" s="49"/>
      <c r="E136" s="49"/>
      <c r="F136" s="49"/>
      <c r="G136" s="49"/>
      <c r="H136" s="49"/>
      <c r="I136" s="49"/>
      <c r="J136" s="53"/>
      <c r="K136" s="51"/>
      <c r="L136" s="82"/>
    </row>
    <row r="137" spans="1:13" ht="20.100000000000001" customHeight="1" x14ac:dyDescent="0.3">
      <c r="A137" s="47"/>
      <c r="B137" s="49"/>
      <c r="C137" s="49"/>
      <c r="D137" s="49"/>
      <c r="E137" s="49"/>
      <c r="F137" s="49"/>
      <c r="G137" s="49"/>
      <c r="H137" s="49"/>
      <c r="I137" s="49"/>
      <c r="J137" s="53"/>
      <c r="K137" s="51"/>
      <c r="L137" s="82"/>
    </row>
    <row r="138" spans="1:13" ht="20.100000000000001" customHeight="1" x14ac:dyDescent="0.3">
      <c r="A138" s="47"/>
      <c r="B138" s="49"/>
      <c r="C138" s="49"/>
      <c r="D138" s="49"/>
      <c r="E138" s="49"/>
      <c r="F138" s="49"/>
      <c r="G138" s="49"/>
      <c r="H138" s="49"/>
      <c r="I138" s="49"/>
      <c r="J138" s="53"/>
      <c r="K138" s="51"/>
      <c r="L138" s="82"/>
    </row>
    <row r="139" spans="1:13" ht="20.100000000000001" customHeight="1" x14ac:dyDescent="0.3">
      <c r="A139" s="47"/>
      <c r="B139" s="49"/>
      <c r="C139" s="49"/>
      <c r="D139" s="49"/>
      <c r="E139" s="49"/>
      <c r="F139" s="49"/>
      <c r="G139" s="49"/>
      <c r="H139" s="49"/>
      <c r="I139" s="49"/>
      <c r="J139" s="53"/>
      <c r="K139" s="51"/>
      <c r="L139" s="82"/>
      <c r="M139" s="81"/>
    </row>
    <row r="140" spans="1:13" ht="20.100000000000001" customHeight="1" x14ac:dyDescent="0.3">
      <c r="A140" s="47"/>
      <c r="B140" s="49"/>
      <c r="C140" s="49"/>
      <c r="D140" s="49"/>
      <c r="E140" s="49"/>
      <c r="F140" s="49"/>
      <c r="G140" s="49"/>
      <c r="H140" s="49"/>
      <c r="I140" s="49"/>
      <c r="J140" s="53"/>
      <c r="K140" s="51"/>
      <c r="L140" s="82"/>
      <c r="M140" s="81"/>
    </row>
    <row r="141" spans="1:13" ht="20.100000000000001" customHeight="1" x14ac:dyDescent="0.3">
      <c r="A141" s="47"/>
      <c r="B141" s="49"/>
      <c r="C141" s="49"/>
      <c r="D141" s="49"/>
      <c r="E141" s="49"/>
      <c r="F141" s="49"/>
      <c r="G141" s="49"/>
      <c r="H141" s="49"/>
      <c r="I141" s="49"/>
      <c r="J141" s="53"/>
      <c r="K141" s="51"/>
      <c r="L141" s="82"/>
      <c r="M141" s="81"/>
    </row>
    <row r="142" spans="1:13" ht="20.100000000000001" customHeight="1" x14ac:dyDescent="0.3">
      <c r="A142" s="47"/>
      <c r="B142" s="49"/>
      <c r="C142" s="49"/>
      <c r="D142" s="49"/>
      <c r="E142" s="49"/>
      <c r="F142" s="49"/>
      <c r="G142" s="49"/>
      <c r="H142" s="49"/>
      <c r="I142" s="49"/>
      <c r="J142" s="53"/>
      <c r="K142" s="51"/>
      <c r="L142" s="82"/>
      <c r="M142" s="83"/>
    </row>
    <row r="143" spans="1:13" ht="20.100000000000001" customHeight="1" x14ac:dyDescent="0.3">
      <c r="A143" s="47"/>
      <c r="B143" s="49"/>
      <c r="C143" s="49"/>
      <c r="D143" s="49"/>
      <c r="E143" s="49"/>
      <c r="F143" s="49"/>
      <c r="G143" s="49"/>
      <c r="H143" s="49"/>
      <c r="I143" s="49"/>
      <c r="J143" s="53"/>
      <c r="K143" s="51"/>
      <c r="L143" s="82"/>
      <c r="M143" s="83"/>
    </row>
    <row r="144" spans="1:13" ht="20.100000000000001" customHeight="1" x14ac:dyDescent="0.3">
      <c r="A144" s="47"/>
      <c r="B144" s="49"/>
      <c r="C144" s="49"/>
      <c r="D144" s="49"/>
      <c r="E144" s="49"/>
      <c r="F144" s="49"/>
      <c r="G144" s="49"/>
      <c r="H144" s="49"/>
      <c r="I144" s="49"/>
      <c r="J144" s="53"/>
      <c r="K144" s="51"/>
      <c r="L144" s="82"/>
      <c r="M144" s="83"/>
    </row>
    <row r="145" spans="1:13" ht="20.100000000000001" customHeight="1" x14ac:dyDescent="0.3">
      <c r="A145" s="47"/>
      <c r="B145" s="49"/>
      <c r="C145" s="49"/>
      <c r="D145" s="49"/>
      <c r="E145" s="49"/>
      <c r="F145" s="49"/>
      <c r="G145" s="49"/>
      <c r="H145" s="49"/>
      <c r="I145" s="49"/>
      <c r="J145" s="53"/>
      <c r="K145" s="51"/>
      <c r="L145" s="82"/>
      <c r="M145" s="83"/>
    </row>
    <row r="146" spans="1:13" ht="20.100000000000001" customHeight="1" x14ac:dyDescent="0.3">
      <c r="A146" s="47"/>
      <c r="B146" s="49"/>
      <c r="C146" s="49"/>
      <c r="D146" s="49"/>
      <c r="E146" s="49"/>
      <c r="F146" s="49"/>
      <c r="G146" s="49"/>
      <c r="H146" s="49"/>
      <c r="I146" s="49"/>
      <c r="J146" s="53"/>
      <c r="K146" s="51"/>
      <c r="L146" s="82"/>
      <c r="M146" s="83"/>
    </row>
    <row r="147" spans="1:13" ht="20.100000000000001" customHeight="1" x14ac:dyDescent="0.3">
      <c r="A147" s="47"/>
      <c r="B147" s="49"/>
      <c r="C147" s="49"/>
      <c r="D147" s="49"/>
      <c r="E147" s="49"/>
      <c r="F147" s="49"/>
      <c r="G147" s="49"/>
      <c r="H147" s="49"/>
      <c r="I147" s="49"/>
      <c r="J147" s="53"/>
      <c r="K147" s="51"/>
      <c r="L147" s="82"/>
      <c r="M147" s="83"/>
    </row>
    <row r="148" spans="1:13" ht="20.100000000000001" customHeight="1" x14ac:dyDescent="0.3">
      <c r="A148" s="47"/>
      <c r="B148" s="48"/>
      <c r="C148" s="48"/>
      <c r="D148" s="48"/>
      <c r="E148" s="48"/>
      <c r="F148" s="48"/>
      <c r="G148" s="72"/>
      <c r="H148" s="72"/>
      <c r="I148" s="72"/>
      <c r="J148" s="73"/>
      <c r="K148" s="62"/>
      <c r="L148" s="82"/>
      <c r="M148" s="69"/>
    </row>
    <row r="149" spans="1:13" ht="20.100000000000001" customHeight="1" x14ac:dyDescent="0.3">
      <c r="A149" s="47"/>
      <c r="B149" s="48"/>
      <c r="C149" s="48"/>
      <c r="D149" s="48"/>
      <c r="E149" s="48"/>
      <c r="F149" s="48"/>
      <c r="G149" s="72"/>
      <c r="H149" s="72"/>
      <c r="I149" s="72"/>
      <c r="J149" s="73"/>
      <c r="K149" s="62"/>
      <c r="L149" s="82"/>
      <c r="M149" s="69"/>
    </row>
    <row r="150" spans="1:13" ht="20.100000000000001" customHeight="1" x14ac:dyDescent="0.3">
      <c r="A150" s="47"/>
      <c r="B150" s="48"/>
      <c r="C150" s="48"/>
      <c r="D150" s="48"/>
      <c r="E150" s="48"/>
      <c r="F150" s="48"/>
      <c r="G150" s="72"/>
      <c r="H150" s="72"/>
      <c r="I150" s="72"/>
      <c r="J150" s="73"/>
      <c r="K150" s="62"/>
      <c r="L150" s="82"/>
      <c r="M150" s="69"/>
    </row>
    <row r="151" spans="1:13" ht="20.100000000000001" customHeight="1" x14ac:dyDescent="0.3">
      <c r="A151" s="47"/>
      <c r="B151" s="48"/>
      <c r="C151" s="48"/>
      <c r="D151" s="48"/>
      <c r="E151" s="48"/>
      <c r="F151" s="48"/>
      <c r="G151" s="72"/>
      <c r="H151" s="72"/>
      <c r="I151" s="72"/>
      <c r="J151" s="73"/>
      <c r="K151" s="62"/>
      <c r="L151" s="82"/>
    </row>
    <row r="152" spans="1:13" ht="20.100000000000001" customHeight="1" x14ac:dyDescent="0.3">
      <c r="A152" s="47"/>
      <c r="B152" s="49"/>
      <c r="C152" s="49"/>
      <c r="D152" s="49"/>
      <c r="E152" s="49"/>
      <c r="F152" s="49"/>
      <c r="G152" s="49"/>
      <c r="H152" s="49"/>
      <c r="I152" s="49"/>
      <c r="J152" s="53"/>
      <c r="K152" s="51"/>
      <c r="L152" s="82"/>
    </row>
    <row r="153" spans="1:13" ht="20.100000000000001" customHeight="1" x14ac:dyDescent="0.3">
      <c r="A153" s="47"/>
      <c r="B153" s="49"/>
      <c r="C153" s="49"/>
      <c r="D153" s="49"/>
      <c r="E153" s="49"/>
      <c r="F153" s="49"/>
      <c r="G153" s="49"/>
      <c r="H153" s="49"/>
      <c r="I153" s="49"/>
      <c r="J153" s="53"/>
      <c r="K153" s="51"/>
      <c r="L153" s="82"/>
    </row>
    <row r="154" spans="1:13" ht="20.100000000000001" customHeight="1" x14ac:dyDescent="0.3">
      <c r="A154" s="47"/>
      <c r="B154" s="49"/>
      <c r="C154" s="49"/>
      <c r="D154" s="49"/>
      <c r="E154" s="49"/>
      <c r="F154" s="49"/>
      <c r="G154" s="49"/>
      <c r="H154" s="49"/>
      <c r="I154" s="49"/>
      <c r="J154" s="53"/>
      <c r="K154" s="51"/>
      <c r="L154" s="82"/>
    </row>
    <row r="155" spans="1:13" ht="20.100000000000001" customHeight="1" x14ac:dyDescent="0.3">
      <c r="A155" s="47"/>
      <c r="B155" s="49"/>
      <c r="C155" s="49"/>
      <c r="D155" s="49"/>
      <c r="E155" s="49"/>
      <c r="F155" s="49"/>
      <c r="G155" s="49"/>
      <c r="H155" s="49"/>
      <c r="I155" s="49"/>
      <c r="J155" s="53"/>
      <c r="K155" s="51"/>
      <c r="L155" s="82"/>
      <c r="M155" s="81"/>
    </row>
    <row r="156" spans="1:13" ht="20.100000000000001" customHeight="1" x14ac:dyDescent="0.3">
      <c r="A156" s="47"/>
      <c r="B156" s="49"/>
      <c r="C156" s="49"/>
      <c r="D156" s="49"/>
      <c r="E156" s="49"/>
      <c r="F156" s="49"/>
      <c r="G156" s="49"/>
      <c r="H156" s="49"/>
      <c r="I156" s="49"/>
      <c r="J156" s="53"/>
      <c r="K156" s="51"/>
      <c r="L156" s="82"/>
      <c r="M156" s="83"/>
    </row>
    <row r="157" spans="1:13" ht="20.100000000000001" customHeight="1" x14ac:dyDescent="0.3">
      <c r="A157" s="47"/>
      <c r="B157" s="49"/>
      <c r="C157" s="49"/>
      <c r="D157" s="49"/>
      <c r="E157" s="49"/>
      <c r="F157" s="49"/>
      <c r="G157" s="49"/>
      <c r="H157" s="49"/>
      <c r="I157" s="49"/>
      <c r="J157" s="53"/>
      <c r="K157" s="51"/>
      <c r="L157" s="82"/>
      <c r="M157" s="83"/>
    </row>
    <row r="158" spans="1:13" ht="20.100000000000001" customHeight="1" x14ac:dyDescent="0.3">
      <c r="A158" s="47"/>
      <c r="B158" s="49"/>
      <c r="C158" s="49"/>
      <c r="D158" s="49"/>
      <c r="E158" s="49"/>
      <c r="F158" s="49"/>
      <c r="G158" s="49"/>
      <c r="H158" s="49"/>
      <c r="I158" s="49"/>
      <c r="J158" s="53"/>
      <c r="K158" s="51"/>
      <c r="L158" s="82"/>
      <c r="M158" s="83"/>
    </row>
    <row r="159" spans="1:13" ht="20.100000000000001" customHeight="1" x14ac:dyDescent="0.3">
      <c r="A159" s="47"/>
      <c r="B159" s="49"/>
      <c r="C159" s="49"/>
      <c r="D159" s="49"/>
      <c r="E159" s="49"/>
      <c r="F159" s="49"/>
      <c r="G159" s="49"/>
      <c r="H159" s="49"/>
      <c r="I159" s="49"/>
      <c r="J159" s="53"/>
      <c r="K159" s="51"/>
      <c r="L159" s="82"/>
      <c r="M159" s="83"/>
    </row>
    <row r="160" spans="1:13" ht="20.100000000000001" customHeight="1" x14ac:dyDescent="0.3">
      <c r="A160" s="47"/>
      <c r="B160" s="49"/>
      <c r="C160" s="49"/>
      <c r="D160" s="49"/>
      <c r="E160" s="49"/>
      <c r="F160" s="49"/>
      <c r="G160" s="49"/>
      <c r="H160" s="49"/>
      <c r="I160" s="49"/>
      <c r="J160" s="53"/>
      <c r="K160" s="51"/>
      <c r="L160" s="82"/>
      <c r="M160" s="83"/>
    </row>
    <row r="161" spans="1:13" ht="20.100000000000001" customHeight="1" x14ac:dyDescent="0.3">
      <c r="A161" s="47"/>
      <c r="B161" s="49"/>
      <c r="C161" s="49"/>
      <c r="D161" s="49"/>
      <c r="E161" s="49"/>
      <c r="F161" s="49"/>
      <c r="G161" s="49"/>
      <c r="H161" s="49"/>
      <c r="I161" s="49"/>
      <c r="J161" s="53"/>
      <c r="K161" s="51"/>
      <c r="L161" s="82"/>
      <c r="M161" s="83"/>
    </row>
    <row r="162" spans="1:13" ht="20.100000000000001" customHeight="1" x14ac:dyDescent="0.3">
      <c r="A162" s="47"/>
      <c r="B162" s="49"/>
      <c r="C162" s="49"/>
      <c r="D162" s="49"/>
      <c r="E162" s="49"/>
      <c r="F162" s="49"/>
      <c r="G162" s="49"/>
      <c r="H162" s="49"/>
      <c r="I162" s="49"/>
      <c r="J162" s="53"/>
      <c r="K162" s="51"/>
      <c r="L162" s="82"/>
      <c r="M162" s="83"/>
    </row>
    <row r="163" spans="1:13" ht="20.100000000000001" customHeight="1" x14ac:dyDescent="0.3">
      <c r="A163" s="47"/>
      <c r="B163" s="49"/>
      <c r="C163" s="49"/>
      <c r="D163" s="49"/>
      <c r="E163" s="49"/>
      <c r="F163" s="49"/>
      <c r="G163" s="49"/>
      <c r="H163" s="49"/>
      <c r="I163" s="49"/>
      <c r="J163" s="53"/>
      <c r="K163" s="51"/>
      <c r="L163" s="82"/>
      <c r="M163" s="83"/>
    </row>
    <row r="164" spans="1:13" ht="20.100000000000001" customHeight="1" x14ac:dyDescent="0.3">
      <c r="A164" s="47"/>
      <c r="B164" s="49"/>
      <c r="C164" s="49"/>
      <c r="D164" s="49"/>
      <c r="E164" s="49"/>
      <c r="F164" s="49"/>
      <c r="G164" s="49"/>
      <c r="H164" s="49"/>
      <c r="I164" s="49"/>
      <c r="J164" s="53"/>
      <c r="K164" s="51"/>
      <c r="L164" s="82"/>
      <c r="M164" s="83"/>
    </row>
    <row r="165" spans="1:13" ht="20.100000000000001" customHeight="1" x14ac:dyDescent="0.3">
      <c r="A165" s="47"/>
      <c r="B165" s="49"/>
      <c r="C165" s="49"/>
      <c r="D165" s="49"/>
      <c r="E165" s="49"/>
      <c r="F165" s="49"/>
      <c r="G165" s="49"/>
      <c r="H165" s="49"/>
      <c r="I165" s="49"/>
      <c r="J165" s="53"/>
      <c r="K165" s="51"/>
      <c r="L165" s="82"/>
      <c r="M165" s="83"/>
    </row>
    <row r="166" spans="1:13" ht="20.100000000000001" customHeight="1" x14ac:dyDescent="0.3">
      <c r="A166" s="47"/>
      <c r="B166" s="48"/>
      <c r="C166" s="48"/>
      <c r="D166" s="48"/>
      <c r="E166" s="48"/>
      <c r="F166" s="48"/>
      <c r="G166" s="72"/>
      <c r="H166" s="72"/>
      <c r="I166" s="72"/>
      <c r="J166" s="73"/>
      <c r="K166" s="62"/>
      <c r="L166" s="82"/>
      <c r="M166" s="69"/>
    </row>
    <row r="167" spans="1:13" ht="20.100000000000001" customHeight="1" x14ac:dyDescent="0.3">
      <c r="A167" s="47"/>
      <c r="B167" s="49"/>
      <c r="C167" s="49"/>
      <c r="D167" s="49"/>
      <c r="E167" s="49"/>
      <c r="F167" s="49"/>
      <c r="G167" s="49"/>
      <c r="H167" s="49"/>
      <c r="I167" s="49"/>
      <c r="J167" s="53"/>
      <c r="K167" s="51"/>
      <c r="L167" s="82"/>
    </row>
    <row r="168" spans="1:13" ht="20.100000000000001" customHeight="1" x14ac:dyDescent="0.3">
      <c r="A168" s="47"/>
      <c r="B168" s="49"/>
      <c r="C168" s="49"/>
      <c r="D168" s="49"/>
      <c r="E168" s="49"/>
      <c r="F168" s="49"/>
      <c r="G168" s="49"/>
      <c r="H168" s="49"/>
      <c r="I168" s="49"/>
      <c r="J168" s="53"/>
      <c r="K168" s="51"/>
      <c r="L168" s="82"/>
      <c r="M168" s="56"/>
    </row>
    <row r="169" spans="1:13" ht="20.100000000000001" customHeight="1" x14ac:dyDescent="0.3">
      <c r="A169" s="47"/>
      <c r="B169" s="49"/>
      <c r="C169" s="49"/>
      <c r="D169" s="49"/>
      <c r="E169" s="49"/>
      <c r="F169" s="49"/>
      <c r="G169" s="49"/>
      <c r="H169" s="49"/>
      <c r="I169" s="49"/>
      <c r="J169" s="53"/>
      <c r="K169" s="51"/>
      <c r="L169" s="82"/>
      <c r="M169" s="56"/>
    </row>
    <row r="170" spans="1:13" ht="20.100000000000001" customHeight="1" x14ac:dyDescent="0.3">
      <c r="A170" s="47"/>
      <c r="B170" s="49"/>
      <c r="C170" s="49"/>
      <c r="D170" s="49"/>
      <c r="E170" s="49"/>
      <c r="F170" s="49"/>
      <c r="G170" s="49"/>
      <c r="H170" s="49"/>
      <c r="I170" s="49"/>
      <c r="J170" s="53"/>
      <c r="K170" s="51"/>
      <c r="L170" s="82"/>
      <c r="M170" s="56"/>
    </row>
    <row r="171" spans="1:13" ht="20.100000000000001" customHeight="1" x14ac:dyDescent="0.3">
      <c r="A171" s="47"/>
      <c r="B171" s="49"/>
      <c r="C171" s="49"/>
      <c r="D171" s="49"/>
      <c r="E171" s="49"/>
      <c r="F171" s="49"/>
      <c r="G171" s="49"/>
      <c r="H171" s="49"/>
      <c r="I171" s="49"/>
      <c r="J171" s="53"/>
      <c r="K171" s="51"/>
      <c r="L171" s="82"/>
      <c r="M171" s="56"/>
    </row>
    <row r="172" spans="1:13" ht="20.100000000000001" customHeight="1" x14ac:dyDescent="0.3">
      <c r="A172" s="47"/>
      <c r="B172" s="49"/>
      <c r="C172" s="49"/>
      <c r="D172" s="49"/>
      <c r="E172" s="49"/>
      <c r="F172" s="49"/>
      <c r="G172" s="49"/>
      <c r="H172" s="49"/>
      <c r="I172" s="49"/>
      <c r="J172" s="53"/>
      <c r="K172" s="51"/>
      <c r="L172" s="82"/>
      <c r="M172" s="57"/>
    </row>
    <row r="173" spans="1:13" ht="20.100000000000001" customHeight="1" x14ac:dyDescent="0.3">
      <c r="A173" s="47"/>
      <c r="B173" s="49"/>
      <c r="C173" s="49"/>
      <c r="D173" s="49"/>
      <c r="E173" s="49"/>
      <c r="F173" s="49"/>
      <c r="G173" s="49"/>
      <c r="H173" s="49"/>
      <c r="I173" s="49"/>
      <c r="J173" s="53"/>
      <c r="K173" s="51"/>
      <c r="L173" s="82"/>
      <c r="M173" s="57"/>
    </row>
    <row r="174" spans="1:13" ht="20.100000000000001" customHeight="1" x14ac:dyDescent="0.3">
      <c r="A174" s="47"/>
      <c r="B174" s="49"/>
      <c r="C174" s="49"/>
      <c r="D174" s="49"/>
      <c r="E174" s="49"/>
      <c r="F174" s="49"/>
      <c r="G174" s="49"/>
      <c r="H174" s="49"/>
      <c r="I174" s="49"/>
      <c r="J174" s="53"/>
      <c r="K174" s="51"/>
      <c r="L174" s="82"/>
      <c r="M174" s="57"/>
    </row>
    <row r="175" spans="1:13" ht="20.100000000000001" customHeight="1" x14ac:dyDescent="0.3">
      <c r="A175" s="47"/>
      <c r="B175" s="49"/>
      <c r="C175" s="49"/>
      <c r="D175" s="49"/>
      <c r="E175" s="49"/>
      <c r="F175" s="49"/>
      <c r="G175" s="49"/>
      <c r="H175" s="49"/>
      <c r="I175" s="49"/>
      <c r="J175" s="53"/>
      <c r="K175" s="51"/>
      <c r="L175" s="82"/>
      <c r="M175" s="83"/>
    </row>
    <row r="176" spans="1:13" ht="20.100000000000001" customHeight="1" x14ac:dyDescent="0.3">
      <c r="A176" s="47"/>
      <c r="B176" s="49"/>
      <c r="C176" s="49"/>
      <c r="D176" s="49"/>
      <c r="E176" s="49"/>
      <c r="F176" s="49"/>
      <c r="G176" s="49"/>
      <c r="H176" s="49"/>
      <c r="I176" s="49"/>
      <c r="J176" s="53"/>
      <c r="K176" s="51"/>
      <c r="L176" s="82"/>
      <c r="M176" s="57"/>
    </row>
    <row r="177" spans="1:13" ht="20.100000000000001" customHeight="1" x14ac:dyDescent="0.3">
      <c r="A177" s="47"/>
      <c r="B177" s="49"/>
      <c r="C177" s="49"/>
      <c r="D177" s="49"/>
      <c r="E177" s="49"/>
      <c r="F177" s="49"/>
      <c r="G177" s="49"/>
      <c r="H177" s="49"/>
      <c r="I177" s="49"/>
      <c r="J177" s="53"/>
      <c r="K177" s="51"/>
      <c r="L177" s="82"/>
      <c r="M177" s="57"/>
    </row>
    <row r="178" spans="1:13" ht="20.100000000000001" customHeight="1" x14ac:dyDescent="0.3">
      <c r="A178" s="47"/>
      <c r="B178" s="49"/>
      <c r="C178" s="49"/>
      <c r="D178" s="49"/>
      <c r="E178" s="49"/>
      <c r="F178" s="49"/>
      <c r="G178" s="49"/>
      <c r="H178" s="49"/>
      <c r="I178" s="49"/>
      <c r="J178" s="53"/>
      <c r="K178" s="51"/>
      <c r="L178" s="82"/>
      <c r="M178" s="57"/>
    </row>
    <row r="179" spans="1:13" ht="20.100000000000001" customHeight="1" x14ac:dyDescent="0.3">
      <c r="A179" s="47"/>
      <c r="B179" s="48"/>
      <c r="C179" s="48"/>
      <c r="D179" s="48"/>
      <c r="E179" s="48"/>
      <c r="F179" s="48"/>
      <c r="G179" s="72"/>
      <c r="H179" s="72"/>
      <c r="I179" s="72"/>
      <c r="J179" s="73"/>
      <c r="K179" s="62"/>
      <c r="L179" s="82"/>
      <c r="M179" s="69"/>
    </row>
    <row r="180" spans="1:13" ht="20.100000000000001" customHeight="1" x14ac:dyDescent="0.3">
      <c r="A180" s="47"/>
      <c r="B180" s="48"/>
      <c r="C180" s="48"/>
      <c r="D180" s="48"/>
      <c r="E180" s="48"/>
      <c r="F180" s="48"/>
      <c r="G180" s="72"/>
      <c r="H180" s="72"/>
      <c r="I180" s="72"/>
      <c r="J180" s="73"/>
      <c r="K180" s="62"/>
      <c r="L180" s="82"/>
      <c r="M180" s="69"/>
    </row>
    <row r="181" spans="1:13" ht="20.100000000000001" customHeight="1" x14ac:dyDescent="0.3">
      <c r="A181" s="47"/>
      <c r="B181" s="49"/>
      <c r="C181" s="49"/>
      <c r="D181" s="49"/>
      <c r="E181" s="49"/>
      <c r="F181" s="49"/>
      <c r="G181" s="49"/>
      <c r="H181" s="49"/>
      <c r="I181" s="49"/>
      <c r="J181" s="53"/>
      <c r="K181" s="51"/>
      <c r="L181" s="82"/>
      <c r="M181" s="57"/>
    </row>
    <row r="182" spans="1:13" ht="20.100000000000001" customHeight="1" x14ac:dyDescent="0.3">
      <c r="A182" s="47"/>
      <c r="B182" s="48"/>
      <c r="C182" s="48"/>
      <c r="D182" s="48"/>
      <c r="E182" s="48"/>
      <c r="F182" s="48"/>
      <c r="G182" s="72"/>
      <c r="H182" s="72"/>
      <c r="I182" s="72"/>
      <c r="J182" s="73"/>
      <c r="K182" s="62"/>
      <c r="L182" s="82"/>
      <c r="M182" s="69"/>
    </row>
    <row r="183" spans="1:13" ht="20.100000000000001" customHeight="1" x14ac:dyDescent="0.3">
      <c r="A183" s="47"/>
      <c r="B183" s="48"/>
      <c r="C183" s="48"/>
      <c r="D183" s="48"/>
      <c r="E183" s="48"/>
      <c r="F183" s="48"/>
      <c r="G183" s="72"/>
      <c r="H183" s="72"/>
      <c r="I183" s="72"/>
      <c r="J183" s="73"/>
      <c r="K183" s="62"/>
      <c r="L183" s="82"/>
      <c r="M183" s="69"/>
    </row>
    <row r="184" spans="1:13" ht="20.100000000000001" customHeight="1" x14ac:dyDescent="0.3">
      <c r="A184" s="47"/>
      <c r="B184" s="49"/>
      <c r="C184" s="49"/>
      <c r="D184" s="49"/>
      <c r="E184" s="49"/>
      <c r="F184" s="49"/>
      <c r="G184" s="49"/>
      <c r="H184" s="49"/>
      <c r="I184" s="49"/>
      <c r="J184" s="53"/>
      <c r="K184" s="51"/>
      <c r="L184" s="82"/>
      <c r="M184" s="57"/>
    </row>
    <row r="185" spans="1:13" ht="20.100000000000001" customHeight="1" x14ac:dyDescent="0.3">
      <c r="A185" s="47"/>
      <c r="B185" s="49"/>
      <c r="C185" s="49"/>
      <c r="D185" s="49"/>
      <c r="E185" s="49"/>
      <c r="F185" s="49"/>
      <c r="G185" s="49"/>
      <c r="H185" s="49"/>
      <c r="I185" s="49"/>
      <c r="J185" s="53"/>
      <c r="K185" s="51"/>
      <c r="L185" s="82"/>
      <c r="M185" s="69"/>
    </row>
    <row r="186" spans="1:13" ht="20.100000000000001" customHeight="1" x14ac:dyDescent="0.3">
      <c r="A186" s="47"/>
      <c r="B186" s="49"/>
      <c r="C186" s="49"/>
      <c r="D186" s="49"/>
      <c r="E186" s="49"/>
      <c r="F186" s="49"/>
      <c r="G186" s="49"/>
      <c r="H186" s="49"/>
      <c r="I186" s="49"/>
      <c r="J186" s="53"/>
      <c r="K186" s="51"/>
      <c r="L186" s="82"/>
    </row>
    <row r="187" spans="1:13" ht="20.100000000000001" customHeight="1" x14ac:dyDescent="0.3">
      <c r="A187" s="47"/>
      <c r="B187" s="49"/>
      <c r="C187" s="49"/>
      <c r="D187" s="49"/>
      <c r="E187" s="49"/>
      <c r="F187" s="49"/>
      <c r="G187" s="49"/>
      <c r="H187" s="49"/>
      <c r="I187" s="49"/>
      <c r="J187" s="53"/>
      <c r="K187" s="51"/>
      <c r="L187" s="82"/>
    </row>
    <row r="188" spans="1:13" ht="20.100000000000001" customHeight="1" x14ac:dyDescent="0.3">
      <c r="A188" s="47"/>
      <c r="B188" s="49"/>
      <c r="C188" s="49"/>
      <c r="D188" s="49"/>
      <c r="E188" s="49"/>
      <c r="F188" s="49"/>
      <c r="G188" s="49"/>
      <c r="H188" s="49"/>
      <c r="I188" s="49"/>
      <c r="J188" s="53"/>
      <c r="K188" s="51"/>
      <c r="L188" s="82"/>
    </row>
    <row r="189" spans="1:13" ht="20.100000000000001" customHeight="1" x14ac:dyDescent="0.3">
      <c r="A189" s="47"/>
      <c r="B189" s="49"/>
      <c r="C189" s="49"/>
      <c r="D189" s="49"/>
      <c r="E189" s="49"/>
      <c r="F189" s="49"/>
      <c r="G189" s="49"/>
      <c r="H189" s="49"/>
      <c r="I189" s="49"/>
      <c r="J189" s="53"/>
      <c r="K189" s="51"/>
      <c r="L189" s="82"/>
    </row>
    <row r="190" spans="1:13" ht="20.100000000000001" customHeight="1" x14ac:dyDescent="0.3">
      <c r="A190" s="47"/>
      <c r="B190" s="49"/>
      <c r="C190" s="49"/>
      <c r="D190" s="49"/>
      <c r="E190" s="49"/>
      <c r="F190" s="49"/>
      <c r="G190" s="49"/>
      <c r="H190" s="49"/>
      <c r="I190" s="49"/>
      <c r="J190" s="53"/>
      <c r="K190" s="51"/>
      <c r="L190" s="82"/>
    </row>
    <row r="191" spans="1:13" ht="20.100000000000001" customHeight="1" x14ac:dyDescent="0.3">
      <c r="A191" s="47"/>
      <c r="B191" s="49"/>
      <c r="C191" s="49"/>
      <c r="D191" s="49"/>
      <c r="E191" s="49"/>
      <c r="F191" s="49"/>
      <c r="G191" s="49"/>
      <c r="H191" s="49"/>
      <c r="I191" s="49"/>
      <c r="J191" s="53"/>
      <c r="K191" s="51"/>
      <c r="L191" s="82"/>
      <c r="M191" s="81"/>
    </row>
    <row r="192" spans="1:13" ht="20.100000000000001" customHeight="1" x14ac:dyDescent="0.3">
      <c r="A192" s="47"/>
      <c r="B192" s="49"/>
      <c r="C192" s="49"/>
      <c r="D192" s="49"/>
      <c r="E192" s="49"/>
      <c r="F192" s="49"/>
      <c r="G192" s="49"/>
      <c r="H192" s="49"/>
      <c r="I192" s="49"/>
      <c r="J192" s="53"/>
      <c r="K192" s="51"/>
      <c r="L192" s="82"/>
    </row>
    <row r="193" spans="1:13" ht="20.100000000000001" customHeight="1" x14ac:dyDescent="0.3">
      <c r="A193" s="47"/>
      <c r="B193" s="49"/>
      <c r="C193" s="49"/>
      <c r="D193" s="49"/>
      <c r="E193" s="49"/>
      <c r="F193" s="49"/>
      <c r="G193" s="49"/>
      <c r="H193" s="49"/>
      <c r="I193" s="49"/>
      <c r="J193" s="53"/>
      <c r="K193" s="51"/>
      <c r="L193" s="82"/>
    </row>
    <row r="194" spans="1:13" ht="20.100000000000001" customHeight="1" x14ac:dyDescent="0.3">
      <c r="A194" s="47"/>
      <c r="B194" s="49"/>
      <c r="C194" s="49"/>
      <c r="D194" s="49"/>
      <c r="E194" s="49"/>
      <c r="F194" s="49"/>
      <c r="G194" s="49"/>
      <c r="H194" s="49"/>
      <c r="I194" s="49"/>
      <c r="J194" s="53"/>
      <c r="K194" s="51"/>
      <c r="L194" s="82"/>
    </row>
    <row r="195" spans="1:13" ht="20.100000000000001" customHeight="1" x14ac:dyDescent="0.3">
      <c r="A195" s="47"/>
      <c r="B195" s="49"/>
      <c r="C195" s="49"/>
      <c r="D195" s="49"/>
      <c r="E195" s="49"/>
      <c r="F195" s="49"/>
      <c r="G195" s="49"/>
      <c r="H195" s="49"/>
      <c r="I195" s="49"/>
      <c r="J195" s="53"/>
      <c r="K195" s="51"/>
      <c r="L195" s="82"/>
    </row>
    <row r="196" spans="1:13" ht="20.100000000000001" customHeight="1" x14ac:dyDescent="0.3">
      <c r="A196" s="47"/>
      <c r="B196" s="48"/>
      <c r="C196" s="48"/>
      <c r="D196" s="48"/>
      <c r="E196" s="48"/>
      <c r="F196" s="48"/>
      <c r="G196" s="72"/>
      <c r="H196" s="72"/>
      <c r="I196" s="72"/>
      <c r="J196" s="73"/>
      <c r="K196" s="62"/>
      <c r="L196" s="82"/>
    </row>
    <row r="197" spans="1:13" ht="20.100000000000001" customHeight="1" x14ac:dyDescent="0.3">
      <c r="A197" s="47"/>
      <c r="B197" s="48"/>
      <c r="C197" s="48"/>
      <c r="D197" s="48"/>
      <c r="E197" s="48"/>
      <c r="F197" s="48"/>
      <c r="G197" s="72"/>
      <c r="H197" s="72"/>
      <c r="I197" s="72"/>
      <c r="J197" s="73"/>
      <c r="K197" s="62"/>
      <c r="L197" s="82"/>
    </row>
    <row r="198" spans="1:13" ht="20.100000000000001" customHeight="1" x14ac:dyDescent="0.3">
      <c r="A198" s="47"/>
      <c r="B198" s="49"/>
      <c r="C198" s="49"/>
      <c r="D198" s="49"/>
      <c r="E198" s="49"/>
      <c r="F198" s="49"/>
      <c r="G198" s="49"/>
      <c r="H198" s="49"/>
      <c r="I198" s="49"/>
      <c r="J198" s="53"/>
      <c r="K198" s="51"/>
      <c r="L198" s="82"/>
    </row>
    <row r="199" spans="1:13" ht="20.100000000000001" customHeight="1" x14ac:dyDescent="0.3">
      <c r="A199" s="47"/>
      <c r="B199" s="49"/>
      <c r="C199" s="49"/>
      <c r="D199" s="49"/>
      <c r="E199" s="49"/>
      <c r="F199" s="49"/>
      <c r="G199" s="49"/>
      <c r="H199" s="49"/>
      <c r="I199" s="49"/>
      <c r="J199" s="53"/>
      <c r="K199" s="51"/>
      <c r="L199" s="82"/>
    </row>
    <row r="200" spans="1:13" ht="20.100000000000001" customHeight="1" x14ac:dyDescent="0.3">
      <c r="A200" s="47"/>
      <c r="B200" s="49"/>
      <c r="C200" s="49"/>
      <c r="D200" s="49"/>
      <c r="E200" s="49"/>
      <c r="F200" s="49"/>
      <c r="G200" s="49"/>
      <c r="H200" s="49"/>
      <c r="I200" s="49"/>
      <c r="J200" s="53"/>
      <c r="K200" s="51"/>
      <c r="L200" s="82"/>
    </row>
    <row r="201" spans="1:13" ht="20.100000000000001" customHeight="1" x14ac:dyDescent="0.3">
      <c r="A201" s="47"/>
      <c r="B201" s="49"/>
      <c r="C201" s="49"/>
      <c r="D201" s="49"/>
      <c r="E201" s="49"/>
      <c r="F201" s="49"/>
      <c r="G201" s="49"/>
      <c r="H201" s="49"/>
      <c r="I201" s="49"/>
      <c r="J201" s="53"/>
      <c r="K201" s="51"/>
      <c r="L201" s="82"/>
    </row>
    <row r="202" spans="1:13" ht="20.100000000000001" customHeight="1" x14ac:dyDescent="0.3">
      <c r="A202" s="47"/>
      <c r="B202" s="49"/>
      <c r="C202" s="49"/>
      <c r="D202" s="49"/>
      <c r="E202" s="49"/>
      <c r="F202" s="49"/>
      <c r="G202" s="49"/>
      <c r="H202" s="49"/>
      <c r="I202" s="49"/>
      <c r="J202" s="53"/>
      <c r="K202" s="51"/>
      <c r="L202" s="82"/>
    </row>
    <row r="203" spans="1:13" ht="20.100000000000001" customHeight="1" x14ac:dyDescent="0.3">
      <c r="A203" s="47"/>
      <c r="B203" s="49"/>
      <c r="C203" s="49"/>
      <c r="D203" s="49"/>
      <c r="E203" s="49"/>
      <c r="F203" s="49"/>
      <c r="G203" s="49"/>
      <c r="H203" s="49"/>
      <c r="I203" s="49"/>
      <c r="J203" s="53"/>
      <c r="K203" s="51"/>
      <c r="L203" s="82"/>
    </row>
    <row r="204" spans="1:13" ht="20.100000000000001" customHeight="1" x14ac:dyDescent="0.3">
      <c r="A204" s="47"/>
      <c r="B204" s="49"/>
      <c r="C204" s="49"/>
      <c r="D204" s="49"/>
      <c r="E204" s="49"/>
      <c r="F204" s="49"/>
      <c r="G204" s="49"/>
      <c r="H204" s="49"/>
      <c r="I204" s="49"/>
      <c r="J204" s="53"/>
      <c r="K204" s="51"/>
      <c r="L204" s="82"/>
      <c r="M204" s="69"/>
    </row>
    <row r="205" spans="1:13" ht="20.100000000000001" customHeight="1" x14ac:dyDescent="0.3">
      <c r="A205" s="47"/>
      <c r="B205" s="49"/>
      <c r="C205" s="49"/>
      <c r="D205" s="49"/>
      <c r="E205" s="49"/>
      <c r="F205" s="49"/>
      <c r="G205" s="49"/>
      <c r="H205" s="49"/>
      <c r="I205" s="49"/>
      <c r="J205" s="53"/>
      <c r="K205" s="51"/>
      <c r="L205" s="82"/>
    </row>
    <row r="206" spans="1:13" ht="20.100000000000001" customHeight="1" x14ac:dyDescent="0.3">
      <c r="A206" s="47"/>
      <c r="B206" s="49"/>
      <c r="C206" s="49"/>
      <c r="D206" s="49"/>
      <c r="E206" s="49"/>
      <c r="F206" s="49"/>
      <c r="G206" s="49"/>
      <c r="H206" s="49"/>
      <c r="I206" s="49"/>
      <c r="J206" s="53"/>
      <c r="K206" s="51"/>
      <c r="L206" s="82"/>
    </row>
    <row r="207" spans="1:13" ht="20.100000000000001" customHeight="1" x14ac:dyDescent="0.3">
      <c r="A207" s="47"/>
      <c r="B207" s="49"/>
      <c r="C207" s="49"/>
      <c r="D207" s="49"/>
      <c r="E207" s="49"/>
      <c r="F207" s="49"/>
      <c r="G207" s="49"/>
      <c r="H207" s="49"/>
      <c r="I207" s="49"/>
      <c r="J207" s="53"/>
      <c r="K207" s="51"/>
      <c r="L207" s="82"/>
    </row>
    <row r="208" spans="1:13" ht="20.100000000000001" customHeight="1" x14ac:dyDescent="0.3">
      <c r="A208" s="47"/>
      <c r="B208" s="49"/>
      <c r="C208" s="49"/>
      <c r="D208" s="49"/>
      <c r="E208" s="49"/>
      <c r="F208" s="49"/>
      <c r="G208" s="49"/>
      <c r="H208" s="49"/>
      <c r="I208" s="49"/>
      <c r="J208" s="53"/>
      <c r="K208" s="51"/>
      <c r="L208" s="82"/>
    </row>
    <row r="209" spans="1:13" ht="20.100000000000001" customHeight="1" x14ac:dyDescent="0.3">
      <c r="A209" s="47"/>
      <c r="B209" s="49"/>
      <c r="C209" s="49"/>
      <c r="D209" s="49"/>
      <c r="E209" s="49"/>
      <c r="F209" s="49"/>
      <c r="G209" s="49"/>
      <c r="H209" s="49"/>
      <c r="I209" s="49"/>
      <c r="J209" s="53"/>
      <c r="K209" s="51"/>
      <c r="L209" s="82"/>
      <c r="M209" s="81"/>
    </row>
    <row r="210" spans="1:13" ht="20.100000000000001" customHeight="1" x14ac:dyDescent="0.3">
      <c r="A210" s="47"/>
      <c r="B210" s="49"/>
      <c r="C210" s="49"/>
      <c r="D210" s="49"/>
      <c r="E210" s="49"/>
      <c r="F210" s="49"/>
      <c r="G210" s="49"/>
      <c r="H210" s="49"/>
      <c r="I210" s="49"/>
      <c r="J210" s="53"/>
      <c r="K210" s="51"/>
      <c r="L210" s="82"/>
    </row>
    <row r="211" spans="1:13" ht="20.100000000000001" customHeight="1" x14ac:dyDescent="0.3">
      <c r="A211" s="47"/>
      <c r="B211" s="48"/>
      <c r="C211" s="48"/>
      <c r="D211" s="48"/>
      <c r="E211" s="48"/>
      <c r="F211" s="48"/>
      <c r="G211" s="72"/>
      <c r="H211" s="72"/>
      <c r="I211" s="72"/>
      <c r="J211" s="73"/>
      <c r="K211" s="62"/>
      <c r="L211" s="82"/>
    </row>
    <row r="212" spans="1:13" ht="20.100000000000001" customHeight="1" x14ac:dyDescent="0.3">
      <c r="A212" s="47"/>
      <c r="B212" s="49"/>
      <c r="C212" s="49"/>
      <c r="D212" s="49"/>
      <c r="E212" s="49"/>
      <c r="F212" s="49"/>
      <c r="G212" s="49"/>
      <c r="H212" s="49"/>
      <c r="I212" s="49"/>
      <c r="J212" s="53"/>
      <c r="K212" s="51"/>
      <c r="L212" s="82"/>
    </row>
    <row r="213" spans="1:13" ht="20.100000000000001" customHeight="1" x14ac:dyDescent="0.3">
      <c r="A213" s="47"/>
      <c r="B213" s="48"/>
      <c r="C213" s="48"/>
      <c r="D213" s="48"/>
      <c r="E213" s="48"/>
      <c r="F213" s="48"/>
      <c r="G213" s="72"/>
      <c r="H213" s="72"/>
      <c r="I213" s="72"/>
      <c r="J213" s="73"/>
      <c r="K213" s="62"/>
      <c r="L213" s="82"/>
    </row>
    <row r="214" spans="1:13" ht="20.100000000000001" customHeight="1" x14ac:dyDescent="0.3">
      <c r="A214" s="47"/>
      <c r="B214" s="48"/>
      <c r="C214" s="48"/>
      <c r="D214" s="48"/>
      <c r="E214" s="48"/>
      <c r="F214" s="48"/>
      <c r="G214" s="72"/>
      <c r="H214" s="72"/>
      <c r="I214" s="72"/>
      <c r="J214" s="73"/>
      <c r="K214" s="62"/>
      <c r="L214" s="82"/>
    </row>
    <row r="215" spans="1:13" ht="20.100000000000001" customHeight="1" x14ac:dyDescent="0.3">
      <c r="A215" s="47"/>
      <c r="B215" s="49"/>
      <c r="C215" s="49"/>
      <c r="D215" s="49"/>
      <c r="E215" s="49"/>
      <c r="F215" s="49"/>
      <c r="G215" s="49"/>
      <c r="H215" s="49"/>
      <c r="I215" s="49"/>
      <c r="J215" s="53"/>
      <c r="K215" s="51"/>
      <c r="L215" s="82"/>
    </row>
    <row r="216" spans="1:13" ht="20.100000000000001" customHeight="1" x14ac:dyDescent="0.3">
      <c r="A216" s="47"/>
      <c r="B216" s="49"/>
      <c r="C216" s="49"/>
      <c r="D216" s="49"/>
      <c r="E216" s="49"/>
      <c r="F216" s="49"/>
      <c r="G216" s="49"/>
      <c r="H216" s="49"/>
      <c r="I216" s="49"/>
      <c r="J216" s="53"/>
      <c r="K216" s="51"/>
      <c r="L216" s="82"/>
    </row>
    <row r="217" spans="1:13" ht="20.100000000000001" customHeight="1" x14ac:dyDescent="0.3">
      <c r="A217" s="47"/>
      <c r="B217" s="49"/>
      <c r="C217" s="49"/>
      <c r="D217" s="49"/>
      <c r="E217" s="49"/>
      <c r="F217" s="49"/>
      <c r="G217" s="49"/>
      <c r="H217" s="49"/>
      <c r="I217" s="49"/>
      <c r="J217" s="53"/>
      <c r="K217" s="51"/>
      <c r="L217" s="82"/>
    </row>
    <row r="218" spans="1:13" ht="20.100000000000001" customHeight="1" x14ac:dyDescent="0.3">
      <c r="F218" s="89"/>
    </row>
    <row r="219" spans="1:13" ht="20.100000000000001" customHeight="1" x14ac:dyDescent="0.3">
      <c r="F219" s="89"/>
    </row>
    <row r="220" spans="1:13" ht="20.100000000000001" customHeight="1" x14ac:dyDescent="0.3">
      <c r="F220" s="89"/>
    </row>
  </sheetData>
  <mergeCells count="1">
    <mergeCell ref="A1:L1"/>
  </mergeCells>
  <phoneticPr fontId="3" type="noConversion"/>
  <conditionalFormatting sqref="F47:F54 A56:K57 M69 A69:K72 A84:K94 A96:K96 A98:K100 A103:K105 A111:K114 A122:K124 M123 A139:K141 A154:K155 A168:K171 A199:K203">
    <cfRule type="containsText" dxfId="16" priority="7" operator="containsText" text="2022">
      <formula>NOT(ISERROR(SEARCH("2022",A47)))</formula>
    </cfRule>
  </conditionalFormatting>
  <conditionalFormatting sqref="F109:F110">
    <cfRule type="duplicateValues" dxfId="15" priority="6"/>
  </conditionalFormatting>
  <conditionalFormatting sqref="F111">
    <cfRule type="duplicateValues" dxfId="14" priority="3"/>
  </conditionalFormatting>
  <conditionalFormatting sqref="F112:F114">
    <cfRule type="duplicateValues" dxfId="13" priority="2"/>
  </conditionalFormatting>
  <conditionalFormatting sqref="F122:H122">
    <cfRule type="duplicateValues" dxfId="12" priority="1"/>
  </conditionalFormatting>
  <conditionalFormatting sqref="H109:H110">
    <cfRule type="duplicateValues" dxfId="11" priority="5"/>
  </conditionalFormatting>
  <conditionalFormatting sqref="J109:J110">
    <cfRule type="duplicateValues" dxfId="10" priority="4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E2DAF-1269-4291-8E56-5957B071A2E5}">
  <dimension ref="A1:S220"/>
  <sheetViews>
    <sheetView zoomScale="85" zoomScaleNormal="85" workbookViewId="0">
      <pane ySplit="2" topLeftCell="A3" activePane="bottomLeft" state="frozen"/>
      <selection activeCell="B10" sqref="B10:L10"/>
      <selection pane="bottomLeft" activeCell="S1" sqref="S1"/>
    </sheetView>
  </sheetViews>
  <sheetFormatPr defaultColWidth="9" defaultRowHeight="20.100000000000001" customHeight="1" x14ac:dyDescent="0.3"/>
  <cols>
    <col min="1" max="6" width="8.625" customWidth="1"/>
    <col min="7" max="7" width="12.625" customWidth="1"/>
    <col min="8" max="8" width="16.25" bestFit="1" customWidth="1"/>
    <col min="9" max="9" width="10.625" customWidth="1"/>
    <col min="10" max="10" width="14.75" customWidth="1"/>
    <col min="11" max="12" width="9.625" customWidth="1"/>
    <col min="13" max="13" width="10.625" bestFit="1" customWidth="1"/>
    <col min="14" max="14" width="9.25" customWidth="1"/>
    <col min="15" max="15" width="11.625" customWidth="1"/>
    <col min="16" max="16" width="1.625" customWidth="1"/>
    <col min="17" max="17" width="9.75" customWidth="1"/>
    <col min="18" max="18" width="11.625" customWidth="1"/>
  </cols>
  <sheetData>
    <row r="1" spans="1:19" ht="20.100000000000001" customHeight="1" x14ac:dyDescent="0.3">
      <c r="A1" s="145" t="s">
        <v>247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40"/>
      <c r="N1" s="41" t="s">
        <v>0</v>
      </c>
      <c r="O1" s="27">
        <f>SUM(K1:K9890)</f>
        <v>1080000</v>
      </c>
      <c r="P1" s="28"/>
      <c r="Q1" s="41" t="s">
        <v>1</v>
      </c>
      <c r="R1" s="27">
        <f>SUM(L1:L9890)</f>
        <v>1170000</v>
      </c>
      <c r="S1" s="42"/>
    </row>
    <row r="2" spans="1:19" ht="20.100000000000001" customHeight="1" x14ac:dyDescent="0.3">
      <c r="A2" s="43" t="s">
        <v>8</v>
      </c>
      <c r="B2" s="43" t="s">
        <v>9</v>
      </c>
      <c r="C2" s="43" t="s">
        <v>10</v>
      </c>
      <c r="D2" s="43" t="s">
        <v>11</v>
      </c>
      <c r="E2" s="43" t="s">
        <v>12</v>
      </c>
      <c r="F2" s="43" t="s">
        <v>13</v>
      </c>
      <c r="G2" s="43" t="s">
        <v>253</v>
      </c>
      <c r="H2" s="43" t="s">
        <v>15</v>
      </c>
      <c r="I2" s="43" t="s">
        <v>16</v>
      </c>
      <c r="J2" s="44" t="s">
        <v>17</v>
      </c>
      <c r="K2" s="43" t="s">
        <v>0</v>
      </c>
      <c r="L2" s="43" t="s">
        <v>1</v>
      </c>
      <c r="M2" s="45"/>
      <c r="N2" s="46"/>
      <c r="O2" s="46"/>
      <c r="P2" s="46"/>
      <c r="Q2" s="46"/>
      <c r="R2" s="46"/>
      <c r="S2" s="45"/>
    </row>
    <row r="3" spans="1:19" ht="20.100000000000001" customHeight="1" x14ac:dyDescent="0.3">
      <c r="A3" s="60" t="s">
        <v>248</v>
      </c>
      <c r="B3" s="49" t="s">
        <v>249</v>
      </c>
      <c r="C3" s="49" t="s">
        <v>250</v>
      </c>
      <c r="D3" s="49" t="s">
        <v>133</v>
      </c>
      <c r="E3" s="49"/>
      <c r="F3" s="49" t="s">
        <v>251</v>
      </c>
      <c r="G3" s="49" t="s">
        <v>254</v>
      </c>
      <c r="H3" s="49"/>
      <c r="I3" s="49"/>
      <c r="J3" s="53"/>
      <c r="K3" s="52">
        <f>120000*G3</f>
        <v>480000</v>
      </c>
      <c r="L3" s="54">
        <f>130000*G3</f>
        <v>520000</v>
      </c>
    </row>
    <row r="4" spans="1:19" ht="20.100000000000001" customHeight="1" x14ac:dyDescent="0.3">
      <c r="A4" s="60" t="s">
        <v>248</v>
      </c>
      <c r="B4" s="49" t="s">
        <v>249</v>
      </c>
      <c r="C4" s="49" t="s">
        <v>250</v>
      </c>
      <c r="D4" s="49" t="s">
        <v>133</v>
      </c>
      <c r="E4" s="49"/>
      <c r="F4" s="49" t="s">
        <v>252</v>
      </c>
      <c r="G4" s="49" t="s">
        <v>255</v>
      </c>
      <c r="H4" s="49"/>
      <c r="I4" s="49"/>
      <c r="J4" s="53"/>
      <c r="K4" s="52">
        <f>120000*G4</f>
        <v>600000</v>
      </c>
      <c r="L4" s="54">
        <f>130000*G4</f>
        <v>650000</v>
      </c>
    </row>
    <row r="5" spans="1:19" ht="20.100000000000001" customHeight="1" x14ac:dyDescent="0.3">
      <c r="A5" s="47"/>
      <c r="B5" s="49"/>
      <c r="C5" s="49"/>
      <c r="D5" s="49"/>
      <c r="E5" s="49"/>
      <c r="F5" s="49"/>
      <c r="G5" s="49"/>
      <c r="H5" s="49"/>
      <c r="I5" s="49"/>
      <c r="J5" s="53"/>
      <c r="K5" s="52"/>
      <c r="L5" s="54"/>
    </row>
    <row r="6" spans="1:19" ht="20.100000000000001" customHeight="1" x14ac:dyDescent="0.3">
      <c r="A6" s="47"/>
      <c r="B6" s="49"/>
      <c r="C6" s="49"/>
      <c r="D6" s="49"/>
      <c r="E6" s="49"/>
      <c r="F6" s="49"/>
      <c r="G6" s="49"/>
      <c r="H6" s="49"/>
      <c r="I6" s="49"/>
      <c r="J6" s="53"/>
      <c r="K6" s="52"/>
      <c r="L6" s="54"/>
    </row>
    <row r="7" spans="1:19" ht="20.100000000000001" customHeight="1" x14ac:dyDescent="0.3">
      <c r="A7" s="47"/>
      <c r="B7" s="49"/>
      <c r="C7" s="49"/>
      <c r="D7" s="49"/>
      <c r="E7" s="49"/>
      <c r="F7" s="49"/>
      <c r="G7" s="49"/>
      <c r="H7" s="49"/>
      <c r="I7" s="49"/>
      <c r="J7" s="53"/>
      <c r="K7" s="52"/>
      <c r="L7" s="54"/>
    </row>
    <row r="8" spans="1:19" ht="20.100000000000001" customHeight="1" x14ac:dyDescent="0.3">
      <c r="A8" s="47"/>
      <c r="B8" s="49"/>
      <c r="C8" s="49"/>
      <c r="D8" s="49"/>
      <c r="E8" s="49"/>
      <c r="F8" s="49"/>
      <c r="G8" s="49"/>
      <c r="H8" s="49"/>
      <c r="I8" s="49"/>
      <c r="J8" s="53"/>
      <c r="K8" s="52"/>
      <c r="L8" s="54"/>
    </row>
    <row r="9" spans="1:19" ht="20.100000000000001" customHeight="1" x14ac:dyDescent="0.3">
      <c r="A9" s="47"/>
      <c r="B9" s="49"/>
      <c r="C9" s="49"/>
      <c r="D9" s="49"/>
      <c r="E9" s="49"/>
      <c r="F9" s="49"/>
      <c r="G9" s="49"/>
      <c r="H9" s="49"/>
      <c r="I9" s="49"/>
      <c r="J9" s="53"/>
      <c r="K9" s="52"/>
      <c r="L9" s="54"/>
    </row>
    <row r="10" spans="1:19" ht="20.100000000000001" customHeight="1" x14ac:dyDescent="0.3">
      <c r="A10" s="47"/>
      <c r="B10" s="49"/>
      <c r="C10" s="49"/>
      <c r="D10" s="49"/>
      <c r="E10" s="49"/>
      <c r="F10" s="49"/>
      <c r="G10" s="49"/>
      <c r="H10" s="49"/>
      <c r="I10" s="49"/>
      <c r="J10" s="53"/>
      <c r="K10" s="52"/>
      <c r="L10" s="54"/>
      <c r="M10" s="56"/>
    </row>
    <row r="11" spans="1:19" ht="20.100000000000001" customHeight="1" x14ac:dyDescent="0.3">
      <c r="A11" s="47"/>
      <c r="B11" s="49"/>
      <c r="C11" s="49"/>
      <c r="D11" s="49"/>
      <c r="E11" s="49"/>
      <c r="F11" s="49"/>
      <c r="G11" s="49"/>
      <c r="H11" s="49"/>
      <c r="I11" s="49"/>
      <c r="J11" s="53"/>
      <c r="K11" s="52"/>
      <c r="L11" s="54"/>
    </row>
    <row r="12" spans="1:19" ht="20.100000000000001" customHeight="1" x14ac:dyDescent="0.3">
      <c r="A12" s="47"/>
      <c r="B12" s="49"/>
      <c r="C12" s="49"/>
      <c r="D12" s="49"/>
      <c r="E12" s="49"/>
      <c r="F12" s="49"/>
      <c r="G12" s="49"/>
      <c r="H12" s="49"/>
      <c r="I12" s="49"/>
      <c r="J12" s="53"/>
      <c r="K12" s="52"/>
      <c r="L12" s="54"/>
      <c r="M12" s="55"/>
    </row>
    <row r="13" spans="1:19" ht="20.100000000000001" customHeight="1" x14ac:dyDescent="0.3">
      <c r="A13" s="47"/>
      <c r="B13" s="49"/>
      <c r="C13" s="49"/>
      <c r="D13" s="49"/>
      <c r="E13" s="49"/>
      <c r="F13" s="49"/>
      <c r="G13" s="49"/>
      <c r="H13" s="49"/>
      <c r="I13" s="49"/>
      <c r="J13" s="53"/>
      <c r="K13" s="52"/>
      <c r="L13" s="54"/>
    </row>
    <row r="14" spans="1:19" ht="20.100000000000001" customHeight="1" x14ac:dyDescent="0.3">
      <c r="A14" s="47"/>
      <c r="B14" s="49"/>
      <c r="C14" s="49"/>
      <c r="D14" s="49"/>
      <c r="E14" s="49"/>
      <c r="F14" s="49"/>
      <c r="G14" s="49"/>
      <c r="H14" s="49"/>
      <c r="I14" s="49"/>
      <c r="J14" s="53"/>
      <c r="K14" s="52"/>
      <c r="L14" s="54"/>
    </row>
    <row r="15" spans="1:19" ht="20.100000000000001" customHeight="1" x14ac:dyDescent="0.3">
      <c r="A15" s="47"/>
      <c r="B15" s="49"/>
      <c r="C15" s="49"/>
      <c r="D15" s="49"/>
      <c r="E15" s="49"/>
      <c r="F15" s="49"/>
      <c r="G15" s="49"/>
      <c r="H15" s="49"/>
      <c r="I15" s="49"/>
      <c r="J15" s="53"/>
      <c r="K15" s="52"/>
      <c r="L15" s="54"/>
    </row>
    <row r="16" spans="1:19" ht="20.100000000000001" customHeight="1" x14ac:dyDescent="0.3">
      <c r="A16" s="47"/>
      <c r="B16" s="49"/>
      <c r="C16" s="49"/>
      <c r="D16" s="49"/>
      <c r="E16" s="49"/>
      <c r="F16" s="49"/>
      <c r="G16" s="49"/>
      <c r="H16" s="49"/>
      <c r="I16" s="49"/>
      <c r="J16" s="53"/>
      <c r="K16" s="52"/>
      <c r="L16" s="54"/>
      <c r="M16" s="55"/>
    </row>
    <row r="17" spans="1:13" ht="20.100000000000001" customHeight="1" x14ac:dyDescent="0.3">
      <c r="A17" s="47"/>
      <c r="B17" s="49"/>
      <c r="C17" s="49"/>
      <c r="D17" s="49"/>
      <c r="E17" s="49"/>
      <c r="F17" s="49"/>
      <c r="G17" s="49"/>
      <c r="H17" s="49"/>
      <c r="I17" s="49"/>
      <c r="J17" s="53"/>
      <c r="K17" s="52"/>
      <c r="L17" s="54"/>
    </row>
    <row r="18" spans="1:13" ht="20.100000000000001" customHeight="1" x14ac:dyDescent="0.3">
      <c r="A18" s="47"/>
      <c r="B18" s="49"/>
      <c r="C18" s="49"/>
      <c r="D18" s="49"/>
      <c r="E18" s="49"/>
      <c r="F18" s="49"/>
      <c r="G18" s="49"/>
      <c r="H18" s="49"/>
      <c r="I18" s="49"/>
      <c r="J18" s="53"/>
      <c r="K18" s="52"/>
      <c r="L18" s="54"/>
    </row>
    <row r="19" spans="1:13" ht="20.100000000000001" customHeight="1" x14ac:dyDescent="0.3">
      <c r="A19" s="47"/>
      <c r="B19" s="49"/>
      <c r="C19" s="49"/>
      <c r="D19" s="49"/>
      <c r="E19" s="49"/>
      <c r="F19" s="49"/>
      <c r="G19" s="49"/>
      <c r="H19" s="49"/>
      <c r="I19" s="49"/>
      <c r="J19" s="53"/>
      <c r="K19" s="52"/>
      <c r="L19" s="54"/>
      <c r="M19" s="80"/>
    </row>
    <row r="20" spans="1:13" ht="20.100000000000001" customHeight="1" x14ac:dyDescent="0.3">
      <c r="A20" s="47"/>
      <c r="B20" s="49"/>
      <c r="C20" s="49"/>
      <c r="D20" s="49"/>
      <c r="E20" s="49"/>
      <c r="F20" s="49"/>
      <c r="G20" s="49"/>
      <c r="H20" s="49"/>
      <c r="I20" s="49"/>
      <c r="J20" s="53"/>
      <c r="K20" s="52"/>
      <c r="L20" s="54"/>
      <c r="M20" s="80"/>
    </row>
    <row r="21" spans="1:13" ht="20.100000000000001" customHeight="1" x14ac:dyDescent="0.3">
      <c r="A21" s="47"/>
      <c r="B21" s="49"/>
      <c r="C21" s="49"/>
      <c r="D21" s="49"/>
      <c r="E21" s="49"/>
      <c r="F21" s="49"/>
      <c r="G21" s="49"/>
      <c r="H21" s="49"/>
      <c r="I21" s="49"/>
      <c r="J21" s="53"/>
      <c r="K21" s="52"/>
      <c r="L21" s="54"/>
      <c r="M21" s="80"/>
    </row>
    <row r="22" spans="1:13" ht="20.100000000000001" customHeight="1" x14ac:dyDescent="0.3">
      <c r="A22" s="47"/>
      <c r="B22" s="49"/>
      <c r="C22" s="49"/>
      <c r="D22" s="49"/>
      <c r="E22" s="49"/>
      <c r="F22" s="49"/>
      <c r="G22" s="49"/>
      <c r="H22" s="49"/>
      <c r="I22" s="49"/>
      <c r="J22" s="53"/>
      <c r="K22" s="52"/>
      <c r="L22" s="54"/>
    </row>
    <row r="23" spans="1:13" ht="20.100000000000001" customHeight="1" x14ac:dyDescent="0.3">
      <c r="A23" s="47"/>
      <c r="B23" s="49"/>
      <c r="C23" s="49"/>
      <c r="D23" s="49"/>
      <c r="E23" s="49"/>
      <c r="F23" s="49"/>
      <c r="G23" s="49"/>
      <c r="H23" s="49"/>
      <c r="I23" s="49"/>
      <c r="J23" s="53"/>
      <c r="K23" s="52"/>
      <c r="L23" s="54"/>
    </row>
    <row r="24" spans="1:13" ht="20.100000000000001" customHeight="1" x14ac:dyDescent="0.3">
      <c r="A24" s="47"/>
      <c r="B24" s="49"/>
      <c r="C24" s="49"/>
      <c r="D24" s="49"/>
      <c r="E24" s="49"/>
      <c r="F24" s="49"/>
      <c r="G24" s="49"/>
      <c r="H24" s="49"/>
      <c r="I24" s="49"/>
      <c r="J24" s="53"/>
      <c r="K24" s="52"/>
      <c r="L24" s="54"/>
    </row>
    <row r="25" spans="1:13" ht="20.100000000000001" customHeight="1" x14ac:dyDescent="0.3">
      <c r="A25" s="47"/>
      <c r="B25" s="49"/>
      <c r="C25" s="49"/>
      <c r="D25" s="49"/>
      <c r="E25" s="49"/>
      <c r="F25" s="49"/>
      <c r="G25" s="49"/>
      <c r="H25" s="49"/>
      <c r="I25" s="49"/>
      <c r="J25" s="53"/>
      <c r="K25" s="52"/>
      <c r="L25" s="54"/>
    </row>
    <row r="26" spans="1:13" ht="20.100000000000001" customHeight="1" x14ac:dyDescent="0.3">
      <c r="A26" s="47"/>
      <c r="B26" s="49"/>
      <c r="C26" s="49"/>
      <c r="D26" s="49"/>
      <c r="E26" s="49"/>
      <c r="F26" s="49"/>
      <c r="G26" s="49"/>
      <c r="H26" s="49"/>
      <c r="I26" s="49"/>
      <c r="J26" s="53"/>
      <c r="K26" s="52"/>
      <c r="L26" s="54"/>
      <c r="M26" s="81"/>
    </row>
    <row r="27" spans="1:13" ht="20.100000000000001" customHeight="1" x14ac:dyDescent="0.3">
      <c r="A27" s="47"/>
      <c r="B27" s="49"/>
      <c r="C27" s="49"/>
      <c r="D27" s="49"/>
      <c r="E27" s="49"/>
      <c r="F27" s="49"/>
      <c r="G27" s="49"/>
      <c r="H27" s="49"/>
      <c r="I27" s="49"/>
      <c r="J27" s="53"/>
      <c r="K27" s="52"/>
      <c r="L27" s="54"/>
    </row>
    <row r="28" spans="1:13" ht="20.100000000000001" customHeight="1" x14ac:dyDescent="0.3">
      <c r="A28" s="47"/>
      <c r="B28" s="49"/>
      <c r="C28" s="49"/>
      <c r="D28" s="49"/>
      <c r="E28" s="49"/>
      <c r="F28" s="49"/>
      <c r="G28" s="49"/>
      <c r="H28" s="49"/>
      <c r="I28" s="49"/>
      <c r="J28" s="53"/>
      <c r="K28" s="52"/>
      <c r="L28" s="54"/>
    </row>
    <row r="29" spans="1:13" ht="20.100000000000001" customHeight="1" x14ac:dyDescent="0.3">
      <c r="A29" s="47"/>
      <c r="B29" s="49"/>
      <c r="C29" s="49"/>
      <c r="D29" s="49"/>
      <c r="E29" s="49"/>
      <c r="F29" s="49"/>
      <c r="G29" s="49"/>
      <c r="H29" s="49"/>
      <c r="I29" s="49"/>
      <c r="J29" s="53"/>
      <c r="K29" s="52"/>
      <c r="L29" s="54"/>
    </row>
    <row r="30" spans="1:13" ht="20.100000000000001" customHeight="1" x14ac:dyDescent="0.3">
      <c r="A30" s="47"/>
      <c r="B30" s="49"/>
      <c r="C30" s="49"/>
      <c r="D30" s="49"/>
      <c r="E30" s="49"/>
      <c r="F30" s="49"/>
      <c r="G30" s="49"/>
      <c r="H30" s="49"/>
      <c r="I30" s="49"/>
      <c r="J30" s="53"/>
      <c r="K30" s="52"/>
      <c r="L30" s="54"/>
    </row>
    <row r="31" spans="1:13" ht="20.100000000000001" customHeight="1" x14ac:dyDescent="0.3">
      <c r="A31" s="47"/>
      <c r="B31" s="49"/>
      <c r="C31" s="49"/>
      <c r="D31" s="49"/>
      <c r="E31" s="49"/>
      <c r="F31" s="49"/>
      <c r="G31" s="49"/>
      <c r="H31" s="49"/>
      <c r="I31" s="49"/>
      <c r="J31" s="53"/>
      <c r="K31" s="52"/>
      <c r="L31" s="54"/>
    </row>
    <row r="32" spans="1:13" ht="20.65" customHeight="1" x14ac:dyDescent="0.3">
      <c r="A32" s="47"/>
      <c r="B32" s="49"/>
      <c r="C32" s="49"/>
      <c r="D32" s="49"/>
      <c r="E32" s="49"/>
      <c r="F32" s="49"/>
      <c r="G32" s="49"/>
      <c r="H32" s="49"/>
      <c r="I32" s="49"/>
      <c r="J32" s="53"/>
      <c r="K32" s="52"/>
      <c r="L32" s="54"/>
    </row>
    <row r="33" spans="1:13" ht="20.100000000000001" customHeight="1" x14ac:dyDescent="0.3">
      <c r="A33" s="47"/>
      <c r="B33" s="49"/>
      <c r="C33" s="49"/>
      <c r="D33" s="49"/>
      <c r="E33" s="49"/>
      <c r="F33" s="49"/>
      <c r="G33" s="49"/>
      <c r="H33" s="49"/>
      <c r="I33" s="49"/>
      <c r="J33" s="53"/>
      <c r="K33" s="52"/>
      <c r="L33" s="54"/>
    </row>
    <row r="34" spans="1:13" ht="20.100000000000001" customHeight="1" x14ac:dyDescent="0.3">
      <c r="A34" s="47"/>
      <c r="B34" s="49"/>
      <c r="C34" s="49"/>
      <c r="D34" s="49"/>
      <c r="E34" s="49"/>
      <c r="F34" s="49"/>
      <c r="G34" s="49"/>
      <c r="H34" s="49"/>
      <c r="I34" s="49"/>
      <c r="J34" s="53"/>
      <c r="K34" s="52"/>
      <c r="L34" s="54"/>
    </row>
    <row r="35" spans="1:13" ht="20.100000000000001" customHeight="1" x14ac:dyDescent="0.3">
      <c r="A35" s="47"/>
      <c r="B35" s="49"/>
      <c r="C35" s="49"/>
      <c r="D35" s="49"/>
      <c r="E35" s="48"/>
      <c r="F35" s="49"/>
      <c r="G35" s="49"/>
      <c r="H35" s="49"/>
      <c r="I35" s="49"/>
      <c r="J35" s="53"/>
      <c r="K35" s="52"/>
      <c r="L35" s="54"/>
    </row>
    <row r="36" spans="1:13" ht="20.100000000000001" customHeight="1" x14ac:dyDescent="0.3">
      <c r="A36" s="47"/>
      <c r="B36" s="49"/>
      <c r="C36" s="49"/>
      <c r="D36" s="49"/>
      <c r="E36" s="48"/>
      <c r="F36" s="49"/>
      <c r="G36" s="49"/>
      <c r="H36" s="49"/>
      <c r="I36" s="49"/>
      <c r="J36" s="53"/>
      <c r="K36" s="52"/>
      <c r="L36" s="54"/>
      <c r="M36" s="55"/>
    </row>
    <row r="37" spans="1:13" ht="20.100000000000001" customHeight="1" x14ac:dyDescent="0.3">
      <c r="A37" s="47"/>
      <c r="B37" s="49"/>
      <c r="C37" s="49"/>
      <c r="D37" s="49"/>
      <c r="E37" s="49"/>
      <c r="F37" s="49"/>
      <c r="G37" s="49"/>
      <c r="H37" s="49"/>
      <c r="I37" s="49"/>
      <c r="J37" s="53"/>
      <c r="K37" s="52"/>
      <c r="L37" s="54"/>
    </row>
    <row r="38" spans="1:13" ht="20.100000000000001" customHeight="1" x14ac:dyDescent="0.3">
      <c r="A38" s="47"/>
      <c r="B38" s="49"/>
      <c r="C38" s="49"/>
      <c r="D38" s="49"/>
      <c r="E38" s="49"/>
      <c r="F38" s="49"/>
      <c r="G38" s="49"/>
      <c r="H38" s="49"/>
      <c r="I38" s="49"/>
      <c r="J38" s="53"/>
      <c r="K38" s="52"/>
      <c r="L38" s="54"/>
    </row>
    <row r="39" spans="1:13" ht="20.100000000000001" customHeight="1" x14ac:dyDescent="0.3">
      <c r="A39" s="47"/>
      <c r="B39" s="49"/>
      <c r="C39" s="49"/>
      <c r="D39" s="49"/>
      <c r="E39" s="49"/>
      <c r="F39" s="49"/>
      <c r="G39" s="49"/>
      <c r="H39" s="49"/>
      <c r="I39" s="49"/>
      <c r="J39" s="53"/>
      <c r="K39" s="52"/>
      <c r="L39" s="54"/>
    </row>
    <row r="40" spans="1:13" ht="20.100000000000001" customHeight="1" x14ac:dyDescent="0.3">
      <c r="A40" s="47"/>
      <c r="B40" s="49"/>
      <c r="C40" s="49"/>
      <c r="D40" s="49"/>
      <c r="E40" s="49"/>
      <c r="F40" s="49"/>
      <c r="G40" s="49"/>
      <c r="H40" s="49"/>
      <c r="I40" s="49"/>
      <c r="J40" s="53"/>
      <c r="K40" s="52"/>
      <c r="L40" s="54"/>
    </row>
    <row r="41" spans="1:13" ht="20.100000000000001" customHeight="1" x14ac:dyDescent="0.3">
      <c r="A41" s="47"/>
      <c r="B41" s="49"/>
      <c r="C41" s="49"/>
      <c r="D41" s="49"/>
      <c r="E41" s="48"/>
      <c r="F41" s="49"/>
      <c r="G41" s="49"/>
      <c r="H41" s="49"/>
      <c r="I41" s="49"/>
      <c r="J41" s="53"/>
      <c r="K41" s="52"/>
      <c r="L41" s="54"/>
    </row>
    <row r="42" spans="1:13" ht="20.100000000000001" customHeight="1" x14ac:dyDescent="0.3">
      <c r="A42" s="47"/>
      <c r="B42" s="49"/>
      <c r="C42" s="49"/>
      <c r="D42" s="49"/>
      <c r="E42" s="49"/>
      <c r="F42" s="49"/>
      <c r="G42" s="49"/>
      <c r="H42" s="49"/>
      <c r="I42" s="49"/>
      <c r="J42" s="53"/>
      <c r="K42" s="52"/>
      <c r="L42" s="54"/>
    </row>
    <row r="43" spans="1:13" ht="20.100000000000001" customHeight="1" x14ac:dyDescent="0.3">
      <c r="A43" s="47"/>
      <c r="B43" s="49"/>
      <c r="C43" s="49"/>
      <c r="D43" s="49"/>
      <c r="E43" s="49"/>
      <c r="F43" s="49"/>
      <c r="G43" s="49"/>
      <c r="H43" s="49"/>
      <c r="I43" s="49"/>
      <c r="J43" s="53"/>
      <c r="K43" s="52"/>
      <c r="L43" s="54"/>
    </row>
    <row r="44" spans="1:13" ht="20.100000000000001" customHeight="1" x14ac:dyDescent="0.3">
      <c r="A44" s="47"/>
      <c r="B44" s="49"/>
      <c r="C44" s="49"/>
      <c r="D44" s="49"/>
      <c r="E44" s="48"/>
      <c r="F44" s="49"/>
      <c r="G44" s="49"/>
      <c r="H44" s="49"/>
      <c r="I44" s="49"/>
      <c r="J44" s="53"/>
      <c r="K44" s="52"/>
      <c r="L44" s="54"/>
    </row>
    <row r="45" spans="1:13" ht="20.100000000000001" customHeight="1" x14ac:dyDescent="0.3">
      <c r="A45" s="47"/>
      <c r="B45" s="49"/>
      <c r="C45" s="49"/>
      <c r="D45" s="49"/>
      <c r="E45" s="49"/>
      <c r="F45" s="49"/>
      <c r="G45" s="49"/>
      <c r="H45" s="49"/>
      <c r="I45" s="49"/>
      <c r="J45" s="53"/>
      <c r="K45" s="52"/>
      <c r="L45" s="54"/>
      <c r="M45" s="69"/>
    </row>
    <row r="46" spans="1:13" ht="20.100000000000001" customHeight="1" x14ac:dyDescent="0.3">
      <c r="A46" s="47"/>
      <c r="B46" s="49"/>
      <c r="C46" s="49"/>
      <c r="D46" s="49"/>
      <c r="E46" s="49"/>
      <c r="F46" s="49"/>
      <c r="G46" s="49"/>
      <c r="H46" s="49"/>
      <c r="I46" s="49"/>
      <c r="J46" s="53"/>
      <c r="K46" s="52"/>
      <c r="L46" s="54"/>
      <c r="M46" s="69"/>
    </row>
    <row r="47" spans="1:13" ht="20.100000000000001" customHeight="1" x14ac:dyDescent="0.3">
      <c r="A47" s="47"/>
      <c r="B47" s="49"/>
      <c r="C47" s="49"/>
      <c r="D47" s="49"/>
      <c r="E47" s="49"/>
      <c r="F47" s="48"/>
      <c r="G47" s="49"/>
      <c r="H47" s="49"/>
      <c r="I47" s="49"/>
      <c r="J47" s="53"/>
      <c r="K47" s="51"/>
      <c r="L47" s="82"/>
    </row>
    <row r="48" spans="1:13" ht="20.100000000000001" customHeight="1" x14ac:dyDescent="0.3">
      <c r="A48" s="47"/>
      <c r="B48" s="49"/>
      <c r="C48" s="49"/>
      <c r="D48" s="49"/>
      <c r="E48" s="49"/>
      <c r="F48" s="49"/>
      <c r="G48" s="49"/>
      <c r="H48" s="49"/>
      <c r="I48" s="49"/>
      <c r="J48" s="53"/>
      <c r="K48" s="51"/>
      <c r="L48" s="82"/>
      <c r="M48" s="81"/>
    </row>
    <row r="49" spans="1:13" ht="20.100000000000001" customHeight="1" x14ac:dyDescent="0.3">
      <c r="A49" s="47"/>
      <c r="B49" s="49"/>
      <c r="C49" s="49"/>
      <c r="D49" s="49"/>
      <c r="E49" s="49"/>
      <c r="F49" s="48"/>
      <c r="G49" s="49"/>
      <c r="H49" s="49"/>
      <c r="I49" s="49"/>
      <c r="J49" s="53"/>
      <c r="K49" s="51"/>
      <c r="L49" s="82"/>
    </row>
    <row r="50" spans="1:13" ht="20.100000000000001" customHeight="1" x14ac:dyDescent="0.3">
      <c r="A50" s="47"/>
      <c r="B50" s="49"/>
      <c r="C50" s="49"/>
      <c r="D50" s="49"/>
      <c r="E50" s="49"/>
      <c r="F50" s="49"/>
      <c r="G50" s="49"/>
      <c r="H50" s="49"/>
      <c r="I50" s="49"/>
      <c r="J50" s="53"/>
      <c r="K50" s="51"/>
      <c r="L50" s="82"/>
      <c r="M50" s="81"/>
    </row>
    <row r="51" spans="1:13" ht="20.100000000000001" customHeight="1" x14ac:dyDescent="0.3">
      <c r="A51" s="47"/>
      <c r="B51" s="49"/>
      <c r="C51" s="49"/>
      <c r="D51" s="49"/>
      <c r="E51" s="49"/>
      <c r="F51" s="48"/>
      <c r="G51" s="49"/>
      <c r="H51" s="49"/>
      <c r="I51" s="49"/>
      <c r="J51" s="53"/>
      <c r="K51" s="51"/>
      <c r="L51" s="82"/>
    </row>
    <row r="52" spans="1:13" ht="20.100000000000001" customHeight="1" x14ac:dyDescent="0.3">
      <c r="A52" s="47"/>
      <c r="B52" s="48"/>
      <c r="C52" s="48"/>
      <c r="D52" s="48"/>
      <c r="E52" s="48"/>
      <c r="F52" s="48"/>
      <c r="G52" s="72"/>
      <c r="H52" s="72"/>
      <c r="I52" s="72"/>
      <c r="J52" s="73"/>
      <c r="K52" s="62"/>
      <c r="L52" s="82"/>
    </row>
    <row r="53" spans="1:13" ht="20.100000000000001" customHeight="1" x14ac:dyDescent="0.3">
      <c r="A53" s="47"/>
      <c r="B53" s="48"/>
      <c r="C53" s="48"/>
      <c r="D53" s="48"/>
      <c r="E53" s="48"/>
      <c r="F53" s="48"/>
      <c r="G53" s="72"/>
      <c r="H53" s="72"/>
      <c r="I53" s="72"/>
      <c r="J53" s="73"/>
      <c r="K53" s="62"/>
      <c r="L53" s="82"/>
    </row>
    <row r="54" spans="1:13" ht="20.100000000000001" customHeight="1" x14ac:dyDescent="0.3">
      <c r="A54" s="47"/>
      <c r="B54" s="48"/>
      <c r="C54" s="48"/>
      <c r="D54" s="48"/>
      <c r="E54" s="48"/>
      <c r="F54" s="48"/>
      <c r="G54" s="72"/>
      <c r="H54" s="72"/>
      <c r="I54" s="72"/>
      <c r="J54" s="73"/>
      <c r="K54" s="62"/>
      <c r="L54" s="82"/>
    </row>
    <row r="55" spans="1:13" ht="20.100000000000001" customHeight="1" x14ac:dyDescent="0.3">
      <c r="A55" s="47"/>
      <c r="B55" s="49"/>
      <c r="C55" s="49"/>
      <c r="D55" s="49"/>
      <c r="E55" s="49"/>
      <c r="F55" s="49"/>
      <c r="G55" s="49"/>
      <c r="H55" s="49"/>
      <c r="I55" s="49"/>
      <c r="J55" s="53"/>
      <c r="K55" s="51"/>
      <c r="L55" s="82"/>
    </row>
    <row r="56" spans="1:13" ht="20.100000000000001" customHeight="1" x14ac:dyDescent="0.3">
      <c r="A56" s="47"/>
      <c r="B56" s="49"/>
      <c r="C56" s="49"/>
      <c r="D56" s="49"/>
      <c r="E56" s="49"/>
      <c r="F56" s="49"/>
      <c r="G56" s="49"/>
      <c r="H56" s="49"/>
      <c r="I56" s="49"/>
      <c r="J56" s="53"/>
      <c r="K56" s="51"/>
      <c r="L56" s="82"/>
    </row>
    <row r="57" spans="1:13" ht="20.100000000000001" customHeight="1" x14ac:dyDescent="0.3">
      <c r="A57" s="47"/>
      <c r="B57" s="49"/>
      <c r="C57" s="49"/>
      <c r="D57" s="49"/>
      <c r="E57" s="49"/>
      <c r="F57" s="49"/>
      <c r="G57" s="49"/>
      <c r="H57" s="49"/>
      <c r="I57" s="49"/>
      <c r="J57" s="53"/>
      <c r="K57" s="51"/>
      <c r="L57" s="82"/>
    </row>
    <row r="58" spans="1:13" ht="20.100000000000001" customHeight="1" x14ac:dyDescent="0.3">
      <c r="A58" s="47"/>
      <c r="B58" s="49"/>
      <c r="C58" s="49"/>
      <c r="D58" s="49"/>
      <c r="E58" s="49"/>
      <c r="F58" s="49"/>
      <c r="G58" s="49"/>
      <c r="H58" s="49"/>
      <c r="I58" s="49"/>
      <c r="J58" s="53"/>
      <c r="K58" s="51"/>
      <c r="L58" s="82"/>
      <c r="M58" s="69"/>
    </row>
    <row r="59" spans="1:13" ht="20.100000000000001" customHeight="1" x14ac:dyDescent="0.3">
      <c r="A59" s="47"/>
      <c r="B59" s="49"/>
      <c r="C59" s="49"/>
      <c r="D59" s="49"/>
      <c r="E59" s="49"/>
      <c r="F59" s="49"/>
      <c r="G59" s="49"/>
      <c r="H59" s="49"/>
      <c r="I59" s="49"/>
      <c r="J59" s="53"/>
      <c r="K59" s="51"/>
      <c r="L59" s="82"/>
    </row>
    <row r="60" spans="1:13" ht="20.100000000000001" customHeight="1" x14ac:dyDescent="0.3">
      <c r="A60" s="47"/>
      <c r="B60" s="49"/>
      <c r="C60" s="49"/>
      <c r="D60" s="49"/>
      <c r="E60" s="49"/>
      <c r="F60" s="49"/>
      <c r="G60" s="49"/>
      <c r="H60" s="49"/>
      <c r="I60" s="49"/>
      <c r="J60" s="53"/>
      <c r="K60" s="51"/>
      <c r="L60" s="82"/>
      <c r="M60" s="81"/>
    </row>
    <row r="61" spans="1:13" ht="20.100000000000001" customHeight="1" x14ac:dyDescent="0.3">
      <c r="A61" s="47"/>
      <c r="B61" s="49"/>
      <c r="C61" s="49"/>
      <c r="D61" s="49"/>
      <c r="E61" s="49"/>
      <c r="F61" s="49"/>
      <c r="G61" s="49"/>
      <c r="H61" s="49"/>
      <c r="I61" s="49"/>
      <c r="J61" s="53"/>
      <c r="K61" s="51"/>
      <c r="L61" s="82"/>
    </row>
    <row r="62" spans="1:13" ht="20.100000000000001" customHeight="1" x14ac:dyDescent="0.3">
      <c r="A62" s="47"/>
      <c r="B62" s="49"/>
      <c r="C62" s="49"/>
      <c r="D62" s="49"/>
      <c r="E62" s="49"/>
      <c r="F62" s="49"/>
      <c r="G62" s="49"/>
      <c r="H62" s="49"/>
      <c r="I62" s="49"/>
      <c r="J62" s="53"/>
      <c r="K62" s="51"/>
      <c r="L62" s="82"/>
    </row>
    <row r="63" spans="1:13" ht="20.100000000000001" customHeight="1" x14ac:dyDescent="0.3">
      <c r="A63" s="47"/>
      <c r="B63" s="49"/>
      <c r="C63" s="49"/>
      <c r="D63" s="49"/>
      <c r="E63" s="49"/>
      <c r="F63" s="49"/>
      <c r="G63" s="49"/>
      <c r="H63" s="49"/>
      <c r="I63" s="49"/>
      <c r="J63" s="53"/>
      <c r="K63" s="51"/>
      <c r="L63" s="82"/>
    </row>
    <row r="64" spans="1:13" ht="20.100000000000001" customHeight="1" x14ac:dyDescent="0.3">
      <c r="A64" s="47"/>
      <c r="B64" s="49"/>
      <c r="C64" s="49"/>
      <c r="D64" s="49"/>
      <c r="E64" s="49"/>
      <c r="F64" s="49"/>
      <c r="G64" s="49"/>
      <c r="H64" s="49"/>
      <c r="I64" s="49"/>
      <c r="J64" s="53"/>
      <c r="K64" s="51"/>
      <c r="L64" s="82"/>
    </row>
    <row r="65" spans="1:13" ht="20.100000000000001" customHeight="1" x14ac:dyDescent="0.3">
      <c r="A65" s="47"/>
      <c r="B65" s="49"/>
      <c r="C65" s="49"/>
      <c r="D65" s="49"/>
      <c r="E65" s="49"/>
      <c r="F65" s="49"/>
      <c r="G65" s="49"/>
      <c r="H65" s="49"/>
      <c r="I65" s="49"/>
      <c r="J65" s="53"/>
      <c r="K65" s="51"/>
      <c r="L65" s="82"/>
    </row>
    <row r="66" spans="1:13" ht="20.100000000000001" customHeight="1" x14ac:dyDescent="0.3">
      <c r="A66" s="47"/>
      <c r="B66" s="48"/>
      <c r="C66" s="48"/>
      <c r="D66" s="48"/>
      <c r="E66" s="48"/>
      <c r="F66" s="48"/>
      <c r="G66" s="72"/>
      <c r="H66" s="72"/>
      <c r="I66" s="72"/>
      <c r="J66" s="73"/>
      <c r="K66" s="62"/>
      <c r="L66" s="82"/>
    </row>
    <row r="67" spans="1:13" ht="20.100000000000001" customHeight="1" x14ac:dyDescent="0.3">
      <c r="A67" s="47"/>
      <c r="B67" s="48"/>
      <c r="C67" s="48"/>
      <c r="D67" s="48"/>
      <c r="E67" s="48"/>
      <c r="F67" s="48"/>
      <c r="G67" s="72"/>
      <c r="H67" s="72"/>
      <c r="I67" s="72"/>
      <c r="J67" s="73"/>
      <c r="K67" s="62"/>
      <c r="L67" s="82"/>
    </row>
    <row r="68" spans="1:13" ht="20.100000000000001" customHeight="1" x14ac:dyDescent="0.3">
      <c r="A68" s="47"/>
      <c r="B68" s="49"/>
      <c r="C68" s="49"/>
      <c r="D68" s="49"/>
      <c r="E68" s="49"/>
      <c r="F68" s="49"/>
      <c r="G68" s="49"/>
      <c r="H68" s="49"/>
      <c r="I68" s="49"/>
      <c r="J68" s="53"/>
      <c r="K68" s="51"/>
      <c r="L68" s="82"/>
    </row>
    <row r="69" spans="1:13" ht="20.100000000000001" customHeight="1" x14ac:dyDescent="0.3">
      <c r="A69" s="47"/>
      <c r="B69" s="49"/>
      <c r="C69" s="49"/>
      <c r="D69" s="49"/>
      <c r="E69" s="49"/>
      <c r="F69" s="49"/>
      <c r="G69" s="49"/>
      <c r="H69" s="49"/>
      <c r="I69" s="49"/>
      <c r="J69" s="53"/>
      <c r="K69" s="51"/>
      <c r="L69" s="82"/>
      <c r="M69" s="69"/>
    </row>
    <row r="70" spans="1:13" ht="20.100000000000001" customHeight="1" x14ac:dyDescent="0.3">
      <c r="A70" s="47"/>
      <c r="B70" s="49"/>
      <c r="C70" s="49"/>
      <c r="D70" s="49"/>
      <c r="E70" s="49"/>
      <c r="F70" s="49"/>
      <c r="G70" s="49"/>
      <c r="H70" s="49"/>
      <c r="I70" s="49"/>
      <c r="J70" s="53"/>
      <c r="K70" s="51"/>
      <c r="L70" s="82"/>
    </row>
    <row r="71" spans="1:13" ht="20.100000000000001" customHeight="1" x14ac:dyDescent="0.3">
      <c r="A71" s="47"/>
      <c r="B71" s="49"/>
      <c r="C71" s="49"/>
      <c r="D71" s="49"/>
      <c r="E71" s="49"/>
      <c r="F71" s="49"/>
      <c r="G71" s="49"/>
      <c r="H71" s="49"/>
      <c r="I71" s="49"/>
      <c r="J71" s="53"/>
      <c r="K71" s="51"/>
      <c r="L71" s="82"/>
    </row>
    <row r="72" spans="1:13" ht="20.100000000000001" customHeight="1" x14ac:dyDescent="0.3">
      <c r="A72" s="47"/>
      <c r="B72" s="49"/>
      <c r="C72" s="49"/>
      <c r="D72" s="49"/>
      <c r="E72" s="49"/>
      <c r="F72" s="49"/>
      <c r="G72" s="49"/>
      <c r="H72" s="49"/>
      <c r="I72" s="49"/>
      <c r="J72" s="53"/>
      <c r="K72" s="51"/>
      <c r="L72" s="82"/>
    </row>
    <row r="73" spans="1:13" ht="20.100000000000001" customHeight="1" x14ac:dyDescent="0.3">
      <c r="A73" s="47"/>
      <c r="B73" s="49"/>
      <c r="C73" s="49"/>
      <c r="D73" s="49"/>
      <c r="E73" s="49"/>
      <c r="F73" s="49"/>
      <c r="G73" s="49"/>
      <c r="H73" s="49"/>
      <c r="I73" s="49"/>
      <c r="J73" s="53"/>
      <c r="K73" s="51"/>
      <c r="L73" s="82"/>
      <c r="M73" s="83"/>
    </row>
    <row r="74" spans="1:13" ht="20.100000000000001" customHeight="1" x14ac:dyDescent="0.3">
      <c r="A74" s="47"/>
      <c r="B74" s="49"/>
      <c r="C74" s="49"/>
      <c r="D74" s="49"/>
      <c r="E74" s="49"/>
      <c r="F74" s="49"/>
      <c r="G74" s="49"/>
      <c r="H74" s="49"/>
      <c r="I74" s="49"/>
      <c r="J74" s="53"/>
      <c r="K74" s="51"/>
      <c r="L74" s="82"/>
    </row>
    <row r="75" spans="1:13" ht="20.100000000000001" customHeight="1" x14ac:dyDescent="0.3">
      <c r="A75" s="47"/>
      <c r="B75" s="49"/>
      <c r="C75" s="49"/>
      <c r="D75" s="49"/>
      <c r="E75" s="49"/>
      <c r="F75" s="49"/>
      <c r="G75" s="49"/>
      <c r="H75" s="49"/>
      <c r="I75" s="49"/>
      <c r="J75" s="53"/>
      <c r="K75" s="51"/>
      <c r="L75" s="82"/>
    </row>
    <row r="76" spans="1:13" ht="20.100000000000001" customHeight="1" x14ac:dyDescent="0.3">
      <c r="A76" s="47"/>
      <c r="B76" s="49"/>
      <c r="C76" s="49"/>
      <c r="D76" s="49"/>
      <c r="E76" s="49"/>
      <c r="F76" s="49"/>
      <c r="G76" s="49"/>
      <c r="H76" s="49"/>
      <c r="I76" s="49"/>
      <c r="J76" s="53"/>
      <c r="K76" s="51"/>
      <c r="L76" s="82"/>
    </row>
    <row r="77" spans="1:13" ht="20.100000000000001" customHeight="1" x14ac:dyDescent="0.3">
      <c r="A77" s="47"/>
      <c r="B77" s="49"/>
      <c r="C77" s="49"/>
      <c r="D77" s="49"/>
      <c r="E77" s="49"/>
      <c r="F77" s="49"/>
      <c r="G77" s="49"/>
      <c r="H77" s="49"/>
      <c r="I77" s="49"/>
      <c r="J77" s="53"/>
      <c r="K77" s="51"/>
      <c r="L77" s="82"/>
    </row>
    <row r="78" spans="1:13" ht="20.100000000000001" customHeight="1" x14ac:dyDescent="0.3">
      <c r="A78" s="47"/>
      <c r="B78" s="49"/>
      <c r="C78" s="49"/>
      <c r="D78" s="49"/>
      <c r="E78" s="49"/>
      <c r="F78" s="49"/>
      <c r="G78" s="49"/>
      <c r="H78" s="49"/>
      <c r="I78" s="49"/>
      <c r="J78" s="53"/>
      <c r="K78" s="51"/>
      <c r="L78" s="82"/>
    </row>
    <row r="79" spans="1:13" ht="20.100000000000001" customHeight="1" x14ac:dyDescent="0.3">
      <c r="A79" s="47"/>
      <c r="B79" s="48"/>
      <c r="C79" s="48"/>
      <c r="D79" s="48"/>
      <c r="E79" s="48"/>
      <c r="F79" s="48"/>
      <c r="G79" s="72"/>
      <c r="H79" s="72"/>
      <c r="I79" s="72"/>
      <c r="J79" s="73"/>
      <c r="K79" s="54"/>
      <c r="L79" s="82"/>
      <c r="M79" s="81"/>
    </row>
    <row r="80" spans="1:13" ht="20.100000000000001" customHeight="1" x14ac:dyDescent="0.3">
      <c r="A80" s="47"/>
      <c r="B80" s="48"/>
      <c r="C80" s="48"/>
      <c r="D80" s="48"/>
      <c r="E80" s="48"/>
      <c r="F80" s="48"/>
      <c r="G80" s="72"/>
      <c r="H80" s="72"/>
      <c r="I80" s="72"/>
      <c r="J80" s="73"/>
      <c r="K80" s="54"/>
      <c r="L80" s="82"/>
    </row>
    <row r="81" spans="1:12" ht="20.100000000000001" customHeight="1" x14ac:dyDescent="0.3">
      <c r="A81" s="47"/>
      <c r="B81" s="48"/>
      <c r="C81" s="48"/>
      <c r="D81" s="48"/>
      <c r="E81" s="48"/>
      <c r="F81" s="48"/>
      <c r="G81" s="72"/>
      <c r="H81" s="72"/>
      <c r="I81" s="72"/>
      <c r="J81" s="73"/>
      <c r="K81" s="54"/>
      <c r="L81" s="82"/>
    </row>
    <row r="82" spans="1:12" ht="20.100000000000001" customHeight="1" x14ac:dyDescent="0.3">
      <c r="A82" s="47"/>
      <c r="B82" s="48"/>
      <c r="C82" s="48"/>
      <c r="D82" s="48"/>
      <c r="E82" s="48"/>
      <c r="F82" s="48"/>
      <c r="G82" s="72"/>
      <c r="H82" s="72"/>
      <c r="I82" s="72"/>
      <c r="J82" s="73"/>
      <c r="K82" s="54"/>
      <c r="L82" s="82"/>
    </row>
    <row r="83" spans="1:12" ht="20.100000000000001" customHeight="1" x14ac:dyDescent="0.3">
      <c r="A83" s="47"/>
      <c r="B83" s="49"/>
      <c r="C83" s="49"/>
      <c r="D83" s="49"/>
      <c r="E83" s="49"/>
      <c r="F83" s="49"/>
      <c r="G83" s="49"/>
      <c r="H83" s="49"/>
      <c r="I83" s="49"/>
      <c r="J83" s="53"/>
      <c r="K83" s="51"/>
      <c r="L83" s="82"/>
    </row>
    <row r="84" spans="1:12" ht="20.100000000000001" customHeight="1" x14ac:dyDescent="0.3">
      <c r="A84" s="47"/>
      <c r="B84" s="48"/>
      <c r="C84" s="48"/>
      <c r="D84" s="48"/>
      <c r="E84" s="48"/>
      <c r="F84" s="48"/>
      <c r="G84" s="72"/>
      <c r="H84" s="72"/>
      <c r="I84" s="72"/>
      <c r="J84" s="73"/>
      <c r="K84" s="62"/>
      <c r="L84" s="82"/>
    </row>
    <row r="85" spans="1:12" ht="20.100000000000001" customHeight="1" x14ac:dyDescent="0.3">
      <c r="A85" s="47"/>
      <c r="B85" s="48"/>
      <c r="C85" s="48"/>
      <c r="D85" s="48"/>
      <c r="E85" s="48"/>
      <c r="F85" s="48"/>
      <c r="G85" s="72"/>
      <c r="H85" s="72"/>
      <c r="I85" s="72"/>
      <c r="J85" s="73"/>
      <c r="K85" s="62"/>
      <c r="L85" s="82"/>
    </row>
    <row r="86" spans="1:12" ht="20.100000000000001" customHeight="1" x14ac:dyDescent="0.3">
      <c r="A86" s="47"/>
      <c r="B86" s="48"/>
      <c r="C86" s="48"/>
      <c r="D86" s="48"/>
      <c r="E86" s="48"/>
      <c r="F86" s="48"/>
      <c r="G86" s="72"/>
      <c r="H86" s="72"/>
      <c r="I86" s="72"/>
      <c r="J86" s="73"/>
      <c r="K86" s="62"/>
      <c r="L86" s="82"/>
    </row>
    <row r="87" spans="1:12" ht="20.100000000000001" customHeight="1" x14ac:dyDescent="0.3">
      <c r="A87" s="47"/>
      <c r="B87" s="48"/>
      <c r="C87" s="48"/>
      <c r="D87" s="48"/>
      <c r="E87" s="48"/>
      <c r="F87" s="48"/>
      <c r="G87" s="72"/>
      <c r="H87" s="72"/>
      <c r="I87" s="72"/>
      <c r="J87" s="73"/>
      <c r="K87" s="62"/>
      <c r="L87" s="82"/>
    </row>
    <row r="88" spans="1:12" ht="20.100000000000001" customHeight="1" x14ac:dyDescent="0.3">
      <c r="A88" s="47"/>
      <c r="B88" s="48"/>
      <c r="C88" s="48"/>
      <c r="D88" s="48"/>
      <c r="E88" s="48"/>
      <c r="F88" s="48"/>
      <c r="G88" s="72"/>
      <c r="H88" s="72"/>
      <c r="I88" s="72"/>
      <c r="J88" s="73"/>
      <c r="K88" s="62"/>
      <c r="L88" s="82"/>
    </row>
    <row r="89" spans="1:12" ht="20.100000000000001" customHeight="1" x14ac:dyDescent="0.3">
      <c r="A89" s="47"/>
      <c r="B89" s="48"/>
      <c r="C89" s="48"/>
      <c r="D89" s="48"/>
      <c r="E89" s="48"/>
      <c r="F89" s="48"/>
      <c r="G89" s="72"/>
      <c r="H89" s="72"/>
      <c r="I89" s="72"/>
      <c r="J89" s="73"/>
      <c r="K89" s="62"/>
      <c r="L89" s="82"/>
    </row>
    <row r="90" spans="1:12" ht="20.100000000000001" customHeight="1" x14ac:dyDescent="0.3">
      <c r="A90" s="47"/>
      <c r="B90" s="48"/>
      <c r="C90" s="48"/>
      <c r="D90" s="48"/>
      <c r="E90" s="48"/>
      <c r="F90" s="48"/>
      <c r="G90" s="72"/>
      <c r="H90" s="72"/>
      <c r="I90" s="72"/>
      <c r="J90" s="73"/>
      <c r="K90" s="62"/>
      <c r="L90" s="82"/>
    </row>
    <row r="91" spans="1:12" ht="20.100000000000001" customHeight="1" x14ac:dyDescent="0.3">
      <c r="A91" s="47"/>
      <c r="B91" s="48"/>
      <c r="C91" s="48"/>
      <c r="D91" s="48"/>
      <c r="E91" s="48"/>
      <c r="F91" s="48"/>
      <c r="G91" s="72"/>
      <c r="H91" s="72"/>
      <c r="I91" s="72"/>
      <c r="J91" s="73"/>
      <c r="K91" s="62"/>
      <c r="L91" s="82"/>
    </row>
    <row r="92" spans="1:12" ht="20.100000000000001" customHeight="1" x14ac:dyDescent="0.3">
      <c r="A92" s="47"/>
      <c r="B92" s="48"/>
      <c r="C92" s="48"/>
      <c r="D92" s="48"/>
      <c r="E92" s="48"/>
      <c r="F92" s="48"/>
      <c r="G92" s="72"/>
      <c r="H92" s="72"/>
      <c r="I92" s="72"/>
      <c r="J92" s="73"/>
      <c r="K92" s="62"/>
      <c r="L92" s="82"/>
    </row>
    <row r="93" spans="1:12" ht="20.100000000000001" customHeight="1" x14ac:dyDescent="0.3">
      <c r="A93" s="47"/>
      <c r="B93" s="48"/>
      <c r="C93" s="48"/>
      <c r="D93" s="48"/>
      <c r="E93" s="48"/>
      <c r="F93" s="48"/>
      <c r="G93" s="72"/>
      <c r="H93" s="72"/>
      <c r="I93" s="72"/>
      <c r="J93" s="73"/>
      <c r="K93" s="62"/>
      <c r="L93" s="82"/>
    </row>
    <row r="94" spans="1:12" ht="20.100000000000001" customHeight="1" x14ac:dyDescent="0.3">
      <c r="A94" s="47"/>
      <c r="B94" s="48"/>
      <c r="C94" s="48"/>
      <c r="D94" s="48"/>
      <c r="E94" s="48"/>
      <c r="F94" s="48"/>
      <c r="G94" s="72"/>
      <c r="H94" s="72"/>
      <c r="I94" s="72"/>
      <c r="J94" s="73"/>
      <c r="K94" s="62"/>
      <c r="L94" s="82"/>
    </row>
    <row r="95" spans="1:12" ht="20.100000000000001" customHeight="1" x14ac:dyDescent="0.3">
      <c r="A95" s="47"/>
      <c r="B95" s="49"/>
      <c r="C95" s="49"/>
      <c r="D95" s="49"/>
      <c r="E95" s="49"/>
      <c r="F95" s="49"/>
      <c r="G95" s="49"/>
      <c r="H95" s="49"/>
      <c r="I95" s="49"/>
      <c r="J95" s="53"/>
      <c r="K95" s="51"/>
      <c r="L95" s="82"/>
    </row>
    <row r="96" spans="1:12" ht="20.100000000000001" customHeight="1" x14ac:dyDescent="0.3">
      <c r="A96" s="47"/>
      <c r="B96" s="48"/>
      <c r="C96" s="48"/>
      <c r="D96" s="48"/>
      <c r="E96" s="48"/>
      <c r="F96" s="48"/>
      <c r="G96" s="72"/>
      <c r="H96" s="72"/>
      <c r="I96" s="72"/>
      <c r="J96" s="73"/>
      <c r="K96" s="62"/>
      <c r="L96" s="82"/>
    </row>
    <row r="97" spans="1:13" ht="20.100000000000001" customHeight="1" x14ac:dyDescent="0.3">
      <c r="A97" s="47"/>
      <c r="B97" s="49"/>
      <c r="C97" s="49"/>
      <c r="D97" s="49"/>
      <c r="E97" s="49"/>
      <c r="F97" s="49"/>
      <c r="G97" s="49"/>
      <c r="H97" s="49"/>
      <c r="I97" s="49"/>
      <c r="J97" s="53"/>
      <c r="K97" s="51"/>
      <c r="L97" s="82"/>
    </row>
    <row r="98" spans="1:13" ht="20.100000000000001" customHeight="1" x14ac:dyDescent="0.3">
      <c r="A98" s="47"/>
      <c r="B98" s="48"/>
      <c r="C98" s="48"/>
      <c r="D98" s="48"/>
      <c r="E98" s="48"/>
      <c r="F98" s="48"/>
      <c r="G98" s="72"/>
      <c r="H98" s="72"/>
      <c r="I98" s="72"/>
      <c r="J98" s="73"/>
      <c r="K98" s="62"/>
      <c r="L98" s="82"/>
    </row>
    <row r="99" spans="1:13" ht="20.100000000000001" customHeight="1" x14ac:dyDescent="0.3">
      <c r="A99" s="47"/>
      <c r="B99" s="48"/>
      <c r="C99" s="48"/>
      <c r="D99" s="48"/>
      <c r="E99" s="48"/>
      <c r="F99" s="48"/>
      <c r="G99" s="72"/>
      <c r="H99" s="72"/>
      <c r="I99" s="72"/>
      <c r="J99" s="73"/>
      <c r="K99" s="62"/>
      <c r="L99" s="82"/>
    </row>
    <row r="100" spans="1:13" ht="20.100000000000001" customHeight="1" x14ac:dyDescent="0.3">
      <c r="A100" s="47"/>
      <c r="B100" s="48"/>
      <c r="C100" s="48"/>
      <c r="D100" s="48"/>
      <c r="E100" s="48"/>
      <c r="F100" s="48"/>
      <c r="G100" s="72"/>
      <c r="H100" s="72"/>
      <c r="I100" s="72"/>
      <c r="J100" s="73"/>
      <c r="K100" s="62"/>
      <c r="L100" s="82"/>
    </row>
    <row r="101" spans="1:13" ht="20.100000000000001" customHeight="1" x14ac:dyDescent="0.3">
      <c r="A101" s="47"/>
      <c r="B101" s="49"/>
      <c r="C101" s="49"/>
      <c r="D101" s="49"/>
      <c r="E101" s="49"/>
      <c r="F101" s="49"/>
      <c r="G101" s="49"/>
      <c r="H101" s="49"/>
      <c r="I101" s="49"/>
      <c r="J101" s="53"/>
      <c r="K101" s="51"/>
      <c r="L101" s="82"/>
    </row>
    <row r="102" spans="1:13" ht="20.100000000000001" customHeight="1" x14ac:dyDescent="0.3">
      <c r="A102" s="47"/>
      <c r="B102" s="49"/>
      <c r="C102" s="49"/>
      <c r="D102" s="49"/>
      <c r="E102" s="49"/>
      <c r="F102" s="49"/>
      <c r="G102" s="49"/>
      <c r="H102" s="49"/>
      <c r="I102" s="49"/>
      <c r="J102" s="53"/>
      <c r="K102" s="51"/>
      <c r="L102" s="82"/>
    </row>
    <row r="103" spans="1:13" ht="20.100000000000001" customHeight="1" x14ac:dyDescent="0.3">
      <c r="A103" s="47"/>
      <c r="B103" s="49"/>
      <c r="C103" s="49"/>
      <c r="D103" s="49"/>
      <c r="E103" s="49"/>
      <c r="F103" s="49"/>
      <c r="G103" s="49"/>
      <c r="H103" s="49"/>
      <c r="I103" s="49"/>
      <c r="J103" s="53"/>
      <c r="K103" s="51"/>
      <c r="L103" s="82"/>
    </row>
    <row r="104" spans="1:13" ht="20.100000000000001" customHeight="1" x14ac:dyDescent="0.3">
      <c r="A104" s="47"/>
      <c r="B104" s="49"/>
      <c r="C104" s="49"/>
      <c r="D104" s="49"/>
      <c r="E104" s="49"/>
      <c r="F104" s="49"/>
      <c r="G104" s="49"/>
      <c r="H104" s="49"/>
      <c r="I104" s="49"/>
      <c r="J104" s="53"/>
      <c r="K104" s="51"/>
      <c r="L104" s="82"/>
      <c r="M104" s="81"/>
    </row>
    <row r="105" spans="1:13" ht="20.100000000000001" customHeight="1" x14ac:dyDescent="0.3">
      <c r="A105" s="47"/>
      <c r="B105" s="49"/>
      <c r="C105" s="49"/>
      <c r="D105" s="49"/>
      <c r="E105" s="49"/>
      <c r="F105" s="49"/>
      <c r="G105" s="49"/>
      <c r="H105" s="49"/>
      <c r="I105" s="49"/>
      <c r="J105" s="53"/>
      <c r="K105" s="51"/>
      <c r="L105" s="82"/>
    </row>
    <row r="106" spans="1:13" ht="20.100000000000001" customHeight="1" x14ac:dyDescent="0.3">
      <c r="A106" s="47"/>
      <c r="B106" s="49"/>
      <c r="C106" s="49"/>
      <c r="D106" s="49"/>
      <c r="E106" s="49"/>
      <c r="F106" s="49"/>
      <c r="G106" s="49"/>
      <c r="H106" s="49"/>
      <c r="I106" s="49"/>
      <c r="J106" s="53"/>
      <c r="K106" s="51"/>
      <c r="L106" s="82"/>
      <c r="M106" s="69"/>
    </row>
    <row r="107" spans="1:13" ht="20.100000000000001" customHeight="1" x14ac:dyDescent="0.3">
      <c r="A107" s="47"/>
      <c r="B107" s="49"/>
      <c r="C107" s="49"/>
      <c r="D107" s="49"/>
      <c r="E107" s="49"/>
      <c r="F107" s="49"/>
      <c r="G107" s="49"/>
      <c r="H107" s="49"/>
      <c r="I107" s="49"/>
      <c r="J107" s="53"/>
      <c r="K107" s="51"/>
      <c r="L107" s="82"/>
    </row>
    <row r="108" spans="1:13" ht="20.100000000000001" customHeight="1" x14ac:dyDescent="0.3">
      <c r="A108" s="47"/>
      <c r="B108" s="48"/>
      <c r="C108" s="48"/>
      <c r="D108" s="48"/>
      <c r="E108" s="48"/>
      <c r="F108" s="48"/>
      <c r="G108" s="72"/>
      <c r="H108" s="72"/>
      <c r="I108" s="72"/>
      <c r="J108" s="73"/>
      <c r="K108" s="62"/>
      <c r="L108" s="82"/>
    </row>
    <row r="109" spans="1:13" ht="20.100000000000001" customHeight="1" x14ac:dyDescent="0.3">
      <c r="A109" s="47"/>
      <c r="B109" s="48"/>
      <c r="C109" s="48"/>
      <c r="D109" s="48"/>
      <c r="E109" s="48"/>
      <c r="F109" s="48"/>
      <c r="G109" s="72"/>
      <c r="H109" s="72"/>
      <c r="I109" s="72"/>
      <c r="J109" s="73"/>
      <c r="K109" s="62"/>
      <c r="L109" s="82"/>
    </row>
    <row r="110" spans="1:13" ht="20.100000000000001" customHeight="1" x14ac:dyDescent="0.3">
      <c r="A110" s="47"/>
      <c r="B110" s="48"/>
      <c r="C110" s="48"/>
      <c r="D110" s="48"/>
      <c r="E110" s="48"/>
      <c r="F110" s="48"/>
      <c r="G110" s="72"/>
      <c r="H110" s="72"/>
      <c r="I110" s="72"/>
      <c r="J110" s="73"/>
      <c r="K110" s="62"/>
      <c r="L110" s="82"/>
    </row>
    <row r="111" spans="1:13" ht="20.100000000000001" customHeight="1" x14ac:dyDescent="0.3">
      <c r="A111" s="47"/>
      <c r="B111" s="48"/>
      <c r="C111" s="48"/>
      <c r="D111" s="48"/>
      <c r="E111" s="48"/>
      <c r="F111" s="48"/>
      <c r="G111" s="72"/>
      <c r="H111" s="72"/>
      <c r="I111" s="72"/>
      <c r="J111" s="73"/>
      <c r="K111" s="62"/>
      <c r="L111" s="82"/>
    </row>
    <row r="112" spans="1:13" ht="20.100000000000001" customHeight="1" x14ac:dyDescent="0.3">
      <c r="A112" s="47"/>
      <c r="B112" s="48"/>
      <c r="C112" s="48"/>
      <c r="D112" s="48"/>
      <c r="E112" s="48"/>
      <c r="F112" s="48"/>
      <c r="G112" s="72"/>
      <c r="H112" s="72"/>
      <c r="I112" s="72"/>
      <c r="J112" s="73"/>
      <c r="K112" s="62"/>
      <c r="L112" s="82"/>
    </row>
    <row r="113" spans="1:13" ht="20.100000000000001" customHeight="1" x14ac:dyDescent="0.3">
      <c r="A113" s="47"/>
      <c r="B113" s="48"/>
      <c r="C113" s="48"/>
      <c r="D113" s="48"/>
      <c r="E113" s="48"/>
      <c r="F113" s="48"/>
      <c r="G113" s="72"/>
      <c r="H113" s="72"/>
      <c r="I113" s="72"/>
      <c r="J113" s="73"/>
      <c r="K113" s="62"/>
      <c r="L113" s="82"/>
    </row>
    <row r="114" spans="1:13" ht="20.100000000000001" customHeight="1" x14ac:dyDescent="0.3">
      <c r="A114" s="47"/>
      <c r="B114" s="48"/>
      <c r="C114" s="48"/>
      <c r="D114" s="48"/>
      <c r="E114" s="48"/>
      <c r="F114" s="48"/>
      <c r="G114" s="72"/>
      <c r="H114" s="72"/>
      <c r="I114" s="72"/>
      <c r="J114" s="73"/>
      <c r="K114" s="62"/>
      <c r="L114" s="82"/>
    </row>
    <row r="115" spans="1:13" ht="20.100000000000001" customHeight="1" x14ac:dyDescent="0.3">
      <c r="A115" s="47"/>
      <c r="B115" s="49"/>
      <c r="C115" s="49"/>
      <c r="D115" s="49"/>
      <c r="E115" s="49"/>
      <c r="F115" s="49"/>
      <c r="G115" s="49"/>
      <c r="H115" s="49"/>
      <c r="I115" s="49"/>
      <c r="J115" s="53"/>
      <c r="K115" s="51"/>
      <c r="L115" s="82"/>
      <c r="M115" s="69"/>
    </row>
    <row r="116" spans="1:13" ht="20.100000000000001" customHeight="1" x14ac:dyDescent="0.3">
      <c r="A116" s="47"/>
      <c r="B116" s="49"/>
      <c r="C116" s="49"/>
      <c r="D116" s="49"/>
      <c r="E116" s="49"/>
      <c r="F116" s="49"/>
      <c r="G116" s="49"/>
      <c r="H116" s="49"/>
      <c r="I116" s="49"/>
      <c r="J116" s="53"/>
      <c r="K116" s="51"/>
      <c r="L116" s="82"/>
    </row>
    <row r="117" spans="1:13" ht="20.100000000000001" customHeight="1" x14ac:dyDescent="0.3">
      <c r="A117" s="47"/>
      <c r="B117" s="49"/>
      <c r="C117" s="49"/>
      <c r="D117" s="49"/>
      <c r="E117" s="49"/>
      <c r="F117" s="49"/>
      <c r="G117" s="49"/>
      <c r="H117" s="49"/>
      <c r="I117" s="49"/>
      <c r="J117" s="53"/>
      <c r="K117" s="51"/>
      <c r="L117" s="82"/>
      <c r="M117" s="56"/>
    </row>
    <row r="118" spans="1:13" ht="20.100000000000001" customHeight="1" x14ac:dyDescent="0.3">
      <c r="A118" s="47"/>
      <c r="B118" s="49"/>
      <c r="C118" s="49"/>
      <c r="D118" s="49"/>
      <c r="E118" s="49"/>
      <c r="F118" s="49"/>
      <c r="G118" s="49"/>
      <c r="H118" s="49"/>
      <c r="I118" s="49"/>
      <c r="J118" s="53"/>
      <c r="K118" s="51"/>
      <c r="L118" s="82"/>
      <c r="M118" s="83"/>
    </row>
    <row r="119" spans="1:13" ht="20.100000000000001" customHeight="1" x14ac:dyDescent="0.3">
      <c r="A119" s="47"/>
      <c r="B119" s="49"/>
      <c r="C119" s="49"/>
      <c r="D119" s="49"/>
      <c r="E119" s="49"/>
      <c r="F119" s="49"/>
      <c r="G119" s="49"/>
      <c r="H119" s="49"/>
      <c r="I119" s="49"/>
      <c r="J119" s="53"/>
      <c r="K119" s="51"/>
      <c r="L119" s="82"/>
      <c r="M119" s="57"/>
    </row>
    <row r="120" spans="1:13" ht="20.100000000000001" customHeight="1" x14ac:dyDescent="0.3">
      <c r="A120" s="47"/>
      <c r="B120" s="48"/>
      <c r="C120" s="48"/>
      <c r="D120" s="48"/>
      <c r="E120" s="48"/>
      <c r="F120" s="48"/>
      <c r="G120" s="72"/>
      <c r="H120" s="72"/>
      <c r="I120" s="72"/>
      <c r="J120" s="73"/>
      <c r="K120" s="84"/>
      <c r="L120" s="82"/>
    </row>
    <row r="121" spans="1:13" ht="20.100000000000001" customHeight="1" x14ac:dyDescent="0.3">
      <c r="A121" s="47"/>
      <c r="B121" s="49"/>
      <c r="C121" s="49"/>
      <c r="D121" s="49"/>
      <c r="E121" s="49"/>
      <c r="F121" s="49"/>
      <c r="G121" s="49"/>
      <c r="H121" s="49"/>
      <c r="I121" s="49"/>
      <c r="J121" s="53"/>
      <c r="K121" s="51"/>
      <c r="L121" s="82"/>
    </row>
    <row r="122" spans="1:13" ht="20.100000000000001" customHeight="1" x14ac:dyDescent="0.3">
      <c r="A122" s="47"/>
      <c r="B122" s="49"/>
      <c r="C122" s="49"/>
      <c r="D122" s="49"/>
      <c r="E122" s="49"/>
      <c r="F122" s="49"/>
      <c r="G122" s="49"/>
      <c r="H122" s="49"/>
      <c r="I122" s="49"/>
      <c r="J122" s="53"/>
      <c r="K122" s="51"/>
      <c r="L122" s="82"/>
    </row>
    <row r="123" spans="1:13" ht="20.100000000000001" customHeight="1" x14ac:dyDescent="0.3">
      <c r="A123" s="47"/>
      <c r="B123" s="49"/>
      <c r="C123" s="49"/>
      <c r="D123" s="49"/>
      <c r="E123" s="49"/>
      <c r="F123" s="49"/>
      <c r="G123" s="49"/>
      <c r="H123" s="49"/>
      <c r="I123" s="49"/>
      <c r="J123" s="53"/>
      <c r="K123" s="51"/>
      <c r="L123" s="82"/>
      <c r="M123" s="85"/>
    </row>
    <row r="124" spans="1:13" ht="20.100000000000001" customHeight="1" x14ac:dyDescent="0.3">
      <c r="A124" s="47"/>
      <c r="B124" s="49"/>
      <c r="C124" s="49"/>
      <c r="D124" s="49"/>
      <c r="E124" s="49"/>
      <c r="F124" s="49"/>
      <c r="G124" s="49"/>
      <c r="H124" s="49"/>
      <c r="I124" s="49"/>
      <c r="J124" s="53"/>
      <c r="K124" s="51"/>
      <c r="L124" s="82"/>
      <c r="M124" s="86"/>
    </row>
    <row r="125" spans="1:13" ht="20.100000000000001" customHeight="1" x14ac:dyDescent="0.3">
      <c r="A125" s="47"/>
      <c r="B125" s="49"/>
      <c r="C125" s="49"/>
      <c r="D125" s="49"/>
      <c r="E125" s="49"/>
      <c r="F125" s="49"/>
      <c r="G125" s="49"/>
      <c r="H125" s="49"/>
      <c r="I125" s="49"/>
      <c r="J125" s="53"/>
      <c r="K125" s="51"/>
      <c r="L125" s="82"/>
      <c r="M125" s="85"/>
    </row>
    <row r="126" spans="1:13" ht="20.100000000000001" customHeight="1" x14ac:dyDescent="0.3">
      <c r="A126" s="47"/>
      <c r="B126" s="49"/>
      <c r="C126" s="49"/>
      <c r="D126" s="49"/>
      <c r="E126" s="49"/>
      <c r="F126" s="49"/>
      <c r="G126" s="49"/>
      <c r="H126" s="49"/>
      <c r="I126" s="49"/>
      <c r="J126" s="53"/>
      <c r="K126" s="51"/>
      <c r="L126" s="82"/>
      <c r="M126" s="85"/>
    </row>
    <row r="127" spans="1:13" ht="20.100000000000001" customHeight="1" x14ac:dyDescent="0.3">
      <c r="A127" s="47"/>
      <c r="B127" s="49"/>
      <c r="C127" s="49"/>
      <c r="D127" s="49"/>
      <c r="E127" s="49"/>
      <c r="F127" s="49"/>
      <c r="G127" s="49"/>
      <c r="H127" s="49"/>
      <c r="I127" s="49"/>
      <c r="J127" s="53"/>
      <c r="K127" s="51"/>
      <c r="L127" s="82"/>
      <c r="M127" s="85"/>
    </row>
    <row r="128" spans="1:13" ht="20.100000000000001" customHeight="1" x14ac:dyDescent="0.3">
      <c r="A128" s="47"/>
      <c r="B128" s="49"/>
      <c r="C128" s="49"/>
      <c r="D128" s="49"/>
      <c r="E128" s="49"/>
      <c r="F128" s="49"/>
      <c r="G128" s="49"/>
      <c r="H128" s="49"/>
      <c r="I128" s="49"/>
      <c r="J128" s="53"/>
      <c r="K128" s="51"/>
      <c r="L128" s="82"/>
      <c r="M128" s="85"/>
    </row>
    <row r="129" spans="1:13" ht="20.100000000000001" customHeight="1" x14ac:dyDescent="0.3">
      <c r="A129" s="47"/>
      <c r="B129" s="49"/>
      <c r="C129" s="49"/>
      <c r="D129" s="49"/>
      <c r="E129" s="49"/>
      <c r="F129" s="49"/>
      <c r="G129" s="49"/>
      <c r="H129" s="49"/>
      <c r="I129" s="49"/>
      <c r="J129" s="53"/>
      <c r="K129" s="51"/>
      <c r="L129" s="82"/>
      <c r="M129" s="85"/>
    </row>
    <row r="130" spans="1:13" ht="20.100000000000001" customHeight="1" x14ac:dyDescent="0.3">
      <c r="A130" s="47"/>
      <c r="B130" s="49"/>
      <c r="C130" s="49"/>
      <c r="D130" s="49"/>
      <c r="E130" s="49"/>
      <c r="F130" s="49"/>
      <c r="G130" s="49"/>
      <c r="H130" s="49"/>
      <c r="I130" s="49"/>
      <c r="J130" s="53"/>
      <c r="K130" s="51"/>
      <c r="L130" s="82"/>
      <c r="M130" s="87"/>
    </row>
    <row r="131" spans="1:13" ht="20.100000000000001" customHeight="1" x14ac:dyDescent="0.3">
      <c r="A131" s="47"/>
      <c r="B131" s="49"/>
      <c r="C131" s="49"/>
      <c r="D131" s="49"/>
      <c r="E131" s="49"/>
      <c r="F131" s="49"/>
      <c r="G131" s="49"/>
      <c r="H131" s="49"/>
      <c r="I131" s="49"/>
      <c r="J131" s="53"/>
      <c r="K131" s="51"/>
      <c r="L131" s="82"/>
      <c r="M131" s="85"/>
    </row>
    <row r="132" spans="1:13" ht="20.100000000000001" customHeight="1" x14ac:dyDescent="0.3">
      <c r="A132" s="47"/>
      <c r="B132" s="49"/>
      <c r="C132" s="49"/>
      <c r="D132" s="49"/>
      <c r="E132" s="49"/>
      <c r="F132" s="49"/>
      <c r="G132" s="49"/>
      <c r="H132" s="49"/>
      <c r="I132" s="49"/>
      <c r="J132" s="53"/>
      <c r="K132" s="51"/>
      <c r="L132" s="82"/>
      <c r="M132" s="85"/>
    </row>
    <row r="133" spans="1:13" ht="20.100000000000001" customHeight="1" x14ac:dyDescent="0.3">
      <c r="A133" s="47"/>
      <c r="B133" s="49"/>
      <c r="C133" s="49"/>
      <c r="D133" s="49"/>
      <c r="E133" s="49"/>
      <c r="F133" s="49"/>
      <c r="G133" s="49"/>
      <c r="H133" s="49"/>
      <c r="I133" s="49"/>
      <c r="J133" s="53"/>
      <c r="K133" s="51"/>
      <c r="L133" s="82"/>
      <c r="M133" s="69"/>
    </row>
    <row r="134" spans="1:13" ht="20.100000000000001" customHeight="1" x14ac:dyDescent="0.3">
      <c r="A134" s="47"/>
      <c r="B134" s="48"/>
      <c r="C134" s="48"/>
      <c r="D134" s="48"/>
      <c r="E134" s="48"/>
      <c r="F134" s="48"/>
      <c r="G134" s="72"/>
      <c r="H134" s="72"/>
      <c r="I134" s="72"/>
      <c r="J134" s="73"/>
      <c r="K134" s="62"/>
      <c r="L134" s="82"/>
      <c r="M134" s="69"/>
    </row>
    <row r="135" spans="1:13" ht="20.100000000000001" customHeight="1" x14ac:dyDescent="0.3">
      <c r="A135" s="47"/>
      <c r="B135" s="48"/>
      <c r="C135" s="48"/>
      <c r="D135" s="48"/>
      <c r="E135" s="48"/>
      <c r="F135" s="48"/>
      <c r="G135" s="72"/>
      <c r="H135" s="72"/>
      <c r="I135" s="72"/>
      <c r="J135" s="73"/>
      <c r="K135" s="62"/>
      <c r="L135" s="82"/>
      <c r="M135" s="88"/>
    </row>
    <row r="136" spans="1:13" ht="20.100000000000001" customHeight="1" x14ac:dyDescent="0.3">
      <c r="A136" s="47"/>
      <c r="B136" s="49"/>
      <c r="C136" s="49"/>
      <c r="D136" s="49"/>
      <c r="E136" s="49"/>
      <c r="F136" s="49"/>
      <c r="G136" s="49"/>
      <c r="H136" s="49"/>
      <c r="I136" s="49"/>
      <c r="J136" s="53"/>
      <c r="K136" s="51"/>
      <c r="L136" s="82"/>
    </row>
    <row r="137" spans="1:13" ht="20.100000000000001" customHeight="1" x14ac:dyDescent="0.3">
      <c r="A137" s="47"/>
      <c r="B137" s="49"/>
      <c r="C137" s="49"/>
      <c r="D137" s="49"/>
      <c r="E137" s="49"/>
      <c r="F137" s="49"/>
      <c r="G137" s="49"/>
      <c r="H137" s="49"/>
      <c r="I137" s="49"/>
      <c r="J137" s="53"/>
      <c r="K137" s="51"/>
      <c r="L137" s="82"/>
    </row>
    <row r="138" spans="1:13" ht="20.100000000000001" customHeight="1" x14ac:dyDescent="0.3">
      <c r="A138" s="47"/>
      <c r="B138" s="49"/>
      <c r="C138" s="49"/>
      <c r="D138" s="49"/>
      <c r="E138" s="49"/>
      <c r="F138" s="49"/>
      <c r="G138" s="49"/>
      <c r="H138" s="49"/>
      <c r="I138" s="49"/>
      <c r="J138" s="53"/>
      <c r="K138" s="51"/>
      <c r="L138" s="82"/>
    </row>
    <row r="139" spans="1:13" ht="20.100000000000001" customHeight="1" x14ac:dyDescent="0.3">
      <c r="A139" s="47"/>
      <c r="B139" s="49"/>
      <c r="C139" s="49"/>
      <c r="D139" s="49"/>
      <c r="E139" s="49"/>
      <c r="F139" s="49"/>
      <c r="G139" s="49"/>
      <c r="H139" s="49"/>
      <c r="I139" s="49"/>
      <c r="J139" s="53"/>
      <c r="K139" s="51"/>
      <c r="L139" s="82"/>
      <c r="M139" s="81"/>
    </row>
    <row r="140" spans="1:13" ht="20.100000000000001" customHeight="1" x14ac:dyDescent="0.3">
      <c r="A140" s="47"/>
      <c r="B140" s="49"/>
      <c r="C140" s="49"/>
      <c r="D140" s="49"/>
      <c r="E140" s="49"/>
      <c r="F140" s="49"/>
      <c r="G140" s="49"/>
      <c r="H140" s="49"/>
      <c r="I140" s="49"/>
      <c r="J140" s="53"/>
      <c r="K140" s="51"/>
      <c r="L140" s="82"/>
      <c r="M140" s="81"/>
    </row>
    <row r="141" spans="1:13" ht="20.100000000000001" customHeight="1" x14ac:dyDescent="0.3">
      <c r="A141" s="47"/>
      <c r="B141" s="49"/>
      <c r="C141" s="49"/>
      <c r="D141" s="49"/>
      <c r="E141" s="49"/>
      <c r="F141" s="49"/>
      <c r="G141" s="49"/>
      <c r="H141" s="49"/>
      <c r="I141" s="49"/>
      <c r="J141" s="53"/>
      <c r="K141" s="51"/>
      <c r="L141" s="82"/>
      <c r="M141" s="81"/>
    </row>
    <row r="142" spans="1:13" ht="20.100000000000001" customHeight="1" x14ac:dyDescent="0.3">
      <c r="A142" s="47"/>
      <c r="B142" s="49"/>
      <c r="C142" s="49"/>
      <c r="D142" s="49"/>
      <c r="E142" s="49"/>
      <c r="F142" s="49"/>
      <c r="G142" s="49"/>
      <c r="H142" s="49"/>
      <c r="I142" s="49"/>
      <c r="J142" s="53"/>
      <c r="K142" s="51"/>
      <c r="L142" s="82"/>
      <c r="M142" s="83"/>
    </row>
    <row r="143" spans="1:13" ht="20.100000000000001" customHeight="1" x14ac:dyDescent="0.3">
      <c r="A143" s="47"/>
      <c r="B143" s="49"/>
      <c r="C143" s="49"/>
      <c r="D143" s="49"/>
      <c r="E143" s="49"/>
      <c r="F143" s="49"/>
      <c r="G143" s="49"/>
      <c r="H143" s="49"/>
      <c r="I143" s="49"/>
      <c r="J143" s="53"/>
      <c r="K143" s="51"/>
      <c r="L143" s="82"/>
      <c r="M143" s="83"/>
    </row>
    <row r="144" spans="1:13" ht="20.100000000000001" customHeight="1" x14ac:dyDescent="0.3">
      <c r="A144" s="47"/>
      <c r="B144" s="49"/>
      <c r="C144" s="49"/>
      <c r="D144" s="49"/>
      <c r="E144" s="49"/>
      <c r="F144" s="49"/>
      <c r="G144" s="49"/>
      <c r="H144" s="49"/>
      <c r="I144" s="49"/>
      <c r="J144" s="53"/>
      <c r="K144" s="51"/>
      <c r="L144" s="82"/>
      <c r="M144" s="83"/>
    </row>
    <row r="145" spans="1:13" ht="20.100000000000001" customHeight="1" x14ac:dyDescent="0.3">
      <c r="A145" s="47"/>
      <c r="B145" s="49"/>
      <c r="C145" s="49"/>
      <c r="D145" s="49"/>
      <c r="E145" s="49"/>
      <c r="F145" s="49"/>
      <c r="G145" s="49"/>
      <c r="H145" s="49"/>
      <c r="I145" s="49"/>
      <c r="J145" s="53"/>
      <c r="K145" s="51"/>
      <c r="L145" s="82"/>
      <c r="M145" s="83"/>
    </row>
    <row r="146" spans="1:13" ht="20.100000000000001" customHeight="1" x14ac:dyDescent="0.3">
      <c r="A146" s="47"/>
      <c r="B146" s="49"/>
      <c r="C146" s="49"/>
      <c r="D146" s="49"/>
      <c r="E146" s="49"/>
      <c r="F146" s="49"/>
      <c r="G146" s="49"/>
      <c r="H146" s="49"/>
      <c r="I146" s="49"/>
      <c r="J146" s="53"/>
      <c r="K146" s="51"/>
      <c r="L146" s="82"/>
      <c r="M146" s="83"/>
    </row>
    <row r="147" spans="1:13" ht="20.100000000000001" customHeight="1" x14ac:dyDescent="0.3">
      <c r="A147" s="47"/>
      <c r="B147" s="49"/>
      <c r="C147" s="49"/>
      <c r="D147" s="49"/>
      <c r="E147" s="49"/>
      <c r="F147" s="49"/>
      <c r="G147" s="49"/>
      <c r="H147" s="49"/>
      <c r="I147" s="49"/>
      <c r="J147" s="53"/>
      <c r="K147" s="51"/>
      <c r="L147" s="82"/>
      <c r="M147" s="83"/>
    </row>
    <row r="148" spans="1:13" ht="20.100000000000001" customHeight="1" x14ac:dyDescent="0.3">
      <c r="A148" s="47"/>
      <c r="B148" s="48"/>
      <c r="C148" s="48"/>
      <c r="D148" s="48"/>
      <c r="E148" s="48"/>
      <c r="F148" s="48"/>
      <c r="G148" s="72"/>
      <c r="H148" s="72"/>
      <c r="I148" s="72"/>
      <c r="J148" s="73"/>
      <c r="K148" s="62"/>
      <c r="L148" s="82"/>
      <c r="M148" s="69"/>
    </row>
    <row r="149" spans="1:13" ht="20.100000000000001" customHeight="1" x14ac:dyDescent="0.3">
      <c r="A149" s="47"/>
      <c r="B149" s="48"/>
      <c r="C149" s="48"/>
      <c r="D149" s="48"/>
      <c r="E149" s="48"/>
      <c r="F149" s="48"/>
      <c r="G149" s="72"/>
      <c r="H149" s="72"/>
      <c r="I149" s="72"/>
      <c r="J149" s="73"/>
      <c r="K149" s="62"/>
      <c r="L149" s="82"/>
      <c r="M149" s="69"/>
    </row>
    <row r="150" spans="1:13" ht="20.100000000000001" customHeight="1" x14ac:dyDescent="0.3">
      <c r="A150" s="47"/>
      <c r="B150" s="48"/>
      <c r="C150" s="48"/>
      <c r="D150" s="48"/>
      <c r="E150" s="48"/>
      <c r="F150" s="48"/>
      <c r="G150" s="72"/>
      <c r="H150" s="72"/>
      <c r="I150" s="72"/>
      <c r="J150" s="73"/>
      <c r="K150" s="62"/>
      <c r="L150" s="82"/>
      <c r="M150" s="69"/>
    </row>
    <row r="151" spans="1:13" ht="20.100000000000001" customHeight="1" x14ac:dyDescent="0.3">
      <c r="A151" s="47"/>
      <c r="B151" s="48"/>
      <c r="C151" s="48"/>
      <c r="D151" s="48"/>
      <c r="E151" s="48"/>
      <c r="F151" s="48"/>
      <c r="G151" s="72"/>
      <c r="H151" s="72"/>
      <c r="I151" s="72"/>
      <c r="J151" s="73"/>
      <c r="K151" s="62"/>
      <c r="L151" s="82"/>
    </row>
    <row r="152" spans="1:13" ht="20.100000000000001" customHeight="1" x14ac:dyDescent="0.3">
      <c r="A152" s="47"/>
      <c r="B152" s="49"/>
      <c r="C152" s="49"/>
      <c r="D152" s="49"/>
      <c r="E152" s="49"/>
      <c r="F152" s="49"/>
      <c r="G152" s="49"/>
      <c r="H152" s="49"/>
      <c r="I152" s="49"/>
      <c r="J152" s="53"/>
      <c r="K152" s="51"/>
      <c r="L152" s="82"/>
    </row>
    <row r="153" spans="1:13" ht="20.100000000000001" customHeight="1" x14ac:dyDescent="0.3">
      <c r="A153" s="47"/>
      <c r="B153" s="49"/>
      <c r="C153" s="49"/>
      <c r="D153" s="49"/>
      <c r="E153" s="49"/>
      <c r="F153" s="49"/>
      <c r="G153" s="49"/>
      <c r="H153" s="49"/>
      <c r="I153" s="49"/>
      <c r="J153" s="53"/>
      <c r="K153" s="51"/>
      <c r="L153" s="82"/>
    </row>
    <row r="154" spans="1:13" ht="20.100000000000001" customHeight="1" x14ac:dyDescent="0.3">
      <c r="A154" s="47"/>
      <c r="B154" s="49"/>
      <c r="C154" s="49"/>
      <c r="D154" s="49"/>
      <c r="E154" s="49"/>
      <c r="F154" s="49"/>
      <c r="G154" s="49"/>
      <c r="H154" s="49"/>
      <c r="I154" s="49"/>
      <c r="J154" s="53"/>
      <c r="K154" s="51"/>
      <c r="L154" s="82"/>
    </row>
    <row r="155" spans="1:13" ht="20.100000000000001" customHeight="1" x14ac:dyDescent="0.3">
      <c r="A155" s="47"/>
      <c r="B155" s="49"/>
      <c r="C155" s="49"/>
      <c r="D155" s="49"/>
      <c r="E155" s="49"/>
      <c r="F155" s="49"/>
      <c r="G155" s="49"/>
      <c r="H155" s="49"/>
      <c r="I155" s="49"/>
      <c r="J155" s="53"/>
      <c r="K155" s="51"/>
      <c r="L155" s="82"/>
      <c r="M155" s="81"/>
    </row>
    <row r="156" spans="1:13" ht="20.100000000000001" customHeight="1" x14ac:dyDescent="0.3">
      <c r="A156" s="47"/>
      <c r="B156" s="49"/>
      <c r="C156" s="49"/>
      <c r="D156" s="49"/>
      <c r="E156" s="49"/>
      <c r="F156" s="49"/>
      <c r="G156" s="49"/>
      <c r="H156" s="49"/>
      <c r="I156" s="49"/>
      <c r="J156" s="53"/>
      <c r="K156" s="51"/>
      <c r="L156" s="82"/>
      <c r="M156" s="83"/>
    </row>
    <row r="157" spans="1:13" ht="20.100000000000001" customHeight="1" x14ac:dyDescent="0.3">
      <c r="A157" s="47"/>
      <c r="B157" s="49"/>
      <c r="C157" s="49"/>
      <c r="D157" s="49"/>
      <c r="E157" s="49"/>
      <c r="F157" s="49"/>
      <c r="G157" s="49"/>
      <c r="H157" s="49"/>
      <c r="I157" s="49"/>
      <c r="J157" s="53"/>
      <c r="K157" s="51"/>
      <c r="L157" s="82"/>
      <c r="M157" s="83"/>
    </row>
    <row r="158" spans="1:13" ht="20.100000000000001" customHeight="1" x14ac:dyDescent="0.3">
      <c r="A158" s="47"/>
      <c r="B158" s="49"/>
      <c r="C158" s="49"/>
      <c r="D158" s="49"/>
      <c r="E158" s="49"/>
      <c r="F158" s="49"/>
      <c r="G158" s="49"/>
      <c r="H158" s="49"/>
      <c r="I158" s="49"/>
      <c r="J158" s="53"/>
      <c r="K158" s="51"/>
      <c r="L158" s="82"/>
      <c r="M158" s="83"/>
    </row>
    <row r="159" spans="1:13" ht="20.100000000000001" customHeight="1" x14ac:dyDescent="0.3">
      <c r="A159" s="47"/>
      <c r="B159" s="49"/>
      <c r="C159" s="49"/>
      <c r="D159" s="49"/>
      <c r="E159" s="49"/>
      <c r="F159" s="49"/>
      <c r="G159" s="49"/>
      <c r="H159" s="49"/>
      <c r="I159" s="49"/>
      <c r="J159" s="53"/>
      <c r="K159" s="51"/>
      <c r="L159" s="82"/>
      <c r="M159" s="83"/>
    </row>
    <row r="160" spans="1:13" ht="20.100000000000001" customHeight="1" x14ac:dyDescent="0.3">
      <c r="A160" s="47"/>
      <c r="B160" s="49"/>
      <c r="C160" s="49"/>
      <c r="D160" s="49"/>
      <c r="E160" s="49"/>
      <c r="F160" s="49"/>
      <c r="G160" s="49"/>
      <c r="H160" s="49"/>
      <c r="I160" s="49"/>
      <c r="J160" s="53"/>
      <c r="K160" s="51"/>
      <c r="L160" s="82"/>
      <c r="M160" s="83"/>
    </row>
    <row r="161" spans="1:13" ht="20.100000000000001" customHeight="1" x14ac:dyDescent="0.3">
      <c r="A161" s="47"/>
      <c r="B161" s="49"/>
      <c r="C161" s="49"/>
      <c r="D161" s="49"/>
      <c r="E161" s="49"/>
      <c r="F161" s="49"/>
      <c r="G161" s="49"/>
      <c r="H161" s="49"/>
      <c r="I161" s="49"/>
      <c r="J161" s="53"/>
      <c r="K161" s="51"/>
      <c r="L161" s="82"/>
      <c r="M161" s="83"/>
    </row>
    <row r="162" spans="1:13" ht="20.100000000000001" customHeight="1" x14ac:dyDescent="0.3">
      <c r="A162" s="47"/>
      <c r="B162" s="49"/>
      <c r="C162" s="49"/>
      <c r="D162" s="49"/>
      <c r="E162" s="49"/>
      <c r="F162" s="49"/>
      <c r="G162" s="49"/>
      <c r="H162" s="49"/>
      <c r="I162" s="49"/>
      <c r="J162" s="53"/>
      <c r="K162" s="51"/>
      <c r="L162" s="82"/>
      <c r="M162" s="83"/>
    </row>
    <row r="163" spans="1:13" ht="20.100000000000001" customHeight="1" x14ac:dyDescent="0.3">
      <c r="A163" s="47"/>
      <c r="B163" s="49"/>
      <c r="C163" s="49"/>
      <c r="D163" s="49"/>
      <c r="E163" s="49"/>
      <c r="F163" s="49"/>
      <c r="G163" s="49"/>
      <c r="H163" s="49"/>
      <c r="I163" s="49"/>
      <c r="J163" s="53"/>
      <c r="K163" s="51"/>
      <c r="L163" s="82"/>
      <c r="M163" s="83"/>
    </row>
    <row r="164" spans="1:13" ht="20.100000000000001" customHeight="1" x14ac:dyDescent="0.3">
      <c r="A164" s="47"/>
      <c r="B164" s="49"/>
      <c r="C164" s="49"/>
      <c r="D164" s="49"/>
      <c r="E164" s="49"/>
      <c r="F164" s="49"/>
      <c r="G164" s="49"/>
      <c r="H164" s="49"/>
      <c r="I164" s="49"/>
      <c r="J164" s="53"/>
      <c r="K164" s="51"/>
      <c r="L164" s="82"/>
      <c r="M164" s="83"/>
    </row>
    <row r="165" spans="1:13" ht="20.100000000000001" customHeight="1" x14ac:dyDescent="0.3">
      <c r="A165" s="47"/>
      <c r="B165" s="49"/>
      <c r="C165" s="49"/>
      <c r="D165" s="49"/>
      <c r="E165" s="49"/>
      <c r="F165" s="49"/>
      <c r="G165" s="49"/>
      <c r="H165" s="49"/>
      <c r="I165" s="49"/>
      <c r="J165" s="53"/>
      <c r="K165" s="51"/>
      <c r="L165" s="82"/>
      <c r="M165" s="83"/>
    </row>
    <row r="166" spans="1:13" ht="20.100000000000001" customHeight="1" x14ac:dyDescent="0.3">
      <c r="A166" s="47"/>
      <c r="B166" s="48"/>
      <c r="C166" s="48"/>
      <c r="D166" s="48"/>
      <c r="E166" s="48"/>
      <c r="F166" s="48"/>
      <c r="G166" s="72"/>
      <c r="H166" s="72"/>
      <c r="I166" s="72"/>
      <c r="J166" s="73"/>
      <c r="K166" s="62"/>
      <c r="L166" s="82"/>
      <c r="M166" s="69"/>
    </row>
    <row r="167" spans="1:13" ht="20.100000000000001" customHeight="1" x14ac:dyDescent="0.3">
      <c r="A167" s="47"/>
      <c r="B167" s="49"/>
      <c r="C167" s="49"/>
      <c r="D167" s="49"/>
      <c r="E167" s="49"/>
      <c r="F167" s="49"/>
      <c r="G167" s="49"/>
      <c r="H167" s="49"/>
      <c r="I167" s="49"/>
      <c r="J167" s="53"/>
      <c r="K167" s="51"/>
      <c r="L167" s="82"/>
    </row>
    <row r="168" spans="1:13" ht="20.100000000000001" customHeight="1" x14ac:dyDescent="0.3">
      <c r="A168" s="47"/>
      <c r="B168" s="49"/>
      <c r="C168" s="49"/>
      <c r="D168" s="49"/>
      <c r="E168" s="49"/>
      <c r="F168" s="49"/>
      <c r="G168" s="49"/>
      <c r="H168" s="49"/>
      <c r="I168" s="49"/>
      <c r="J168" s="53"/>
      <c r="K168" s="51"/>
      <c r="L168" s="82"/>
      <c r="M168" s="56"/>
    </row>
    <row r="169" spans="1:13" ht="20.100000000000001" customHeight="1" x14ac:dyDescent="0.3">
      <c r="A169" s="47"/>
      <c r="B169" s="49"/>
      <c r="C169" s="49"/>
      <c r="D169" s="49"/>
      <c r="E169" s="49"/>
      <c r="F169" s="49"/>
      <c r="G169" s="49"/>
      <c r="H169" s="49"/>
      <c r="I169" s="49"/>
      <c r="J169" s="53"/>
      <c r="K169" s="51"/>
      <c r="L169" s="82"/>
      <c r="M169" s="56"/>
    </row>
    <row r="170" spans="1:13" ht="20.100000000000001" customHeight="1" x14ac:dyDescent="0.3">
      <c r="A170" s="47"/>
      <c r="B170" s="49"/>
      <c r="C170" s="49"/>
      <c r="D170" s="49"/>
      <c r="E170" s="49"/>
      <c r="F170" s="49"/>
      <c r="G170" s="49"/>
      <c r="H170" s="49"/>
      <c r="I170" s="49"/>
      <c r="J170" s="53"/>
      <c r="K170" s="51"/>
      <c r="L170" s="82"/>
      <c r="M170" s="56"/>
    </row>
    <row r="171" spans="1:13" ht="20.100000000000001" customHeight="1" x14ac:dyDescent="0.3">
      <c r="A171" s="47"/>
      <c r="B171" s="49"/>
      <c r="C171" s="49"/>
      <c r="D171" s="49"/>
      <c r="E171" s="49"/>
      <c r="F171" s="49"/>
      <c r="G171" s="49"/>
      <c r="H171" s="49"/>
      <c r="I171" s="49"/>
      <c r="J171" s="53"/>
      <c r="K171" s="51"/>
      <c r="L171" s="82"/>
      <c r="M171" s="56"/>
    </row>
    <row r="172" spans="1:13" ht="20.100000000000001" customHeight="1" x14ac:dyDescent="0.3">
      <c r="A172" s="47"/>
      <c r="B172" s="49"/>
      <c r="C172" s="49"/>
      <c r="D172" s="49"/>
      <c r="E172" s="49"/>
      <c r="F172" s="49"/>
      <c r="G172" s="49"/>
      <c r="H172" s="49"/>
      <c r="I172" s="49"/>
      <c r="J172" s="53"/>
      <c r="K172" s="51"/>
      <c r="L172" s="82"/>
      <c r="M172" s="57"/>
    </row>
    <row r="173" spans="1:13" ht="20.100000000000001" customHeight="1" x14ac:dyDescent="0.3">
      <c r="A173" s="47"/>
      <c r="B173" s="49"/>
      <c r="C173" s="49"/>
      <c r="D173" s="49"/>
      <c r="E173" s="49"/>
      <c r="F173" s="49"/>
      <c r="G173" s="49"/>
      <c r="H173" s="49"/>
      <c r="I173" s="49"/>
      <c r="J173" s="53"/>
      <c r="K173" s="51"/>
      <c r="L173" s="82"/>
      <c r="M173" s="57"/>
    </row>
    <row r="174" spans="1:13" ht="20.100000000000001" customHeight="1" x14ac:dyDescent="0.3">
      <c r="A174" s="47"/>
      <c r="B174" s="49"/>
      <c r="C174" s="49"/>
      <c r="D174" s="49"/>
      <c r="E174" s="49"/>
      <c r="F174" s="49"/>
      <c r="G174" s="49"/>
      <c r="H174" s="49"/>
      <c r="I174" s="49"/>
      <c r="J174" s="53"/>
      <c r="K174" s="51"/>
      <c r="L174" s="82"/>
      <c r="M174" s="57"/>
    </row>
    <row r="175" spans="1:13" ht="20.100000000000001" customHeight="1" x14ac:dyDescent="0.3">
      <c r="A175" s="47"/>
      <c r="B175" s="49"/>
      <c r="C175" s="49"/>
      <c r="D175" s="49"/>
      <c r="E175" s="49"/>
      <c r="F175" s="49"/>
      <c r="G175" s="49"/>
      <c r="H175" s="49"/>
      <c r="I175" s="49"/>
      <c r="J175" s="53"/>
      <c r="K175" s="51"/>
      <c r="L175" s="82"/>
      <c r="M175" s="83"/>
    </row>
    <row r="176" spans="1:13" ht="20.100000000000001" customHeight="1" x14ac:dyDescent="0.3">
      <c r="A176" s="47"/>
      <c r="B176" s="49"/>
      <c r="C176" s="49"/>
      <c r="D176" s="49"/>
      <c r="E176" s="49"/>
      <c r="F176" s="49"/>
      <c r="G176" s="49"/>
      <c r="H176" s="49"/>
      <c r="I176" s="49"/>
      <c r="J176" s="53"/>
      <c r="K176" s="51"/>
      <c r="L176" s="82"/>
      <c r="M176" s="57"/>
    </row>
    <row r="177" spans="1:13" ht="20.100000000000001" customHeight="1" x14ac:dyDescent="0.3">
      <c r="A177" s="47"/>
      <c r="B177" s="49"/>
      <c r="C177" s="49"/>
      <c r="D177" s="49"/>
      <c r="E177" s="49"/>
      <c r="F177" s="49"/>
      <c r="G177" s="49"/>
      <c r="H177" s="49"/>
      <c r="I177" s="49"/>
      <c r="J177" s="53"/>
      <c r="K177" s="51"/>
      <c r="L177" s="82"/>
      <c r="M177" s="57"/>
    </row>
    <row r="178" spans="1:13" ht="20.100000000000001" customHeight="1" x14ac:dyDescent="0.3">
      <c r="A178" s="47"/>
      <c r="B178" s="49"/>
      <c r="C178" s="49"/>
      <c r="D178" s="49"/>
      <c r="E178" s="49"/>
      <c r="F178" s="49"/>
      <c r="G178" s="49"/>
      <c r="H178" s="49"/>
      <c r="I178" s="49"/>
      <c r="J178" s="53"/>
      <c r="K178" s="51"/>
      <c r="L178" s="82"/>
      <c r="M178" s="57"/>
    </row>
    <row r="179" spans="1:13" ht="20.100000000000001" customHeight="1" x14ac:dyDescent="0.3">
      <c r="A179" s="47"/>
      <c r="B179" s="48"/>
      <c r="C179" s="48"/>
      <c r="D179" s="48"/>
      <c r="E179" s="48"/>
      <c r="F179" s="48"/>
      <c r="G179" s="72"/>
      <c r="H179" s="72"/>
      <c r="I179" s="72"/>
      <c r="J179" s="73"/>
      <c r="K179" s="62"/>
      <c r="L179" s="82"/>
      <c r="M179" s="69"/>
    </row>
    <row r="180" spans="1:13" ht="20.100000000000001" customHeight="1" x14ac:dyDescent="0.3">
      <c r="A180" s="47"/>
      <c r="B180" s="48"/>
      <c r="C180" s="48"/>
      <c r="D180" s="48"/>
      <c r="E180" s="48"/>
      <c r="F180" s="48"/>
      <c r="G180" s="72"/>
      <c r="H180" s="72"/>
      <c r="I180" s="72"/>
      <c r="J180" s="73"/>
      <c r="K180" s="62"/>
      <c r="L180" s="82"/>
      <c r="M180" s="69"/>
    </row>
    <row r="181" spans="1:13" ht="20.100000000000001" customHeight="1" x14ac:dyDescent="0.3">
      <c r="A181" s="47"/>
      <c r="B181" s="49"/>
      <c r="C181" s="49"/>
      <c r="D181" s="49"/>
      <c r="E181" s="49"/>
      <c r="F181" s="49"/>
      <c r="G181" s="49"/>
      <c r="H181" s="49"/>
      <c r="I181" s="49"/>
      <c r="J181" s="53"/>
      <c r="K181" s="51"/>
      <c r="L181" s="82"/>
      <c r="M181" s="57"/>
    </row>
    <row r="182" spans="1:13" ht="20.100000000000001" customHeight="1" x14ac:dyDescent="0.3">
      <c r="A182" s="47"/>
      <c r="B182" s="48"/>
      <c r="C182" s="48"/>
      <c r="D182" s="48"/>
      <c r="E182" s="48"/>
      <c r="F182" s="48"/>
      <c r="G182" s="72"/>
      <c r="H182" s="72"/>
      <c r="I182" s="72"/>
      <c r="J182" s="73"/>
      <c r="K182" s="62"/>
      <c r="L182" s="82"/>
      <c r="M182" s="69"/>
    </row>
    <row r="183" spans="1:13" ht="20.100000000000001" customHeight="1" x14ac:dyDescent="0.3">
      <c r="A183" s="47"/>
      <c r="B183" s="48"/>
      <c r="C183" s="48"/>
      <c r="D183" s="48"/>
      <c r="E183" s="48"/>
      <c r="F183" s="48"/>
      <c r="G183" s="72"/>
      <c r="H183" s="72"/>
      <c r="I183" s="72"/>
      <c r="J183" s="73"/>
      <c r="K183" s="62"/>
      <c r="L183" s="82"/>
      <c r="M183" s="69"/>
    </row>
    <row r="184" spans="1:13" ht="20.100000000000001" customHeight="1" x14ac:dyDescent="0.3">
      <c r="A184" s="47"/>
      <c r="B184" s="49"/>
      <c r="C184" s="49"/>
      <c r="D184" s="49"/>
      <c r="E184" s="49"/>
      <c r="F184" s="49"/>
      <c r="G184" s="49"/>
      <c r="H184" s="49"/>
      <c r="I184" s="49"/>
      <c r="J184" s="53"/>
      <c r="K184" s="51"/>
      <c r="L184" s="82"/>
      <c r="M184" s="57"/>
    </row>
    <row r="185" spans="1:13" ht="20.100000000000001" customHeight="1" x14ac:dyDescent="0.3">
      <c r="A185" s="47"/>
      <c r="B185" s="49"/>
      <c r="C185" s="49"/>
      <c r="D185" s="49"/>
      <c r="E185" s="49"/>
      <c r="F185" s="49"/>
      <c r="G185" s="49"/>
      <c r="H185" s="49"/>
      <c r="I185" s="49"/>
      <c r="J185" s="53"/>
      <c r="K185" s="51"/>
      <c r="L185" s="82"/>
      <c r="M185" s="69"/>
    </row>
    <row r="186" spans="1:13" ht="20.100000000000001" customHeight="1" x14ac:dyDescent="0.3">
      <c r="A186" s="47"/>
      <c r="B186" s="49"/>
      <c r="C186" s="49"/>
      <c r="D186" s="49"/>
      <c r="E186" s="49"/>
      <c r="F186" s="49"/>
      <c r="G186" s="49"/>
      <c r="H186" s="49"/>
      <c r="I186" s="49"/>
      <c r="J186" s="53"/>
      <c r="K186" s="51"/>
      <c r="L186" s="82"/>
    </row>
    <row r="187" spans="1:13" ht="20.100000000000001" customHeight="1" x14ac:dyDescent="0.3">
      <c r="A187" s="47"/>
      <c r="B187" s="49"/>
      <c r="C187" s="49"/>
      <c r="D187" s="49"/>
      <c r="E187" s="49"/>
      <c r="F187" s="49"/>
      <c r="G187" s="49"/>
      <c r="H187" s="49"/>
      <c r="I187" s="49"/>
      <c r="J187" s="53"/>
      <c r="K187" s="51"/>
      <c r="L187" s="82"/>
    </row>
    <row r="188" spans="1:13" ht="20.100000000000001" customHeight="1" x14ac:dyDescent="0.3">
      <c r="A188" s="47"/>
      <c r="B188" s="49"/>
      <c r="C188" s="49"/>
      <c r="D188" s="49"/>
      <c r="E188" s="49"/>
      <c r="F188" s="49"/>
      <c r="G188" s="49"/>
      <c r="H188" s="49"/>
      <c r="I188" s="49"/>
      <c r="J188" s="53"/>
      <c r="K188" s="51"/>
      <c r="L188" s="82"/>
    </row>
    <row r="189" spans="1:13" ht="20.100000000000001" customHeight="1" x14ac:dyDescent="0.3">
      <c r="A189" s="47"/>
      <c r="B189" s="49"/>
      <c r="C189" s="49"/>
      <c r="D189" s="49"/>
      <c r="E189" s="49"/>
      <c r="F189" s="49"/>
      <c r="G189" s="49"/>
      <c r="H189" s="49"/>
      <c r="I189" s="49"/>
      <c r="J189" s="53"/>
      <c r="K189" s="51"/>
      <c r="L189" s="82"/>
    </row>
    <row r="190" spans="1:13" ht="20.100000000000001" customHeight="1" x14ac:dyDescent="0.3">
      <c r="A190" s="47"/>
      <c r="B190" s="49"/>
      <c r="C190" s="49"/>
      <c r="D190" s="49"/>
      <c r="E190" s="49"/>
      <c r="F190" s="49"/>
      <c r="G190" s="49"/>
      <c r="H190" s="49"/>
      <c r="I190" s="49"/>
      <c r="J190" s="53"/>
      <c r="K190" s="51"/>
      <c r="L190" s="82"/>
    </row>
    <row r="191" spans="1:13" ht="20.100000000000001" customHeight="1" x14ac:dyDescent="0.3">
      <c r="A191" s="47"/>
      <c r="B191" s="49"/>
      <c r="C191" s="49"/>
      <c r="D191" s="49"/>
      <c r="E191" s="49"/>
      <c r="F191" s="49"/>
      <c r="G191" s="49"/>
      <c r="H191" s="49"/>
      <c r="I191" s="49"/>
      <c r="J191" s="53"/>
      <c r="K191" s="51"/>
      <c r="L191" s="82"/>
      <c r="M191" s="81"/>
    </row>
    <row r="192" spans="1:13" ht="20.100000000000001" customHeight="1" x14ac:dyDescent="0.3">
      <c r="A192" s="47"/>
      <c r="B192" s="49"/>
      <c r="C192" s="49"/>
      <c r="D192" s="49"/>
      <c r="E192" s="49"/>
      <c r="F192" s="49"/>
      <c r="G192" s="49"/>
      <c r="H192" s="49"/>
      <c r="I192" s="49"/>
      <c r="J192" s="53"/>
      <c r="K192" s="51"/>
      <c r="L192" s="82"/>
    </row>
    <row r="193" spans="1:13" ht="20.100000000000001" customHeight="1" x14ac:dyDescent="0.3">
      <c r="A193" s="47"/>
      <c r="B193" s="49"/>
      <c r="C193" s="49"/>
      <c r="D193" s="49"/>
      <c r="E193" s="49"/>
      <c r="F193" s="49"/>
      <c r="G193" s="49"/>
      <c r="H193" s="49"/>
      <c r="I193" s="49"/>
      <c r="J193" s="53"/>
      <c r="K193" s="51"/>
      <c r="L193" s="82"/>
    </row>
    <row r="194" spans="1:13" ht="20.100000000000001" customHeight="1" x14ac:dyDescent="0.3">
      <c r="A194" s="47"/>
      <c r="B194" s="49"/>
      <c r="C194" s="49"/>
      <c r="D194" s="49"/>
      <c r="E194" s="49"/>
      <c r="F194" s="49"/>
      <c r="G194" s="49"/>
      <c r="H194" s="49"/>
      <c r="I194" s="49"/>
      <c r="J194" s="53"/>
      <c r="K194" s="51"/>
      <c r="L194" s="82"/>
    </row>
    <row r="195" spans="1:13" ht="20.100000000000001" customHeight="1" x14ac:dyDescent="0.3">
      <c r="A195" s="47"/>
      <c r="B195" s="49"/>
      <c r="C195" s="49"/>
      <c r="D195" s="49"/>
      <c r="E195" s="49"/>
      <c r="F195" s="49"/>
      <c r="G195" s="49"/>
      <c r="H195" s="49"/>
      <c r="I195" s="49"/>
      <c r="J195" s="53"/>
      <c r="K195" s="51"/>
      <c r="L195" s="82"/>
    </row>
    <row r="196" spans="1:13" ht="20.100000000000001" customHeight="1" x14ac:dyDescent="0.3">
      <c r="A196" s="47"/>
      <c r="B196" s="48"/>
      <c r="C196" s="48"/>
      <c r="D196" s="48"/>
      <c r="E196" s="48"/>
      <c r="F196" s="48"/>
      <c r="G196" s="72"/>
      <c r="H196" s="72"/>
      <c r="I196" s="72"/>
      <c r="J196" s="73"/>
      <c r="K196" s="62"/>
      <c r="L196" s="82"/>
    </row>
    <row r="197" spans="1:13" ht="20.100000000000001" customHeight="1" x14ac:dyDescent="0.3">
      <c r="A197" s="47"/>
      <c r="B197" s="48"/>
      <c r="C197" s="48"/>
      <c r="D197" s="48"/>
      <c r="E197" s="48"/>
      <c r="F197" s="48"/>
      <c r="G197" s="72"/>
      <c r="H197" s="72"/>
      <c r="I197" s="72"/>
      <c r="J197" s="73"/>
      <c r="K197" s="62"/>
      <c r="L197" s="82"/>
    </row>
    <row r="198" spans="1:13" ht="20.100000000000001" customHeight="1" x14ac:dyDescent="0.3">
      <c r="A198" s="47"/>
      <c r="B198" s="49"/>
      <c r="C198" s="49"/>
      <c r="D198" s="49"/>
      <c r="E198" s="49"/>
      <c r="F198" s="49"/>
      <c r="G198" s="49"/>
      <c r="H198" s="49"/>
      <c r="I198" s="49"/>
      <c r="J198" s="53"/>
      <c r="K198" s="51"/>
      <c r="L198" s="82"/>
    </row>
    <row r="199" spans="1:13" ht="20.100000000000001" customHeight="1" x14ac:dyDescent="0.3">
      <c r="A199" s="47"/>
      <c r="B199" s="49"/>
      <c r="C199" s="49"/>
      <c r="D199" s="49"/>
      <c r="E199" s="49"/>
      <c r="F199" s="49"/>
      <c r="G199" s="49"/>
      <c r="H199" s="49"/>
      <c r="I199" s="49"/>
      <c r="J199" s="53"/>
      <c r="K199" s="51"/>
      <c r="L199" s="82"/>
    </row>
    <row r="200" spans="1:13" ht="20.100000000000001" customHeight="1" x14ac:dyDescent="0.3">
      <c r="A200" s="47"/>
      <c r="B200" s="49"/>
      <c r="C200" s="49"/>
      <c r="D200" s="49"/>
      <c r="E200" s="49"/>
      <c r="F200" s="49"/>
      <c r="G200" s="49"/>
      <c r="H200" s="49"/>
      <c r="I200" s="49"/>
      <c r="J200" s="53"/>
      <c r="K200" s="51"/>
      <c r="L200" s="82"/>
    </row>
    <row r="201" spans="1:13" ht="20.100000000000001" customHeight="1" x14ac:dyDescent="0.3">
      <c r="A201" s="47"/>
      <c r="B201" s="49"/>
      <c r="C201" s="49"/>
      <c r="D201" s="49"/>
      <c r="E201" s="49"/>
      <c r="F201" s="49"/>
      <c r="G201" s="49"/>
      <c r="H201" s="49"/>
      <c r="I201" s="49"/>
      <c r="J201" s="53"/>
      <c r="K201" s="51"/>
      <c r="L201" s="82"/>
    </row>
    <row r="202" spans="1:13" ht="20.100000000000001" customHeight="1" x14ac:dyDescent="0.3">
      <c r="A202" s="47"/>
      <c r="B202" s="49"/>
      <c r="C202" s="49"/>
      <c r="D202" s="49"/>
      <c r="E202" s="49"/>
      <c r="F202" s="49"/>
      <c r="G202" s="49"/>
      <c r="H202" s="49"/>
      <c r="I202" s="49"/>
      <c r="J202" s="53"/>
      <c r="K202" s="51"/>
      <c r="L202" s="82"/>
    </row>
    <row r="203" spans="1:13" ht="20.100000000000001" customHeight="1" x14ac:dyDescent="0.3">
      <c r="A203" s="47"/>
      <c r="B203" s="49"/>
      <c r="C203" s="49"/>
      <c r="D203" s="49"/>
      <c r="E203" s="49"/>
      <c r="F203" s="49"/>
      <c r="G203" s="49"/>
      <c r="H203" s="49"/>
      <c r="I203" s="49"/>
      <c r="J203" s="53"/>
      <c r="K203" s="51"/>
      <c r="L203" s="82"/>
    </row>
    <row r="204" spans="1:13" ht="20.100000000000001" customHeight="1" x14ac:dyDescent="0.3">
      <c r="A204" s="47"/>
      <c r="B204" s="49"/>
      <c r="C204" s="49"/>
      <c r="D204" s="49"/>
      <c r="E204" s="49"/>
      <c r="F204" s="49"/>
      <c r="G204" s="49"/>
      <c r="H204" s="49"/>
      <c r="I204" s="49"/>
      <c r="J204" s="53"/>
      <c r="K204" s="51"/>
      <c r="L204" s="82"/>
      <c r="M204" s="69"/>
    </row>
    <row r="205" spans="1:13" ht="20.100000000000001" customHeight="1" x14ac:dyDescent="0.3">
      <c r="A205" s="47"/>
      <c r="B205" s="49"/>
      <c r="C205" s="49"/>
      <c r="D205" s="49"/>
      <c r="E205" s="49"/>
      <c r="F205" s="49"/>
      <c r="G205" s="49"/>
      <c r="H205" s="49"/>
      <c r="I205" s="49"/>
      <c r="J205" s="53"/>
      <c r="K205" s="51"/>
      <c r="L205" s="82"/>
    </row>
    <row r="206" spans="1:13" ht="20.100000000000001" customHeight="1" x14ac:dyDescent="0.3">
      <c r="A206" s="47"/>
      <c r="B206" s="49"/>
      <c r="C206" s="49"/>
      <c r="D206" s="49"/>
      <c r="E206" s="49"/>
      <c r="F206" s="49"/>
      <c r="G206" s="49"/>
      <c r="H206" s="49"/>
      <c r="I206" s="49"/>
      <c r="J206" s="53"/>
      <c r="K206" s="51"/>
      <c r="L206" s="82"/>
    </row>
    <row r="207" spans="1:13" ht="20.100000000000001" customHeight="1" x14ac:dyDescent="0.3">
      <c r="A207" s="47"/>
      <c r="B207" s="49"/>
      <c r="C207" s="49"/>
      <c r="D207" s="49"/>
      <c r="E207" s="49"/>
      <c r="F207" s="49"/>
      <c r="G207" s="49"/>
      <c r="H207" s="49"/>
      <c r="I207" s="49"/>
      <c r="J207" s="53"/>
      <c r="K207" s="51"/>
      <c r="L207" s="82"/>
    </row>
    <row r="208" spans="1:13" ht="20.100000000000001" customHeight="1" x14ac:dyDescent="0.3">
      <c r="A208" s="47"/>
      <c r="B208" s="49"/>
      <c r="C208" s="49"/>
      <c r="D208" s="49"/>
      <c r="E208" s="49"/>
      <c r="F208" s="49"/>
      <c r="G208" s="49"/>
      <c r="H208" s="49"/>
      <c r="I208" s="49"/>
      <c r="J208" s="53"/>
      <c r="K208" s="51"/>
      <c r="L208" s="82"/>
    </row>
    <row r="209" spans="1:13" ht="20.100000000000001" customHeight="1" x14ac:dyDescent="0.3">
      <c r="A209" s="47"/>
      <c r="B209" s="49"/>
      <c r="C209" s="49"/>
      <c r="D209" s="49"/>
      <c r="E209" s="49"/>
      <c r="F209" s="49"/>
      <c r="G209" s="49"/>
      <c r="H209" s="49"/>
      <c r="I209" s="49"/>
      <c r="J209" s="53"/>
      <c r="K209" s="51"/>
      <c r="L209" s="82"/>
      <c r="M209" s="81"/>
    </row>
    <row r="210" spans="1:13" ht="20.100000000000001" customHeight="1" x14ac:dyDescent="0.3">
      <c r="A210" s="47"/>
      <c r="B210" s="49"/>
      <c r="C210" s="49"/>
      <c r="D210" s="49"/>
      <c r="E210" s="49"/>
      <c r="F210" s="49"/>
      <c r="G210" s="49"/>
      <c r="H210" s="49"/>
      <c r="I210" s="49"/>
      <c r="J210" s="53"/>
      <c r="K210" s="51"/>
      <c r="L210" s="82"/>
    </row>
    <row r="211" spans="1:13" ht="20.100000000000001" customHeight="1" x14ac:dyDescent="0.3">
      <c r="A211" s="47"/>
      <c r="B211" s="48"/>
      <c r="C211" s="48"/>
      <c r="D211" s="48"/>
      <c r="E211" s="48"/>
      <c r="F211" s="48"/>
      <c r="G211" s="72"/>
      <c r="H211" s="72"/>
      <c r="I211" s="72"/>
      <c r="J211" s="73"/>
      <c r="K211" s="62"/>
      <c r="L211" s="82"/>
    </row>
    <row r="212" spans="1:13" ht="20.100000000000001" customHeight="1" x14ac:dyDescent="0.3">
      <c r="A212" s="47"/>
      <c r="B212" s="49"/>
      <c r="C212" s="49"/>
      <c r="D212" s="49"/>
      <c r="E212" s="49"/>
      <c r="F212" s="49"/>
      <c r="G212" s="49"/>
      <c r="H212" s="49"/>
      <c r="I212" s="49"/>
      <c r="J212" s="53"/>
      <c r="K212" s="51"/>
      <c r="L212" s="82"/>
    </row>
    <row r="213" spans="1:13" ht="20.100000000000001" customHeight="1" x14ac:dyDescent="0.3">
      <c r="A213" s="47"/>
      <c r="B213" s="48"/>
      <c r="C213" s="48"/>
      <c r="D213" s="48"/>
      <c r="E213" s="48"/>
      <c r="F213" s="48"/>
      <c r="G213" s="72"/>
      <c r="H213" s="72"/>
      <c r="I213" s="72"/>
      <c r="J213" s="73"/>
      <c r="K213" s="62"/>
      <c r="L213" s="82"/>
    </row>
    <row r="214" spans="1:13" ht="20.100000000000001" customHeight="1" x14ac:dyDescent="0.3">
      <c r="A214" s="47"/>
      <c r="B214" s="48"/>
      <c r="C214" s="48"/>
      <c r="D214" s="48"/>
      <c r="E214" s="48"/>
      <c r="F214" s="48"/>
      <c r="G214" s="72"/>
      <c r="H214" s="72"/>
      <c r="I214" s="72"/>
      <c r="J214" s="73"/>
      <c r="K214" s="62"/>
      <c r="L214" s="82"/>
    </row>
    <row r="215" spans="1:13" ht="20.100000000000001" customHeight="1" x14ac:dyDescent="0.3">
      <c r="A215" s="47"/>
      <c r="B215" s="49"/>
      <c r="C215" s="49"/>
      <c r="D215" s="49"/>
      <c r="E215" s="49"/>
      <c r="F215" s="49"/>
      <c r="G215" s="49"/>
      <c r="H215" s="49"/>
      <c r="I215" s="49"/>
      <c r="J215" s="53"/>
      <c r="K215" s="51"/>
      <c r="L215" s="82"/>
    </row>
    <row r="216" spans="1:13" ht="20.100000000000001" customHeight="1" x14ac:dyDescent="0.3">
      <c r="A216" s="47"/>
      <c r="B216" s="49"/>
      <c r="C216" s="49"/>
      <c r="D216" s="49"/>
      <c r="E216" s="49"/>
      <c r="F216" s="49"/>
      <c r="G216" s="49"/>
      <c r="H216" s="49"/>
      <c r="I216" s="49"/>
      <c r="J216" s="53"/>
      <c r="K216" s="51"/>
      <c r="L216" s="82"/>
    </row>
    <row r="217" spans="1:13" ht="20.100000000000001" customHeight="1" x14ac:dyDescent="0.3">
      <c r="A217" s="47"/>
      <c r="B217" s="49"/>
      <c r="C217" s="49"/>
      <c r="D217" s="49"/>
      <c r="E217" s="49"/>
      <c r="F217" s="49"/>
      <c r="G217" s="49"/>
      <c r="H217" s="49"/>
      <c r="I217" s="49"/>
      <c r="J217" s="53"/>
      <c r="K217" s="51"/>
      <c r="L217" s="82"/>
    </row>
    <row r="218" spans="1:13" ht="20.100000000000001" customHeight="1" x14ac:dyDescent="0.3">
      <c r="F218" s="89"/>
    </row>
    <row r="219" spans="1:13" ht="20.100000000000001" customHeight="1" x14ac:dyDescent="0.3">
      <c r="F219" s="89"/>
    </row>
    <row r="220" spans="1:13" ht="20.100000000000001" customHeight="1" x14ac:dyDescent="0.3">
      <c r="F220" s="89"/>
    </row>
  </sheetData>
  <mergeCells count="1">
    <mergeCell ref="A1:L1"/>
  </mergeCells>
  <phoneticPr fontId="3" type="noConversion"/>
  <conditionalFormatting sqref="F47:F54 A56:K57 M69 A69:K72 A84:K94 A96:K96 A98:K100 A103:K105 A111:K114 A122:K124 M123 A139:K141 A154:K155 A168:K171 A199:K203">
    <cfRule type="containsText" dxfId="9" priority="7" operator="containsText" text="2022">
      <formula>NOT(ISERROR(SEARCH("2022",A47)))</formula>
    </cfRule>
  </conditionalFormatting>
  <conditionalFormatting sqref="F109:F110">
    <cfRule type="duplicateValues" dxfId="8" priority="6"/>
  </conditionalFormatting>
  <conditionalFormatting sqref="F111">
    <cfRule type="duplicateValues" dxfId="7" priority="3"/>
  </conditionalFormatting>
  <conditionalFormatting sqref="F112:F114">
    <cfRule type="duplicateValues" dxfId="6" priority="2"/>
  </conditionalFormatting>
  <conditionalFormatting sqref="F122:H122">
    <cfRule type="duplicateValues" dxfId="5" priority="1"/>
  </conditionalFormatting>
  <conditionalFormatting sqref="H109:H110">
    <cfRule type="duplicateValues" dxfId="4" priority="5"/>
  </conditionalFormatting>
  <conditionalFormatting sqref="J109:J110">
    <cfRule type="duplicateValues" dxfId="3" priority="4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4DFC-6017-4FCD-A64C-20A4230CD876}">
  <sheetPr>
    <tabColor rgb="FFFFFF00"/>
  </sheetPr>
  <dimension ref="A1:U295"/>
  <sheetViews>
    <sheetView zoomScale="85" zoomScaleNormal="85" workbookViewId="0">
      <pane ySplit="2" topLeftCell="A95" activePane="bottomLeft" state="frozen"/>
      <selection activeCell="B29" sqref="B29:L29"/>
      <selection pane="bottomLeft" activeCell="E111" sqref="E111"/>
    </sheetView>
  </sheetViews>
  <sheetFormatPr defaultColWidth="9" defaultRowHeight="20.100000000000001" customHeight="1" x14ac:dyDescent="0.3"/>
  <cols>
    <col min="1" max="1" width="15.25" bestFit="1" customWidth="1"/>
    <col min="2" max="6" width="8.625" customWidth="1"/>
    <col min="7" max="7" width="12.625" customWidth="1"/>
    <col min="8" max="8" width="16.25" customWidth="1"/>
    <col min="9" max="9" width="10.25" customWidth="1"/>
    <col min="10" max="10" width="14.625" customWidth="1"/>
    <col min="11" max="12" width="9.625" style="93" customWidth="1"/>
    <col min="13" max="13" width="9" style="93"/>
    <col min="14" max="15" width="11.625" customWidth="1"/>
    <col min="16" max="16" width="1.625" customWidth="1"/>
    <col min="17" max="17" width="10.625" customWidth="1"/>
    <col min="18" max="18" width="11.625" customWidth="1"/>
    <col min="19" max="19" width="1.375" customWidth="1"/>
    <col min="21" max="21" width="10.875" bestFit="1" customWidth="1"/>
  </cols>
  <sheetData>
    <row r="1" spans="1:21" ht="20.100000000000001" customHeight="1" x14ac:dyDescent="0.3">
      <c r="A1" s="145" t="s">
        <v>21</v>
      </c>
      <c r="B1" s="145"/>
      <c r="C1" s="145"/>
      <c r="D1" s="145"/>
      <c r="E1" s="145"/>
      <c r="F1" s="145"/>
      <c r="G1" s="145"/>
      <c r="H1" s="145"/>
      <c r="I1" s="145"/>
      <c r="J1" s="145"/>
      <c r="K1" s="146"/>
      <c r="L1" s="146"/>
      <c r="M1" s="90"/>
      <c r="N1" s="41" t="s">
        <v>0</v>
      </c>
      <c r="O1" s="27">
        <f>SUM(K1:K9440)</f>
        <v>58526840</v>
      </c>
      <c r="P1" s="28"/>
      <c r="Q1" s="41" t="s">
        <v>1</v>
      </c>
      <c r="R1" s="27">
        <f>SUM(L1:L9440)</f>
        <v>70429850</v>
      </c>
      <c r="S1" s="42"/>
      <c r="T1" s="41" t="s">
        <v>41</v>
      </c>
      <c r="U1" s="27">
        <f>SUM(Q1:Q9440)</f>
        <v>0</v>
      </c>
    </row>
    <row r="2" spans="1:21" ht="20.100000000000001" customHeight="1" x14ac:dyDescent="0.3">
      <c r="A2" s="43" t="s">
        <v>8</v>
      </c>
      <c r="B2" s="43" t="s">
        <v>9</v>
      </c>
      <c r="C2" s="43" t="s">
        <v>10</v>
      </c>
      <c r="D2" s="43" t="s">
        <v>11</v>
      </c>
      <c r="E2" s="43" t="s">
        <v>12</v>
      </c>
      <c r="F2" s="43" t="s">
        <v>13</v>
      </c>
      <c r="G2" s="43" t="s">
        <v>14</v>
      </c>
      <c r="H2" s="43" t="s">
        <v>15</v>
      </c>
      <c r="I2" s="43" t="s">
        <v>16</v>
      </c>
      <c r="J2" s="44" t="s">
        <v>17</v>
      </c>
      <c r="K2" s="91" t="s">
        <v>0</v>
      </c>
      <c r="L2" s="91" t="s">
        <v>1</v>
      </c>
      <c r="M2" s="91" t="s">
        <v>23</v>
      </c>
      <c r="N2" s="46"/>
      <c r="O2" s="46" t="s">
        <v>18</v>
      </c>
      <c r="P2" s="46"/>
      <c r="Q2" s="46" t="s">
        <v>25</v>
      </c>
      <c r="R2" s="46"/>
      <c r="S2" s="45"/>
    </row>
    <row r="3" spans="1:21" ht="20.100000000000001" customHeight="1" x14ac:dyDescent="0.3">
      <c r="A3" s="60" t="s">
        <v>44</v>
      </c>
      <c r="B3" s="48" t="s">
        <v>45</v>
      </c>
      <c r="C3" s="48" t="s">
        <v>46</v>
      </c>
      <c r="D3" s="48" t="s">
        <v>133</v>
      </c>
      <c r="E3" s="48"/>
      <c r="F3" s="48" t="s">
        <v>139</v>
      </c>
      <c r="G3" s="48"/>
      <c r="H3" s="48"/>
      <c r="I3" s="48" t="s">
        <v>58</v>
      </c>
      <c r="J3" s="61">
        <v>47940104348839</v>
      </c>
      <c r="K3" s="95">
        <v>550000</v>
      </c>
      <c r="L3" s="94">
        <v>650000</v>
      </c>
      <c r="M3" s="92"/>
      <c r="N3" s="65"/>
      <c r="O3" s="64" t="s">
        <v>192</v>
      </c>
      <c r="Q3" s="39"/>
    </row>
    <row r="4" spans="1:21" ht="20.100000000000001" customHeight="1" x14ac:dyDescent="0.3">
      <c r="A4" s="60" t="s">
        <v>44</v>
      </c>
      <c r="B4" s="48" t="s">
        <v>45</v>
      </c>
      <c r="C4" s="48" t="s">
        <v>46</v>
      </c>
      <c r="D4" s="48" t="s">
        <v>133</v>
      </c>
      <c r="E4" s="48"/>
      <c r="F4" s="48" t="s">
        <v>140</v>
      </c>
      <c r="G4" s="48"/>
      <c r="H4" s="48"/>
      <c r="I4" s="48" t="s">
        <v>72</v>
      </c>
      <c r="J4" s="61">
        <v>35491018079107</v>
      </c>
      <c r="K4" s="95">
        <v>550000</v>
      </c>
      <c r="L4" s="94">
        <v>550000</v>
      </c>
      <c r="M4" s="92"/>
      <c r="N4" s="65"/>
      <c r="O4" s="64" t="s">
        <v>192</v>
      </c>
      <c r="Q4" s="39"/>
    </row>
    <row r="5" spans="1:21" ht="20.100000000000001" customHeight="1" x14ac:dyDescent="0.3">
      <c r="A5" s="60" t="s">
        <v>44</v>
      </c>
      <c r="B5" s="48" t="s">
        <v>45</v>
      </c>
      <c r="C5" s="48" t="s">
        <v>46</v>
      </c>
      <c r="D5" s="48" t="s">
        <v>133</v>
      </c>
      <c r="E5" s="48"/>
      <c r="F5" s="48" t="s">
        <v>141</v>
      </c>
      <c r="G5" s="48"/>
      <c r="H5" s="48"/>
      <c r="I5" s="48" t="s">
        <v>72</v>
      </c>
      <c r="J5" s="61">
        <v>23391065673307</v>
      </c>
      <c r="K5" s="95">
        <v>536900</v>
      </c>
      <c r="L5" s="94">
        <v>636900</v>
      </c>
      <c r="M5" s="92"/>
      <c r="N5" s="65"/>
      <c r="O5" s="64" t="s">
        <v>192</v>
      </c>
      <c r="Q5" s="39"/>
    </row>
    <row r="6" spans="1:21" ht="20.100000000000001" customHeight="1" x14ac:dyDescent="0.3">
      <c r="A6" s="60" t="s">
        <v>44</v>
      </c>
      <c r="B6" s="48" t="s">
        <v>45</v>
      </c>
      <c r="C6" s="48" t="s">
        <v>46</v>
      </c>
      <c r="D6" s="48" t="s">
        <v>133</v>
      </c>
      <c r="E6" s="48"/>
      <c r="F6" s="48" t="s">
        <v>142</v>
      </c>
      <c r="G6" s="48"/>
      <c r="H6" s="48"/>
      <c r="I6" s="48" t="s">
        <v>72</v>
      </c>
      <c r="J6" s="61">
        <v>23391065673307</v>
      </c>
      <c r="K6" s="95">
        <v>437500</v>
      </c>
      <c r="L6" s="94">
        <v>517500</v>
      </c>
      <c r="M6" s="92"/>
      <c r="N6" s="65"/>
      <c r="O6" s="64" t="s">
        <v>192</v>
      </c>
      <c r="Q6" s="39"/>
    </row>
    <row r="7" spans="1:21" ht="20.100000000000001" customHeight="1" x14ac:dyDescent="0.3">
      <c r="A7" s="60" t="s">
        <v>44</v>
      </c>
      <c r="B7" s="48" t="s">
        <v>45</v>
      </c>
      <c r="C7" s="48" t="s">
        <v>46</v>
      </c>
      <c r="D7" s="48" t="s">
        <v>133</v>
      </c>
      <c r="E7" s="48"/>
      <c r="F7" s="48" t="s">
        <v>143</v>
      </c>
      <c r="G7" s="48"/>
      <c r="H7" s="48"/>
      <c r="I7" s="48" t="s">
        <v>72</v>
      </c>
      <c r="J7" s="61">
        <v>29991054312107</v>
      </c>
      <c r="K7" s="95">
        <v>427700</v>
      </c>
      <c r="L7" s="94">
        <v>527700</v>
      </c>
      <c r="M7" s="92"/>
      <c r="N7" s="65"/>
      <c r="O7" s="64" t="s">
        <v>192</v>
      </c>
      <c r="Q7" s="39"/>
    </row>
    <row r="8" spans="1:21" ht="20.100000000000001" customHeight="1" x14ac:dyDescent="0.3">
      <c r="A8" s="60" t="s">
        <v>44</v>
      </c>
      <c r="B8" s="48" t="s">
        <v>45</v>
      </c>
      <c r="C8" s="48" t="s">
        <v>46</v>
      </c>
      <c r="D8" s="48" t="s">
        <v>133</v>
      </c>
      <c r="E8" s="48"/>
      <c r="F8" s="48" t="s">
        <v>144</v>
      </c>
      <c r="G8" s="48"/>
      <c r="H8" s="48"/>
      <c r="I8" s="48" t="s">
        <v>72</v>
      </c>
      <c r="J8" s="61">
        <v>23391063977607</v>
      </c>
      <c r="K8" s="95">
        <v>424900</v>
      </c>
      <c r="L8" s="94">
        <v>524900</v>
      </c>
      <c r="M8" s="92"/>
      <c r="N8" s="65"/>
      <c r="O8" s="64" t="s">
        <v>192</v>
      </c>
      <c r="Q8" s="39"/>
    </row>
    <row r="9" spans="1:21" ht="20.100000000000001" customHeight="1" x14ac:dyDescent="0.3">
      <c r="A9" s="60" t="s">
        <v>44</v>
      </c>
      <c r="B9" s="48" t="s">
        <v>45</v>
      </c>
      <c r="C9" s="48" t="s">
        <v>46</v>
      </c>
      <c r="D9" s="48" t="s">
        <v>133</v>
      </c>
      <c r="E9" s="48"/>
      <c r="F9" s="48" t="s">
        <v>145</v>
      </c>
      <c r="G9" s="48"/>
      <c r="H9" s="48"/>
      <c r="I9" s="48" t="s">
        <v>72</v>
      </c>
      <c r="J9" s="61">
        <v>23391049813107</v>
      </c>
      <c r="K9" s="95">
        <v>217000</v>
      </c>
      <c r="L9" s="94">
        <v>267000</v>
      </c>
      <c r="M9" s="92"/>
      <c r="N9" s="65"/>
      <c r="O9" s="64" t="s">
        <v>192</v>
      </c>
      <c r="Q9" s="39"/>
    </row>
    <row r="10" spans="1:21" ht="20.100000000000001" customHeight="1" x14ac:dyDescent="0.3">
      <c r="A10" s="60" t="s">
        <v>44</v>
      </c>
      <c r="B10" s="48" t="s">
        <v>45</v>
      </c>
      <c r="C10" s="48" t="s">
        <v>46</v>
      </c>
      <c r="D10" s="48" t="s">
        <v>133</v>
      </c>
      <c r="E10" s="48"/>
      <c r="F10" s="48" t="s">
        <v>146</v>
      </c>
      <c r="G10" s="48"/>
      <c r="H10" s="48"/>
      <c r="I10" s="48" t="s">
        <v>51</v>
      </c>
      <c r="J10" s="61">
        <v>3561594870383</v>
      </c>
      <c r="K10" s="95">
        <v>105000</v>
      </c>
      <c r="L10" s="94">
        <v>130000</v>
      </c>
      <c r="M10" s="92"/>
      <c r="N10" s="65"/>
      <c r="O10" s="64" t="s">
        <v>192</v>
      </c>
      <c r="Q10" s="39"/>
    </row>
    <row r="11" spans="1:21" ht="20.100000000000001" customHeight="1" x14ac:dyDescent="0.3">
      <c r="A11" s="60" t="s">
        <v>44</v>
      </c>
      <c r="B11" s="48" t="s">
        <v>45</v>
      </c>
      <c r="C11" s="48" t="s">
        <v>46</v>
      </c>
      <c r="D11" s="48" t="s">
        <v>133</v>
      </c>
      <c r="E11" s="48"/>
      <c r="F11" s="48" t="s">
        <v>147</v>
      </c>
      <c r="G11" s="48"/>
      <c r="H11" s="48"/>
      <c r="I11" s="48" t="s">
        <v>51</v>
      </c>
      <c r="J11" s="61">
        <v>3561626523273</v>
      </c>
      <c r="K11" s="95">
        <v>210000</v>
      </c>
      <c r="L11" s="94">
        <v>260000</v>
      </c>
      <c r="M11" s="92"/>
      <c r="N11" s="65"/>
      <c r="O11" s="64" t="s">
        <v>192</v>
      </c>
      <c r="Q11" s="39"/>
    </row>
    <row r="12" spans="1:21" ht="20.100000000000001" customHeight="1" x14ac:dyDescent="0.3">
      <c r="A12" s="60" t="s">
        <v>44</v>
      </c>
      <c r="B12" s="48" t="s">
        <v>45</v>
      </c>
      <c r="C12" s="48" t="s">
        <v>46</v>
      </c>
      <c r="D12" s="48" t="s">
        <v>133</v>
      </c>
      <c r="E12" s="48"/>
      <c r="F12" s="48" t="s">
        <v>148</v>
      </c>
      <c r="G12" s="48"/>
      <c r="H12" s="48"/>
      <c r="I12" s="48" t="s">
        <v>72</v>
      </c>
      <c r="J12" s="61">
        <v>68091053420107</v>
      </c>
      <c r="K12" s="95">
        <v>210000</v>
      </c>
      <c r="L12" s="94">
        <v>260000</v>
      </c>
      <c r="M12" s="92"/>
      <c r="N12" s="65"/>
      <c r="O12" s="64" t="s">
        <v>192</v>
      </c>
      <c r="Q12" s="39"/>
    </row>
    <row r="13" spans="1:21" ht="20.100000000000001" customHeight="1" x14ac:dyDescent="0.3">
      <c r="A13" s="60" t="s">
        <v>44</v>
      </c>
      <c r="B13" s="48" t="s">
        <v>45</v>
      </c>
      <c r="C13" s="48" t="s">
        <v>46</v>
      </c>
      <c r="D13" s="48" t="s">
        <v>133</v>
      </c>
      <c r="E13" s="48"/>
      <c r="F13" s="48" t="s">
        <v>149</v>
      </c>
      <c r="G13" s="48"/>
      <c r="H13" s="48"/>
      <c r="I13" s="48" t="s">
        <v>72</v>
      </c>
      <c r="J13" s="61">
        <v>57191056846807</v>
      </c>
      <c r="K13" s="95">
        <v>536900</v>
      </c>
      <c r="L13" s="94">
        <v>636900</v>
      </c>
      <c r="M13" s="92"/>
      <c r="N13" s="65"/>
      <c r="O13" s="64" t="s">
        <v>192</v>
      </c>
      <c r="Q13" s="39"/>
    </row>
    <row r="14" spans="1:21" ht="20.100000000000001" customHeight="1" x14ac:dyDescent="0.3">
      <c r="A14" s="60" t="s">
        <v>44</v>
      </c>
      <c r="B14" s="48" t="s">
        <v>45</v>
      </c>
      <c r="C14" s="48" t="s">
        <v>46</v>
      </c>
      <c r="D14" s="48" t="s">
        <v>133</v>
      </c>
      <c r="E14" s="48"/>
      <c r="F14" s="48" t="s">
        <v>150</v>
      </c>
      <c r="G14" s="48"/>
      <c r="H14" s="48"/>
      <c r="I14" s="48" t="s">
        <v>72</v>
      </c>
      <c r="J14" s="61">
        <v>39891066942107</v>
      </c>
      <c r="K14" s="95">
        <v>525000</v>
      </c>
      <c r="L14" s="94">
        <v>625000</v>
      </c>
      <c r="M14" s="92"/>
      <c r="N14" s="65"/>
      <c r="O14" s="64" t="s">
        <v>192</v>
      </c>
      <c r="Q14" s="39"/>
    </row>
    <row r="15" spans="1:21" ht="20.100000000000001" customHeight="1" x14ac:dyDescent="0.3">
      <c r="A15" s="60" t="s">
        <v>44</v>
      </c>
      <c r="B15" s="48" t="s">
        <v>45</v>
      </c>
      <c r="C15" s="48" t="s">
        <v>46</v>
      </c>
      <c r="D15" s="48" t="s">
        <v>133</v>
      </c>
      <c r="E15" s="48"/>
      <c r="F15" s="48" t="s">
        <v>151</v>
      </c>
      <c r="G15" s="48"/>
      <c r="H15" s="48"/>
      <c r="I15" s="48" t="s">
        <v>72</v>
      </c>
      <c r="J15" s="61">
        <v>39891066942107</v>
      </c>
      <c r="K15" s="95">
        <v>525000</v>
      </c>
      <c r="L15" s="94">
        <v>625000</v>
      </c>
      <c r="M15" s="92"/>
      <c r="N15" s="65"/>
      <c r="O15" s="64" t="s">
        <v>192</v>
      </c>
      <c r="Q15" s="39"/>
    </row>
    <row r="16" spans="1:21" ht="20.100000000000001" customHeight="1" x14ac:dyDescent="0.3">
      <c r="A16" s="60" t="s">
        <v>44</v>
      </c>
      <c r="B16" s="48" t="s">
        <v>45</v>
      </c>
      <c r="C16" s="48" t="s">
        <v>46</v>
      </c>
      <c r="D16" s="48" t="s">
        <v>133</v>
      </c>
      <c r="E16" s="48"/>
      <c r="F16" s="48" t="s">
        <v>152</v>
      </c>
      <c r="G16" s="48"/>
      <c r="H16" s="48"/>
      <c r="I16" s="48" t="s">
        <v>51</v>
      </c>
      <c r="J16" s="61">
        <v>3560935626623</v>
      </c>
      <c r="K16" s="95">
        <v>427000</v>
      </c>
      <c r="L16" s="94">
        <v>527000</v>
      </c>
      <c r="M16" s="92"/>
      <c r="N16" s="65"/>
      <c r="O16" s="64" t="s">
        <v>192</v>
      </c>
      <c r="Q16" s="39"/>
    </row>
    <row r="17" spans="1:17" ht="20.100000000000001" customHeight="1" x14ac:dyDescent="0.3">
      <c r="A17" s="60" t="s">
        <v>44</v>
      </c>
      <c r="B17" s="48" t="s">
        <v>45</v>
      </c>
      <c r="C17" s="48" t="s">
        <v>46</v>
      </c>
      <c r="D17" s="48" t="s">
        <v>133</v>
      </c>
      <c r="E17" s="48"/>
      <c r="F17" s="48" t="s">
        <v>153</v>
      </c>
      <c r="G17" s="48"/>
      <c r="H17" s="48"/>
      <c r="I17" s="48" t="s">
        <v>188</v>
      </c>
      <c r="J17" s="61">
        <v>36110662801011</v>
      </c>
      <c r="K17" s="95">
        <v>427700</v>
      </c>
      <c r="L17" s="94">
        <v>527700</v>
      </c>
      <c r="M17" s="92"/>
      <c r="N17" s="65"/>
      <c r="O17" s="64" t="s">
        <v>192</v>
      </c>
      <c r="Q17" s="39"/>
    </row>
    <row r="18" spans="1:17" ht="20.100000000000001" customHeight="1" x14ac:dyDescent="0.3">
      <c r="A18" s="60" t="s">
        <v>44</v>
      </c>
      <c r="B18" s="48" t="s">
        <v>45</v>
      </c>
      <c r="C18" s="48" t="s">
        <v>46</v>
      </c>
      <c r="D18" s="48" t="s">
        <v>133</v>
      </c>
      <c r="E18" s="48"/>
      <c r="F18" s="48" t="s">
        <v>154</v>
      </c>
      <c r="G18" s="48"/>
      <c r="H18" s="48"/>
      <c r="I18" s="48" t="s">
        <v>51</v>
      </c>
      <c r="J18" s="61">
        <v>3512536253663</v>
      </c>
      <c r="K18" s="95">
        <v>427700</v>
      </c>
      <c r="L18" s="94">
        <v>527700</v>
      </c>
      <c r="M18" s="92"/>
      <c r="N18" s="65"/>
      <c r="O18" s="64" t="s">
        <v>192</v>
      </c>
      <c r="Q18" s="39"/>
    </row>
    <row r="19" spans="1:17" ht="20.100000000000001" customHeight="1" x14ac:dyDescent="0.3">
      <c r="A19" s="60" t="s">
        <v>44</v>
      </c>
      <c r="B19" s="48" t="s">
        <v>45</v>
      </c>
      <c r="C19" s="48" t="s">
        <v>46</v>
      </c>
      <c r="D19" s="48" t="s">
        <v>133</v>
      </c>
      <c r="E19" s="48"/>
      <c r="F19" s="48" t="s">
        <v>155</v>
      </c>
      <c r="G19" s="48"/>
      <c r="H19" s="48"/>
      <c r="I19" s="48" t="s">
        <v>55</v>
      </c>
      <c r="J19" s="61">
        <v>1002863255436</v>
      </c>
      <c r="K19" s="95">
        <v>543200</v>
      </c>
      <c r="L19" s="94">
        <v>668200</v>
      </c>
      <c r="M19" s="92"/>
      <c r="N19" s="65"/>
      <c r="O19" s="64" t="s">
        <v>192</v>
      </c>
      <c r="Q19" s="39"/>
    </row>
    <row r="20" spans="1:17" ht="20.100000000000001" customHeight="1" x14ac:dyDescent="0.3">
      <c r="A20" s="60" t="s">
        <v>44</v>
      </c>
      <c r="B20" s="48" t="s">
        <v>45</v>
      </c>
      <c r="C20" s="48" t="s">
        <v>46</v>
      </c>
      <c r="D20" s="48" t="s">
        <v>133</v>
      </c>
      <c r="E20" s="48"/>
      <c r="F20" s="48" t="s">
        <v>156</v>
      </c>
      <c r="G20" s="48"/>
      <c r="H20" s="48"/>
      <c r="I20" s="48" t="s">
        <v>72</v>
      </c>
      <c r="J20" s="61">
        <v>23391067991707</v>
      </c>
      <c r="K20" s="95">
        <v>351400</v>
      </c>
      <c r="L20" s="94">
        <v>411400</v>
      </c>
      <c r="M20" s="92"/>
      <c r="N20" s="65"/>
      <c r="O20" s="64" t="s">
        <v>192</v>
      </c>
      <c r="Q20" s="39"/>
    </row>
    <row r="21" spans="1:17" ht="20.100000000000001" customHeight="1" x14ac:dyDescent="0.3">
      <c r="A21" s="60" t="s">
        <v>44</v>
      </c>
      <c r="B21" s="48" t="s">
        <v>45</v>
      </c>
      <c r="C21" s="48" t="s">
        <v>46</v>
      </c>
      <c r="D21" s="48" t="s">
        <v>133</v>
      </c>
      <c r="E21" s="48"/>
      <c r="F21" s="48" t="s">
        <v>157</v>
      </c>
      <c r="G21" s="48"/>
      <c r="H21" s="48"/>
      <c r="I21" s="48" t="s">
        <v>72</v>
      </c>
      <c r="J21" s="61">
        <v>23391053112107</v>
      </c>
      <c r="K21" s="95">
        <v>105000</v>
      </c>
      <c r="L21" s="94">
        <v>125000</v>
      </c>
      <c r="M21" s="92"/>
      <c r="N21" s="65"/>
      <c r="O21" s="64" t="s">
        <v>192</v>
      </c>
      <c r="Q21" s="39"/>
    </row>
    <row r="22" spans="1:17" ht="20.100000000000001" customHeight="1" x14ac:dyDescent="0.3">
      <c r="A22" s="60" t="s">
        <v>44</v>
      </c>
      <c r="B22" s="48" t="s">
        <v>45</v>
      </c>
      <c r="C22" s="48" t="s">
        <v>46</v>
      </c>
      <c r="D22" s="48" t="s">
        <v>133</v>
      </c>
      <c r="E22" s="48"/>
      <c r="F22" s="48" t="s">
        <v>158</v>
      </c>
      <c r="G22" s="48"/>
      <c r="H22" s="48"/>
      <c r="I22" s="48" t="s">
        <v>72</v>
      </c>
      <c r="J22" s="61">
        <v>11692214377437</v>
      </c>
      <c r="K22" s="95">
        <v>525000</v>
      </c>
      <c r="L22" s="94">
        <v>625000</v>
      </c>
      <c r="M22" s="92"/>
      <c r="N22" s="65"/>
      <c r="O22" s="64" t="s">
        <v>192</v>
      </c>
      <c r="Q22" s="39"/>
    </row>
    <row r="23" spans="1:17" ht="20.100000000000001" customHeight="1" x14ac:dyDescent="0.3">
      <c r="A23" s="60" t="s">
        <v>44</v>
      </c>
      <c r="B23" s="48" t="s">
        <v>45</v>
      </c>
      <c r="C23" s="48" t="s">
        <v>46</v>
      </c>
      <c r="D23" s="48" t="s">
        <v>133</v>
      </c>
      <c r="E23" s="48"/>
      <c r="F23" s="48" t="s">
        <v>159</v>
      </c>
      <c r="G23" s="48"/>
      <c r="H23" s="48"/>
      <c r="I23" s="48" t="s">
        <v>72</v>
      </c>
      <c r="J23" s="61">
        <v>23391064161907</v>
      </c>
      <c r="K23" s="95">
        <v>424900</v>
      </c>
      <c r="L23" s="94">
        <v>504900</v>
      </c>
      <c r="M23" s="92"/>
      <c r="N23" s="65"/>
      <c r="O23" s="64" t="s">
        <v>192</v>
      </c>
      <c r="Q23" s="39"/>
    </row>
    <row r="24" spans="1:17" ht="20.100000000000001" customHeight="1" x14ac:dyDescent="0.3">
      <c r="A24" s="60" t="s">
        <v>44</v>
      </c>
      <c r="B24" s="48" t="s">
        <v>45</v>
      </c>
      <c r="C24" s="48" t="s">
        <v>46</v>
      </c>
      <c r="D24" s="48" t="s">
        <v>133</v>
      </c>
      <c r="E24" s="48"/>
      <c r="F24" s="48" t="s">
        <v>160</v>
      </c>
      <c r="G24" s="48"/>
      <c r="H24" s="48"/>
      <c r="I24" s="48" t="s">
        <v>58</v>
      </c>
      <c r="J24" s="61">
        <v>29250201308193</v>
      </c>
      <c r="K24" s="95">
        <v>525000</v>
      </c>
      <c r="L24" s="94">
        <v>625000</v>
      </c>
      <c r="M24" s="92"/>
      <c r="N24" s="65"/>
      <c r="O24" s="64" t="s">
        <v>192</v>
      </c>
      <c r="Q24" s="39"/>
    </row>
    <row r="25" spans="1:17" ht="20.100000000000001" customHeight="1" x14ac:dyDescent="0.3">
      <c r="A25" s="60" t="s">
        <v>44</v>
      </c>
      <c r="B25" s="48" t="s">
        <v>45</v>
      </c>
      <c r="C25" s="48" t="s">
        <v>46</v>
      </c>
      <c r="D25" s="48" t="s">
        <v>133</v>
      </c>
      <c r="E25" s="48"/>
      <c r="F25" s="48" t="s">
        <v>161</v>
      </c>
      <c r="G25" s="48"/>
      <c r="H25" s="48"/>
      <c r="I25" s="48" t="s">
        <v>76</v>
      </c>
      <c r="J25" s="61">
        <v>100089184707</v>
      </c>
      <c r="K25" s="95">
        <v>315000</v>
      </c>
      <c r="L25" s="94">
        <v>375000</v>
      </c>
      <c r="M25" s="92"/>
      <c r="N25" s="65"/>
      <c r="O25" s="64" t="s">
        <v>192</v>
      </c>
      <c r="Q25" s="39"/>
    </row>
    <row r="26" spans="1:17" ht="20.100000000000001" customHeight="1" x14ac:dyDescent="0.3">
      <c r="A26" s="60" t="s">
        <v>44</v>
      </c>
      <c r="B26" s="48" t="s">
        <v>45</v>
      </c>
      <c r="C26" s="48" t="s">
        <v>46</v>
      </c>
      <c r="D26" s="48" t="s">
        <v>133</v>
      </c>
      <c r="E26" s="48"/>
      <c r="F26" s="48" t="s">
        <v>162</v>
      </c>
      <c r="G26" s="48"/>
      <c r="H26" s="48"/>
      <c r="I26" s="48" t="s">
        <v>76</v>
      </c>
      <c r="J26" s="61">
        <v>100248207200</v>
      </c>
      <c r="K26" s="95">
        <v>210000</v>
      </c>
      <c r="L26" s="94">
        <v>250000</v>
      </c>
      <c r="M26" s="92"/>
      <c r="N26" s="65"/>
      <c r="O26" s="64" t="s">
        <v>192</v>
      </c>
      <c r="Q26" s="39"/>
    </row>
    <row r="27" spans="1:17" ht="20.100000000000001" customHeight="1" x14ac:dyDescent="0.3">
      <c r="A27" s="60" t="s">
        <v>44</v>
      </c>
      <c r="B27" s="48" t="s">
        <v>45</v>
      </c>
      <c r="C27" s="48" t="s">
        <v>46</v>
      </c>
      <c r="D27" s="48" t="s">
        <v>133</v>
      </c>
      <c r="E27" s="48"/>
      <c r="F27" s="48" t="s">
        <v>163</v>
      </c>
      <c r="G27" s="48"/>
      <c r="H27" s="48"/>
      <c r="I27" s="48" t="s">
        <v>55</v>
      </c>
      <c r="J27" s="61">
        <v>1002761382905</v>
      </c>
      <c r="K27" s="95">
        <v>210000</v>
      </c>
      <c r="L27" s="94">
        <v>260000</v>
      </c>
      <c r="M27" s="92"/>
      <c r="N27" s="65"/>
      <c r="O27" s="64" t="s">
        <v>192</v>
      </c>
      <c r="Q27" s="39"/>
    </row>
    <row r="28" spans="1:17" ht="20.100000000000001" customHeight="1" x14ac:dyDescent="0.3">
      <c r="A28" s="60" t="s">
        <v>44</v>
      </c>
      <c r="B28" s="48" t="s">
        <v>45</v>
      </c>
      <c r="C28" s="48" t="s">
        <v>46</v>
      </c>
      <c r="D28" s="48" t="s">
        <v>133</v>
      </c>
      <c r="E28" s="48"/>
      <c r="F28" s="48" t="s">
        <v>164</v>
      </c>
      <c r="G28" s="48"/>
      <c r="H28" s="48"/>
      <c r="I28" s="48" t="s">
        <v>72</v>
      </c>
      <c r="J28" s="61">
        <v>60491096318007</v>
      </c>
      <c r="K28" s="95">
        <v>210000</v>
      </c>
      <c r="L28" s="94">
        <v>250000</v>
      </c>
      <c r="M28" s="92"/>
      <c r="N28" s="65"/>
      <c r="O28" s="64" t="s">
        <v>192</v>
      </c>
      <c r="Q28" s="39"/>
    </row>
    <row r="29" spans="1:17" ht="20.100000000000001" customHeight="1" x14ac:dyDescent="0.3">
      <c r="A29" s="60" t="s">
        <v>44</v>
      </c>
      <c r="B29" s="48" t="s">
        <v>45</v>
      </c>
      <c r="C29" s="48" t="s">
        <v>46</v>
      </c>
      <c r="D29" s="48" t="s">
        <v>133</v>
      </c>
      <c r="E29" s="48"/>
      <c r="F29" s="48" t="s">
        <v>165</v>
      </c>
      <c r="G29" s="48"/>
      <c r="H29" s="48"/>
      <c r="I29" s="48" t="s">
        <v>76</v>
      </c>
      <c r="J29" s="61">
        <v>100178321014</v>
      </c>
      <c r="K29" s="95">
        <v>324450</v>
      </c>
      <c r="L29" s="94">
        <v>384450</v>
      </c>
      <c r="M29" s="92"/>
      <c r="N29" s="65"/>
      <c r="O29" s="64" t="s">
        <v>192</v>
      </c>
      <c r="Q29" s="39"/>
    </row>
    <row r="30" spans="1:17" ht="20.100000000000001" customHeight="1" x14ac:dyDescent="0.3">
      <c r="A30" s="60" t="s">
        <v>44</v>
      </c>
      <c r="B30" s="48" t="s">
        <v>45</v>
      </c>
      <c r="C30" s="48" t="s">
        <v>46</v>
      </c>
      <c r="D30" s="48" t="s">
        <v>133</v>
      </c>
      <c r="E30" s="48"/>
      <c r="F30" s="48" t="s">
        <v>166</v>
      </c>
      <c r="G30" s="48"/>
      <c r="H30" s="48"/>
      <c r="I30" s="48" t="s">
        <v>189</v>
      </c>
      <c r="J30" s="61">
        <v>50902008559049</v>
      </c>
      <c r="K30" s="95">
        <v>315000</v>
      </c>
      <c r="L30" s="94">
        <v>375000</v>
      </c>
      <c r="M30" s="92"/>
      <c r="N30" s="65"/>
      <c r="O30" s="64" t="s">
        <v>192</v>
      </c>
      <c r="Q30" s="39"/>
    </row>
    <row r="31" spans="1:17" ht="20.100000000000001" customHeight="1" x14ac:dyDescent="0.3">
      <c r="A31" s="60" t="s">
        <v>44</v>
      </c>
      <c r="B31" s="48" t="s">
        <v>45</v>
      </c>
      <c r="C31" s="48" t="s">
        <v>46</v>
      </c>
      <c r="D31" s="48" t="s">
        <v>133</v>
      </c>
      <c r="E31" s="48"/>
      <c r="F31" s="48" t="s">
        <v>168</v>
      </c>
      <c r="G31" s="48"/>
      <c r="H31" s="48"/>
      <c r="I31" s="48" t="s">
        <v>188</v>
      </c>
      <c r="J31" s="61">
        <v>40107855201013</v>
      </c>
      <c r="K31" s="95">
        <v>525000</v>
      </c>
      <c r="L31" s="94">
        <v>625000</v>
      </c>
      <c r="M31" s="92"/>
      <c r="N31" s="65"/>
      <c r="O31" s="64" t="s">
        <v>192</v>
      </c>
      <c r="Q31" s="39"/>
    </row>
    <row r="32" spans="1:17" ht="20.100000000000001" customHeight="1" x14ac:dyDescent="0.3">
      <c r="A32" s="60" t="s">
        <v>44</v>
      </c>
      <c r="B32" s="48" t="s">
        <v>45</v>
      </c>
      <c r="C32" s="48" t="s">
        <v>46</v>
      </c>
      <c r="D32" s="48" t="s">
        <v>133</v>
      </c>
      <c r="E32" s="48"/>
      <c r="F32" s="48" t="s">
        <v>169</v>
      </c>
      <c r="G32" s="48"/>
      <c r="H32" s="48"/>
      <c r="I32" s="48" t="s">
        <v>189</v>
      </c>
      <c r="J32" s="61">
        <v>50902008580346</v>
      </c>
      <c r="K32" s="95">
        <v>210000</v>
      </c>
      <c r="L32" s="94">
        <v>250000</v>
      </c>
      <c r="M32" s="92"/>
      <c r="N32" s="65"/>
      <c r="O32" s="64" t="s">
        <v>192</v>
      </c>
      <c r="Q32" s="39"/>
    </row>
    <row r="33" spans="1:19" ht="20.100000000000001" customHeight="1" x14ac:dyDescent="0.3">
      <c r="A33" s="60" t="s">
        <v>44</v>
      </c>
      <c r="B33" s="48" t="s">
        <v>45</v>
      </c>
      <c r="C33" s="48" t="s">
        <v>46</v>
      </c>
      <c r="D33" s="48" t="s">
        <v>133</v>
      </c>
      <c r="E33" s="48"/>
      <c r="F33" s="48" t="s">
        <v>170</v>
      </c>
      <c r="G33" s="48"/>
      <c r="H33" s="48"/>
      <c r="I33" s="48" t="s">
        <v>76</v>
      </c>
      <c r="J33" s="61">
        <v>100067984361</v>
      </c>
      <c r="K33" s="95">
        <v>346000</v>
      </c>
      <c r="L33" s="94">
        <v>406000</v>
      </c>
      <c r="M33" s="92"/>
      <c r="N33" s="65"/>
      <c r="O33" s="64" t="s">
        <v>192</v>
      </c>
      <c r="Q33" s="39"/>
    </row>
    <row r="34" spans="1:19" ht="20.100000000000001" customHeight="1" x14ac:dyDescent="0.3">
      <c r="A34" s="60" t="s">
        <v>44</v>
      </c>
      <c r="B34" s="48" t="s">
        <v>45</v>
      </c>
      <c r="C34" s="48" t="s">
        <v>46</v>
      </c>
      <c r="D34" s="48" t="s">
        <v>133</v>
      </c>
      <c r="E34" s="48"/>
      <c r="F34" s="48" t="s">
        <v>171</v>
      </c>
      <c r="G34" s="48"/>
      <c r="H34" s="48"/>
      <c r="I34" s="48" t="s">
        <v>62</v>
      </c>
      <c r="J34" s="61">
        <v>9500021266780</v>
      </c>
      <c r="K34" s="95">
        <v>217700</v>
      </c>
      <c r="L34" s="94">
        <v>257700</v>
      </c>
      <c r="M34" s="92"/>
      <c r="N34" s="65"/>
      <c r="O34" s="64" t="s">
        <v>192</v>
      </c>
      <c r="Q34" s="39"/>
    </row>
    <row r="35" spans="1:19" ht="20.100000000000001" customHeight="1" x14ac:dyDescent="0.3">
      <c r="A35" s="60" t="s">
        <v>44</v>
      </c>
      <c r="B35" s="48" t="s">
        <v>45</v>
      </c>
      <c r="C35" s="48" t="s">
        <v>46</v>
      </c>
      <c r="D35" s="48" t="s">
        <v>133</v>
      </c>
      <c r="E35" s="48"/>
      <c r="F35" s="48" t="s">
        <v>172</v>
      </c>
      <c r="G35" s="48"/>
      <c r="H35" s="48"/>
      <c r="I35" s="48" t="s">
        <v>76</v>
      </c>
      <c r="J35" s="61">
        <v>100079961208</v>
      </c>
      <c r="K35" s="95">
        <v>315000</v>
      </c>
      <c r="L35" s="94">
        <v>375000</v>
      </c>
      <c r="M35" s="92"/>
      <c r="N35" s="65"/>
      <c r="O35" s="64" t="s">
        <v>192</v>
      </c>
      <c r="Q35" s="39"/>
    </row>
    <row r="36" spans="1:19" ht="20.100000000000001" customHeight="1" x14ac:dyDescent="0.3">
      <c r="A36" s="60" t="s">
        <v>44</v>
      </c>
      <c r="B36" s="48" t="s">
        <v>45</v>
      </c>
      <c r="C36" s="48" t="s">
        <v>46</v>
      </c>
      <c r="D36" s="48" t="s">
        <v>133</v>
      </c>
      <c r="E36" s="48"/>
      <c r="F36" s="48" t="s">
        <v>173</v>
      </c>
      <c r="G36" s="48"/>
      <c r="H36" s="48"/>
      <c r="I36" s="48" t="s">
        <v>62</v>
      </c>
      <c r="J36" s="61">
        <v>9100054762487</v>
      </c>
      <c r="K36" s="62">
        <v>105000</v>
      </c>
      <c r="L36" s="63">
        <v>125000</v>
      </c>
      <c r="M36" s="92"/>
      <c r="N36" s="65"/>
      <c r="O36" s="64" t="s">
        <v>192</v>
      </c>
      <c r="P36" s="66"/>
      <c r="Q36" s="39"/>
      <c r="R36" s="66"/>
      <c r="S36" s="66"/>
    </row>
    <row r="37" spans="1:19" ht="20.100000000000001" customHeight="1" x14ac:dyDescent="0.3">
      <c r="A37" s="60" t="s">
        <v>44</v>
      </c>
      <c r="B37" s="48" t="s">
        <v>45</v>
      </c>
      <c r="C37" s="48" t="s">
        <v>46</v>
      </c>
      <c r="D37" s="48" t="s">
        <v>133</v>
      </c>
      <c r="E37" s="48"/>
      <c r="F37" s="48" t="s">
        <v>174</v>
      </c>
      <c r="G37" s="48"/>
      <c r="H37" s="48"/>
      <c r="I37" s="48" t="s">
        <v>76</v>
      </c>
      <c r="J37" s="61">
        <v>100234627084</v>
      </c>
      <c r="K37" s="62">
        <v>210000</v>
      </c>
      <c r="L37" s="63">
        <v>250000</v>
      </c>
      <c r="M37" s="92"/>
      <c r="N37" s="65"/>
      <c r="O37" s="64" t="s">
        <v>192</v>
      </c>
      <c r="Q37" s="39"/>
    </row>
    <row r="38" spans="1:19" ht="20.100000000000001" customHeight="1" x14ac:dyDescent="0.3">
      <c r="A38" s="60" t="s">
        <v>44</v>
      </c>
      <c r="B38" s="48" t="s">
        <v>45</v>
      </c>
      <c r="C38" s="48" t="s">
        <v>46</v>
      </c>
      <c r="D38" s="48" t="s">
        <v>133</v>
      </c>
      <c r="E38" s="48"/>
      <c r="F38" s="48" t="s">
        <v>175</v>
      </c>
      <c r="G38" s="48"/>
      <c r="H38" s="48"/>
      <c r="I38" s="48" t="s">
        <v>72</v>
      </c>
      <c r="J38" s="61">
        <v>11692175176737</v>
      </c>
      <c r="K38" s="62">
        <v>210000</v>
      </c>
      <c r="L38" s="63">
        <v>250000</v>
      </c>
      <c r="M38" s="92"/>
      <c r="N38" s="65"/>
      <c r="O38" s="64" t="s">
        <v>192</v>
      </c>
      <c r="Q38" s="39"/>
    </row>
    <row r="39" spans="1:19" ht="20.100000000000001" customHeight="1" x14ac:dyDescent="0.3">
      <c r="A39" s="60" t="s">
        <v>44</v>
      </c>
      <c r="B39" s="48" t="s">
        <v>45</v>
      </c>
      <c r="C39" s="48" t="s">
        <v>46</v>
      </c>
      <c r="D39" s="48" t="s">
        <v>133</v>
      </c>
      <c r="E39" s="48"/>
      <c r="F39" s="48" t="s">
        <v>176</v>
      </c>
      <c r="G39" s="48"/>
      <c r="H39" s="48"/>
      <c r="I39" s="48" t="s">
        <v>72</v>
      </c>
      <c r="J39" s="61">
        <v>14491071441007</v>
      </c>
      <c r="K39" s="62">
        <v>315000</v>
      </c>
      <c r="L39" s="63">
        <v>375000</v>
      </c>
      <c r="M39" s="92"/>
      <c r="N39" s="65"/>
      <c r="O39" s="64" t="s">
        <v>192</v>
      </c>
      <c r="P39" s="66"/>
      <c r="Q39" s="39"/>
      <c r="R39" s="66"/>
      <c r="S39" s="66"/>
    </row>
    <row r="40" spans="1:19" ht="20.100000000000001" customHeight="1" x14ac:dyDescent="0.3">
      <c r="A40" s="60" t="s">
        <v>44</v>
      </c>
      <c r="B40" s="48" t="s">
        <v>45</v>
      </c>
      <c r="C40" s="48" t="s">
        <v>46</v>
      </c>
      <c r="D40" s="48" t="s">
        <v>133</v>
      </c>
      <c r="E40" s="48"/>
      <c r="F40" s="48" t="s">
        <v>177</v>
      </c>
      <c r="G40" s="48"/>
      <c r="H40" s="48"/>
      <c r="I40" s="48" t="s">
        <v>62</v>
      </c>
      <c r="J40" s="61">
        <v>9201032272886</v>
      </c>
      <c r="K40" s="62">
        <v>105000</v>
      </c>
      <c r="L40" s="63">
        <v>125000</v>
      </c>
      <c r="M40" s="92"/>
      <c r="N40" s="65"/>
      <c r="O40" s="64" t="s">
        <v>192</v>
      </c>
      <c r="Q40" s="39"/>
    </row>
    <row r="41" spans="1:19" ht="20.100000000000001" customHeight="1" x14ac:dyDescent="0.3">
      <c r="A41" s="60" t="s">
        <v>44</v>
      </c>
      <c r="B41" s="48" t="s">
        <v>45</v>
      </c>
      <c r="C41" s="48" t="s">
        <v>46</v>
      </c>
      <c r="D41" s="48" t="s">
        <v>133</v>
      </c>
      <c r="E41" s="48"/>
      <c r="F41" s="48" t="s">
        <v>178</v>
      </c>
      <c r="G41" s="48"/>
      <c r="H41" s="48"/>
      <c r="I41" s="48" t="s">
        <v>190</v>
      </c>
      <c r="J41" s="61">
        <v>9003302188567</v>
      </c>
      <c r="K41" s="62">
        <v>52500</v>
      </c>
      <c r="L41" s="63">
        <v>62500</v>
      </c>
      <c r="M41" s="92"/>
      <c r="N41" s="65"/>
      <c r="O41" s="64" t="s">
        <v>192</v>
      </c>
      <c r="Q41" s="39"/>
    </row>
    <row r="42" spans="1:19" ht="20.100000000000001" customHeight="1" x14ac:dyDescent="0.3">
      <c r="A42" s="60" t="s">
        <v>44</v>
      </c>
      <c r="B42" s="48" t="s">
        <v>45</v>
      </c>
      <c r="C42" s="48" t="s">
        <v>46</v>
      </c>
      <c r="D42" s="48" t="s">
        <v>133</v>
      </c>
      <c r="E42" s="48"/>
      <c r="F42" s="48" t="s">
        <v>180</v>
      </c>
      <c r="G42" s="48"/>
      <c r="H42" s="48"/>
      <c r="I42" s="48" t="s">
        <v>62</v>
      </c>
      <c r="J42" s="61">
        <v>9100051571612</v>
      </c>
      <c r="K42" s="62">
        <v>105000</v>
      </c>
      <c r="L42" s="63">
        <v>125000</v>
      </c>
      <c r="M42" s="92"/>
      <c r="N42" s="65"/>
      <c r="O42" s="64" t="s">
        <v>192</v>
      </c>
      <c r="Q42" s="39"/>
    </row>
    <row r="43" spans="1:19" ht="20.100000000000001" customHeight="1" x14ac:dyDescent="0.3">
      <c r="A43" s="60" t="s">
        <v>44</v>
      </c>
      <c r="B43" s="48" t="s">
        <v>45</v>
      </c>
      <c r="C43" s="48" t="s">
        <v>46</v>
      </c>
      <c r="D43" s="48" t="s">
        <v>133</v>
      </c>
      <c r="E43" s="48"/>
      <c r="F43" s="48" t="s">
        <v>181</v>
      </c>
      <c r="G43" s="48"/>
      <c r="H43" s="48"/>
      <c r="I43" s="48" t="s">
        <v>62</v>
      </c>
      <c r="J43" s="61">
        <v>9100058005944</v>
      </c>
      <c r="K43" s="95">
        <v>405000</v>
      </c>
      <c r="L43" s="94">
        <v>405000</v>
      </c>
      <c r="M43" s="92"/>
      <c r="N43" s="65"/>
      <c r="O43" s="64" t="s">
        <v>192</v>
      </c>
      <c r="Q43" s="39"/>
    </row>
    <row r="44" spans="1:19" ht="20.100000000000001" customHeight="1" x14ac:dyDescent="0.3">
      <c r="A44" s="60" t="s">
        <v>44</v>
      </c>
      <c r="B44" s="48" t="s">
        <v>45</v>
      </c>
      <c r="C44" s="48" t="s">
        <v>46</v>
      </c>
      <c r="D44" s="48" t="s">
        <v>193</v>
      </c>
      <c r="E44" s="48"/>
      <c r="F44" s="48" t="s">
        <v>179</v>
      </c>
      <c r="G44" s="48"/>
      <c r="H44" s="48"/>
      <c r="I44" s="48" t="s">
        <v>72</v>
      </c>
      <c r="J44" s="61">
        <v>19891033805907</v>
      </c>
      <c r="K44" s="95">
        <v>610000</v>
      </c>
      <c r="L44" s="94">
        <v>710000</v>
      </c>
      <c r="M44" s="92"/>
      <c r="N44" s="65"/>
      <c r="O44" s="64" t="s">
        <v>192</v>
      </c>
      <c r="Q44" s="39"/>
    </row>
    <row r="45" spans="1:19" ht="20.100000000000001" customHeight="1" x14ac:dyDescent="0.3">
      <c r="A45" s="60" t="s">
        <v>44</v>
      </c>
      <c r="B45" s="48" t="s">
        <v>45</v>
      </c>
      <c r="C45" s="48" t="s">
        <v>46</v>
      </c>
      <c r="D45" s="48" t="s">
        <v>193</v>
      </c>
      <c r="E45" s="48"/>
      <c r="F45" s="48" t="s">
        <v>182</v>
      </c>
      <c r="G45" s="48"/>
      <c r="H45" s="48"/>
      <c r="I45" s="48" t="s">
        <v>62</v>
      </c>
      <c r="J45" s="61">
        <v>9500021276964</v>
      </c>
      <c r="K45" s="95">
        <v>695000</v>
      </c>
      <c r="L45" s="94">
        <v>795000</v>
      </c>
      <c r="M45" s="92"/>
      <c r="N45" s="65"/>
      <c r="O45" s="64" t="s">
        <v>192</v>
      </c>
      <c r="Q45" s="39"/>
    </row>
    <row r="46" spans="1:19" ht="20.100000000000001" customHeight="1" x14ac:dyDescent="0.3">
      <c r="A46" s="60" t="s">
        <v>44</v>
      </c>
      <c r="B46" s="48" t="s">
        <v>45</v>
      </c>
      <c r="C46" s="48" t="s">
        <v>46</v>
      </c>
      <c r="D46" s="48" t="s">
        <v>193</v>
      </c>
      <c r="E46" s="48"/>
      <c r="F46" s="48" t="s">
        <v>183</v>
      </c>
      <c r="G46" s="48"/>
      <c r="H46" s="48"/>
      <c r="I46" s="48" t="s">
        <v>62</v>
      </c>
      <c r="J46" s="61">
        <v>9500020135065</v>
      </c>
      <c r="K46" s="95">
        <v>610000</v>
      </c>
      <c r="L46" s="94">
        <v>710000</v>
      </c>
      <c r="M46" s="92"/>
      <c r="N46" s="65"/>
      <c r="O46" s="64" t="s">
        <v>192</v>
      </c>
      <c r="Q46" s="39"/>
    </row>
    <row r="47" spans="1:19" ht="20.100000000000001" customHeight="1" x14ac:dyDescent="0.3">
      <c r="A47" s="60" t="s">
        <v>44</v>
      </c>
      <c r="B47" s="48" t="s">
        <v>45</v>
      </c>
      <c r="C47" s="48" t="s">
        <v>46</v>
      </c>
      <c r="D47" s="48" t="s">
        <v>193</v>
      </c>
      <c r="E47" s="48"/>
      <c r="F47" s="48" t="s">
        <v>184</v>
      </c>
      <c r="G47" s="48"/>
      <c r="H47" s="48"/>
      <c r="I47" s="48" t="s">
        <v>72</v>
      </c>
      <c r="J47" s="61">
        <v>23391067820107</v>
      </c>
      <c r="K47" s="95">
        <v>695000</v>
      </c>
      <c r="L47" s="94">
        <v>795000</v>
      </c>
      <c r="M47" s="92"/>
      <c r="N47" s="65"/>
      <c r="O47" s="64" t="s">
        <v>192</v>
      </c>
      <c r="Q47" s="39"/>
    </row>
    <row r="48" spans="1:19" ht="20.100000000000001" customHeight="1" x14ac:dyDescent="0.3">
      <c r="A48" s="60" t="s">
        <v>44</v>
      </c>
      <c r="B48" s="48" t="s">
        <v>45</v>
      </c>
      <c r="C48" s="48" t="s">
        <v>46</v>
      </c>
      <c r="D48" s="48" t="s">
        <v>193</v>
      </c>
      <c r="E48" s="48"/>
      <c r="F48" s="48" t="s">
        <v>167</v>
      </c>
      <c r="G48" s="48"/>
      <c r="H48" s="48"/>
      <c r="I48" s="48" t="s">
        <v>189</v>
      </c>
      <c r="J48" s="61">
        <v>50902008559025</v>
      </c>
      <c r="K48" s="95">
        <v>610000</v>
      </c>
      <c r="L48" s="94">
        <v>710000</v>
      </c>
      <c r="M48" s="92"/>
      <c r="N48" s="65"/>
      <c r="O48" s="64" t="s">
        <v>192</v>
      </c>
      <c r="Q48" s="39"/>
    </row>
    <row r="49" spans="1:17" ht="20.100000000000001" customHeight="1" x14ac:dyDescent="0.3">
      <c r="A49" s="60" t="s">
        <v>44</v>
      </c>
      <c r="B49" s="48" t="s">
        <v>45</v>
      </c>
      <c r="C49" s="48" t="s">
        <v>46</v>
      </c>
      <c r="D49" s="48" t="s">
        <v>193</v>
      </c>
      <c r="E49" s="48"/>
      <c r="F49" s="48" t="s">
        <v>185</v>
      </c>
      <c r="G49" s="48"/>
      <c r="H49" s="48"/>
      <c r="I49" s="48" t="s">
        <v>191</v>
      </c>
      <c r="J49" s="61">
        <v>9100052197783</v>
      </c>
      <c r="K49" s="95">
        <v>610000</v>
      </c>
      <c r="L49" s="94">
        <v>710000</v>
      </c>
      <c r="M49" s="92"/>
      <c r="N49" s="65"/>
      <c r="O49" s="64" t="s">
        <v>192</v>
      </c>
      <c r="Q49" s="39"/>
    </row>
    <row r="50" spans="1:17" ht="20.100000000000001" customHeight="1" x14ac:dyDescent="0.3">
      <c r="A50" s="60" t="s">
        <v>44</v>
      </c>
      <c r="B50" s="48" t="s">
        <v>45</v>
      </c>
      <c r="C50" s="48" t="s">
        <v>46</v>
      </c>
      <c r="D50" s="48" t="s">
        <v>193</v>
      </c>
      <c r="E50" s="48"/>
      <c r="F50" s="48" t="s">
        <v>186</v>
      </c>
      <c r="G50" s="48"/>
      <c r="H50" s="48"/>
      <c r="I50" s="48" t="s">
        <v>72</v>
      </c>
      <c r="J50" s="61">
        <v>14491076606707</v>
      </c>
      <c r="K50" s="95">
        <v>105000</v>
      </c>
      <c r="L50" s="94">
        <v>125000</v>
      </c>
      <c r="M50" s="92"/>
      <c r="N50" s="65"/>
      <c r="O50" s="64" t="s">
        <v>192</v>
      </c>
      <c r="Q50" s="39"/>
    </row>
    <row r="51" spans="1:17" ht="20.100000000000001" customHeight="1" x14ac:dyDescent="0.3">
      <c r="A51" s="60" t="s">
        <v>44</v>
      </c>
      <c r="B51" s="48" t="s">
        <v>45</v>
      </c>
      <c r="C51" s="48" t="s">
        <v>46</v>
      </c>
      <c r="D51" s="48" t="s">
        <v>193</v>
      </c>
      <c r="E51" s="48"/>
      <c r="F51" s="48" t="s">
        <v>187</v>
      </c>
      <c r="G51" s="48"/>
      <c r="H51" s="48"/>
      <c r="I51" s="48" t="s">
        <v>51</v>
      </c>
      <c r="J51" s="61">
        <v>3020379742871</v>
      </c>
      <c r="K51" s="95">
        <v>525000</v>
      </c>
      <c r="L51" s="94">
        <v>625000</v>
      </c>
      <c r="M51" s="92"/>
      <c r="N51" s="65"/>
      <c r="O51" s="64" t="s">
        <v>192</v>
      </c>
      <c r="Q51" s="39"/>
    </row>
    <row r="52" spans="1:17" ht="20.100000000000001" customHeight="1" x14ac:dyDescent="0.3">
      <c r="A52" s="60" t="s">
        <v>218</v>
      </c>
      <c r="B52" s="48" t="s">
        <v>45</v>
      </c>
      <c r="C52" s="48" t="s">
        <v>46</v>
      </c>
      <c r="D52" s="48" t="s">
        <v>133</v>
      </c>
      <c r="E52" s="48"/>
      <c r="F52" s="48" t="s">
        <v>139</v>
      </c>
      <c r="G52" s="48"/>
      <c r="H52" s="48"/>
      <c r="I52" s="48" t="s">
        <v>58</v>
      </c>
      <c r="J52" s="61">
        <v>47940104348839</v>
      </c>
      <c r="K52" s="95">
        <v>330000</v>
      </c>
      <c r="L52" s="94">
        <v>390000</v>
      </c>
      <c r="M52" s="92"/>
      <c r="N52" s="65"/>
      <c r="O52" s="64" t="s">
        <v>216</v>
      </c>
      <c r="Q52" s="39"/>
    </row>
    <row r="53" spans="1:17" ht="20.100000000000001" customHeight="1" x14ac:dyDescent="0.3">
      <c r="A53" s="60" t="s">
        <v>218</v>
      </c>
      <c r="B53" s="48" t="s">
        <v>45</v>
      </c>
      <c r="C53" s="48" t="s">
        <v>46</v>
      </c>
      <c r="D53" s="48" t="s">
        <v>133</v>
      </c>
      <c r="E53" s="48"/>
      <c r="F53" s="48" t="s">
        <v>140</v>
      </c>
      <c r="G53" s="48"/>
      <c r="H53" s="48"/>
      <c r="I53" s="48" t="s">
        <v>72</v>
      </c>
      <c r="J53" s="61">
        <v>35491018079107</v>
      </c>
      <c r="K53" s="95">
        <v>550000</v>
      </c>
      <c r="L53" s="94">
        <v>550000</v>
      </c>
      <c r="M53" s="92"/>
      <c r="N53" s="65"/>
      <c r="O53" s="64" t="s">
        <v>216</v>
      </c>
      <c r="Q53" s="39"/>
    </row>
    <row r="54" spans="1:17" ht="20.100000000000001" customHeight="1" x14ac:dyDescent="0.3">
      <c r="A54" s="60" t="s">
        <v>218</v>
      </c>
      <c r="B54" s="48" t="s">
        <v>45</v>
      </c>
      <c r="C54" s="48" t="s">
        <v>46</v>
      </c>
      <c r="D54" s="48" t="s">
        <v>133</v>
      </c>
      <c r="E54" s="48"/>
      <c r="F54" s="48" t="s">
        <v>141</v>
      </c>
      <c r="G54" s="48"/>
      <c r="H54" s="48"/>
      <c r="I54" s="48" t="s">
        <v>72</v>
      </c>
      <c r="J54" s="61">
        <v>23391065673307</v>
      </c>
      <c r="K54" s="95">
        <v>604850</v>
      </c>
      <c r="L54" s="94">
        <v>753500</v>
      </c>
      <c r="M54" s="92">
        <v>28650</v>
      </c>
      <c r="N54" s="65" t="s">
        <v>243</v>
      </c>
      <c r="O54" s="64" t="s">
        <v>216</v>
      </c>
      <c r="Q54" s="39"/>
    </row>
    <row r="55" spans="1:17" ht="20.100000000000001" customHeight="1" x14ac:dyDescent="0.3">
      <c r="A55" s="60" t="s">
        <v>218</v>
      </c>
      <c r="B55" s="48" t="s">
        <v>45</v>
      </c>
      <c r="C55" s="48" t="s">
        <v>46</v>
      </c>
      <c r="D55" s="48" t="s">
        <v>133</v>
      </c>
      <c r="E55" s="48"/>
      <c r="F55" s="48" t="s">
        <v>142</v>
      </c>
      <c r="G55" s="48"/>
      <c r="H55" s="48"/>
      <c r="I55" s="48" t="s">
        <v>72</v>
      </c>
      <c r="J55" s="61">
        <v>23391065673307</v>
      </c>
      <c r="K55" s="95">
        <v>604850</v>
      </c>
      <c r="L55" s="94">
        <v>753500</v>
      </c>
      <c r="M55" s="92">
        <v>28650</v>
      </c>
      <c r="N55" s="65" t="s">
        <v>243</v>
      </c>
      <c r="O55" s="64" t="s">
        <v>216</v>
      </c>
      <c r="Q55" s="39"/>
    </row>
    <row r="56" spans="1:17" ht="20.100000000000001" customHeight="1" x14ac:dyDescent="0.3">
      <c r="A56" s="60" t="s">
        <v>218</v>
      </c>
      <c r="B56" s="48" t="s">
        <v>45</v>
      </c>
      <c r="C56" s="48" t="s">
        <v>46</v>
      </c>
      <c r="D56" s="48" t="s">
        <v>133</v>
      </c>
      <c r="E56" s="48"/>
      <c r="F56" s="48" t="s">
        <v>143</v>
      </c>
      <c r="G56" s="48"/>
      <c r="H56" s="48"/>
      <c r="I56" s="48" t="s">
        <v>72</v>
      </c>
      <c r="J56" s="61">
        <v>29991054312107</v>
      </c>
      <c r="K56" s="95">
        <v>318500</v>
      </c>
      <c r="L56" s="94">
        <v>393500</v>
      </c>
      <c r="M56" s="92"/>
      <c r="N56" s="65"/>
      <c r="O56" s="64" t="s">
        <v>216</v>
      </c>
      <c r="Q56" s="39"/>
    </row>
    <row r="57" spans="1:17" ht="20.100000000000001" customHeight="1" x14ac:dyDescent="0.3">
      <c r="A57" s="60" t="s">
        <v>218</v>
      </c>
      <c r="B57" s="48" t="s">
        <v>45</v>
      </c>
      <c r="C57" s="48" t="s">
        <v>46</v>
      </c>
      <c r="D57" s="48" t="s">
        <v>133</v>
      </c>
      <c r="E57" s="48"/>
      <c r="F57" s="48" t="s">
        <v>144</v>
      </c>
      <c r="G57" s="48"/>
      <c r="H57" s="48"/>
      <c r="I57" s="48" t="s">
        <v>72</v>
      </c>
      <c r="J57" s="61">
        <v>23391063977607</v>
      </c>
      <c r="K57" s="95">
        <v>315000</v>
      </c>
      <c r="L57" s="94">
        <v>390000</v>
      </c>
      <c r="M57" s="92"/>
      <c r="N57" s="65"/>
      <c r="O57" s="64" t="s">
        <v>216</v>
      </c>
      <c r="Q57" s="39"/>
    </row>
    <row r="58" spans="1:17" ht="20.100000000000001" customHeight="1" x14ac:dyDescent="0.3">
      <c r="A58" s="60" t="s">
        <v>218</v>
      </c>
      <c r="B58" s="48" t="s">
        <v>45</v>
      </c>
      <c r="C58" s="48" t="s">
        <v>46</v>
      </c>
      <c r="D58" s="48" t="s">
        <v>133</v>
      </c>
      <c r="E58" s="48"/>
      <c r="F58" s="48" t="s">
        <v>147</v>
      </c>
      <c r="G58" s="48"/>
      <c r="H58" s="48"/>
      <c r="I58" s="48" t="s">
        <v>51</v>
      </c>
      <c r="J58" s="61">
        <v>3561626523273</v>
      </c>
      <c r="K58" s="95">
        <v>317100</v>
      </c>
      <c r="L58" s="94">
        <v>392100</v>
      </c>
      <c r="M58" s="92"/>
      <c r="N58" s="65"/>
      <c r="O58" s="64" t="s">
        <v>216</v>
      </c>
      <c r="Q58" s="39"/>
    </row>
    <row r="59" spans="1:17" ht="20.100000000000001" customHeight="1" x14ac:dyDescent="0.3">
      <c r="A59" s="60" t="s">
        <v>218</v>
      </c>
      <c r="B59" s="48" t="s">
        <v>45</v>
      </c>
      <c r="C59" s="48" t="s">
        <v>46</v>
      </c>
      <c r="D59" s="48" t="s">
        <v>133</v>
      </c>
      <c r="E59" s="48"/>
      <c r="F59" s="48" t="s">
        <v>148</v>
      </c>
      <c r="G59" s="48"/>
      <c r="H59" s="48"/>
      <c r="I59" s="48" t="s">
        <v>72</v>
      </c>
      <c r="J59" s="61">
        <v>68091053420107</v>
      </c>
      <c r="K59" s="95">
        <v>210000</v>
      </c>
      <c r="L59" s="94">
        <v>260000</v>
      </c>
      <c r="M59" s="92"/>
      <c r="N59" s="65"/>
      <c r="O59" s="64" t="s">
        <v>216</v>
      </c>
      <c r="Q59" s="39"/>
    </row>
    <row r="60" spans="1:17" ht="20.100000000000001" customHeight="1" x14ac:dyDescent="0.3">
      <c r="A60" s="60" t="s">
        <v>218</v>
      </c>
      <c r="B60" s="48" t="s">
        <v>45</v>
      </c>
      <c r="C60" s="48" t="s">
        <v>46</v>
      </c>
      <c r="D60" s="48" t="s">
        <v>133</v>
      </c>
      <c r="E60" s="48"/>
      <c r="F60" s="48" t="s">
        <v>149</v>
      </c>
      <c r="G60" s="48"/>
      <c r="H60" s="48"/>
      <c r="I60" s="48" t="s">
        <v>72</v>
      </c>
      <c r="J60" s="61">
        <v>57191056846807</v>
      </c>
      <c r="K60" s="95">
        <v>676420</v>
      </c>
      <c r="L60" s="94">
        <v>877100</v>
      </c>
      <c r="M60" s="92">
        <v>60680</v>
      </c>
      <c r="N60" s="65" t="s">
        <v>243</v>
      </c>
      <c r="O60" s="64" t="s">
        <v>216</v>
      </c>
      <c r="Q60" s="39"/>
    </row>
    <row r="61" spans="1:17" ht="20.100000000000001" customHeight="1" x14ac:dyDescent="0.3">
      <c r="A61" s="60" t="s">
        <v>218</v>
      </c>
      <c r="B61" s="48" t="s">
        <v>45</v>
      </c>
      <c r="C61" s="48" t="s">
        <v>46</v>
      </c>
      <c r="D61" s="48" t="s">
        <v>133</v>
      </c>
      <c r="E61" s="48"/>
      <c r="F61" s="48" t="s">
        <v>150</v>
      </c>
      <c r="G61" s="48"/>
      <c r="H61" s="48"/>
      <c r="I61" s="48" t="s">
        <v>72</v>
      </c>
      <c r="J61" s="61">
        <v>39891066942107</v>
      </c>
      <c r="K61" s="95">
        <v>642260</v>
      </c>
      <c r="L61" s="94">
        <v>875000</v>
      </c>
      <c r="M61" s="92">
        <v>92740</v>
      </c>
      <c r="N61" s="65" t="s">
        <v>243</v>
      </c>
      <c r="O61" s="64" t="s">
        <v>216</v>
      </c>
      <c r="Q61" s="39"/>
    </row>
    <row r="62" spans="1:17" ht="20.100000000000001" customHeight="1" x14ac:dyDescent="0.3">
      <c r="A62" s="60" t="s">
        <v>218</v>
      </c>
      <c r="B62" s="48" t="s">
        <v>45</v>
      </c>
      <c r="C62" s="48" t="s">
        <v>46</v>
      </c>
      <c r="D62" s="48" t="s">
        <v>133</v>
      </c>
      <c r="E62" s="48"/>
      <c r="F62" s="48" t="s">
        <v>151</v>
      </c>
      <c r="G62" s="48"/>
      <c r="H62" s="48"/>
      <c r="I62" s="48" t="s">
        <v>72</v>
      </c>
      <c r="J62" s="61">
        <v>39891066942107</v>
      </c>
      <c r="K62" s="95">
        <v>642260</v>
      </c>
      <c r="L62" s="94">
        <v>875000</v>
      </c>
      <c r="M62" s="92">
        <v>92740</v>
      </c>
      <c r="N62" s="65" t="s">
        <v>243</v>
      </c>
      <c r="O62" s="64" t="s">
        <v>216</v>
      </c>
      <c r="Q62" s="39"/>
    </row>
    <row r="63" spans="1:17" ht="20.100000000000001" customHeight="1" x14ac:dyDescent="0.3">
      <c r="A63" s="60" t="s">
        <v>218</v>
      </c>
      <c r="B63" s="48" t="s">
        <v>45</v>
      </c>
      <c r="C63" s="48" t="s">
        <v>46</v>
      </c>
      <c r="D63" s="48" t="s">
        <v>133</v>
      </c>
      <c r="E63" s="48"/>
      <c r="F63" s="48" t="s">
        <v>152</v>
      </c>
      <c r="G63" s="48"/>
      <c r="H63" s="48"/>
      <c r="I63" s="48" t="s">
        <v>51</v>
      </c>
      <c r="J63" s="61">
        <v>3560935626623</v>
      </c>
      <c r="K63" s="95">
        <v>420000</v>
      </c>
      <c r="L63" s="94">
        <v>520000</v>
      </c>
      <c r="M63" s="92"/>
      <c r="N63" s="65"/>
      <c r="O63" s="64" t="s">
        <v>216</v>
      </c>
      <c r="Q63" s="39"/>
    </row>
    <row r="64" spans="1:17" ht="20.100000000000001" customHeight="1" x14ac:dyDescent="0.3">
      <c r="A64" s="60" t="s">
        <v>218</v>
      </c>
      <c r="B64" s="48" t="s">
        <v>45</v>
      </c>
      <c r="C64" s="48" t="s">
        <v>46</v>
      </c>
      <c r="D64" s="48" t="s">
        <v>133</v>
      </c>
      <c r="E64" s="48"/>
      <c r="F64" s="48" t="s">
        <v>153</v>
      </c>
      <c r="G64" s="48"/>
      <c r="H64" s="48"/>
      <c r="I64" s="48" t="s">
        <v>188</v>
      </c>
      <c r="J64" s="61">
        <v>36110662801011</v>
      </c>
      <c r="K64" s="95">
        <v>527100</v>
      </c>
      <c r="L64" s="94">
        <v>652100</v>
      </c>
      <c r="M64" s="92"/>
      <c r="N64" s="65"/>
      <c r="O64" s="64" t="s">
        <v>216</v>
      </c>
      <c r="Q64" s="39"/>
    </row>
    <row r="65" spans="1:17" ht="20.100000000000001" customHeight="1" x14ac:dyDescent="0.3">
      <c r="A65" s="60" t="s">
        <v>218</v>
      </c>
      <c r="B65" s="48" t="s">
        <v>45</v>
      </c>
      <c r="C65" s="48" t="s">
        <v>46</v>
      </c>
      <c r="D65" s="48" t="s">
        <v>133</v>
      </c>
      <c r="E65" s="48"/>
      <c r="F65" s="48" t="s">
        <v>154</v>
      </c>
      <c r="G65" s="48"/>
      <c r="H65" s="48"/>
      <c r="I65" s="48" t="s">
        <v>51</v>
      </c>
      <c r="J65" s="61">
        <v>3512536253663</v>
      </c>
      <c r="K65" s="95">
        <v>536900</v>
      </c>
      <c r="L65" s="94">
        <v>661900</v>
      </c>
      <c r="M65" s="92"/>
      <c r="N65" s="65"/>
      <c r="O65" s="64" t="s">
        <v>216</v>
      </c>
      <c r="Q65" s="39"/>
    </row>
    <row r="66" spans="1:17" ht="20.100000000000001" customHeight="1" x14ac:dyDescent="0.3">
      <c r="A66" s="60" t="s">
        <v>218</v>
      </c>
      <c r="B66" s="48" t="s">
        <v>45</v>
      </c>
      <c r="C66" s="48" t="s">
        <v>46</v>
      </c>
      <c r="D66" s="48" t="s">
        <v>133</v>
      </c>
      <c r="E66" s="48"/>
      <c r="F66" s="48" t="s">
        <v>155</v>
      </c>
      <c r="G66" s="48"/>
      <c r="H66" s="48"/>
      <c r="I66" s="48" t="s">
        <v>55</v>
      </c>
      <c r="J66" s="61">
        <v>1002863255436</v>
      </c>
      <c r="K66" s="95">
        <v>541100</v>
      </c>
      <c r="L66" s="94">
        <v>666100</v>
      </c>
      <c r="M66" s="92"/>
      <c r="N66" s="65"/>
      <c r="O66" s="64" t="s">
        <v>216</v>
      </c>
      <c r="Q66" s="39"/>
    </row>
    <row r="67" spans="1:17" ht="20.100000000000001" customHeight="1" x14ac:dyDescent="0.3">
      <c r="A67" s="60" t="s">
        <v>218</v>
      </c>
      <c r="B67" s="48" t="s">
        <v>45</v>
      </c>
      <c r="C67" s="48" t="s">
        <v>46</v>
      </c>
      <c r="D67" s="48" t="s">
        <v>133</v>
      </c>
      <c r="E67" s="48"/>
      <c r="F67" s="48" t="s">
        <v>227</v>
      </c>
      <c r="G67" s="48"/>
      <c r="H67" s="48"/>
      <c r="I67" s="48" t="s">
        <v>58</v>
      </c>
      <c r="J67" s="61">
        <v>48460104164408</v>
      </c>
      <c r="K67" s="95">
        <v>105000</v>
      </c>
      <c r="L67" s="94">
        <v>125000</v>
      </c>
      <c r="M67" s="92"/>
      <c r="N67" s="65"/>
      <c r="O67" s="64" t="s">
        <v>216</v>
      </c>
      <c r="Q67" s="39"/>
    </row>
    <row r="68" spans="1:17" ht="20.100000000000001" customHeight="1" x14ac:dyDescent="0.3">
      <c r="A68" s="60" t="s">
        <v>218</v>
      </c>
      <c r="B68" s="48" t="s">
        <v>45</v>
      </c>
      <c r="C68" s="48" t="s">
        <v>46</v>
      </c>
      <c r="D68" s="48" t="s">
        <v>133</v>
      </c>
      <c r="E68" s="48"/>
      <c r="F68" s="48" t="s">
        <v>228</v>
      </c>
      <c r="G68" s="48"/>
      <c r="H68" s="48"/>
      <c r="I68" s="48" t="s">
        <v>58</v>
      </c>
      <c r="J68" s="61">
        <v>48460104164862</v>
      </c>
      <c r="K68" s="95">
        <v>105000</v>
      </c>
      <c r="L68" s="94">
        <v>125000</v>
      </c>
      <c r="M68" s="92"/>
      <c r="N68" s="65"/>
      <c r="O68" s="64" t="s">
        <v>216</v>
      </c>
      <c r="Q68" s="39"/>
    </row>
    <row r="69" spans="1:17" ht="20.100000000000001" customHeight="1" x14ac:dyDescent="0.3">
      <c r="A69" s="60" t="s">
        <v>218</v>
      </c>
      <c r="B69" s="48" t="s">
        <v>45</v>
      </c>
      <c r="C69" s="48" t="s">
        <v>46</v>
      </c>
      <c r="D69" s="48" t="s">
        <v>133</v>
      </c>
      <c r="E69" s="48"/>
      <c r="F69" s="48" t="s">
        <v>229</v>
      </c>
      <c r="G69" s="48"/>
      <c r="H69" s="48"/>
      <c r="I69" s="48" t="s">
        <v>72</v>
      </c>
      <c r="J69" s="61">
        <v>63591097804107</v>
      </c>
      <c r="K69" s="95">
        <v>107100</v>
      </c>
      <c r="L69" s="94">
        <v>127100</v>
      </c>
      <c r="M69" s="92"/>
      <c r="N69" s="65"/>
      <c r="O69" s="64" t="s">
        <v>216</v>
      </c>
      <c r="Q69" s="39"/>
    </row>
    <row r="70" spans="1:17" ht="20.100000000000001" customHeight="1" x14ac:dyDescent="0.3">
      <c r="A70" s="60" t="s">
        <v>218</v>
      </c>
      <c r="B70" s="48" t="s">
        <v>45</v>
      </c>
      <c r="C70" s="48" t="s">
        <v>46</v>
      </c>
      <c r="D70" s="48" t="s">
        <v>133</v>
      </c>
      <c r="E70" s="48"/>
      <c r="F70" s="48" t="s">
        <v>156</v>
      </c>
      <c r="G70" s="48"/>
      <c r="H70" s="48"/>
      <c r="I70" s="48" t="s">
        <v>72</v>
      </c>
      <c r="J70" s="61">
        <v>23391067991707</v>
      </c>
      <c r="K70" s="95">
        <v>548100</v>
      </c>
      <c r="L70" s="94">
        <v>648100</v>
      </c>
      <c r="M70" s="92"/>
      <c r="N70" s="65"/>
      <c r="O70" s="64" t="s">
        <v>216</v>
      </c>
      <c r="Q70" s="39"/>
    </row>
    <row r="71" spans="1:17" ht="20.100000000000001" customHeight="1" x14ac:dyDescent="0.3">
      <c r="A71" s="60" t="s">
        <v>218</v>
      </c>
      <c r="B71" s="48" t="s">
        <v>45</v>
      </c>
      <c r="C71" s="48" t="s">
        <v>46</v>
      </c>
      <c r="D71" s="48" t="s">
        <v>133</v>
      </c>
      <c r="E71" s="48"/>
      <c r="F71" s="48" t="s">
        <v>230</v>
      </c>
      <c r="G71" s="48"/>
      <c r="H71" s="48"/>
      <c r="I71" s="48" t="s">
        <v>62</v>
      </c>
      <c r="J71" s="61">
        <v>9105205337638</v>
      </c>
      <c r="K71" s="95">
        <v>208500</v>
      </c>
      <c r="L71" s="94">
        <v>228500</v>
      </c>
      <c r="M71" s="92"/>
      <c r="N71" s="65"/>
      <c r="O71" s="64" t="s">
        <v>216</v>
      </c>
      <c r="Q71" s="39"/>
    </row>
    <row r="72" spans="1:17" ht="20.100000000000001" customHeight="1" x14ac:dyDescent="0.3">
      <c r="A72" s="60" t="s">
        <v>218</v>
      </c>
      <c r="B72" s="48" t="s">
        <v>45</v>
      </c>
      <c r="C72" s="48" t="s">
        <v>46</v>
      </c>
      <c r="D72" s="48" t="s">
        <v>133</v>
      </c>
      <c r="E72" s="48"/>
      <c r="F72" s="48" t="s">
        <v>231</v>
      </c>
      <c r="G72" s="48"/>
      <c r="H72" s="48"/>
      <c r="I72" s="48" t="s">
        <v>62</v>
      </c>
      <c r="J72" s="61">
        <v>9105205209318</v>
      </c>
      <c r="K72" s="95">
        <v>208500</v>
      </c>
      <c r="L72" s="94">
        <v>228500</v>
      </c>
      <c r="M72" s="92"/>
      <c r="N72" s="65"/>
      <c r="O72" s="64" t="s">
        <v>216</v>
      </c>
      <c r="Q72" s="39"/>
    </row>
    <row r="73" spans="1:17" ht="20.100000000000001" customHeight="1" x14ac:dyDescent="0.3">
      <c r="A73" s="60" t="s">
        <v>218</v>
      </c>
      <c r="B73" s="48" t="s">
        <v>45</v>
      </c>
      <c r="C73" s="48" t="s">
        <v>46</v>
      </c>
      <c r="D73" s="48" t="s">
        <v>133</v>
      </c>
      <c r="E73" s="48"/>
      <c r="F73" s="48" t="s">
        <v>232</v>
      </c>
      <c r="G73" s="48"/>
      <c r="H73" s="48"/>
      <c r="I73" s="48" t="s">
        <v>72</v>
      </c>
      <c r="J73" s="61">
        <v>23391053112107</v>
      </c>
      <c r="K73" s="95">
        <v>105000</v>
      </c>
      <c r="L73" s="94">
        <v>125000</v>
      </c>
      <c r="M73" s="92"/>
      <c r="N73" s="65"/>
      <c r="O73" s="64" t="s">
        <v>216</v>
      </c>
      <c r="Q73" s="39"/>
    </row>
    <row r="74" spans="1:17" ht="20.100000000000001" customHeight="1" x14ac:dyDescent="0.3">
      <c r="A74" s="60" t="s">
        <v>218</v>
      </c>
      <c r="B74" s="48" t="s">
        <v>45</v>
      </c>
      <c r="C74" s="48" t="s">
        <v>46</v>
      </c>
      <c r="D74" s="48" t="s">
        <v>133</v>
      </c>
      <c r="E74" s="48"/>
      <c r="F74" s="48" t="s">
        <v>157</v>
      </c>
      <c r="G74" s="48"/>
      <c r="H74" s="48"/>
      <c r="I74" s="48" t="s">
        <v>72</v>
      </c>
      <c r="J74" s="61">
        <v>23391053112107</v>
      </c>
      <c r="K74" s="95">
        <v>105000</v>
      </c>
      <c r="L74" s="94">
        <v>125000</v>
      </c>
      <c r="M74" s="92"/>
      <c r="N74" s="65"/>
      <c r="O74" s="64" t="s">
        <v>216</v>
      </c>
      <c r="Q74" s="39"/>
    </row>
    <row r="75" spans="1:17" ht="20.100000000000001" customHeight="1" x14ac:dyDescent="0.3">
      <c r="A75" s="60" t="s">
        <v>218</v>
      </c>
      <c r="B75" s="48" t="s">
        <v>45</v>
      </c>
      <c r="C75" s="48" t="s">
        <v>46</v>
      </c>
      <c r="D75" s="48" t="s">
        <v>133</v>
      </c>
      <c r="E75" s="48"/>
      <c r="F75" s="48" t="s">
        <v>233</v>
      </c>
      <c r="G75" s="48"/>
      <c r="H75" s="48"/>
      <c r="I75" s="48" t="s">
        <v>62</v>
      </c>
      <c r="J75" s="61">
        <v>9105205290345</v>
      </c>
      <c r="K75" s="95">
        <v>203500</v>
      </c>
      <c r="L75" s="94">
        <v>223500</v>
      </c>
      <c r="M75" s="92"/>
      <c r="N75" s="65"/>
      <c r="O75" s="64" t="s">
        <v>216</v>
      </c>
      <c r="Q75" s="39"/>
    </row>
    <row r="76" spans="1:17" ht="20.100000000000001" customHeight="1" x14ac:dyDescent="0.3">
      <c r="A76" s="60" t="s">
        <v>218</v>
      </c>
      <c r="B76" s="48" t="s">
        <v>45</v>
      </c>
      <c r="C76" s="48" t="s">
        <v>46</v>
      </c>
      <c r="D76" s="48" t="s">
        <v>133</v>
      </c>
      <c r="E76" s="48"/>
      <c r="F76" s="48" t="s">
        <v>234</v>
      </c>
      <c r="G76" s="48"/>
      <c r="H76" s="48"/>
      <c r="I76" s="48" t="s">
        <v>62</v>
      </c>
      <c r="J76" s="61">
        <v>9105205209669</v>
      </c>
      <c r="K76" s="95">
        <v>98500</v>
      </c>
      <c r="L76" s="94">
        <v>98500</v>
      </c>
      <c r="M76" s="92"/>
      <c r="N76" s="65"/>
      <c r="O76" s="64" t="s">
        <v>216</v>
      </c>
      <c r="Q76" s="39"/>
    </row>
    <row r="77" spans="1:17" ht="20.100000000000001" customHeight="1" x14ac:dyDescent="0.3">
      <c r="A77" s="60" t="s">
        <v>218</v>
      </c>
      <c r="B77" s="48" t="s">
        <v>45</v>
      </c>
      <c r="C77" s="48" t="s">
        <v>46</v>
      </c>
      <c r="D77" s="48" t="s">
        <v>133</v>
      </c>
      <c r="E77" s="48"/>
      <c r="F77" s="48" t="s">
        <v>158</v>
      </c>
      <c r="G77" s="48"/>
      <c r="H77" s="48"/>
      <c r="I77" s="48" t="s">
        <v>72</v>
      </c>
      <c r="J77" s="61">
        <v>11692214377437</v>
      </c>
      <c r="K77" s="95">
        <v>630000</v>
      </c>
      <c r="L77" s="94">
        <v>750000</v>
      </c>
      <c r="M77" s="92"/>
      <c r="N77" s="65"/>
      <c r="O77" s="64" t="s">
        <v>216</v>
      </c>
      <c r="Q77" s="39"/>
    </row>
    <row r="78" spans="1:17" ht="20.100000000000001" customHeight="1" x14ac:dyDescent="0.3">
      <c r="A78" s="60" t="s">
        <v>218</v>
      </c>
      <c r="B78" s="48" t="s">
        <v>45</v>
      </c>
      <c r="C78" s="48" t="s">
        <v>46</v>
      </c>
      <c r="D78" s="48" t="s">
        <v>133</v>
      </c>
      <c r="E78" s="48"/>
      <c r="F78" s="48" t="s">
        <v>159</v>
      </c>
      <c r="G78" s="48"/>
      <c r="H78" s="48"/>
      <c r="I78" s="48" t="s">
        <v>72</v>
      </c>
      <c r="J78" s="61">
        <v>23391064161907</v>
      </c>
      <c r="K78" s="95">
        <v>424200</v>
      </c>
      <c r="L78" s="94">
        <v>504200</v>
      </c>
      <c r="M78" s="92"/>
      <c r="N78" s="65"/>
      <c r="O78" s="64" t="s">
        <v>216</v>
      </c>
      <c r="Q78" s="39"/>
    </row>
    <row r="79" spans="1:17" ht="20.100000000000001" customHeight="1" x14ac:dyDescent="0.3">
      <c r="A79" s="60" t="s">
        <v>218</v>
      </c>
      <c r="B79" s="48" t="s">
        <v>45</v>
      </c>
      <c r="C79" s="48" t="s">
        <v>46</v>
      </c>
      <c r="D79" s="48" t="s">
        <v>133</v>
      </c>
      <c r="E79" s="48"/>
      <c r="F79" s="48" t="s">
        <v>160</v>
      </c>
      <c r="G79" s="48"/>
      <c r="H79" s="48"/>
      <c r="I79" s="48" t="s">
        <v>58</v>
      </c>
      <c r="J79" s="61">
        <v>29250201308193</v>
      </c>
      <c r="K79" s="95">
        <v>631400</v>
      </c>
      <c r="L79" s="94">
        <v>751400</v>
      </c>
      <c r="M79" s="92"/>
      <c r="N79" s="65"/>
      <c r="O79" s="64" t="s">
        <v>216</v>
      </c>
      <c r="Q79" s="39"/>
    </row>
    <row r="80" spans="1:17" ht="20.100000000000001" customHeight="1" x14ac:dyDescent="0.3">
      <c r="A80" s="60" t="s">
        <v>218</v>
      </c>
      <c r="B80" s="48" t="s">
        <v>45</v>
      </c>
      <c r="C80" s="48" t="s">
        <v>46</v>
      </c>
      <c r="D80" s="48" t="s">
        <v>133</v>
      </c>
      <c r="E80" s="48"/>
      <c r="F80" s="48" t="s">
        <v>161</v>
      </c>
      <c r="G80" s="48"/>
      <c r="H80" s="48"/>
      <c r="I80" s="48" t="s">
        <v>76</v>
      </c>
      <c r="J80" s="61">
        <v>100089184707</v>
      </c>
      <c r="K80" s="95">
        <v>210000</v>
      </c>
      <c r="L80" s="94">
        <v>250000</v>
      </c>
      <c r="M80" s="92"/>
      <c r="N80" s="65"/>
      <c r="O80" s="64" t="s">
        <v>216</v>
      </c>
      <c r="Q80" s="39"/>
    </row>
    <row r="81" spans="1:17" ht="20.100000000000001" customHeight="1" x14ac:dyDescent="0.3">
      <c r="A81" s="60" t="s">
        <v>218</v>
      </c>
      <c r="B81" s="48" t="s">
        <v>45</v>
      </c>
      <c r="C81" s="48" t="s">
        <v>46</v>
      </c>
      <c r="D81" s="48" t="s">
        <v>133</v>
      </c>
      <c r="E81" s="48"/>
      <c r="F81" s="48" t="s">
        <v>162</v>
      </c>
      <c r="G81" s="48"/>
      <c r="H81" s="48"/>
      <c r="I81" s="48" t="s">
        <v>76</v>
      </c>
      <c r="J81" s="61">
        <v>100248207200</v>
      </c>
      <c r="K81" s="95">
        <v>315000</v>
      </c>
      <c r="L81" s="94">
        <v>375000</v>
      </c>
      <c r="M81" s="92"/>
      <c r="N81" s="65"/>
      <c r="O81" s="64" t="s">
        <v>216</v>
      </c>
      <c r="Q81" s="39"/>
    </row>
    <row r="82" spans="1:17" ht="20.100000000000001" customHeight="1" x14ac:dyDescent="0.3">
      <c r="A82" s="60" t="s">
        <v>218</v>
      </c>
      <c r="B82" s="48" t="s">
        <v>45</v>
      </c>
      <c r="C82" s="48" t="s">
        <v>46</v>
      </c>
      <c r="D82" s="48" t="s">
        <v>133</v>
      </c>
      <c r="E82" s="48"/>
      <c r="F82" s="48" t="s">
        <v>163</v>
      </c>
      <c r="G82" s="48"/>
      <c r="H82" s="48"/>
      <c r="I82" s="48" t="s">
        <v>55</v>
      </c>
      <c r="J82" s="61">
        <v>1002761382905</v>
      </c>
      <c r="K82" s="95">
        <v>420000</v>
      </c>
      <c r="L82" s="94">
        <v>520000</v>
      </c>
      <c r="M82" s="92"/>
      <c r="N82" s="65"/>
      <c r="O82" s="64" t="s">
        <v>216</v>
      </c>
      <c r="Q82" s="39"/>
    </row>
    <row r="83" spans="1:17" ht="20.100000000000001" customHeight="1" x14ac:dyDescent="0.3">
      <c r="A83" s="60" t="s">
        <v>218</v>
      </c>
      <c r="B83" s="48" t="s">
        <v>45</v>
      </c>
      <c r="C83" s="48" t="s">
        <v>46</v>
      </c>
      <c r="D83" s="48" t="s">
        <v>133</v>
      </c>
      <c r="E83" s="48"/>
      <c r="F83" s="48" t="s">
        <v>164</v>
      </c>
      <c r="G83" s="48"/>
      <c r="H83" s="48"/>
      <c r="I83" s="48" t="s">
        <v>72</v>
      </c>
      <c r="J83" s="61">
        <v>60491096318007</v>
      </c>
      <c r="K83" s="95">
        <v>210000</v>
      </c>
      <c r="L83" s="94">
        <v>250000</v>
      </c>
      <c r="M83" s="92"/>
      <c r="N83" s="65"/>
      <c r="O83" s="64" t="s">
        <v>216</v>
      </c>
      <c r="Q83" s="39"/>
    </row>
    <row r="84" spans="1:17" ht="20.100000000000001" customHeight="1" x14ac:dyDescent="0.3">
      <c r="A84" s="60" t="s">
        <v>218</v>
      </c>
      <c r="B84" s="48" t="s">
        <v>45</v>
      </c>
      <c r="C84" s="48" t="s">
        <v>46</v>
      </c>
      <c r="D84" s="48" t="s">
        <v>133</v>
      </c>
      <c r="E84" s="48"/>
      <c r="F84" s="48" t="s">
        <v>235</v>
      </c>
      <c r="G84" s="48"/>
      <c r="H84" s="48"/>
      <c r="I84" s="48" t="s">
        <v>62</v>
      </c>
      <c r="J84" s="61">
        <v>9100050571420</v>
      </c>
      <c r="K84" s="95">
        <v>212100</v>
      </c>
      <c r="L84" s="94">
        <v>252100</v>
      </c>
      <c r="M84" s="92"/>
      <c r="N84" s="65"/>
      <c r="O84" s="64" t="s">
        <v>216</v>
      </c>
      <c r="Q84" s="39"/>
    </row>
    <row r="85" spans="1:17" ht="20.100000000000001" customHeight="1" x14ac:dyDescent="0.3">
      <c r="A85" s="60" t="s">
        <v>218</v>
      </c>
      <c r="B85" s="48" t="s">
        <v>45</v>
      </c>
      <c r="C85" s="48" t="s">
        <v>46</v>
      </c>
      <c r="D85" s="48" t="s">
        <v>133</v>
      </c>
      <c r="E85" s="48"/>
      <c r="F85" s="48" t="s">
        <v>165</v>
      </c>
      <c r="G85" s="48"/>
      <c r="H85" s="48"/>
      <c r="I85" s="48" t="s">
        <v>76</v>
      </c>
      <c r="J85" s="61">
        <v>100178321014</v>
      </c>
      <c r="K85" s="95">
        <v>361810</v>
      </c>
      <c r="L85" s="94">
        <v>501400</v>
      </c>
      <c r="M85" s="92">
        <v>59590</v>
      </c>
      <c r="N85" s="65" t="s">
        <v>244</v>
      </c>
      <c r="O85" s="64" t="s">
        <v>216</v>
      </c>
    </row>
    <row r="86" spans="1:17" ht="20.100000000000001" customHeight="1" x14ac:dyDescent="0.3">
      <c r="A86" s="60" t="s">
        <v>218</v>
      </c>
      <c r="B86" s="48" t="s">
        <v>45</v>
      </c>
      <c r="C86" s="48" t="s">
        <v>46</v>
      </c>
      <c r="D86" s="48" t="s">
        <v>133</v>
      </c>
      <c r="E86" s="48"/>
      <c r="F86" s="48" t="s">
        <v>166</v>
      </c>
      <c r="G86" s="48"/>
      <c r="H86" s="48"/>
      <c r="I86" s="48" t="s">
        <v>189</v>
      </c>
      <c r="J86" s="61">
        <v>50902008559049</v>
      </c>
      <c r="K86" s="95">
        <v>630000</v>
      </c>
      <c r="L86" s="94">
        <v>750000</v>
      </c>
      <c r="M86" s="92"/>
      <c r="N86" s="65"/>
      <c r="O86" s="64" t="s">
        <v>216</v>
      </c>
    </row>
    <row r="87" spans="1:17" ht="20.100000000000001" customHeight="1" x14ac:dyDescent="0.3">
      <c r="A87" s="60" t="s">
        <v>218</v>
      </c>
      <c r="B87" s="48" t="s">
        <v>45</v>
      </c>
      <c r="C87" s="48" t="s">
        <v>46</v>
      </c>
      <c r="D87" s="48" t="s">
        <v>133</v>
      </c>
      <c r="E87" s="48"/>
      <c r="F87" s="48" t="s">
        <v>236</v>
      </c>
      <c r="G87" s="48"/>
      <c r="H87" s="48"/>
      <c r="I87" s="48" t="s">
        <v>55</v>
      </c>
      <c r="J87" s="61">
        <v>1002044889759</v>
      </c>
      <c r="K87" s="95">
        <v>105000</v>
      </c>
      <c r="L87" s="94">
        <v>130000</v>
      </c>
      <c r="M87" s="92"/>
      <c r="N87" s="65"/>
      <c r="O87" s="64" t="s">
        <v>216</v>
      </c>
    </row>
    <row r="88" spans="1:17" ht="20.100000000000001" customHeight="1" x14ac:dyDescent="0.3">
      <c r="A88" s="60" t="s">
        <v>218</v>
      </c>
      <c r="B88" s="48" t="s">
        <v>45</v>
      </c>
      <c r="C88" s="48" t="s">
        <v>46</v>
      </c>
      <c r="D88" s="48" t="s">
        <v>133</v>
      </c>
      <c r="E88" s="48"/>
      <c r="F88" s="48" t="s">
        <v>168</v>
      </c>
      <c r="G88" s="48"/>
      <c r="H88" s="48"/>
      <c r="I88" s="48" t="s">
        <v>188</v>
      </c>
      <c r="J88" s="61">
        <v>40107855201013</v>
      </c>
      <c r="K88" s="95">
        <v>637000</v>
      </c>
      <c r="L88" s="94">
        <v>757000</v>
      </c>
      <c r="M88" s="92"/>
      <c r="N88" s="65"/>
      <c r="O88" s="64" t="s">
        <v>216</v>
      </c>
    </row>
    <row r="89" spans="1:17" ht="20.100000000000001" customHeight="1" x14ac:dyDescent="0.3">
      <c r="A89" s="60" t="s">
        <v>218</v>
      </c>
      <c r="B89" s="48" t="s">
        <v>45</v>
      </c>
      <c r="C89" s="48" t="s">
        <v>46</v>
      </c>
      <c r="D89" s="48" t="s">
        <v>133</v>
      </c>
      <c r="E89" s="48"/>
      <c r="F89" s="48" t="s">
        <v>169</v>
      </c>
      <c r="G89" s="48"/>
      <c r="H89" s="48"/>
      <c r="I89" s="48" t="s">
        <v>189</v>
      </c>
      <c r="J89" s="61">
        <v>50902008580346</v>
      </c>
      <c r="K89" s="95">
        <v>210000</v>
      </c>
      <c r="L89" s="94">
        <v>250000</v>
      </c>
      <c r="M89" s="92"/>
      <c r="N89" s="65"/>
      <c r="O89" s="64" t="s">
        <v>216</v>
      </c>
    </row>
    <row r="90" spans="1:17" ht="20.100000000000001" customHeight="1" x14ac:dyDescent="0.3">
      <c r="A90" s="60" t="s">
        <v>218</v>
      </c>
      <c r="B90" s="48" t="s">
        <v>45</v>
      </c>
      <c r="C90" s="48" t="s">
        <v>46</v>
      </c>
      <c r="D90" s="48" t="s">
        <v>133</v>
      </c>
      <c r="E90" s="48"/>
      <c r="F90" s="48" t="s">
        <v>170</v>
      </c>
      <c r="G90" s="48"/>
      <c r="H90" s="48"/>
      <c r="I90" s="48" t="s">
        <v>76</v>
      </c>
      <c r="J90" s="61">
        <v>100067984361</v>
      </c>
      <c r="K90" s="95">
        <v>279040</v>
      </c>
      <c r="L90" s="94">
        <v>382000</v>
      </c>
      <c r="M90" s="92">
        <v>42960</v>
      </c>
      <c r="N90" s="65" t="s">
        <v>244</v>
      </c>
      <c r="O90" s="64" t="s">
        <v>216</v>
      </c>
    </row>
    <row r="91" spans="1:17" ht="20.100000000000001" customHeight="1" x14ac:dyDescent="0.3">
      <c r="A91" s="60" t="s">
        <v>218</v>
      </c>
      <c r="B91" s="48" t="s">
        <v>45</v>
      </c>
      <c r="C91" s="48" t="s">
        <v>46</v>
      </c>
      <c r="D91" s="48" t="s">
        <v>133</v>
      </c>
      <c r="E91" s="48"/>
      <c r="F91" s="48" t="s">
        <v>171</v>
      </c>
      <c r="G91" s="48"/>
      <c r="H91" s="48"/>
      <c r="I91" s="48" t="s">
        <v>62</v>
      </c>
      <c r="J91" s="61">
        <v>9500021266780</v>
      </c>
      <c r="K91" s="95">
        <v>210000</v>
      </c>
      <c r="L91" s="94">
        <v>250000</v>
      </c>
      <c r="M91" s="92"/>
      <c r="N91" s="65"/>
      <c r="O91" s="64" t="s">
        <v>216</v>
      </c>
    </row>
    <row r="92" spans="1:17" ht="20.100000000000001" customHeight="1" x14ac:dyDescent="0.3">
      <c r="A92" s="60" t="s">
        <v>218</v>
      </c>
      <c r="B92" s="48" t="s">
        <v>45</v>
      </c>
      <c r="C92" s="48" t="s">
        <v>46</v>
      </c>
      <c r="D92" s="48" t="s">
        <v>133</v>
      </c>
      <c r="E92" s="48"/>
      <c r="F92" s="48" t="s">
        <v>237</v>
      </c>
      <c r="G92" s="48"/>
      <c r="H92" s="48"/>
      <c r="I92" s="48" t="s">
        <v>72</v>
      </c>
      <c r="J92" s="61">
        <v>23391064161907</v>
      </c>
      <c r="K92" s="95">
        <v>210000</v>
      </c>
      <c r="L92" s="94">
        <v>250000</v>
      </c>
      <c r="M92" s="92"/>
      <c r="N92" s="65"/>
      <c r="O92" s="64" t="s">
        <v>216</v>
      </c>
    </row>
    <row r="93" spans="1:17" ht="20.100000000000001" customHeight="1" x14ac:dyDescent="0.3">
      <c r="A93" s="60" t="s">
        <v>218</v>
      </c>
      <c r="B93" s="48" t="s">
        <v>45</v>
      </c>
      <c r="C93" s="48" t="s">
        <v>46</v>
      </c>
      <c r="D93" s="48" t="s">
        <v>133</v>
      </c>
      <c r="E93" s="48"/>
      <c r="F93" s="48" t="s">
        <v>172</v>
      </c>
      <c r="G93" s="48"/>
      <c r="H93" s="48"/>
      <c r="I93" s="48" t="s">
        <v>76</v>
      </c>
      <c r="J93" s="61">
        <v>100079961208</v>
      </c>
      <c r="K93" s="95">
        <v>420000</v>
      </c>
      <c r="L93" s="94">
        <v>483000</v>
      </c>
      <c r="M93" s="92"/>
      <c r="N93" s="65"/>
      <c r="O93" s="64" t="s">
        <v>216</v>
      </c>
    </row>
    <row r="94" spans="1:17" ht="20.100000000000001" customHeight="1" x14ac:dyDescent="0.3">
      <c r="A94" s="60" t="s">
        <v>218</v>
      </c>
      <c r="B94" s="48" t="s">
        <v>45</v>
      </c>
      <c r="C94" s="48" t="s">
        <v>46</v>
      </c>
      <c r="D94" s="48" t="s">
        <v>133</v>
      </c>
      <c r="E94" s="48"/>
      <c r="F94" s="48" t="s">
        <v>174</v>
      </c>
      <c r="G94" s="48"/>
      <c r="H94" s="48"/>
      <c r="I94" s="48" t="s">
        <v>76</v>
      </c>
      <c r="J94" s="61">
        <v>100234627084</v>
      </c>
      <c r="K94" s="95">
        <v>105000</v>
      </c>
      <c r="L94" s="94">
        <v>125000</v>
      </c>
      <c r="M94" s="92"/>
      <c r="N94" s="65"/>
      <c r="O94" s="64" t="s">
        <v>216</v>
      </c>
    </row>
    <row r="95" spans="1:17" ht="20.100000000000001" customHeight="1" x14ac:dyDescent="0.3">
      <c r="A95" s="60" t="s">
        <v>218</v>
      </c>
      <c r="B95" s="48" t="s">
        <v>45</v>
      </c>
      <c r="C95" s="48" t="s">
        <v>46</v>
      </c>
      <c r="D95" s="48" t="s">
        <v>133</v>
      </c>
      <c r="E95" s="48"/>
      <c r="F95" s="48" t="s">
        <v>177</v>
      </c>
      <c r="G95" s="48"/>
      <c r="H95" s="48"/>
      <c r="I95" s="48" t="s">
        <v>62</v>
      </c>
      <c r="J95" s="61">
        <v>9201032272886</v>
      </c>
      <c r="K95" s="95">
        <v>315000</v>
      </c>
      <c r="L95" s="94">
        <v>364000</v>
      </c>
      <c r="M95" s="92"/>
      <c r="N95" s="65"/>
      <c r="O95" s="64" t="s">
        <v>216</v>
      </c>
    </row>
    <row r="96" spans="1:17" ht="20.100000000000001" customHeight="1" x14ac:dyDescent="0.3">
      <c r="A96" s="60" t="s">
        <v>218</v>
      </c>
      <c r="B96" s="48" t="s">
        <v>45</v>
      </c>
      <c r="C96" s="48" t="s">
        <v>46</v>
      </c>
      <c r="D96" s="48" t="s">
        <v>133</v>
      </c>
      <c r="E96" s="48"/>
      <c r="F96" s="48" t="s">
        <v>238</v>
      </c>
      <c r="G96" s="48"/>
      <c r="H96" s="48"/>
      <c r="I96" s="48" t="s">
        <v>62</v>
      </c>
      <c r="J96" s="61">
        <v>9100051571612</v>
      </c>
      <c r="K96" s="95">
        <v>210000</v>
      </c>
      <c r="L96" s="94">
        <v>230000</v>
      </c>
      <c r="M96" s="92"/>
      <c r="N96" s="65"/>
      <c r="O96" s="64" t="s">
        <v>216</v>
      </c>
    </row>
    <row r="97" spans="1:15" ht="20.100000000000001" customHeight="1" x14ac:dyDescent="0.3">
      <c r="A97" s="60" t="s">
        <v>218</v>
      </c>
      <c r="B97" s="48" t="s">
        <v>45</v>
      </c>
      <c r="C97" s="48" t="s">
        <v>46</v>
      </c>
      <c r="D97" s="48" t="s">
        <v>133</v>
      </c>
      <c r="E97" s="48"/>
      <c r="F97" s="48" t="s">
        <v>239</v>
      </c>
      <c r="G97" s="48"/>
      <c r="H97" s="48"/>
      <c r="I97" s="48" t="s">
        <v>72</v>
      </c>
      <c r="J97" s="61">
        <v>62191103417807</v>
      </c>
      <c r="K97" s="95">
        <v>105000</v>
      </c>
      <c r="L97" s="94">
        <v>111000</v>
      </c>
      <c r="M97" s="92"/>
      <c r="N97" s="65"/>
      <c r="O97" s="64" t="s">
        <v>216</v>
      </c>
    </row>
    <row r="98" spans="1:15" ht="20.100000000000001" customHeight="1" x14ac:dyDescent="0.3">
      <c r="A98" s="60" t="s">
        <v>218</v>
      </c>
      <c r="B98" s="48" t="s">
        <v>45</v>
      </c>
      <c r="C98" s="48" t="s">
        <v>46</v>
      </c>
      <c r="D98" s="48" t="s">
        <v>133</v>
      </c>
      <c r="E98" s="48"/>
      <c r="F98" s="48" t="s">
        <v>240</v>
      </c>
      <c r="G98" s="48"/>
      <c r="H98" s="48"/>
      <c r="I98" s="48" t="s">
        <v>62</v>
      </c>
      <c r="J98" s="61">
        <v>9100058005944</v>
      </c>
      <c r="K98" s="95">
        <v>579000</v>
      </c>
      <c r="L98" s="94">
        <v>639000</v>
      </c>
      <c r="M98" s="92"/>
      <c r="N98" s="65"/>
      <c r="O98" s="64" t="s">
        <v>216</v>
      </c>
    </row>
    <row r="99" spans="1:15" ht="20.100000000000001" customHeight="1" x14ac:dyDescent="0.3">
      <c r="A99" s="60" t="s">
        <v>218</v>
      </c>
      <c r="B99" s="48" t="s">
        <v>45</v>
      </c>
      <c r="C99" s="48" t="s">
        <v>46</v>
      </c>
      <c r="D99" s="48" t="s">
        <v>242</v>
      </c>
      <c r="E99" s="48"/>
      <c r="F99" s="48" t="s">
        <v>179</v>
      </c>
      <c r="G99" s="48"/>
      <c r="H99" s="48"/>
      <c r="I99" s="48" t="s">
        <v>72</v>
      </c>
      <c r="J99" s="61">
        <v>19891033805907</v>
      </c>
      <c r="K99" s="95">
        <v>667470</v>
      </c>
      <c r="L99" s="94">
        <v>795000</v>
      </c>
      <c r="M99" s="92">
        <v>27530</v>
      </c>
      <c r="N99" s="65" t="s">
        <v>243</v>
      </c>
      <c r="O99" s="64" t="s">
        <v>216</v>
      </c>
    </row>
    <row r="100" spans="1:15" ht="20.100000000000001" customHeight="1" x14ac:dyDescent="0.3">
      <c r="A100" s="60" t="s">
        <v>218</v>
      </c>
      <c r="B100" s="48" t="s">
        <v>45</v>
      </c>
      <c r="C100" s="48" t="s">
        <v>46</v>
      </c>
      <c r="D100" s="48" t="s">
        <v>242</v>
      </c>
      <c r="E100" s="48"/>
      <c r="F100" s="48" t="s">
        <v>182</v>
      </c>
      <c r="G100" s="48"/>
      <c r="H100" s="48"/>
      <c r="I100" s="48" t="s">
        <v>72</v>
      </c>
      <c r="J100" s="61">
        <v>19891033805907</v>
      </c>
      <c r="K100" s="95">
        <v>667470</v>
      </c>
      <c r="L100" s="94">
        <v>795000</v>
      </c>
      <c r="M100" s="92">
        <v>27530</v>
      </c>
      <c r="N100" s="65" t="s">
        <v>243</v>
      </c>
      <c r="O100" s="64" t="s">
        <v>216</v>
      </c>
    </row>
    <row r="101" spans="1:15" ht="20.100000000000001" customHeight="1" x14ac:dyDescent="0.3">
      <c r="A101" s="60" t="s">
        <v>218</v>
      </c>
      <c r="B101" s="48" t="s">
        <v>45</v>
      </c>
      <c r="C101" s="48" t="s">
        <v>46</v>
      </c>
      <c r="D101" s="48" t="s">
        <v>242</v>
      </c>
      <c r="E101" s="48"/>
      <c r="F101" s="48" t="s">
        <v>183</v>
      </c>
      <c r="G101" s="48"/>
      <c r="H101" s="48"/>
      <c r="I101" s="48" t="s">
        <v>62</v>
      </c>
      <c r="J101" s="61">
        <v>9500020135065</v>
      </c>
      <c r="K101" s="95">
        <v>695000</v>
      </c>
      <c r="L101" s="94">
        <v>795000</v>
      </c>
      <c r="M101" s="92"/>
      <c r="N101" s="65"/>
      <c r="O101" s="64" t="s">
        <v>216</v>
      </c>
    </row>
    <row r="102" spans="1:15" ht="20.100000000000001" customHeight="1" x14ac:dyDescent="0.3">
      <c r="A102" s="60" t="s">
        <v>218</v>
      </c>
      <c r="B102" s="48" t="s">
        <v>45</v>
      </c>
      <c r="C102" s="48" t="s">
        <v>46</v>
      </c>
      <c r="D102" s="48" t="s">
        <v>242</v>
      </c>
      <c r="E102" s="48"/>
      <c r="F102" s="48" t="s">
        <v>184</v>
      </c>
      <c r="G102" s="48"/>
      <c r="H102" s="48"/>
      <c r="I102" s="48" t="s">
        <v>72</v>
      </c>
      <c r="J102" s="61">
        <v>23391067820107</v>
      </c>
      <c r="K102" s="95">
        <v>695000</v>
      </c>
      <c r="L102" s="94">
        <v>795000</v>
      </c>
      <c r="M102" s="92"/>
      <c r="N102" s="65"/>
      <c r="O102" s="64" t="s">
        <v>216</v>
      </c>
    </row>
    <row r="103" spans="1:15" ht="20.100000000000001" customHeight="1" x14ac:dyDescent="0.3">
      <c r="A103" s="60" t="s">
        <v>218</v>
      </c>
      <c r="B103" s="48" t="s">
        <v>45</v>
      </c>
      <c r="C103" s="48" t="s">
        <v>46</v>
      </c>
      <c r="D103" s="48" t="s">
        <v>242</v>
      </c>
      <c r="E103" s="48"/>
      <c r="F103" s="48" t="s">
        <v>167</v>
      </c>
      <c r="G103" s="48"/>
      <c r="H103" s="48"/>
      <c r="I103" s="48" t="s">
        <v>189</v>
      </c>
      <c r="J103" s="61">
        <v>50902008559025</v>
      </c>
      <c r="K103" s="95">
        <v>584590</v>
      </c>
      <c r="L103" s="94">
        <v>795000</v>
      </c>
      <c r="M103" s="92">
        <v>110410</v>
      </c>
      <c r="N103" s="65" t="s">
        <v>245</v>
      </c>
      <c r="O103" s="64" t="s">
        <v>216</v>
      </c>
    </row>
    <row r="104" spans="1:15" ht="20.100000000000001" customHeight="1" x14ac:dyDescent="0.3">
      <c r="A104" s="60" t="s">
        <v>218</v>
      </c>
      <c r="B104" s="48" t="s">
        <v>45</v>
      </c>
      <c r="C104" s="48" t="s">
        <v>46</v>
      </c>
      <c r="D104" s="48" t="s">
        <v>242</v>
      </c>
      <c r="E104" s="48"/>
      <c r="F104" s="48" t="s">
        <v>241</v>
      </c>
      <c r="G104" s="48"/>
      <c r="H104" s="48"/>
      <c r="I104" s="48" t="s">
        <v>62</v>
      </c>
      <c r="J104" s="61">
        <v>9100052197783</v>
      </c>
      <c r="K104" s="95">
        <v>649730</v>
      </c>
      <c r="L104" s="94">
        <v>880000</v>
      </c>
      <c r="M104" s="92">
        <v>130270</v>
      </c>
      <c r="N104" s="65" t="s">
        <v>244</v>
      </c>
      <c r="O104" s="64" t="s">
        <v>216</v>
      </c>
    </row>
    <row r="105" spans="1:15" ht="20.100000000000001" customHeight="1" x14ac:dyDescent="0.3">
      <c r="A105" s="60" t="s">
        <v>218</v>
      </c>
      <c r="B105" s="48" t="s">
        <v>45</v>
      </c>
      <c r="C105" s="48" t="s">
        <v>46</v>
      </c>
      <c r="D105" s="48" t="s">
        <v>242</v>
      </c>
      <c r="E105" s="48"/>
      <c r="F105" s="48" t="s">
        <v>186</v>
      </c>
      <c r="G105" s="48"/>
      <c r="H105" s="48"/>
      <c r="I105" s="48" t="s">
        <v>72</v>
      </c>
      <c r="J105" s="61">
        <v>14491076606707</v>
      </c>
      <c r="K105" s="95">
        <v>315000</v>
      </c>
      <c r="L105" s="94">
        <v>375000</v>
      </c>
      <c r="M105" s="92"/>
      <c r="N105" s="65"/>
      <c r="O105" s="64" t="s">
        <v>216</v>
      </c>
    </row>
    <row r="106" spans="1:15" ht="20.100000000000001" customHeight="1" x14ac:dyDescent="0.3">
      <c r="A106" s="60" t="s">
        <v>218</v>
      </c>
      <c r="B106" s="48" t="s">
        <v>45</v>
      </c>
      <c r="C106" s="48" t="s">
        <v>46</v>
      </c>
      <c r="D106" s="48" t="s">
        <v>242</v>
      </c>
      <c r="E106" s="48"/>
      <c r="F106" s="48" t="s">
        <v>187</v>
      </c>
      <c r="G106" s="48"/>
      <c r="H106" s="48"/>
      <c r="I106" s="48" t="s">
        <v>51</v>
      </c>
      <c r="J106" s="61">
        <v>3020379742871</v>
      </c>
      <c r="K106" s="95">
        <v>105000</v>
      </c>
      <c r="L106" s="94">
        <v>125000</v>
      </c>
      <c r="M106" s="92"/>
      <c r="N106" s="65"/>
      <c r="O106" s="64" t="s">
        <v>216</v>
      </c>
    </row>
    <row r="107" spans="1:15" ht="20.100000000000001" customHeight="1" x14ac:dyDescent="0.3">
      <c r="A107" s="60" t="s">
        <v>277</v>
      </c>
      <c r="B107" s="48" t="s">
        <v>45</v>
      </c>
      <c r="C107" s="48" t="s">
        <v>46</v>
      </c>
      <c r="D107" s="48" t="s">
        <v>133</v>
      </c>
      <c r="E107" s="48"/>
      <c r="F107" s="48" t="s">
        <v>139</v>
      </c>
      <c r="G107" s="48"/>
      <c r="H107" s="48"/>
      <c r="I107" s="48" t="s">
        <v>58</v>
      </c>
      <c r="J107" s="61">
        <v>47940104348839</v>
      </c>
      <c r="K107" s="95">
        <v>440000</v>
      </c>
      <c r="L107" s="94">
        <v>520000</v>
      </c>
      <c r="M107" s="92"/>
      <c r="N107" s="65"/>
      <c r="O107" s="147" t="s">
        <v>271</v>
      </c>
    </row>
    <row r="108" spans="1:15" ht="20.100000000000001" customHeight="1" x14ac:dyDescent="0.3">
      <c r="A108" s="60" t="s">
        <v>277</v>
      </c>
      <c r="B108" s="48" t="s">
        <v>45</v>
      </c>
      <c r="C108" s="48" t="s">
        <v>46</v>
      </c>
      <c r="D108" s="48" t="s">
        <v>133</v>
      </c>
      <c r="E108" s="48"/>
      <c r="F108" s="48" t="s">
        <v>140</v>
      </c>
      <c r="G108" s="48"/>
      <c r="H108" s="48"/>
      <c r="I108" s="48" t="s">
        <v>72</v>
      </c>
      <c r="J108" s="61">
        <v>35491018079107</v>
      </c>
      <c r="K108" s="95">
        <v>440000</v>
      </c>
      <c r="L108" s="94">
        <v>440000</v>
      </c>
      <c r="M108" s="92"/>
      <c r="N108" s="65"/>
      <c r="O108" s="147" t="s">
        <v>271</v>
      </c>
    </row>
    <row r="109" spans="1:15" ht="20.100000000000001" customHeight="1" x14ac:dyDescent="0.3">
      <c r="A109" s="60" t="s">
        <v>277</v>
      </c>
      <c r="B109" s="48" t="s">
        <v>45</v>
      </c>
      <c r="C109" s="48" t="s">
        <v>46</v>
      </c>
      <c r="D109" s="48" t="s">
        <v>133</v>
      </c>
      <c r="E109" s="48"/>
      <c r="F109" s="48" t="s">
        <v>141</v>
      </c>
      <c r="G109" s="48"/>
      <c r="H109" s="48"/>
      <c r="I109" s="48" t="s">
        <v>72</v>
      </c>
      <c r="J109" s="61">
        <v>23391065673307</v>
      </c>
      <c r="K109" s="95">
        <v>525000</v>
      </c>
      <c r="L109" s="94">
        <v>625000</v>
      </c>
      <c r="M109" s="92"/>
      <c r="N109" s="65"/>
      <c r="O109" s="147" t="s">
        <v>271</v>
      </c>
    </row>
    <row r="110" spans="1:15" ht="20.100000000000001" customHeight="1" x14ac:dyDescent="0.3">
      <c r="A110" s="60" t="s">
        <v>277</v>
      </c>
      <c r="B110" s="48" t="s">
        <v>45</v>
      </c>
      <c r="C110" s="48" t="s">
        <v>46</v>
      </c>
      <c r="D110" s="48" t="s">
        <v>133</v>
      </c>
      <c r="E110" s="48"/>
      <c r="F110" s="48" t="s">
        <v>142</v>
      </c>
      <c r="G110" s="48"/>
      <c r="H110" s="48"/>
      <c r="I110" s="48" t="s">
        <v>72</v>
      </c>
      <c r="J110" s="61">
        <v>23391065673307</v>
      </c>
      <c r="K110" s="95">
        <v>630000</v>
      </c>
      <c r="L110" s="94">
        <v>750000</v>
      </c>
      <c r="M110" s="92"/>
      <c r="N110" s="65"/>
      <c r="O110" s="147" t="s">
        <v>271</v>
      </c>
    </row>
    <row r="111" spans="1:15" ht="20.100000000000001" customHeight="1" x14ac:dyDescent="0.3">
      <c r="A111" s="60" t="s">
        <v>277</v>
      </c>
      <c r="B111" s="48" t="s">
        <v>45</v>
      </c>
      <c r="C111" s="48" t="s">
        <v>46</v>
      </c>
      <c r="D111" s="48" t="s">
        <v>133</v>
      </c>
      <c r="E111" s="48"/>
      <c r="F111" s="48" t="s">
        <v>143</v>
      </c>
      <c r="G111" s="48"/>
      <c r="H111" s="48"/>
      <c r="I111" s="48" t="s">
        <v>72</v>
      </c>
      <c r="J111" s="61">
        <v>29991054312107</v>
      </c>
      <c r="K111" s="95">
        <v>427700</v>
      </c>
      <c r="L111" s="94">
        <v>527700</v>
      </c>
      <c r="M111" s="92"/>
      <c r="N111" s="65"/>
      <c r="O111" s="147" t="s">
        <v>271</v>
      </c>
    </row>
    <row r="112" spans="1:15" ht="20.100000000000001" customHeight="1" x14ac:dyDescent="0.3">
      <c r="A112" s="60" t="s">
        <v>277</v>
      </c>
      <c r="B112" s="48" t="s">
        <v>45</v>
      </c>
      <c r="C112" s="48" t="s">
        <v>46</v>
      </c>
      <c r="D112" s="48" t="s">
        <v>133</v>
      </c>
      <c r="E112" s="48"/>
      <c r="F112" s="48" t="s">
        <v>144</v>
      </c>
      <c r="G112" s="48"/>
      <c r="H112" s="48"/>
      <c r="I112" s="48" t="s">
        <v>72</v>
      </c>
      <c r="J112" s="61">
        <v>23391063977607</v>
      </c>
      <c r="K112" s="95">
        <v>434700</v>
      </c>
      <c r="L112" s="94">
        <v>534700</v>
      </c>
      <c r="M112" s="92"/>
      <c r="N112" s="65"/>
      <c r="O112" s="147" t="s">
        <v>271</v>
      </c>
    </row>
    <row r="113" spans="1:15" ht="20.100000000000001" customHeight="1" x14ac:dyDescent="0.3">
      <c r="A113" s="60" t="s">
        <v>277</v>
      </c>
      <c r="B113" s="48" t="s">
        <v>45</v>
      </c>
      <c r="C113" s="48" t="s">
        <v>46</v>
      </c>
      <c r="D113" s="48" t="s">
        <v>133</v>
      </c>
      <c r="E113" s="48"/>
      <c r="F113" s="48" t="s">
        <v>145</v>
      </c>
      <c r="G113" s="48"/>
      <c r="H113" s="48"/>
      <c r="I113" s="48" t="s">
        <v>72</v>
      </c>
      <c r="J113" s="61">
        <v>23391049813107</v>
      </c>
      <c r="K113" s="95">
        <v>210000</v>
      </c>
      <c r="L113" s="94">
        <v>260000</v>
      </c>
      <c r="M113" s="92"/>
      <c r="N113" s="65"/>
      <c r="O113" s="147" t="s">
        <v>271</v>
      </c>
    </row>
    <row r="114" spans="1:15" ht="20.100000000000001" customHeight="1" x14ac:dyDescent="0.3">
      <c r="A114" s="60" t="s">
        <v>277</v>
      </c>
      <c r="B114" s="48" t="s">
        <v>45</v>
      </c>
      <c r="C114" s="48" t="s">
        <v>46</v>
      </c>
      <c r="D114" s="48" t="s">
        <v>133</v>
      </c>
      <c r="E114" s="48"/>
      <c r="F114" s="48" t="s">
        <v>146</v>
      </c>
      <c r="G114" s="48"/>
      <c r="H114" s="48"/>
      <c r="I114" s="48" t="s">
        <v>51</v>
      </c>
      <c r="J114" s="61">
        <v>3561594870383</v>
      </c>
      <c r="K114" s="95">
        <v>105000</v>
      </c>
      <c r="L114" s="94">
        <v>130000</v>
      </c>
      <c r="M114" s="92"/>
      <c r="N114" s="65"/>
      <c r="O114" s="147" t="s">
        <v>271</v>
      </c>
    </row>
    <row r="115" spans="1:15" ht="20.100000000000001" customHeight="1" x14ac:dyDescent="0.3">
      <c r="A115" s="60" t="s">
        <v>277</v>
      </c>
      <c r="B115" s="48" t="s">
        <v>45</v>
      </c>
      <c r="C115" s="48" t="s">
        <v>46</v>
      </c>
      <c r="D115" s="48" t="s">
        <v>133</v>
      </c>
      <c r="E115" s="48"/>
      <c r="F115" s="48" t="s">
        <v>147</v>
      </c>
      <c r="G115" s="48"/>
      <c r="H115" s="48"/>
      <c r="I115" s="48" t="s">
        <v>51</v>
      </c>
      <c r="J115" s="61">
        <v>3561626523273</v>
      </c>
      <c r="K115" s="95">
        <v>105000</v>
      </c>
      <c r="L115" s="94">
        <v>130000</v>
      </c>
      <c r="M115" s="92"/>
      <c r="N115" s="65"/>
      <c r="O115" s="147" t="s">
        <v>271</v>
      </c>
    </row>
    <row r="116" spans="1:15" ht="20.100000000000001" customHeight="1" x14ac:dyDescent="0.3">
      <c r="A116" s="60" t="s">
        <v>277</v>
      </c>
      <c r="B116" s="48" t="s">
        <v>45</v>
      </c>
      <c r="C116" s="48" t="s">
        <v>46</v>
      </c>
      <c r="D116" s="48" t="s">
        <v>133</v>
      </c>
      <c r="E116" s="48"/>
      <c r="F116" s="48" t="s">
        <v>148</v>
      </c>
      <c r="G116" s="48"/>
      <c r="H116" s="48"/>
      <c r="I116" s="48" t="s">
        <v>72</v>
      </c>
      <c r="J116" s="61">
        <v>68091053420107</v>
      </c>
      <c r="K116" s="95">
        <v>107100</v>
      </c>
      <c r="L116" s="94">
        <v>132100</v>
      </c>
      <c r="M116" s="92"/>
      <c r="N116" s="65"/>
      <c r="O116" s="147" t="s">
        <v>271</v>
      </c>
    </row>
    <row r="117" spans="1:15" ht="20.100000000000001" customHeight="1" x14ac:dyDescent="0.3">
      <c r="A117" s="60" t="s">
        <v>277</v>
      </c>
      <c r="B117" s="48" t="s">
        <v>45</v>
      </c>
      <c r="C117" s="48" t="s">
        <v>46</v>
      </c>
      <c r="D117" s="48" t="s">
        <v>133</v>
      </c>
      <c r="E117" s="48"/>
      <c r="F117" s="48" t="s">
        <v>149</v>
      </c>
      <c r="G117" s="48"/>
      <c r="H117" s="48"/>
      <c r="I117" s="48" t="s">
        <v>72</v>
      </c>
      <c r="J117" s="61">
        <v>57191056846807</v>
      </c>
      <c r="K117" s="95">
        <v>378840</v>
      </c>
      <c r="L117" s="94">
        <v>597400</v>
      </c>
      <c r="M117" s="92">
        <v>138560</v>
      </c>
      <c r="N117" s="65" t="s">
        <v>278</v>
      </c>
      <c r="O117" s="147" t="s">
        <v>271</v>
      </c>
    </row>
    <row r="118" spans="1:15" ht="20.100000000000001" customHeight="1" x14ac:dyDescent="0.3">
      <c r="A118" s="60" t="s">
        <v>277</v>
      </c>
      <c r="B118" s="48" t="s">
        <v>45</v>
      </c>
      <c r="C118" s="48" t="s">
        <v>46</v>
      </c>
      <c r="D118" s="48" t="s">
        <v>133</v>
      </c>
      <c r="E118" s="48"/>
      <c r="F118" s="48" t="s">
        <v>150</v>
      </c>
      <c r="G118" s="48"/>
      <c r="H118" s="48"/>
      <c r="I118" s="48" t="s">
        <v>72</v>
      </c>
      <c r="J118" s="61">
        <v>39891066942107</v>
      </c>
      <c r="K118" s="95">
        <v>558390</v>
      </c>
      <c r="L118" s="94">
        <v>751400</v>
      </c>
      <c r="M118" s="92">
        <v>73010</v>
      </c>
      <c r="N118" s="65" t="s">
        <v>278</v>
      </c>
      <c r="O118" s="147" t="s">
        <v>271</v>
      </c>
    </row>
    <row r="119" spans="1:15" ht="20.100000000000001" customHeight="1" x14ac:dyDescent="0.3">
      <c r="A119" s="60" t="s">
        <v>277</v>
      </c>
      <c r="B119" s="48" t="s">
        <v>45</v>
      </c>
      <c r="C119" s="48" t="s">
        <v>46</v>
      </c>
      <c r="D119" s="48" t="s">
        <v>133</v>
      </c>
      <c r="E119" s="48"/>
      <c r="F119" s="48" t="s">
        <v>151</v>
      </c>
      <c r="G119" s="48"/>
      <c r="H119" s="48"/>
      <c r="I119" s="48" t="s">
        <v>72</v>
      </c>
      <c r="J119" s="61">
        <v>39891066942107</v>
      </c>
      <c r="K119" s="95">
        <v>558390</v>
      </c>
      <c r="L119" s="94">
        <v>751400</v>
      </c>
      <c r="M119" s="92">
        <v>73010</v>
      </c>
      <c r="N119" s="65" t="s">
        <v>278</v>
      </c>
      <c r="O119" s="147" t="s">
        <v>271</v>
      </c>
    </row>
    <row r="120" spans="1:15" ht="20.100000000000001" customHeight="1" x14ac:dyDescent="0.3">
      <c r="A120" s="60" t="s">
        <v>277</v>
      </c>
      <c r="B120" s="48" t="s">
        <v>45</v>
      </c>
      <c r="C120" s="48" t="s">
        <v>46</v>
      </c>
      <c r="D120" s="48" t="s">
        <v>133</v>
      </c>
      <c r="E120" s="48"/>
      <c r="F120" s="48" t="s">
        <v>152</v>
      </c>
      <c r="G120" s="48"/>
      <c r="H120" s="48"/>
      <c r="I120" s="48" t="s">
        <v>51</v>
      </c>
      <c r="J120" s="61">
        <v>3560935626623</v>
      </c>
      <c r="K120" s="95">
        <v>525000</v>
      </c>
      <c r="L120" s="94">
        <v>627000</v>
      </c>
      <c r="M120" s="92"/>
      <c r="N120" s="65"/>
      <c r="O120" s="147" t="s">
        <v>271</v>
      </c>
    </row>
    <row r="121" spans="1:15" ht="20.100000000000001" customHeight="1" x14ac:dyDescent="0.3">
      <c r="A121" s="60" t="s">
        <v>277</v>
      </c>
      <c r="B121" s="48" t="s">
        <v>45</v>
      </c>
      <c r="C121" s="48" t="s">
        <v>46</v>
      </c>
      <c r="D121" s="48" t="s">
        <v>133</v>
      </c>
      <c r="E121" s="48"/>
      <c r="F121" s="48" t="s">
        <v>153</v>
      </c>
      <c r="G121" s="48"/>
      <c r="H121" s="48"/>
      <c r="I121" s="48" t="s">
        <v>188</v>
      </c>
      <c r="J121" s="61">
        <v>36110662801011</v>
      </c>
      <c r="K121" s="95">
        <v>641900</v>
      </c>
      <c r="L121" s="94">
        <v>791900</v>
      </c>
      <c r="M121" s="92"/>
      <c r="N121" s="65"/>
      <c r="O121" s="147" t="s">
        <v>271</v>
      </c>
    </row>
    <row r="122" spans="1:15" ht="20.100000000000001" customHeight="1" x14ac:dyDescent="0.3">
      <c r="A122" s="60" t="s">
        <v>277</v>
      </c>
      <c r="B122" s="48" t="s">
        <v>45</v>
      </c>
      <c r="C122" s="48" t="s">
        <v>46</v>
      </c>
      <c r="D122" s="48" t="s">
        <v>133</v>
      </c>
      <c r="E122" s="48"/>
      <c r="F122" s="48" t="s">
        <v>154</v>
      </c>
      <c r="G122" s="48"/>
      <c r="H122" s="48"/>
      <c r="I122" s="48" t="s">
        <v>51</v>
      </c>
      <c r="J122" s="61">
        <v>3512536253663</v>
      </c>
      <c r="K122" s="95">
        <v>529200</v>
      </c>
      <c r="L122" s="94">
        <v>654200</v>
      </c>
      <c r="M122" s="92"/>
      <c r="N122" s="65"/>
      <c r="O122" s="147" t="s">
        <v>271</v>
      </c>
    </row>
    <row r="123" spans="1:15" ht="20.100000000000001" customHeight="1" x14ac:dyDescent="0.3">
      <c r="A123" s="60" t="s">
        <v>277</v>
      </c>
      <c r="B123" s="48" t="s">
        <v>45</v>
      </c>
      <c r="C123" s="48" t="s">
        <v>46</v>
      </c>
      <c r="D123" s="48" t="s">
        <v>133</v>
      </c>
      <c r="E123" s="48"/>
      <c r="F123" s="48" t="s">
        <v>155</v>
      </c>
      <c r="G123" s="48"/>
      <c r="H123" s="48"/>
      <c r="I123" s="48" t="s">
        <v>55</v>
      </c>
      <c r="J123" s="61">
        <v>1002863255436</v>
      </c>
      <c r="K123" s="95">
        <v>443800</v>
      </c>
      <c r="L123" s="94">
        <v>543800</v>
      </c>
      <c r="M123" s="92"/>
      <c r="N123" s="65"/>
      <c r="O123" s="147" t="s">
        <v>271</v>
      </c>
    </row>
    <row r="124" spans="1:15" ht="20.100000000000001" customHeight="1" x14ac:dyDescent="0.3">
      <c r="A124" s="60" t="s">
        <v>277</v>
      </c>
      <c r="B124" s="48" t="s">
        <v>45</v>
      </c>
      <c r="C124" s="48" t="s">
        <v>46</v>
      </c>
      <c r="D124" s="48" t="s">
        <v>133</v>
      </c>
      <c r="E124" s="48"/>
      <c r="F124" s="48" t="s">
        <v>156</v>
      </c>
      <c r="G124" s="48"/>
      <c r="H124" s="48"/>
      <c r="I124" s="48" t="s">
        <v>72</v>
      </c>
      <c r="J124" s="61">
        <v>23391067991707</v>
      </c>
      <c r="K124" s="95">
        <v>550900</v>
      </c>
      <c r="L124" s="94">
        <v>650900</v>
      </c>
      <c r="M124" s="92"/>
      <c r="N124" s="65"/>
      <c r="O124" s="147" t="s">
        <v>271</v>
      </c>
    </row>
    <row r="125" spans="1:15" ht="20.100000000000001" customHeight="1" x14ac:dyDescent="0.3">
      <c r="A125" s="60" t="s">
        <v>277</v>
      </c>
      <c r="B125" s="48" t="s">
        <v>45</v>
      </c>
      <c r="C125" s="48" t="s">
        <v>46</v>
      </c>
      <c r="D125" s="48" t="s">
        <v>133</v>
      </c>
      <c r="E125" s="48"/>
      <c r="F125" s="48" t="s">
        <v>233</v>
      </c>
      <c r="G125" s="48"/>
      <c r="H125" s="48"/>
      <c r="I125" s="48" t="s">
        <v>62</v>
      </c>
      <c r="J125" s="61">
        <v>9105205290345</v>
      </c>
      <c r="K125" s="95">
        <v>49000</v>
      </c>
      <c r="L125" s="94">
        <v>49000</v>
      </c>
      <c r="M125" s="92"/>
      <c r="N125" s="65"/>
      <c r="O125" s="147" t="s">
        <v>271</v>
      </c>
    </row>
    <row r="126" spans="1:15" ht="20.100000000000001" customHeight="1" x14ac:dyDescent="0.3">
      <c r="A126" s="60" t="s">
        <v>277</v>
      </c>
      <c r="B126" s="48" t="s">
        <v>45</v>
      </c>
      <c r="C126" s="48" t="s">
        <v>46</v>
      </c>
      <c r="D126" s="48" t="s">
        <v>133</v>
      </c>
      <c r="E126" s="48"/>
      <c r="F126" s="48" t="s">
        <v>158</v>
      </c>
      <c r="G126" s="48"/>
      <c r="H126" s="48"/>
      <c r="I126" s="48" t="s">
        <v>72</v>
      </c>
      <c r="J126" s="61">
        <v>11692214377437</v>
      </c>
      <c r="K126" s="95">
        <v>536900</v>
      </c>
      <c r="L126" s="94">
        <v>636900</v>
      </c>
      <c r="M126" s="92"/>
      <c r="N126" s="65"/>
      <c r="O126" s="147" t="s">
        <v>271</v>
      </c>
    </row>
    <row r="127" spans="1:15" ht="20.100000000000001" customHeight="1" x14ac:dyDescent="0.3">
      <c r="A127" s="60" t="s">
        <v>277</v>
      </c>
      <c r="B127" s="48" t="s">
        <v>45</v>
      </c>
      <c r="C127" s="48" t="s">
        <v>46</v>
      </c>
      <c r="D127" s="48" t="s">
        <v>133</v>
      </c>
      <c r="E127" s="48"/>
      <c r="F127" s="48" t="s">
        <v>159</v>
      </c>
      <c r="G127" s="48"/>
      <c r="H127" s="48"/>
      <c r="I127" s="48" t="s">
        <v>72</v>
      </c>
      <c r="J127" s="61">
        <v>23391064161907</v>
      </c>
      <c r="K127" s="95">
        <v>420000</v>
      </c>
      <c r="L127" s="94">
        <v>500000</v>
      </c>
      <c r="M127" s="92"/>
      <c r="N127" s="65"/>
      <c r="O127" s="147" t="s">
        <v>271</v>
      </c>
    </row>
    <row r="128" spans="1:15" ht="20.100000000000001" customHeight="1" x14ac:dyDescent="0.3">
      <c r="A128" s="60" t="s">
        <v>277</v>
      </c>
      <c r="B128" s="48" t="s">
        <v>45</v>
      </c>
      <c r="C128" s="48" t="s">
        <v>46</v>
      </c>
      <c r="D128" s="48" t="s">
        <v>133</v>
      </c>
      <c r="E128" s="48"/>
      <c r="F128" s="48" t="s">
        <v>160</v>
      </c>
      <c r="G128" s="48"/>
      <c r="H128" s="48"/>
      <c r="I128" s="48" t="s">
        <v>58</v>
      </c>
      <c r="J128" s="61">
        <v>29250201308193</v>
      </c>
      <c r="K128" s="95">
        <v>641900</v>
      </c>
      <c r="L128" s="94">
        <v>761900</v>
      </c>
      <c r="M128" s="92"/>
      <c r="N128" s="65"/>
      <c r="O128" s="147" t="s">
        <v>271</v>
      </c>
    </row>
    <row r="129" spans="1:15" ht="20.100000000000001" customHeight="1" x14ac:dyDescent="0.3">
      <c r="A129" s="60" t="s">
        <v>277</v>
      </c>
      <c r="B129" s="48" t="s">
        <v>45</v>
      </c>
      <c r="C129" s="48" t="s">
        <v>46</v>
      </c>
      <c r="D129" s="48" t="s">
        <v>133</v>
      </c>
      <c r="E129" s="48"/>
      <c r="F129" s="48" t="s">
        <v>161</v>
      </c>
      <c r="G129" s="48"/>
      <c r="H129" s="48"/>
      <c r="I129" s="48" t="s">
        <v>76</v>
      </c>
      <c r="J129" s="61">
        <v>100089184707</v>
      </c>
      <c r="K129" s="95">
        <v>105000</v>
      </c>
      <c r="L129" s="94">
        <v>125000</v>
      </c>
      <c r="M129" s="92"/>
      <c r="N129" s="65"/>
      <c r="O129" s="147" t="s">
        <v>271</v>
      </c>
    </row>
    <row r="130" spans="1:15" ht="20.100000000000001" customHeight="1" x14ac:dyDescent="0.3">
      <c r="A130" s="60" t="s">
        <v>277</v>
      </c>
      <c r="B130" s="48" t="s">
        <v>45</v>
      </c>
      <c r="C130" s="48" t="s">
        <v>46</v>
      </c>
      <c r="D130" s="48" t="s">
        <v>133</v>
      </c>
      <c r="E130" s="48"/>
      <c r="F130" s="48" t="s">
        <v>162</v>
      </c>
      <c r="G130" s="48"/>
      <c r="H130" s="48"/>
      <c r="I130" s="48" t="s">
        <v>76</v>
      </c>
      <c r="J130" s="61">
        <v>100248207200</v>
      </c>
      <c r="K130" s="95">
        <v>210000</v>
      </c>
      <c r="L130" s="94">
        <v>250000</v>
      </c>
      <c r="M130" s="92"/>
      <c r="N130" s="65"/>
      <c r="O130" s="147" t="s">
        <v>271</v>
      </c>
    </row>
    <row r="131" spans="1:15" ht="20.100000000000001" customHeight="1" x14ac:dyDescent="0.3">
      <c r="A131" s="60" t="s">
        <v>277</v>
      </c>
      <c r="B131" s="48" t="s">
        <v>45</v>
      </c>
      <c r="C131" s="48" t="s">
        <v>46</v>
      </c>
      <c r="D131" s="48" t="s">
        <v>133</v>
      </c>
      <c r="E131" s="48"/>
      <c r="F131" s="48" t="s">
        <v>163</v>
      </c>
      <c r="G131" s="48"/>
      <c r="H131" s="48"/>
      <c r="I131" s="48" t="s">
        <v>55</v>
      </c>
      <c r="J131" s="61">
        <v>1002761382905</v>
      </c>
      <c r="K131" s="95">
        <v>317100</v>
      </c>
      <c r="L131" s="94">
        <v>392100</v>
      </c>
      <c r="M131" s="92"/>
      <c r="N131" s="65"/>
      <c r="O131" s="147" t="s">
        <v>271</v>
      </c>
    </row>
    <row r="132" spans="1:15" ht="20.100000000000001" customHeight="1" x14ac:dyDescent="0.3">
      <c r="A132" s="60" t="s">
        <v>277</v>
      </c>
      <c r="B132" s="48" t="s">
        <v>45</v>
      </c>
      <c r="C132" s="48" t="s">
        <v>46</v>
      </c>
      <c r="D132" s="48" t="s">
        <v>133</v>
      </c>
      <c r="E132" s="48"/>
      <c r="F132" s="48" t="s">
        <v>164</v>
      </c>
      <c r="G132" s="48"/>
      <c r="H132" s="48"/>
      <c r="I132" s="48" t="s">
        <v>72</v>
      </c>
      <c r="J132" s="61">
        <v>60491096318007</v>
      </c>
      <c r="K132" s="95">
        <v>210000</v>
      </c>
      <c r="L132" s="94">
        <v>250000</v>
      </c>
      <c r="M132" s="92"/>
      <c r="N132" s="65"/>
      <c r="O132" s="147" t="s">
        <v>271</v>
      </c>
    </row>
    <row r="133" spans="1:15" ht="20.100000000000001" customHeight="1" x14ac:dyDescent="0.3">
      <c r="A133" s="60" t="s">
        <v>277</v>
      </c>
      <c r="B133" s="48" t="s">
        <v>45</v>
      </c>
      <c r="C133" s="48" t="s">
        <v>46</v>
      </c>
      <c r="D133" s="48" t="s">
        <v>133</v>
      </c>
      <c r="E133" s="48"/>
      <c r="F133" s="48" t="s">
        <v>165</v>
      </c>
      <c r="G133" s="48"/>
      <c r="H133" s="48"/>
      <c r="I133" s="48" t="s">
        <v>76</v>
      </c>
      <c r="J133" s="61">
        <v>100178321014</v>
      </c>
      <c r="K133" s="95">
        <v>384540</v>
      </c>
      <c r="L133" s="94">
        <v>500000</v>
      </c>
      <c r="M133" s="92">
        <v>35460</v>
      </c>
      <c r="N133" s="65" t="s">
        <v>278</v>
      </c>
      <c r="O133" s="147" t="s">
        <v>271</v>
      </c>
    </row>
    <row r="134" spans="1:15" ht="20.100000000000001" customHeight="1" x14ac:dyDescent="0.3">
      <c r="A134" s="60" t="s">
        <v>277</v>
      </c>
      <c r="B134" s="48" t="s">
        <v>45</v>
      </c>
      <c r="C134" s="48" t="s">
        <v>46</v>
      </c>
      <c r="D134" s="48" t="s">
        <v>133</v>
      </c>
      <c r="E134" s="48"/>
      <c r="F134" s="48" t="s">
        <v>166</v>
      </c>
      <c r="G134" s="48"/>
      <c r="H134" s="48"/>
      <c r="I134" s="48" t="s">
        <v>189</v>
      </c>
      <c r="J134" s="61">
        <v>50902008559049</v>
      </c>
      <c r="K134" s="95">
        <v>525000</v>
      </c>
      <c r="L134" s="94">
        <v>625000</v>
      </c>
      <c r="M134" s="92"/>
      <c r="N134" s="65"/>
      <c r="O134" s="147" t="s">
        <v>271</v>
      </c>
    </row>
    <row r="135" spans="1:15" ht="20.100000000000001" customHeight="1" x14ac:dyDescent="0.3">
      <c r="A135" s="60" t="s">
        <v>277</v>
      </c>
      <c r="B135" s="48" t="s">
        <v>45</v>
      </c>
      <c r="C135" s="48" t="s">
        <v>46</v>
      </c>
      <c r="D135" s="48" t="s">
        <v>133</v>
      </c>
      <c r="E135" s="48"/>
      <c r="F135" s="48" t="s">
        <v>167</v>
      </c>
      <c r="G135" s="48"/>
      <c r="H135" s="48"/>
      <c r="I135" s="48" t="s">
        <v>189</v>
      </c>
      <c r="J135" s="61">
        <v>50902008559025</v>
      </c>
      <c r="K135" s="95">
        <v>105000</v>
      </c>
      <c r="L135" s="94">
        <v>125000</v>
      </c>
      <c r="M135" s="92"/>
      <c r="N135" s="65"/>
      <c r="O135" s="147" t="s">
        <v>271</v>
      </c>
    </row>
    <row r="136" spans="1:15" ht="20.100000000000001" customHeight="1" x14ac:dyDescent="0.3">
      <c r="A136" s="60" t="s">
        <v>277</v>
      </c>
      <c r="B136" s="48" t="s">
        <v>45</v>
      </c>
      <c r="C136" s="48" t="s">
        <v>46</v>
      </c>
      <c r="D136" s="48" t="s">
        <v>133</v>
      </c>
      <c r="E136" s="48"/>
      <c r="F136" s="48" t="s">
        <v>168</v>
      </c>
      <c r="G136" s="48"/>
      <c r="H136" s="48"/>
      <c r="I136" s="48" t="s">
        <v>188</v>
      </c>
      <c r="J136" s="61">
        <v>40107855201013</v>
      </c>
      <c r="K136" s="95">
        <v>630000</v>
      </c>
      <c r="L136" s="94">
        <v>750000</v>
      </c>
      <c r="M136" s="92"/>
      <c r="N136" s="65"/>
      <c r="O136" s="147" t="s">
        <v>271</v>
      </c>
    </row>
    <row r="137" spans="1:15" ht="20.100000000000001" customHeight="1" x14ac:dyDescent="0.3">
      <c r="A137" s="60" t="s">
        <v>277</v>
      </c>
      <c r="B137" s="48" t="s">
        <v>45</v>
      </c>
      <c r="C137" s="48" t="s">
        <v>46</v>
      </c>
      <c r="D137" s="48" t="s">
        <v>133</v>
      </c>
      <c r="E137" s="48"/>
      <c r="F137" s="48" t="s">
        <v>170</v>
      </c>
      <c r="G137" s="48"/>
      <c r="H137" s="48"/>
      <c r="I137" s="48" t="s">
        <v>76</v>
      </c>
      <c r="J137" s="61">
        <v>100067984361</v>
      </c>
      <c r="K137" s="95">
        <v>506670</v>
      </c>
      <c r="L137" s="94">
        <v>639000</v>
      </c>
      <c r="M137" s="92">
        <v>32330</v>
      </c>
      <c r="N137" s="65" t="s">
        <v>278</v>
      </c>
      <c r="O137" s="147" t="s">
        <v>271</v>
      </c>
    </row>
    <row r="138" spans="1:15" ht="20.100000000000001" customHeight="1" x14ac:dyDescent="0.3">
      <c r="A138" s="60" t="s">
        <v>277</v>
      </c>
      <c r="B138" s="48" t="s">
        <v>45</v>
      </c>
      <c r="C138" s="48" t="s">
        <v>46</v>
      </c>
      <c r="D138" s="48" t="s">
        <v>133</v>
      </c>
      <c r="E138" s="48"/>
      <c r="F138" s="48" t="s">
        <v>171</v>
      </c>
      <c r="G138" s="48"/>
      <c r="H138" s="48"/>
      <c r="I138" s="48" t="s">
        <v>62</v>
      </c>
      <c r="J138" s="61">
        <v>9500021266780</v>
      </c>
      <c r="K138" s="95">
        <v>315000</v>
      </c>
      <c r="L138" s="94">
        <v>375000</v>
      </c>
      <c r="M138" s="92"/>
      <c r="N138" s="65"/>
      <c r="O138" s="147" t="s">
        <v>271</v>
      </c>
    </row>
    <row r="139" spans="1:15" ht="20.100000000000001" customHeight="1" x14ac:dyDescent="0.3">
      <c r="A139" s="60" t="s">
        <v>277</v>
      </c>
      <c r="B139" s="48" t="s">
        <v>45</v>
      </c>
      <c r="C139" s="48" t="s">
        <v>46</v>
      </c>
      <c r="D139" s="48" t="s">
        <v>133</v>
      </c>
      <c r="E139" s="48"/>
      <c r="F139" s="48" t="s">
        <v>237</v>
      </c>
      <c r="G139" s="48"/>
      <c r="H139" s="48"/>
      <c r="I139" s="48" t="s">
        <v>72</v>
      </c>
      <c r="J139" s="61">
        <v>23391064161907</v>
      </c>
      <c r="K139" s="95">
        <v>105000</v>
      </c>
      <c r="L139" s="94">
        <v>125000</v>
      </c>
      <c r="M139" s="92"/>
      <c r="N139" s="65"/>
      <c r="O139" s="147" t="s">
        <v>271</v>
      </c>
    </row>
    <row r="140" spans="1:15" ht="20.100000000000001" customHeight="1" x14ac:dyDescent="0.3">
      <c r="A140" s="60" t="s">
        <v>277</v>
      </c>
      <c r="B140" s="48" t="s">
        <v>45</v>
      </c>
      <c r="C140" s="48" t="s">
        <v>46</v>
      </c>
      <c r="D140" s="48" t="s">
        <v>133</v>
      </c>
      <c r="E140" s="48"/>
      <c r="F140" s="48" t="s">
        <v>172</v>
      </c>
      <c r="G140" s="48"/>
      <c r="H140" s="48"/>
      <c r="I140" s="48" t="s">
        <v>76</v>
      </c>
      <c r="J140" s="61">
        <v>100079961208</v>
      </c>
      <c r="K140" s="95">
        <v>360000</v>
      </c>
      <c r="L140" s="94">
        <v>420000</v>
      </c>
      <c r="M140" s="92"/>
      <c r="N140" s="65"/>
      <c r="O140" s="147" t="s">
        <v>271</v>
      </c>
    </row>
    <row r="141" spans="1:15" ht="20.100000000000001" customHeight="1" x14ac:dyDescent="0.3">
      <c r="A141" s="60" t="s">
        <v>277</v>
      </c>
      <c r="B141" s="48" t="s">
        <v>45</v>
      </c>
      <c r="C141" s="48" t="s">
        <v>46</v>
      </c>
      <c r="D141" s="48" t="s">
        <v>133</v>
      </c>
      <c r="E141" s="48"/>
      <c r="F141" s="48" t="s">
        <v>174</v>
      </c>
      <c r="G141" s="48"/>
      <c r="H141" s="48"/>
      <c r="I141" s="48" t="s">
        <v>76</v>
      </c>
      <c r="J141" s="61">
        <v>100234627084</v>
      </c>
      <c r="K141" s="95">
        <v>210000</v>
      </c>
      <c r="L141" s="94">
        <v>250000</v>
      </c>
      <c r="M141" s="92"/>
      <c r="N141" s="65"/>
      <c r="O141" s="147" t="s">
        <v>271</v>
      </c>
    </row>
    <row r="142" spans="1:15" ht="20.100000000000001" customHeight="1" x14ac:dyDescent="0.3">
      <c r="A142" s="60" t="s">
        <v>277</v>
      </c>
      <c r="B142" s="48" t="s">
        <v>45</v>
      </c>
      <c r="C142" s="48" t="s">
        <v>46</v>
      </c>
      <c r="D142" s="48" t="s">
        <v>133</v>
      </c>
      <c r="E142" s="48"/>
      <c r="F142" s="48" t="s">
        <v>241</v>
      </c>
      <c r="G142" s="48"/>
      <c r="H142" s="48"/>
      <c r="I142" s="48" t="s">
        <v>62</v>
      </c>
      <c r="J142" s="61">
        <v>9100052197783</v>
      </c>
      <c r="K142" s="95">
        <v>105000</v>
      </c>
      <c r="L142" s="94">
        <v>125000</v>
      </c>
      <c r="M142" s="92"/>
      <c r="N142" s="65"/>
      <c r="O142" s="147" t="s">
        <v>271</v>
      </c>
    </row>
    <row r="143" spans="1:15" ht="20.100000000000001" customHeight="1" x14ac:dyDescent="0.3">
      <c r="A143" s="60" t="s">
        <v>277</v>
      </c>
      <c r="B143" s="48" t="s">
        <v>45</v>
      </c>
      <c r="C143" s="48" t="s">
        <v>46</v>
      </c>
      <c r="D143" s="48" t="s">
        <v>133</v>
      </c>
      <c r="E143" s="48"/>
      <c r="F143" s="48" t="s">
        <v>175</v>
      </c>
      <c r="G143" s="48"/>
      <c r="H143" s="48"/>
      <c r="I143" s="48" t="s">
        <v>72</v>
      </c>
      <c r="J143" s="61">
        <v>11692175176737</v>
      </c>
      <c r="K143" s="95">
        <v>315000</v>
      </c>
      <c r="L143" s="94">
        <v>375000</v>
      </c>
      <c r="M143" s="92"/>
      <c r="N143" s="65"/>
      <c r="O143" s="147" t="s">
        <v>271</v>
      </c>
    </row>
    <row r="144" spans="1:15" ht="20.100000000000001" customHeight="1" x14ac:dyDescent="0.3">
      <c r="A144" s="60" t="s">
        <v>277</v>
      </c>
      <c r="B144" s="48" t="s">
        <v>45</v>
      </c>
      <c r="C144" s="48" t="s">
        <v>46</v>
      </c>
      <c r="D144" s="48" t="s">
        <v>133</v>
      </c>
      <c r="E144" s="48"/>
      <c r="F144" s="48" t="s">
        <v>177</v>
      </c>
      <c r="G144" s="48"/>
      <c r="H144" s="48"/>
      <c r="I144" s="48" t="s">
        <v>62</v>
      </c>
      <c r="J144" s="61">
        <v>9201032272886</v>
      </c>
      <c r="K144" s="95">
        <v>210000</v>
      </c>
      <c r="L144" s="94">
        <v>250000</v>
      </c>
      <c r="M144" s="92"/>
      <c r="N144" s="65"/>
      <c r="O144" s="147" t="s">
        <v>271</v>
      </c>
    </row>
    <row r="145" spans="1:15" ht="20.100000000000001" customHeight="1" x14ac:dyDescent="0.3">
      <c r="A145" s="60" t="s">
        <v>277</v>
      </c>
      <c r="B145" s="48" t="s">
        <v>45</v>
      </c>
      <c r="C145" s="48" t="s">
        <v>46</v>
      </c>
      <c r="D145" s="48" t="s">
        <v>133</v>
      </c>
      <c r="E145" s="48"/>
      <c r="F145" s="48" t="s">
        <v>180</v>
      </c>
      <c r="G145" s="48"/>
      <c r="H145" s="48"/>
      <c r="I145" s="48" t="s">
        <v>62</v>
      </c>
      <c r="J145" s="61">
        <v>9100051571612</v>
      </c>
      <c r="K145" s="95">
        <v>210000</v>
      </c>
      <c r="L145" s="94">
        <v>250000</v>
      </c>
      <c r="M145" s="92"/>
      <c r="N145" s="65"/>
      <c r="O145" s="147" t="s">
        <v>271</v>
      </c>
    </row>
    <row r="146" spans="1:15" ht="20.100000000000001" customHeight="1" x14ac:dyDescent="0.3">
      <c r="A146" s="60" t="s">
        <v>277</v>
      </c>
      <c r="B146" s="48" t="s">
        <v>45</v>
      </c>
      <c r="C146" s="48" t="s">
        <v>46</v>
      </c>
      <c r="D146" s="48" t="s">
        <v>133</v>
      </c>
      <c r="E146" s="48"/>
      <c r="F146" s="48" t="s">
        <v>138</v>
      </c>
      <c r="G146" s="48"/>
      <c r="H146" s="48"/>
      <c r="I146" s="48" t="s">
        <v>62</v>
      </c>
      <c r="J146" s="61">
        <v>9100058005944</v>
      </c>
      <c r="K146" s="95">
        <v>421400</v>
      </c>
      <c r="L146" s="94">
        <v>501400</v>
      </c>
      <c r="M146" s="92"/>
      <c r="N146" s="65"/>
      <c r="O146" s="147" t="s">
        <v>271</v>
      </c>
    </row>
    <row r="147" spans="1:15" ht="20.100000000000001" customHeight="1" x14ac:dyDescent="0.3">
      <c r="A147" s="60" t="s">
        <v>277</v>
      </c>
      <c r="B147" s="48" t="s">
        <v>45</v>
      </c>
      <c r="C147" s="48" t="s">
        <v>46</v>
      </c>
      <c r="D147" s="48" t="s">
        <v>133</v>
      </c>
      <c r="E147" s="48"/>
      <c r="F147" s="48" t="s">
        <v>274</v>
      </c>
      <c r="G147" s="48"/>
      <c r="H147" s="48"/>
      <c r="I147" s="48" t="s">
        <v>62</v>
      </c>
      <c r="J147" s="61">
        <v>9105205267039</v>
      </c>
      <c r="K147" s="95">
        <v>482500</v>
      </c>
      <c r="L147" s="94">
        <v>497500</v>
      </c>
      <c r="M147" s="92"/>
      <c r="N147" s="65"/>
      <c r="O147" s="147" t="s">
        <v>271</v>
      </c>
    </row>
    <row r="148" spans="1:15" ht="20.100000000000001" customHeight="1" x14ac:dyDescent="0.3">
      <c r="A148" s="60" t="s">
        <v>277</v>
      </c>
      <c r="B148" s="48" t="s">
        <v>45</v>
      </c>
      <c r="C148" s="48" t="s">
        <v>46</v>
      </c>
      <c r="D148" s="48" t="s">
        <v>133</v>
      </c>
      <c r="E148" s="48"/>
      <c r="F148" s="48" t="s">
        <v>275</v>
      </c>
      <c r="G148" s="48"/>
      <c r="H148" s="48"/>
      <c r="I148" s="48" t="s">
        <v>76</v>
      </c>
      <c r="J148" s="61">
        <v>100249233351</v>
      </c>
      <c r="K148" s="95">
        <v>210000</v>
      </c>
      <c r="L148" s="94">
        <v>222000.00000000003</v>
      </c>
      <c r="M148" s="92"/>
      <c r="N148" s="65"/>
      <c r="O148" s="147" t="s">
        <v>271</v>
      </c>
    </row>
    <row r="149" spans="1:15" ht="20.100000000000001" customHeight="1" x14ac:dyDescent="0.3">
      <c r="A149" s="60" t="s">
        <v>277</v>
      </c>
      <c r="B149" s="48" t="s">
        <v>45</v>
      </c>
      <c r="C149" s="48" t="s">
        <v>46</v>
      </c>
      <c r="D149" s="48" t="s">
        <v>193</v>
      </c>
      <c r="E149" s="48"/>
      <c r="F149" s="48" t="s">
        <v>179</v>
      </c>
      <c r="G149" s="48"/>
      <c r="H149" s="48"/>
      <c r="I149" s="48" t="s">
        <v>72</v>
      </c>
      <c r="J149" s="61">
        <v>19891033805907</v>
      </c>
      <c r="K149" s="95">
        <v>800000</v>
      </c>
      <c r="L149" s="94">
        <v>920000</v>
      </c>
      <c r="M149" s="92"/>
      <c r="N149" s="65"/>
      <c r="O149" s="147" t="s">
        <v>271</v>
      </c>
    </row>
    <row r="150" spans="1:15" ht="20.100000000000001" customHeight="1" x14ac:dyDescent="0.3">
      <c r="A150" s="60" t="s">
        <v>277</v>
      </c>
      <c r="B150" s="48" t="s">
        <v>45</v>
      </c>
      <c r="C150" s="48" t="s">
        <v>46</v>
      </c>
      <c r="D150" s="48" t="s">
        <v>193</v>
      </c>
      <c r="E150" s="48"/>
      <c r="F150" s="48" t="s">
        <v>182</v>
      </c>
      <c r="G150" s="48"/>
      <c r="H150" s="48"/>
      <c r="I150" s="48" t="s">
        <v>72</v>
      </c>
      <c r="J150" s="61">
        <v>19891033805907</v>
      </c>
      <c r="K150" s="95">
        <v>295000</v>
      </c>
      <c r="L150" s="94">
        <v>335000</v>
      </c>
      <c r="M150" s="92"/>
      <c r="N150" s="65"/>
      <c r="O150" s="147" t="s">
        <v>271</v>
      </c>
    </row>
    <row r="151" spans="1:15" ht="20.100000000000001" customHeight="1" x14ac:dyDescent="0.3">
      <c r="A151" s="60" t="s">
        <v>277</v>
      </c>
      <c r="B151" s="48" t="s">
        <v>45</v>
      </c>
      <c r="C151" s="48" t="s">
        <v>46</v>
      </c>
      <c r="D151" s="48" t="s">
        <v>193</v>
      </c>
      <c r="E151" s="48"/>
      <c r="F151" s="48" t="s">
        <v>183</v>
      </c>
      <c r="G151" s="48"/>
      <c r="H151" s="48"/>
      <c r="I151" s="48" t="s">
        <v>62</v>
      </c>
      <c r="J151" s="61">
        <v>9500020135065</v>
      </c>
      <c r="K151" s="95">
        <v>695000</v>
      </c>
      <c r="L151" s="94">
        <v>795000</v>
      </c>
      <c r="M151" s="92"/>
      <c r="N151" s="65"/>
      <c r="O151" s="147" t="s">
        <v>271</v>
      </c>
    </row>
    <row r="152" spans="1:15" ht="20.100000000000001" customHeight="1" x14ac:dyDescent="0.3">
      <c r="A152" s="60" t="s">
        <v>277</v>
      </c>
      <c r="B152" s="48" t="s">
        <v>45</v>
      </c>
      <c r="C152" s="48" t="s">
        <v>46</v>
      </c>
      <c r="D152" s="48" t="s">
        <v>193</v>
      </c>
      <c r="E152" s="48"/>
      <c r="F152" s="48" t="s">
        <v>184</v>
      </c>
      <c r="G152" s="48"/>
      <c r="H152" s="48"/>
      <c r="I152" s="48" t="s">
        <v>72</v>
      </c>
      <c r="J152" s="61">
        <v>23391067820107</v>
      </c>
      <c r="K152" s="95">
        <v>800000</v>
      </c>
      <c r="L152" s="94">
        <v>920000</v>
      </c>
      <c r="M152" s="92"/>
      <c r="N152" s="65"/>
      <c r="O152" s="147" t="s">
        <v>271</v>
      </c>
    </row>
    <row r="153" spans="1:15" ht="20.100000000000001" customHeight="1" x14ac:dyDescent="0.3">
      <c r="A153" s="60" t="s">
        <v>277</v>
      </c>
      <c r="B153" s="48" t="s">
        <v>45</v>
      </c>
      <c r="C153" s="48" t="s">
        <v>46</v>
      </c>
      <c r="D153" s="48" t="s">
        <v>193</v>
      </c>
      <c r="E153" s="48"/>
      <c r="F153" s="48" t="s">
        <v>167</v>
      </c>
      <c r="G153" s="48"/>
      <c r="H153" s="48"/>
      <c r="I153" s="48" t="s">
        <v>189</v>
      </c>
      <c r="J153" s="61">
        <v>50902008559025</v>
      </c>
      <c r="K153" s="95">
        <v>160820</v>
      </c>
      <c r="L153" s="94">
        <v>375000</v>
      </c>
      <c r="M153" s="92">
        <v>154180</v>
      </c>
      <c r="N153" s="65" t="s">
        <v>278</v>
      </c>
      <c r="O153" s="147" t="s">
        <v>271</v>
      </c>
    </row>
    <row r="154" spans="1:15" ht="20.100000000000001" customHeight="1" x14ac:dyDescent="0.3">
      <c r="A154" s="60" t="s">
        <v>277</v>
      </c>
      <c r="B154" s="48" t="s">
        <v>45</v>
      </c>
      <c r="C154" s="48" t="s">
        <v>46</v>
      </c>
      <c r="D154" s="48" t="s">
        <v>193</v>
      </c>
      <c r="E154" s="48"/>
      <c r="F154" s="48" t="s">
        <v>241</v>
      </c>
      <c r="G154" s="48"/>
      <c r="H154" s="48"/>
      <c r="I154" s="48" t="s">
        <v>62</v>
      </c>
      <c r="J154" s="61">
        <v>9100052197783</v>
      </c>
      <c r="K154" s="95">
        <v>722290</v>
      </c>
      <c r="L154" s="94">
        <v>920000</v>
      </c>
      <c r="M154" s="92">
        <v>77710</v>
      </c>
      <c r="N154" s="65" t="s">
        <v>278</v>
      </c>
      <c r="O154" s="147" t="s">
        <v>271</v>
      </c>
    </row>
    <row r="155" spans="1:15" ht="20.100000000000001" customHeight="1" x14ac:dyDescent="0.3">
      <c r="A155" s="60" t="s">
        <v>277</v>
      </c>
      <c r="B155" s="48" t="s">
        <v>45</v>
      </c>
      <c r="C155" s="48" t="s">
        <v>46</v>
      </c>
      <c r="D155" s="48" t="s">
        <v>193</v>
      </c>
      <c r="E155" s="48"/>
      <c r="F155" s="48" t="s">
        <v>186</v>
      </c>
      <c r="G155" s="48"/>
      <c r="H155" s="48"/>
      <c r="I155" s="48" t="s">
        <v>72</v>
      </c>
      <c r="J155" s="61">
        <v>14491076606707</v>
      </c>
      <c r="K155" s="95">
        <v>525000</v>
      </c>
      <c r="L155" s="94">
        <v>625000</v>
      </c>
      <c r="M155" s="92"/>
      <c r="N155" s="65"/>
      <c r="O155" s="147" t="s">
        <v>271</v>
      </c>
    </row>
    <row r="156" spans="1:15" s="156" customFormat="1" ht="20.100000000000001" customHeight="1" x14ac:dyDescent="0.3">
      <c r="A156" s="148" t="s">
        <v>277</v>
      </c>
      <c r="B156" s="149" t="s">
        <v>45</v>
      </c>
      <c r="C156" s="149" t="s">
        <v>46</v>
      </c>
      <c r="D156" s="149" t="s">
        <v>193</v>
      </c>
      <c r="E156" s="149"/>
      <c r="F156" s="149" t="s">
        <v>187</v>
      </c>
      <c r="G156" s="149"/>
      <c r="H156" s="149"/>
      <c r="I156" s="149" t="s">
        <v>51</v>
      </c>
      <c r="J156" s="150">
        <v>3020379742871</v>
      </c>
      <c r="K156" s="151">
        <v>210000</v>
      </c>
      <c r="L156" s="152">
        <v>250000</v>
      </c>
      <c r="M156" s="153"/>
      <c r="N156" s="154" t="s">
        <v>279</v>
      </c>
      <c r="O156" s="155" t="s">
        <v>280</v>
      </c>
    </row>
    <row r="157" spans="1:15" ht="20.100000000000001" customHeight="1" x14ac:dyDescent="0.3">
      <c r="A157" s="60" t="s">
        <v>277</v>
      </c>
      <c r="B157" s="48" t="s">
        <v>45</v>
      </c>
      <c r="C157" s="48" t="s">
        <v>46</v>
      </c>
      <c r="D157" s="48" t="s">
        <v>193</v>
      </c>
      <c r="E157" s="48"/>
      <c r="F157" s="48" t="s">
        <v>276</v>
      </c>
      <c r="G157" s="48"/>
      <c r="H157" s="48"/>
      <c r="I157" s="48" t="s">
        <v>76</v>
      </c>
      <c r="J157" s="61">
        <v>100220559166</v>
      </c>
      <c r="K157" s="95">
        <v>105000</v>
      </c>
      <c r="L157" s="94">
        <v>125000</v>
      </c>
      <c r="M157" s="92"/>
      <c r="N157" s="65"/>
      <c r="O157" s="147" t="s">
        <v>271</v>
      </c>
    </row>
    <row r="158" spans="1:15" ht="20.100000000000001" customHeight="1" x14ac:dyDescent="0.3">
      <c r="A158" s="60"/>
      <c r="B158" s="48"/>
      <c r="C158" s="48"/>
      <c r="D158" s="48"/>
      <c r="E158" s="48"/>
      <c r="F158" s="48"/>
      <c r="G158" s="48"/>
      <c r="H158" s="48"/>
      <c r="I158" s="48"/>
      <c r="J158" s="61"/>
      <c r="K158" s="95"/>
      <c r="L158" s="94"/>
      <c r="M158" s="92"/>
      <c r="N158" s="65"/>
    </row>
    <row r="159" spans="1:15" ht="20.100000000000001" customHeight="1" x14ac:dyDescent="0.3">
      <c r="A159" s="60"/>
      <c r="B159" s="48"/>
      <c r="C159" s="48"/>
      <c r="D159" s="48"/>
      <c r="E159" s="48"/>
      <c r="F159" s="48"/>
      <c r="G159" s="48"/>
      <c r="H159" s="48"/>
      <c r="I159" s="48"/>
      <c r="J159" s="61"/>
      <c r="K159" s="95"/>
      <c r="L159" s="94"/>
      <c r="M159" s="92"/>
      <c r="N159" s="65"/>
    </row>
    <row r="160" spans="1:15" ht="20.100000000000001" customHeight="1" x14ac:dyDescent="0.3">
      <c r="A160" s="60"/>
      <c r="B160" s="48"/>
      <c r="C160" s="48"/>
      <c r="D160" s="48"/>
      <c r="E160" s="48"/>
      <c r="F160" s="48"/>
      <c r="G160" s="48"/>
      <c r="H160" s="48"/>
      <c r="I160" s="48"/>
      <c r="J160" s="61"/>
      <c r="K160" s="95"/>
      <c r="L160" s="94"/>
      <c r="M160" s="92"/>
      <c r="N160" s="65"/>
    </row>
    <row r="161" spans="1:14" ht="20.100000000000001" customHeight="1" x14ac:dyDescent="0.3">
      <c r="A161" s="60"/>
      <c r="B161" s="48"/>
      <c r="C161" s="48"/>
      <c r="D161" s="48"/>
      <c r="E161" s="48"/>
      <c r="F161" s="48"/>
      <c r="G161" s="48"/>
      <c r="H161" s="48"/>
      <c r="I161" s="48"/>
      <c r="J161" s="61"/>
      <c r="K161" s="95"/>
      <c r="L161" s="94"/>
      <c r="M161" s="92"/>
      <c r="N161" s="65"/>
    </row>
    <row r="162" spans="1:14" ht="20.100000000000001" customHeight="1" x14ac:dyDescent="0.3">
      <c r="A162" s="60"/>
      <c r="B162" s="48"/>
      <c r="C162" s="48"/>
      <c r="D162" s="48"/>
      <c r="E162" s="48"/>
      <c r="F162" s="48"/>
      <c r="G162" s="48"/>
      <c r="H162" s="48"/>
      <c r="I162" s="48"/>
      <c r="J162" s="61"/>
      <c r="K162" s="95"/>
      <c r="L162" s="94"/>
      <c r="M162" s="92"/>
      <c r="N162" s="65"/>
    </row>
    <row r="163" spans="1:14" ht="20.100000000000001" customHeight="1" x14ac:dyDescent="0.3">
      <c r="A163" s="60"/>
      <c r="B163" s="48"/>
      <c r="C163" s="48"/>
      <c r="D163" s="48"/>
      <c r="E163" s="48"/>
      <c r="F163" s="48"/>
      <c r="G163" s="48"/>
      <c r="H163" s="48"/>
      <c r="I163" s="48"/>
      <c r="J163" s="61"/>
      <c r="K163" s="95"/>
      <c r="L163" s="94"/>
      <c r="M163" s="92"/>
      <c r="N163" s="65"/>
    </row>
    <row r="164" spans="1:14" ht="20.100000000000001" customHeight="1" x14ac:dyDescent="0.3">
      <c r="A164" s="60"/>
      <c r="B164" s="48"/>
      <c r="C164" s="48"/>
      <c r="D164" s="48"/>
      <c r="E164" s="48"/>
      <c r="F164" s="48"/>
      <c r="G164" s="48"/>
      <c r="H164" s="48"/>
      <c r="I164" s="48"/>
      <c r="J164" s="61"/>
      <c r="K164" s="95"/>
      <c r="L164" s="94"/>
      <c r="M164" s="92"/>
      <c r="N164" s="65"/>
    </row>
    <row r="165" spans="1:14" ht="20.100000000000001" customHeight="1" x14ac:dyDescent="0.3">
      <c r="A165" s="60"/>
      <c r="B165" s="48"/>
      <c r="C165" s="48"/>
      <c r="D165" s="48"/>
      <c r="E165" s="48"/>
      <c r="F165" s="48"/>
      <c r="G165" s="48"/>
      <c r="H165" s="48"/>
      <c r="I165" s="48"/>
      <c r="J165" s="61"/>
      <c r="K165" s="95"/>
      <c r="L165" s="94"/>
      <c r="M165" s="92"/>
      <c r="N165" s="65"/>
    </row>
    <row r="166" spans="1:14" ht="20.100000000000001" customHeight="1" x14ac:dyDescent="0.3">
      <c r="A166" s="60"/>
      <c r="B166" s="48"/>
      <c r="C166" s="48"/>
      <c r="D166" s="48"/>
      <c r="E166" s="48"/>
      <c r="F166" s="48"/>
      <c r="G166" s="48"/>
      <c r="H166" s="48"/>
      <c r="I166" s="48"/>
      <c r="J166" s="61"/>
      <c r="K166" s="95"/>
      <c r="L166" s="94"/>
      <c r="M166" s="92"/>
      <c r="N166" s="65"/>
    </row>
    <row r="167" spans="1:14" ht="20.100000000000001" customHeight="1" x14ac:dyDescent="0.3">
      <c r="A167" s="60"/>
      <c r="B167" s="48"/>
      <c r="C167" s="48"/>
      <c r="D167" s="48"/>
      <c r="E167" s="48"/>
      <c r="F167" s="48"/>
      <c r="G167" s="48"/>
      <c r="H167" s="48"/>
      <c r="I167" s="48"/>
      <c r="J167" s="61"/>
      <c r="K167" s="95"/>
      <c r="L167" s="94"/>
      <c r="M167" s="92"/>
      <c r="N167" s="65"/>
    </row>
    <row r="168" spans="1:14" ht="20.100000000000001" customHeight="1" x14ac:dyDescent="0.3">
      <c r="A168" s="60"/>
      <c r="B168" s="48"/>
      <c r="C168" s="48"/>
      <c r="D168" s="48"/>
      <c r="E168" s="48"/>
      <c r="F168" s="48"/>
      <c r="G168" s="48"/>
      <c r="H168" s="48"/>
      <c r="I168" s="48"/>
      <c r="J168" s="61"/>
      <c r="K168" s="95"/>
      <c r="L168" s="94"/>
      <c r="M168" s="92"/>
      <c r="N168" s="65"/>
    </row>
    <row r="169" spans="1:14" ht="20.100000000000001" customHeight="1" x14ac:dyDescent="0.3">
      <c r="A169" s="60"/>
      <c r="B169" s="48"/>
      <c r="C169" s="48"/>
      <c r="D169" s="48"/>
      <c r="E169" s="48"/>
      <c r="F169" s="48"/>
      <c r="G169" s="48"/>
      <c r="H169" s="48"/>
      <c r="I169" s="48"/>
      <c r="J169" s="61"/>
      <c r="K169" s="95"/>
      <c r="L169" s="94"/>
      <c r="M169" s="92"/>
      <c r="N169" s="65"/>
    </row>
    <row r="170" spans="1:14" ht="20.100000000000001" customHeight="1" x14ac:dyDescent="0.3">
      <c r="A170" s="60"/>
      <c r="B170" s="48"/>
      <c r="C170" s="48"/>
      <c r="D170" s="48"/>
      <c r="E170" s="48"/>
      <c r="F170" s="48"/>
      <c r="G170" s="48"/>
      <c r="H170" s="48"/>
      <c r="I170" s="48"/>
      <c r="J170" s="61"/>
      <c r="K170" s="95"/>
      <c r="L170" s="94"/>
      <c r="M170" s="92"/>
      <c r="N170" s="65"/>
    </row>
    <row r="171" spans="1:14" ht="20.100000000000001" customHeight="1" x14ac:dyDescent="0.3">
      <c r="A171" s="60"/>
      <c r="B171" s="48"/>
      <c r="C171" s="48"/>
      <c r="D171" s="48"/>
      <c r="E171" s="48"/>
      <c r="F171" s="48"/>
      <c r="G171" s="48"/>
      <c r="H171" s="48"/>
      <c r="I171" s="48"/>
      <c r="J171" s="61"/>
      <c r="K171" s="95"/>
      <c r="L171" s="94"/>
      <c r="M171" s="92"/>
      <c r="N171" s="65"/>
    </row>
    <row r="172" spans="1:14" ht="20.100000000000001" customHeight="1" x14ac:dyDescent="0.3">
      <c r="A172" s="60"/>
      <c r="B172" s="48"/>
      <c r="C172" s="48"/>
      <c r="D172" s="48"/>
      <c r="E172" s="48"/>
      <c r="F172" s="48"/>
      <c r="G172" s="48"/>
      <c r="H172" s="48"/>
      <c r="I172" s="48"/>
      <c r="J172" s="61"/>
      <c r="K172" s="95"/>
      <c r="L172" s="94"/>
      <c r="M172" s="92"/>
      <c r="N172" s="65"/>
    </row>
    <row r="173" spans="1:14" ht="20.100000000000001" customHeight="1" x14ac:dyDescent="0.3">
      <c r="A173" s="60"/>
      <c r="B173" s="48"/>
      <c r="C173" s="48"/>
      <c r="D173" s="48"/>
      <c r="E173" s="48"/>
      <c r="F173" s="48"/>
      <c r="G173" s="48"/>
      <c r="H173" s="48"/>
      <c r="I173" s="48"/>
      <c r="J173" s="61"/>
      <c r="K173" s="95"/>
      <c r="L173" s="94"/>
      <c r="M173" s="92"/>
      <c r="N173" s="65"/>
    </row>
    <row r="174" spans="1:14" ht="20.100000000000001" customHeight="1" x14ac:dyDescent="0.3">
      <c r="A174" s="60"/>
      <c r="B174" s="48"/>
      <c r="C174" s="48"/>
      <c r="D174" s="48"/>
      <c r="E174" s="48"/>
      <c r="F174" s="48"/>
      <c r="G174" s="48"/>
      <c r="H174" s="48"/>
      <c r="I174" s="48"/>
      <c r="J174" s="61"/>
      <c r="K174" s="95"/>
      <c r="L174" s="94"/>
      <c r="M174" s="92"/>
      <c r="N174" s="65"/>
    </row>
    <row r="175" spans="1:14" ht="20.100000000000001" customHeight="1" x14ac:dyDescent="0.3">
      <c r="A175" s="60"/>
      <c r="B175" s="48"/>
      <c r="C175" s="48"/>
      <c r="D175" s="48"/>
      <c r="E175" s="48"/>
      <c r="F175" s="48"/>
      <c r="G175" s="48"/>
      <c r="H175" s="48"/>
      <c r="I175" s="48"/>
      <c r="J175" s="61"/>
      <c r="K175" s="95"/>
      <c r="L175" s="94"/>
      <c r="M175" s="92"/>
      <c r="N175" s="65"/>
    </row>
    <row r="176" spans="1:14" ht="20.100000000000001" customHeight="1" x14ac:dyDescent="0.3">
      <c r="A176" s="60"/>
      <c r="B176" s="48"/>
      <c r="C176" s="48"/>
      <c r="D176" s="48"/>
      <c r="E176" s="48"/>
      <c r="F176" s="48"/>
      <c r="G176" s="48"/>
      <c r="H176" s="48"/>
      <c r="I176" s="48"/>
      <c r="J176" s="61"/>
      <c r="K176" s="95"/>
      <c r="L176" s="94"/>
      <c r="M176" s="92"/>
      <c r="N176" s="65"/>
    </row>
    <row r="177" spans="1:14" ht="20.100000000000001" customHeight="1" x14ac:dyDescent="0.3">
      <c r="A177" s="60"/>
      <c r="B177" s="48"/>
      <c r="C177" s="48"/>
      <c r="D177" s="48"/>
      <c r="E177" s="48"/>
      <c r="F177" s="48"/>
      <c r="G177" s="48"/>
      <c r="H177" s="48"/>
      <c r="I177" s="48"/>
      <c r="J177" s="61"/>
      <c r="K177" s="95"/>
      <c r="L177" s="94"/>
      <c r="M177" s="92"/>
      <c r="N177" s="65"/>
    </row>
    <row r="178" spans="1:14" ht="20.100000000000001" customHeight="1" x14ac:dyDescent="0.3">
      <c r="A178" s="60"/>
      <c r="B178" s="48"/>
      <c r="C178" s="48"/>
      <c r="D178" s="48"/>
      <c r="E178" s="48"/>
      <c r="F178" s="48"/>
      <c r="G178" s="48"/>
      <c r="H178" s="48"/>
      <c r="I178" s="48"/>
      <c r="J178" s="61"/>
      <c r="K178" s="95"/>
      <c r="L178" s="94"/>
      <c r="M178" s="92"/>
      <c r="N178" s="65"/>
    </row>
    <row r="179" spans="1:14" ht="20.100000000000001" customHeight="1" x14ac:dyDescent="0.3">
      <c r="A179" s="60"/>
      <c r="B179" s="48"/>
      <c r="C179" s="48"/>
      <c r="D179" s="48"/>
      <c r="E179" s="48"/>
      <c r="F179" s="48"/>
      <c r="G179" s="48"/>
      <c r="H179" s="48"/>
      <c r="I179" s="48"/>
      <c r="J179" s="61"/>
      <c r="K179" s="95"/>
      <c r="L179" s="94"/>
      <c r="M179" s="92"/>
      <c r="N179" s="65"/>
    </row>
    <row r="180" spans="1:14" ht="20.100000000000001" customHeight="1" x14ac:dyDescent="0.3">
      <c r="A180" s="60"/>
      <c r="B180" s="48"/>
      <c r="C180" s="48"/>
      <c r="D180" s="48"/>
      <c r="E180" s="48"/>
      <c r="F180" s="48"/>
      <c r="G180" s="48"/>
      <c r="H180" s="48"/>
      <c r="I180" s="48"/>
      <c r="J180" s="61"/>
      <c r="K180" s="95"/>
      <c r="L180" s="94"/>
      <c r="M180" s="92"/>
      <c r="N180" s="65"/>
    </row>
    <row r="181" spans="1:14" ht="20.100000000000001" customHeight="1" x14ac:dyDescent="0.3">
      <c r="A181" s="60"/>
      <c r="B181" s="48"/>
      <c r="C181" s="48"/>
      <c r="D181" s="48"/>
      <c r="E181" s="48"/>
      <c r="F181" s="48"/>
      <c r="G181" s="48"/>
      <c r="H181" s="48"/>
      <c r="I181" s="48"/>
      <c r="J181" s="61"/>
      <c r="K181" s="95"/>
      <c r="L181" s="94"/>
      <c r="M181" s="92"/>
      <c r="N181" s="65"/>
    </row>
    <row r="182" spans="1:14" ht="20.100000000000001" customHeight="1" x14ac:dyDescent="0.3">
      <c r="A182" s="60"/>
      <c r="B182" s="48"/>
      <c r="C182" s="48"/>
      <c r="D182" s="48"/>
      <c r="E182" s="48"/>
      <c r="F182" s="48"/>
      <c r="G182" s="48"/>
      <c r="H182" s="48"/>
      <c r="I182" s="48"/>
      <c r="J182" s="61"/>
      <c r="K182" s="95"/>
      <c r="L182" s="94"/>
      <c r="M182" s="92"/>
      <c r="N182" s="65"/>
    </row>
    <row r="183" spans="1:14" ht="20.100000000000001" customHeight="1" x14ac:dyDescent="0.3">
      <c r="A183" s="60"/>
      <c r="B183" s="48"/>
      <c r="C183" s="48"/>
      <c r="D183" s="48"/>
      <c r="E183" s="48"/>
      <c r="F183" s="48"/>
      <c r="G183" s="48"/>
      <c r="H183" s="48"/>
      <c r="I183" s="48"/>
      <c r="J183" s="61"/>
      <c r="K183" s="95"/>
      <c r="L183" s="94"/>
      <c r="M183" s="92"/>
      <c r="N183" s="65"/>
    </row>
    <row r="184" spans="1:14" ht="20.100000000000001" customHeight="1" x14ac:dyDescent="0.3">
      <c r="A184" s="60"/>
      <c r="B184" s="48"/>
      <c r="C184" s="48"/>
      <c r="D184" s="48"/>
      <c r="E184" s="48"/>
      <c r="F184" s="48"/>
      <c r="G184" s="48"/>
      <c r="H184" s="48"/>
      <c r="I184" s="48"/>
      <c r="J184" s="61"/>
      <c r="K184" s="95"/>
      <c r="L184" s="94"/>
      <c r="M184" s="92"/>
      <c r="N184" s="65"/>
    </row>
    <row r="185" spans="1:14" ht="20.100000000000001" customHeight="1" x14ac:dyDescent="0.3">
      <c r="A185" s="60"/>
      <c r="B185" s="48"/>
      <c r="C185" s="48"/>
      <c r="D185" s="48"/>
      <c r="E185" s="48"/>
      <c r="F185" s="48"/>
      <c r="G185" s="48"/>
      <c r="H185" s="48"/>
      <c r="I185" s="48"/>
      <c r="J185" s="61"/>
      <c r="K185" s="95"/>
      <c r="L185" s="94"/>
      <c r="M185" s="92"/>
      <c r="N185" s="65"/>
    </row>
    <row r="186" spans="1:14" ht="20.100000000000001" customHeight="1" x14ac:dyDescent="0.3">
      <c r="A186" s="60"/>
      <c r="B186" s="48"/>
      <c r="C186" s="48"/>
      <c r="D186" s="48"/>
      <c r="E186" s="48"/>
      <c r="F186" s="48"/>
      <c r="G186" s="48"/>
      <c r="H186" s="48"/>
      <c r="I186" s="48"/>
      <c r="J186" s="61"/>
      <c r="K186" s="95"/>
      <c r="L186" s="94"/>
      <c r="M186" s="92"/>
      <c r="N186" s="65"/>
    </row>
    <row r="187" spans="1:14" ht="20.100000000000001" customHeight="1" x14ac:dyDescent="0.3">
      <c r="A187" s="60"/>
      <c r="B187" s="48"/>
      <c r="C187" s="48"/>
      <c r="D187" s="48"/>
      <c r="E187" s="48"/>
      <c r="F187" s="48"/>
      <c r="G187" s="48"/>
      <c r="H187" s="48"/>
      <c r="I187" s="48"/>
      <c r="J187" s="61"/>
      <c r="K187" s="95"/>
      <c r="L187" s="94"/>
      <c r="M187" s="92"/>
      <c r="N187" s="65"/>
    </row>
    <row r="188" spans="1:14" ht="20.100000000000001" customHeight="1" x14ac:dyDescent="0.3">
      <c r="A188" s="60"/>
      <c r="B188" s="48"/>
      <c r="C188" s="48"/>
      <c r="D188" s="48"/>
      <c r="E188" s="48"/>
      <c r="F188" s="48"/>
      <c r="G188" s="48"/>
      <c r="H188" s="48"/>
      <c r="I188" s="48"/>
      <c r="J188" s="61"/>
      <c r="K188" s="95"/>
      <c r="L188" s="94"/>
      <c r="M188" s="92"/>
      <c r="N188" s="65"/>
    </row>
    <row r="189" spans="1:14" ht="20.100000000000001" customHeight="1" x14ac:dyDescent="0.3">
      <c r="A189" s="60"/>
      <c r="B189" s="48"/>
      <c r="C189" s="48"/>
      <c r="D189" s="48"/>
      <c r="E189" s="48"/>
      <c r="F189" s="48"/>
      <c r="G189" s="48"/>
      <c r="H189" s="48"/>
      <c r="I189" s="48"/>
      <c r="J189" s="61"/>
      <c r="K189" s="95"/>
      <c r="L189" s="94"/>
      <c r="M189" s="92"/>
      <c r="N189" s="65"/>
    </row>
    <row r="190" spans="1:14" ht="20.100000000000001" customHeight="1" x14ac:dyDescent="0.3">
      <c r="A190" s="60"/>
      <c r="B190" s="48"/>
      <c r="C190" s="48"/>
      <c r="D190" s="48"/>
      <c r="E190" s="48"/>
      <c r="F190" s="48"/>
      <c r="G190" s="48"/>
      <c r="H190" s="48"/>
      <c r="I190" s="48"/>
      <c r="J190" s="61"/>
      <c r="K190" s="95"/>
      <c r="L190" s="94"/>
      <c r="M190" s="92"/>
      <c r="N190" s="65"/>
    </row>
    <row r="191" spans="1:14" ht="20.100000000000001" customHeight="1" x14ac:dyDescent="0.3">
      <c r="A191" s="60"/>
      <c r="B191" s="48"/>
      <c r="C191" s="48"/>
      <c r="D191" s="48"/>
      <c r="E191" s="48"/>
      <c r="F191" s="48"/>
      <c r="G191" s="48"/>
      <c r="H191" s="48"/>
      <c r="I191" s="48"/>
      <c r="J191" s="61"/>
      <c r="K191" s="95"/>
      <c r="L191" s="94"/>
      <c r="M191" s="92"/>
      <c r="N191" s="65"/>
    </row>
    <row r="192" spans="1:14" ht="20.100000000000001" customHeight="1" x14ac:dyDescent="0.3">
      <c r="A192" s="60"/>
      <c r="B192" s="48"/>
      <c r="C192" s="48"/>
      <c r="D192" s="48"/>
      <c r="E192" s="48"/>
      <c r="F192" s="48"/>
      <c r="G192" s="48"/>
      <c r="H192" s="48"/>
      <c r="I192" s="48"/>
      <c r="J192" s="61"/>
      <c r="K192" s="95"/>
      <c r="L192" s="94"/>
      <c r="M192" s="92"/>
      <c r="N192" s="65"/>
    </row>
    <row r="193" spans="1:14" ht="20.100000000000001" customHeight="1" x14ac:dyDescent="0.3">
      <c r="A193" s="60"/>
      <c r="B193" s="48"/>
      <c r="C193" s="48"/>
      <c r="D193" s="48"/>
      <c r="E193" s="48"/>
      <c r="F193" s="48"/>
      <c r="G193" s="48"/>
      <c r="H193" s="48"/>
      <c r="I193" s="48"/>
      <c r="J193" s="61"/>
      <c r="K193" s="95"/>
      <c r="L193" s="94"/>
      <c r="M193" s="92"/>
      <c r="N193" s="65"/>
    </row>
    <row r="194" spans="1:14" ht="20.100000000000001" customHeight="1" x14ac:dyDescent="0.3">
      <c r="A194" s="60"/>
      <c r="B194" s="48"/>
      <c r="C194" s="48"/>
      <c r="D194" s="48"/>
      <c r="E194" s="48"/>
      <c r="F194" s="48"/>
      <c r="G194" s="48"/>
      <c r="H194" s="48"/>
      <c r="I194" s="48"/>
      <c r="J194" s="61"/>
      <c r="K194" s="95"/>
      <c r="L194" s="94"/>
      <c r="M194" s="92"/>
      <c r="N194" s="65"/>
    </row>
    <row r="195" spans="1:14" ht="20.100000000000001" customHeight="1" x14ac:dyDescent="0.3">
      <c r="A195" s="60"/>
      <c r="B195" s="48"/>
      <c r="C195" s="48"/>
      <c r="D195" s="48"/>
      <c r="E195" s="48"/>
      <c r="F195" s="48"/>
      <c r="G195" s="48"/>
      <c r="H195" s="48"/>
      <c r="I195" s="48"/>
      <c r="J195" s="61"/>
      <c r="K195" s="95"/>
      <c r="L195" s="94"/>
      <c r="M195" s="92"/>
      <c r="N195" s="65"/>
    </row>
    <row r="196" spans="1:14" ht="20.100000000000001" customHeight="1" x14ac:dyDescent="0.3">
      <c r="A196" s="60"/>
      <c r="B196" s="48"/>
      <c r="C196" s="48"/>
      <c r="D196" s="48"/>
      <c r="E196" s="48"/>
      <c r="F196" s="48"/>
      <c r="G196" s="48"/>
      <c r="H196" s="48"/>
      <c r="I196" s="48"/>
      <c r="J196" s="61"/>
      <c r="K196" s="95"/>
      <c r="L196" s="94"/>
      <c r="M196" s="92"/>
      <c r="N196" s="65"/>
    </row>
    <row r="197" spans="1:14" ht="20.100000000000001" customHeight="1" x14ac:dyDescent="0.3">
      <c r="A197" s="60"/>
      <c r="B197" s="48"/>
      <c r="C197" s="48"/>
      <c r="D197" s="48"/>
      <c r="E197" s="48"/>
      <c r="F197" s="48"/>
      <c r="G197" s="48"/>
      <c r="H197" s="48"/>
      <c r="I197" s="48"/>
      <c r="J197" s="61"/>
      <c r="K197" s="95"/>
      <c r="L197" s="94"/>
      <c r="M197" s="92"/>
      <c r="N197" s="65"/>
    </row>
    <row r="198" spans="1:14" ht="20.100000000000001" customHeight="1" x14ac:dyDescent="0.3">
      <c r="A198" s="60"/>
      <c r="B198" s="48"/>
      <c r="C198" s="48"/>
      <c r="D198" s="48"/>
      <c r="E198" s="48"/>
      <c r="F198" s="48"/>
      <c r="G198" s="48"/>
      <c r="H198" s="48"/>
      <c r="I198" s="48"/>
      <c r="J198" s="61"/>
      <c r="K198" s="95"/>
      <c r="L198" s="94"/>
      <c r="M198" s="92"/>
      <c r="N198" s="65"/>
    </row>
    <row r="199" spans="1:14" ht="20.100000000000001" customHeight="1" x14ac:dyDescent="0.3">
      <c r="A199" s="60"/>
      <c r="B199" s="48"/>
      <c r="C199" s="48"/>
      <c r="D199" s="48"/>
      <c r="E199" s="48"/>
      <c r="F199" s="48"/>
      <c r="G199" s="48"/>
      <c r="H199" s="48"/>
      <c r="I199" s="48"/>
      <c r="J199" s="61"/>
      <c r="K199" s="95"/>
      <c r="L199" s="94"/>
      <c r="M199" s="92"/>
      <c r="N199" s="65"/>
    </row>
    <row r="200" spans="1:14" ht="20.100000000000001" customHeight="1" x14ac:dyDescent="0.3">
      <c r="A200" s="60"/>
      <c r="B200" s="48"/>
      <c r="C200" s="48"/>
      <c r="D200" s="48"/>
      <c r="E200" s="48"/>
      <c r="F200" s="48"/>
      <c r="G200" s="48"/>
      <c r="H200" s="48"/>
      <c r="I200" s="48"/>
      <c r="J200" s="61"/>
      <c r="K200" s="95"/>
      <c r="L200" s="94"/>
      <c r="M200" s="92"/>
      <c r="N200" s="65"/>
    </row>
    <row r="201" spans="1:14" ht="20.100000000000001" customHeight="1" x14ac:dyDescent="0.3">
      <c r="A201" s="60"/>
      <c r="B201" s="48"/>
      <c r="C201" s="48"/>
      <c r="D201" s="48"/>
      <c r="E201" s="48"/>
      <c r="F201" s="48"/>
      <c r="G201" s="48"/>
      <c r="H201" s="48"/>
      <c r="I201" s="48"/>
      <c r="J201" s="61"/>
      <c r="K201" s="95"/>
      <c r="L201" s="94"/>
      <c r="M201" s="92"/>
      <c r="N201" s="65"/>
    </row>
    <row r="202" spans="1:14" ht="20.100000000000001" customHeight="1" x14ac:dyDescent="0.3">
      <c r="A202" s="60"/>
      <c r="B202" s="48"/>
      <c r="C202" s="48"/>
      <c r="D202" s="48"/>
      <c r="E202" s="48"/>
      <c r="F202" s="48"/>
      <c r="G202" s="48"/>
      <c r="H202" s="48"/>
      <c r="I202" s="48"/>
      <c r="J202" s="61"/>
      <c r="K202" s="95"/>
      <c r="L202" s="94"/>
      <c r="M202" s="92"/>
      <c r="N202" s="65"/>
    </row>
    <row r="203" spans="1:14" ht="20.100000000000001" customHeight="1" x14ac:dyDescent="0.3">
      <c r="A203" s="60"/>
      <c r="B203" s="48"/>
      <c r="C203" s="48"/>
      <c r="D203" s="48"/>
      <c r="E203" s="48"/>
      <c r="F203" s="48"/>
      <c r="G203" s="48"/>
      <c r="H203" s="48"/>
      <c r="I203" s="48"/>
      <c r="J203" s="61"/>
      <c r="K203" s="95"/>
      <c r="L203" s="94"/>
      <c r="M203" s="92"/>
      <c r="N203" s="65"/>
    </row>
    <row r="204" spans="1:14" ht="20.100000000000001" customHeight="1" x14ac:dyDescent="0.3">
      <c r="A204" s="60"/>
      <c r="B204" s="48"/>
      <c r="C204" s="48"/>
      <c r="D204" s="48"/>
      <c r="E204" s="48"/>
      <c r="F204" s="48"/>
      <c r="G204" s="48"/>
      <c r="H204" s="48"/>
      <c r="I204" s="48"/>
      <c r="J204" s="61"/>
      <c r="K204" s="95"/>
      <c r="L204" s="94"/>
      <c r="M204" s="92"/>
      <c r="N204" s="65"/>
    </row>
    <row r="205" spans="1:14" ht="20.100000000000001" customHeight="1" x14ac:dyDescent="0.3">
      <c r="A205" s="60"/>
      <c r="B205" s="48"/>
      <c r="C205" s="48"/>
      <c r="D205" s="48"/>
      <c r="E205" s="48"/>
      <c r="F205" s="48"/>
      <c r="G205" s="48"/>
      <c r="H205" s="48"/>
      <c r="I205" s="48"/>
      <c r="J205" s="61"/>
      <c r="K205" s="95"/>
      <c r="L205" s="94"/>
      <c r="M205" s="92"/>
      <c r="N205" s="65"/>
    </row>
    <row r="206" spans="1:14" ht="20.100000000000001" customHeight="1" x14ac:dyDescent="0.3">
      <c r="A206" s="60"/>
      <c r="B206" s="48"/>
      <c r="C206" s="48"/>
      <c r="D206" s="48"/>
      <c r="E206" s="48"/>
      <c r="F206" s="48"/>
      <c r="G206" s="48"/>
      <c r="H206" s="48"/>
      <c r="I206" s="48"/>
      <c r="J206" s="61"/>
      <c r="K206" s="95"/>
      <c r="L206" s="94"/>
      <c r="M206" s="92"/>
      <c r="N206" s="65"/>
    </row>
    <row r="207" spans="1:14" ht="20.100000000000001" customHeight="1" x14ac:dyDescent="0.3">
      <c r="A207" s="60"/>
      <c r="B207" s="48"/>
      <c r="C207" s="48"/>
      <c r="D207" s="48"/>
      <c r="E207" s="48"/>
      <c r="F207" s="48"/>
      <c r="G207" s="48"/>
      <c r="H207" s="48"/>
      <c r="I207" s="48"/>
      <c r="J207" s="61"/>
      <c r="K207" s="95"/>
      <c r="L207" s="94"/>
      <c r="M207" s="92"/>
      <c r="N207" s="65"/>
    </row>
    <row r="208" spans="1:14" ht="20.100000000000001" customHeight="1" x14ac:dyDescent="0.3">
      <c r="A208" s="60"/>
      <c r="B208" s="48"/>
      <c r="C208" s="48"/>
      <c r="D208" s="48"/>
      <c r="E208" s="48"/>
      <c r="F208" s="48"/>
      <c r="G208" s="48"/>
      <c r="H208" s="48"/>
      <c r="I208" s="48"/>
      <c r="J208" s="61"/>
      <c r="K208" s="95"/>
      <c r="L208" s="94"/>
      <c r="M208" s="92"/>
      <c r="N208" s="65"/>
    </row>
    <row r="209" spans="1:14" ht="20.100000000000001" customHeight="1" x14ac:dyDescent="0.3">
      <c r="A209" s="60"/>
      <c r="B209" s="48"/>
      <c r="C209" s="48"/>
      <c r="D209" s="48"/>
      <c r="E209" s="48"/>
      <c r="F209" s="48"/>
      <c r="G209" s="48"/>
      <c r="H209" s="48"/>
      <c r="I209" s="48"/>
      <c r="J209" s="61"/>
      <c r="K209" s="95"/>
      <c r="L209" s="94"/>
      <c r="M209" s="92"/>
      <c r="N209" s="65"/>
    </row>
    <row r="210" spans="1:14" ht="20.100000000000001" customHeight="1" x14ac:dyDescent="0.3">
      <c r="A210" s="60"/>
      <c r="B210" s="48"/>
      <c r="C210" s="48"/>
      <c r="D210" s="48"/>
      <c r="E210" s="48"/>
      <c r="F210" s="48"/>
      <c r="G210" s="48"/>
      <c r="H210" s="48"/>
      <c r="I210" s="48"/>
      <c r="J210" s="61"/>
      <c r="K210" s="95"/>
      <c r="L210" s="94"/>
      <c r="M210" s="92"/>
      <c r="N210" s="65"/>
    </row>
    <row r="211" spans="1:14" ht="20.100000000000001" customHeight="1" x14ac:dyDescent="0.3">
      <c r="A211" s="60"/>
      <c r="B211" s="48"/>
      <c r="C211" s="48"/>
      <c r="D211" s="48"/>
      <c r="E211" s="48"/>
      <c r="F211" s="48"/>
      <c r="G211" s="48"/>
      <c r="H211" s="48"/>
      <c r="I211" s="48"/>
      <c r="J211" s="61"/>
      <c r="K211" s="95"/>
      <c r="L211" s="94"/>
      <c r="M211" s="92"/>
      <c r="N211" s="65"/>
    </row>
    <row r="212" spans="1:14" ht="20.100000000000001" customHeight="1" x14ac:dyDescent="0.3">
      <c r="A212" s="60"/>
      <c r="B212" s="48"/>
      <c r="C212" s="48"/>
      <c r="D212" s="48"/>
      <c r="E212" s="48"/>
      <c r="F212" s="48"/>
      <c r="G212" s="48"/>
      <c r="H212" s="48"/>
      <c r="I212" s="48"/>
      <c r="J212" s="61"/>
      <c r="K212" s="95"/>
      <c r="L212" s="94"/>
      <c r="M212" s="92"/>
      <c r="N212" s="65"/>
    </row>
    <row r="213" spans="1:14" ht="20.100000000000001" customHeight="1" x14ac:dyDescent="0.3">
      <c r="A213" s="60"/>
      <c r="B213" s="48"/>
      <c r="C213" s="48"/>
      <c r="D213" s="48"/>
      <c r="E213" s="48"/>
      <c r="F213" s="48"/>
      <c r="G213" s="48"/>
      <c r="H213" s="48"/>
      <c r="I213" s="48"/>
      <c r="J213" s="61"/>
      <c r="K213" s="95"/>
      <c r="L213" s="94"/>
      <c r="M213" s="92"/>
      <c r="N213" s="65"/>
    </row>
    <row r="214" spans="1:14" ht="20.100000000000001" customHeight="1" x14ac:dyDescent="0.3">
      <c r="A214" s="60"/>
      <c r="B214" s="48"/>
      <c r="C214" s="48"/>
      <c r="D214" s="48"/>
      <c r="E214" s="48"/>
      <c r="F214" s="48"/>
      <c r="G214" s="48"/>
      <c r="H214" s="48"/>
      <c r="I214" s="48"/>
      <c r="J214" s="61"/>
      <c r="K214" s="95"/>
      <c r="L214" s="94"/>
      <c r="M214" s="92"/>
      <c r="N214" s="65"/>
    </row>
    <row r="215" spans="1:14" ht="20.100000000000001" customHeight="1" x14ac:dyDescent="0.3">
      <c r="A215" s="60"/>
      <c r="B215" s="48"/>
      <c r="C215" s="48"/>
      <c r="D215" s="48"/>
      <c r="E215" s="48"/>
      <c r="F215" s="48"/>
      <c r="G215" s="48"/>
      <c r="H215" s="48"/>
      <c r="I215" s="48"/>
      <c r="J215" s="61"/>
      <c r="K215" s="95"/>
      <c r="L215" s="94"/>
      <c r="M215" s="92"/>
      <c r="N215" s="65"/>
    </row>
    <row r="216" spans="1:14" ht="20.100000000000001" customHeight="1" x14ac:dyDescent="0.3">
      <c r="A216" s="60"/>
      <c r="B216" s="48"/>
      <c r="C216" s="48"/>
      <c r="D216" s="48"/>
      <c r="E216" s="48"/>
      <c r="F216" s="48"/>
      <c r="G216" s="48"/>
      <c r="H216" s="48"/>
      <c r="I216" s="48"/>
      <c r="J216" s="61"/>
      <c r="K216" s="95"/>
      <c r="L216" s="94"/>
      <c r="M216" s="92"/>
      <c r="N216" s="65"/>
    </row>
    <row r="217" spans="1:14" ht="20.100000000000001" customHeight="1" x14ac:dyDescent="0.3">
      <c r="A217" s="60"/>
      <c r="B217" s="48"/>
      <c r="C217" s="48"/>
      <c r="D217" s="48"/>
      <c r="E217" s="48"/>
      <c r="F217" s="48"/>
      <c r="G217" s="48"/>
      <c r="H217" s="48"/>
      <c r="I217" s="48"/>
      <c r="J217" s="61"/>
      <c r="K217" s="95"/>
      <c r="L217" s="94"/>
      <c r="M217" s="92"/>
      <c r="N217" s="65"/>
    </row>
    <row r="218" spans="1:14" ht="20.100000000000001" customHeight="1" x14ac:dyDescent="0.3">
      <c r="A218" s="60"/>
      <c r="B218" s="48"/>
      <c r="C218" s="48"/>
      <c r="D218" s="48"/>
      <c r="E218" s="48"/>
      <c r="F218" s="48"/>
      <c r="G218" s="48"/>
      <c r="H218" s="48"/>
      <c r="I218" s="48"/>
      <c r="J218" s="61"/>
      <c r="K218" s="95"/>
      <c r="L218" s="94"/>
      <c r="M218" s="92"/>
      <c r="N218" s="65"/>
    </row>
    <row r="219" spans="1:14" ht="20.100000000000001" customHeight="1" x14ac:dyDescent="0.3">
      <c r="A219" s="60"/>
      <c r="B219" s="48"/>
      <c r="C219" s="48"/>
      <c r="D219" s="48"/>
      <c r="E219" s="48"/>
      <c r="F219" s="48"/>
      <c r="G219" s="48"/>
      <c r="H219" s="48"/>
      <c r="I219" s="48"/>
      <c r="J219" s="61"/>
      <c r="K219" s="95"/>
      <c r="L219" s="94"/>
      <c r="M219" s="92"/>
      <c r="N219" s="65"/>
    </row>
    <row r="220" spans="1:14" ht="20.100000000000001" customHeight="1" x14ac:dyDescent="0.3">
      <c r="A220" s="60"/>
      <c r="B220" s="48"/>
      <c r="C220" s="48"/>
      <c r="D220" s="48"/>
      <c r="E220" s="48"/>
      <c r="F220" s="48"/>
      <c r="G220" s="48"/>
      <c r="H220" s="48"/>
      <c r="I220" s="48"/>
      <c r="J220" s="61"/>
      <c r="K220" s="95"/>
      <c r="L220" s="94"/>
      <c r="M220" s="92"/>
      <c r="N220" s="65"/>
    </row>
    <row r="221" spans="1:14" ht="20.100000000000001" customHeight="1" x14ac:dyDescent="0.3">
      <c r="A221" s="60"/>
      <c r="B221" s="48"/>
      <c r="C221" s="48"/>
      <c r="D221" s="48"/>
      <c r="E221" s="48"/>
      <c r="F221" s="48"/>
      <c r="G221" s="48"/>
      <c r="H221" s="48"/>
      <c r="I221" s="48"/>
      <c r="J221" s="61"/>
      <c r="K221" s="95"/>
      <c r="L221" s="94"/>
      <c r="M221" s="92"/>
      <c r="N221" s="65"/>
    </row>
    <row r="222" spans="1:14" ht="20.100000000000001" customHeight="1" x14ac:dyDescent="0.3">
      <c r="A222" s="60"/>
      <c r="B222" s="48"/>
      <c r="C222" s="48"/>
      <c r="D222" s="48"/>
      <c r="E222" s="48"/>
      <c r="F222" s="48"/>
      <c r="G222" s="48"/>
      <c r="H222" s="48"/>
      <c r="I222" s="48"/>
      <c r="J222" s="61"/>
      <c r="K222" s="95"/>
      <c r="L222" s="94"/>
      <c r="M222" s="92"/>
      <c r="N222" s="65"/>
    </row>
    <row r="223" spans="1:14" ht="20.100000000000001" customHeight="1" x14ac:dyDescent="0.3">
      <c r="A223" s="60"/>
      <c r="B223" s="48"/>
      <c r="C223" s="48"/>
      <c r="D223" s="48"/>
      <c r="E223" s="48"/>
      <c r="F223" s="48"/>
      <c r="G223" s="48"/>
      <c r="H223" s="48"/>
      <c r="I223" s="48"/>
      <c r="J223" s="61"/>
      <c r="K223" s="95"/>
      <c r="L223" s="94"/>
      <c r="M223" s="92"/>
      <c r="N223" s="65"/>
    </row>
    <row r="224" spans="1:14" ht="20.100000000000001" customHeight="1" x14ac:dyDescent="0.3">
      <c r="A224" s="60"/>
      <c r="B224" s="48"/>
      <c r="C224" s="48"/>
      <c r="D224" s="48"/>
      <c r="E224" s="48"/>
      <c r="F224" s="48"/>
      <c r="G224" s="48"/>
      <c r="H224" s="48"/>
      <c r="I224" s="48"/>
      <c r="J224" s="61"/>
      <c r="K224" s="95"/>
      <c r="L224" s="94"/>
      <c r="M224" s="92"/>
      <c r="N224" s="65"/>
    </row>
    <row r="225" spans="1:14" ht="20.100000000000001" customHeight="1" x14ac:dyDescent="0.3">
      <c r="A225" s="60"/>
      <c r="B225" s="48"/>
      <c r="C225" s="48"/>
      <c r="D225" s="48"/>
      <c r="E225" s="48"/>
      <c r="F225" s="48"/>
      <c r="G225" s="48"/>
      <c r="H225" s="48"/>
      <c r="I225" s="48"/>
      <c r="J225" s="61"/>
      <c r="K225" s="95"/>
      <c r="L225" s="94"/>
      <c r="M225" s="92"/>
      <c r="N225" s="65"/>
    </row>
    <row r="226" spans="1:14" ht="20.100000000000001" customHeight="1" x14ac:dyDescent="0.3">
      <c r="A226" s="60"/>
      <c r="B226" s="48"/>
      <c r="C226" s="48"/>
      <c r="D226" s="48"/>
      <c r="E226" s="48"/>
      <c r="F226" s="48"/>
      <c r="G226" s="48"/>
      <c r="H226" s="48"/>
      <c r="I226" s="48"/>
      <c r="J226" s="61"/>
      <c r="K226" s="95"/>
      <c r="L226" s="94"/>
      <c r="M226" s="92"/>
      <c r="N226" s="65"/>
    </row>
    <row r="227" spans="1:14" ht="20.100000000000001" customHeight="1" x14ac:dyDescent="0.3">
      <c r="A227" s="60"/>
      <c r="B227" s="48"/>
      <c r="C227" s="48"/>
      <c r="D227" s="48"/>
      <c r="E227" s="48"/>
      <c r="F227" s="48"/>
      <c r="G227" s="48"/>
      <c r="H227" s="48"/>
      <c r="I227" s="48"/>
      <c r="J227" s="61"/>
      <c r="K227" s="95"/>
      <c r="L227" s="94"/>
      <c r="M227" s="92"/>
      <c r="N227" s="65"/>
    </row>
    <row r="228" spans="1:14" ht="20.100000000000001" customHeight="1" x14ac:dyDescent="0.3">
      <c r="A228" s="60"/>
      <c r="B228" s="48"/>
      <c r="C228" s="48"/>
      <c r="D228" s="48"/>
      <c r="E228" s="48"/>
      <c r="F228" s="48"/>
      <c r="G228" s="48"/>
      <c r="H228" s="48"/>
      <c r="I228" s="48"/>
      <c r="J228" s="61"/>
      <c r="K228" s="95"/>
      <c r="L228" s="94"/>
      <c r="M228" s="92"/>
      <c r="N228" s="65"/>
    </row>
    <row r="229" spans="1:14" ht="20.100000000000001" customHeight="1" x14ac:dyDescent="0.3">
      <c r="A229" s="60"/>
      <c r="B229" s="48"/>
      <c r="C229" s="48"/>
      <c r="D229" s="48"/>
      <c r="E229" s="48"/>
      <c r="F229" s="48"/>
      <c r="G229" s="48"/>
      <c r="H229" s="48"/>
      <c r="I229" s="48"/>
      <c r="J229" s="61"/>
      <c r="K229" s="95"/>
      <c r="L229" s="94"/>
      <c r="M229" s="92"/>
      <c r="N229" s="65"/>
    </row>
    <row r="230" spans="1:14" ht="20.100000000000001" customHeight="1" x14ac:dyDescent="0.3">
      <c r="A230" s="60"/>
      <c r="B230" s="48"/>
      <c r="C230" s="48"/>
      <c r="D230" s="48"/>
      <c r="E230" s="48"/>
      <c r="F230" s="48"/>
      <c r="G230" s="48"/>
      <c r="H230" s="48"/>
      <c r="I230" s="48"/>
      <c r="J230" s="61"/>
      <c r="K230" s="95"/>
      <c r="L230" s="94"/>
      <c r="M230" s="92"/>
      <c r="N230" s="65"/>
    </row>
    <row r="231" spans="1:14" ht="20.100000000000001" customHeight="1" x14ac:dyDescent="0.3">
      <c r="A231" s="60"/>
      <c r="B231" s="48"/>
      <c r="C231" s="48"/>
      <c r="D231" s="48"/>
      <c r="E231" s="48"/>
      <c r="F231" s="48"/>
      <c r="G231" s="48"/>
      <c r="H231" s="48"/>
      <c r="I231" s="48"/>
      <c r="J231" s="61"/>
      <c r="K231" s="95"/>
      <c r="L231" s="94"/>
      <c r="M231" s="92"/>
      <c r="N231" s="65"/>
    </row>
    <row r="232" spans="1:14" ht="20.100000000000001" customHeight="1" x14ac:dyDescent="0.3">
      <c r="A232" s="60"/>
      <c r="B232" s="48"/>
      <c r="C232" s="48"/>
      <c r="D232" s="48"/>
      <c r="E232" s="48"/>
      <c r="F232" s="48"/>
      <c r="G232" s="48"/>
      <c r="H232" s="48"/>
      <c r="I232" s="48"/>
      <c r="J232" s="61"/>
      <c r="K232" s="95"/>
      <c r="L232" s="94"/>
      <c r="M232" s="92"/>
      <c r="N232" s="65"/>
    </row>
    <row r="233" spans="1:14" ht="20.100000000000001" customHeight="1" x14ac:dyDescent="0.3">
      <c r="A233" s="60"/>
      <c r="B233" s="48"/>
      <c r="C233" s="48"/>
      <c r="D233" s="48"/>
      <c r="E233" s="48"/>
      <c r="F233" s="48"/>
      <c r="G233" s="48"/>
      <c r="H233" s="48"/>
      <c r="I233" s="48"/>
      <c r="J233" s="61"/>
      <c r="K233" s="95"/>
      <c r="L233" s="94"/>
      <c r="M233" s="92"/>
      <c r="N233" s="65"/>
    </row>
    <row r="234" spans="1:14" ht="20.100000000000001" customHeight="1" x14ac:dyDescent="0.3">
      <c r="A234" s="60"/>
      <c r="B234" s="48"/>
      <c r="C234" s="48"/>
      <c r="D234" s="48"/>
      <c r="E234" s="48"/>
      <c r="F234" s="48"/>
      <c r="G234" s="48"/>
      <c r="H234" s="48"/>
      <c r="I234" s="48"/>
      <c r="J234" s="61"/>
      <c r="K234" s="95"/>
      <c r="L234" s="94"/>
      <c r="M234" s="92"/>
      <c r="N234" s="65"/>
    </row>
    <row r="235" spans="1:14" ht="20.100000000000001" customHeight="1" x14ac:dyDescent="0.3">
      <c r="A235" s="60"/>
      <c r="B235" s="48"/>
      <c r="C235" s="48"/>
      <c r="D235" s="48"/>
      <c r="E235" s="48"/>
      <c r="F235" s="48"/>
      <c r="G235" s="48"/>
      <c r="H235" s="48"/>
      <c r="I235" s="48"/>
      <c r="J235" s="61"/>
      <c r="K235" s="95"/>
      <c r="L235" s="94"/>
      <c r="M235" s="92"/>
      <c r="N235" s="65"/>
    </row>
    <row r="236" spans="1:14" ht="20.100000000000001" customHeight="1" x14ac:dyDescent="0.3">
      <c r="A236" s="60"/>
      <c r="B236" s="48"/>
      <c r="C236" s="48"/>
      <c r="D236" s="48"/>
      <c r="E236" s="48"/>
      <c r="F236" s="48"/>
      <c r="G236" s="48"/>
      <c r="H236" s="48"/>
      <c r="I236" s="48"/>
      <c r="J236" s="61"/>
      <c r="K236" s="95"/>
      <c r="L236" s="94"/>
      <c r="M236" s="92"/>
      <c r="N236" s="65"/>
    </row>
    <row r="237" spans="1:14" ht="20.100000000000001" customHeight="1" x14ac:dyDescent="0.3">
      <c r="A237" s="60"/>
      <c r="B237" s="48"/>
      <c r="C237" s="48"/>
      <c r="D237" s="48"/>
      <c r="E237" s="48"/>
      <c r="F237" s="48"/>
      <c r="G237" s="48"/>
      <c r="H237" s="48"/>
      <c r="I237" s="48"/>
      <c r="J237" s="61"/>
      <c r="K237" s="95"/>
      <c r="L237" s="94"/>
      <c r="M237" s="92"/>
      <c r="N237" s="65"/>
    </row>
    <row r="238" spans="1:14" ht="20.100000000000001" customHeight="1" x14ac:dyDescent="0.3">
      <c r="A238" s="60"/>
      <c r="B238" s="48"/>
      <c r="C238" s="48"/>
      <c r="D238" s="48"/>
      <c r="E238" s="48"/>
      <c r="F238" s="48"/>
      <c r="G238" s="48"/>
      <c r="H238" s="48"/>
      <c r="I238" s="48"/>
      <c r="J238" s="61"/>
      <c r="K238" s="95"/>
      <c r="L238" s="94"/>
      <c r="M238" s="92"/>
      <c r="N238" s="65"/>
    </row>
    <row r="239" spans="1:14" ht="20.100000000000001" customHeight="1" x14ac:dyDescent="0.3">
      <c r="A239" s="60"/>
      <c r="B239" s="48"/>
      <c r="C239" s="48"/>
      <c r="D239" s="48"/>
      <c r="E239" s="48"/>
      <c r="F239" s="48"/>
      <c r="G239" s="48"/>
      <c r="H239" s="48"/>
      <c r="I239" s="48"/>
      <c r="J239" s="61"/>
      <c r="K239" s="95"/>
      <c r="L239" s="94"/>
      <c r="M239" s="92"/>
      <c r="N239" s="65"/>
    </row>
    <row r="240" spans="1:14" ht="20.100000000000001" customHeight="1" x14ac:dyDescent="0.3">
      <c r="A240" s="60"/>
      <c r="B240" s="48"/>
      <c r="C240" s="48"/>
      <c r="D240" s="48"/>
      <c r="E240" s="48"/>
      <c r="F240" s="48"/>
      <c r="G240" s="48"/>
      <c r="H240" s="48"/>
      <c r="I240" s="48"/>
      <c r="J240" s="61"/>
      <c r="K240" s="95"/>
      <c r="L240" s="94"/>
      <c r="M240" s="92"/>
      <c r="N240" s="65"/>
    </row>
    <row r="241" spans="1:14" ht="20.100000000000001" customHeight="1" x14ac:dyDescent="0.3">
      <c r="A241" s="60"/>
      <c r="B241" s="48"/>
      <c r="C241" s="48"/>
      <c r="D241" s="48"/>
      <c r="E241" s="48"/>
      <c r="F241" s="48"/>
      <c r="G241" s="48"/>
      <c r="H241" s="48"/>
      <c r="I241" s="48"/>
      <c r="J241" s="61"/>
      <c r="K241" s="95"/>
      <c r="L241" s="94"/>
      <c r="M241" s="92"/>
      <c r="N241" s="65"/>
    </row>
    <row r="242" spans="1:14" ht="20.100000000000001" customHeight="1" x14ac:dyDescent="0.3">
      <c r="A242" s="60"/>
      <c r="B242" s="48"/>
      <c r="C242" s="48"/>
      <c r="D242" s="48"/>
      <c r="E242" s="48"/>
      <c r="F242" s="48"/>
      <c r="G242" s="48"/>
      <c r="H242" s="48"/>
      <c r="I242" s="48"/>
      <c r="J242" s="61"/>
      <c r="K242" s="95"/>
      <c r="L242" s="94"/>
      <c r="M242" s="92"/>
      <c r="N242" s="65"/>
    </row>
    <row r="243" spans="1:14" ht="20.100000000000001" customHeight="1" x14ac:dyDescent="0.3">
      <c r="A243" s="60"/>
      <c r="B243" s="48"/>
      <c r="C243" s="48"/>
      <c r="D243" s="48"/>
      <c r="E243" s="48"/>
      <c r="F243" s="48"/>
      <c r="G243" s="48"/>
      <c r="H243" s="48"/>
      <c r="I243" s="48"/>
      <c r="J243" s="61"/>
      <c r="K243" s="95"/>
      <c r="L243" s="94"/>
      <c r="M243" s="92"/>
      <c r="N243" s="65"/>
    </row>
    <row r="244" spans="1:14" ht="20.100000000000001" customHeight="1" x14ac:dyDescent="0.3">
      <c r="A244" s="60"/>
      <c r="B244" s="48"/>
      <c r="C244" s="48"/>
      <c r="D244" s="48"/>
      <c r="E244" s="48"/>
      <c r="F244" s="48"/>
      <c r="G244" s="48"/>
      <c r="H244" s="48"/>
      <c r="I244" s="48"/>
      <c r="J244" s="61"/>
      <c r="K244" s="95"/>
      <c r="L244" s="94"/>
      <c r="M244" s="92"/>
      <c r="N244" s="65"/>
    </row>
    <row r="245" spans="1:14" ht="20.100000000000001" customHeight="1" x14ac:dyDescent="0.3">
      <c r="A245" s="60"/>
      <c r="B245" s="48"/>
      <c r="C245" s="48"/>
      <c r="D245" s="48"/>
      <c r="E245" s="48"/>
      <c r="F245" s="48"/>
      <c r="G245" s="48"/>
      <c r="H245" s="48"/>
      <c r="I245" s="48"/>
      <c r="J245" s="61"/>
      <c r="K245" s="95"/>
      <c r="L245" s="94"/>
      <c r="M245" s="92"/>
      <c r="N245" s="65"/>
    </row>
    <row r="246" spans="1:14" ht="20.100000000000001" customHeight="1" x14ac:dyDescent="0.3">
      <c r="A246" s="60"/>
      <c r="B246" s="48"/>
      <c r="C246" s="48"/>
      <c r="D246" s="48"/>
      <c r="E246" s="48"/>
      <c r="F246" s="48"/>
      <c r="G246" s="48"/>
      <c r="H246" s="48"/>
      <c r="I246" s="48"/>
      <c r="J246" s="61"/>
      <c r="K246" s="95"/>
      <c r="L246" s="94"/>
      <c r="M246" s="92"/>
      <c r="N246" s="65"/>
    </row>
    <row r="247" spans="1:14" ht="20.100000000000001" customHeight="1" x14ac:dyDescent="0.3">
      <c r="A247" s="60"/>
      <c r="B247" s="48"/>
      <c r="C247" s="48"/>
      <c r="D247" s="48"/>
      <c r="E247" s="48"/>
      <c r="F247" s="48"/>
      <c r="G247" s="48"/>
      <c r="H247" s="48"/>
      <c r="I247" s="48"/>
      <c r="J247" s="61"/>
      <c r="K247" s="95"/>
      <c r="L247" s="94"/>
      <c r="M247" s="92"/>
      <c r="N247" s="65"/>
    </row>
    <row r="248" spans="1:14" ht="20.100000000000001" customHeight="1" x14ac:dyDescent="0.3">
      <c r="A248" s="60"/>
      <c r="B248" s="48"/>
      <c r="C248" s="48"/>
      <c r="D248" s="48"/>
      <c r="E248" s="48"/>
      <c r="F248" s="48"/>
      <c r="G248" s="48"/>
      <c r="H248" s="48"/>
      <c r="I248" s="48"/>
      <c r="J248" s="61"/>
      <c r="K248" s="95"/>
      <c r="L248" s="94"/>
      <c r="M248" s="92"/>
      <c r="N248" s="65"/>
    </row>
    <row r="249" spans="1:14" ht="20.100000000000001" customHeight="1" x14ac:dyDescent="0.3">
      <c r="A249" s="60"/>
      <c r="B249" s="48"/>
      <c r="C249" s="48"/>
      <c r="D249" s="48"/>
      <c r="E249" s="48"/>
      <c r="F249" s="48"/>
      <c r="G249" s="48"/>
      <c r="H249" s="48"/>
      <c r="I249" s="48"/>
      <c r="J249" s="61"/>
      <c r="K249" s="95"/>
      <c r="L249" s="94"/>
      <c r="M249" s="92"/>
      <c r="N249" s="65"/>
    </row>
    <row r="250" spans="1:14" ht="20.100000000000001" customHeight="1" x14ac:dyDescent="0.3">
      <c r="A250" s="60"/>
      <c r="B250" s="48"/>
      <c r="C250" s="48"/>
      <c r="D250" s="48"/>
      <c r="E250" s="48"/>
      <c r="F250" s="48"/>
      <c r="G250" s="48"/>
      <c r="H250" s="48"/>
      <c r="I250" s="48"/>
      <c r="J250" s="61"/>
      <c r="K250" s="95"/>
      <c r="L250" s="94"/>
      <c r="M250" s="92"/>
      <c r="N250" s="65"/>
    </row>
    <row r="251" spans="1:14" ht="20.100000000000001" customHeight="1" x14ac:dyDescent="0.3">
      <c r="A251" s="60"/>
      <c r="B251" s="48"/>
      <c r="C251" s="48"/>
      <c r="D251" s="48"/>
      <c r="E251" s="48"/>
      <c r="F251" s="48"/>
      <c r="G251" s="48"/>
      <c r="H251" s="48"/>
      <c r="I251" s="48"/>
      <c r="J251" s="61"/>
      <c r="K251" s="95"/>
      <c r="L251" s="94"/>
      <c r="M251" s="92"/>
      <c r="N251" s="65"/>
    </row>
    <row r="252" spans="1:14" ht="20.100000000000001" customHeight="1" x14ac:dyDescent="0.3">
      <c r="A252" s="60"/>
      <c r="B252" s="48"/>
      <c r="C252" s="48"/>
      <c r="D252" s="48"/>
      <c r="E252" s="48"/>
      <c r="F252" s="48"/>
      <c r="G252" s="48"/>
      <c r="H252" s="48"/>
      <c r="I252" s="48"/>
      <c r="J252" s="61"/>
      <c r="K252" s="95"/>
      <c r="L252" s="94"/>
      <c r="M252" s="92"/>
      <c r="N252" s="65"/>
    </row>
    <row r="253" spans="1:14" ht="20.100000000000001" customHeight="1" x14ac:dyDescent="0.3">
      <c r="A253" s="60"/>
      <c r="B253" s="48"/>
      <c r="C253" s="48"/>
      <c r="D253" s="48"/>
      <c r="E253" s="48"/>
      <c r="F253" s="48"/>
      <c r="G253" s="48"/>
      <c r="H253" s="48"/>
      <c r="I253" s="48"/>
      <c r="J253" s="61"/>
      <c r="K253" s="95"/>
      <c r="L253" s="94"/>
      <c r="M253" s="92"/>
      <c r="N253" s="65"/>
    </row>
    <row r="254" spans="1:14" ht="20.100000000000001" customHeight="1" x14ac:dyDescent="0.3">
      <c r="A254" s="60"/>
      <c r="B254" s="48"/>
      <c r="C254" s="48"/>
      <c r="D254" s="48"/>
      <c r="E254" s="48"/>
      <c r="F254" s="48"/>
      <c r="G254" s="48"/>
      <c r="H254" s="48"/>
      <c r="I254" s="48"/>
      <c r="J254" s="61"/>
      <c r="K254" s="95"/>
      <c r="L254" s="94"/>
      <c r="M254" s="92"/>
      <c r="N254" s="65"/>
    </row>
    <row r="255" spans="1:14" ht="20.100000000000001" customHeight="1" x14ac:dyDescent="0.3">
      <c r="A255" s="60"/>
      <c r="B255" s="48"/>
      <c r="C255" s="48"/>
      <c r="D255" s="48"/>
      <c r="E255" s="48"/>
      <c r="F255" s="48"/>
      <c r="G255" s="48"/>
      <c r="H255" s="48"/>
      <c r="I255" s="48"/>
      <c r="J255" s="61"/>
      <c r="K255" s="95"/>
      <c r="L255" s="94"/>
      <c r="M255" s="92"/>
      <c r="N255" s="65"/>
    </row>
    <row r="256" spans="1:14" ht="20.100000000000001" customHeight="1" x14ac:dyDescent="0.3">
      <c r="A256" s="60"/>
      <c r="B256" s="48"/>
      <c r="C256" s="48"/>
      <c r="D256" s="48"/>
      <c r="E256" s="48"/>
      <c r="F256" s="48"/>
      <c r="G256" s="48"/>
      <c r="H256" s="48"/>
      <c r="I256" s="48"/>
      <c r="J256" s="61"/>
      <c r="K256" s="95"/>
      <c r="L256" s="94"/>
      <c r="M256" s="92"/>
      <c r="N256" s="65"/>
    </row>
    <row r="257" spans="1:14" ht="20.100000000000001" customHeight="1" x14ac:dyDescent="0.3">
      <c r="A257" s="60"/>
      <c r="B257" s="48"/>
      <c r="C257" s="48"/>
      <c r="D257" s="48"/>
      <c r="E257" s="48"/>
      <c r="F257" s="48"/>
      <c r="G257" s="48"/>
      <c r="H257" s="48"/>
      <c r="I257" s="48"/>
      <c r="J257" s="61"/>
      <c r="K257" s="95"/>
      <c r="L257" s="94"/>
      <c r="M257" s="92"/>
      <c r="N257" s="65"/>
    </row>
    <row r="258" spans="1:14" ht="20.100000000000001" customHeight="1" x14ac:dyDescent="0.3">
      <c r="A258" s="60"/>
      <c r="B258" s="48"/>
      <c r="C258" s="48"/>
      <c r="D258" s="48"/>
      <c r="E258" s="48"/>
      <c r="F258" s="48"/>
      <c r="G258" s="48"/>
      <c r="H258" s="48"/>
      <c r="I258" s="48"/>
      <c r="J258" s="61"/>
      <c r="K258" s="95"/>
      <c r="L258" s="94"/>
      <c r="M258" s="92"/>
      <c r="N258" s="65"/>
    </row>
    <row r="259" spans="1:14" ht="20.100000000000001" customHeight="1" x14ac:dyDescent="0.3">
      <c r="A259" s="60"/>
      <c r="B259" s="48"/>
      <c r="C259" s="48"/>
      <c r="D259" s="48"/>
      <c r="E259" s="48"/>
      <c r="F259" s="48"/>
      <c r="G259" s="48"/>
      <c r="H259" s="48"/>
      <c r="I259" s="48"/>
      <c r="J259" s="61"/>
      <c r="K259" s="95"/>
      <c r="L259" s="94"/>
      <c r="M259" s="92"/>
      <c r="N259" s="65"/>
    </row>
    <row r="260" spans="1:14" ht="20.100000000000001" customHeight="1" x14ac:dyDescent="0.3">
      <c r="A260" s="60"/>
      <c r="B260" s="48"/>
      <c r="C260" s="48"/>
      <c r="D260" s="48"/>
      <c r="E260" s="48"/>
      <c r="F260" s="48"/>
      <c r="G260" s="48"/>
      <c r="H260" s="48"/>
      <c r="I260" s="48"/>
      <c r="J260" s="61"/>
      <c r="K260" s="95"/>
      <c r="L260" s="94"/>
      <c r="M260" s="92"/>
      <c r="N260" s="65"/>
    </row>
    <row r="261" spans="1:14" ht="20.100000000000001" customHeight="1" x14ac:dyDescent="0.3">
      <c r="A261" s="60"/>
      <c r="B261" s="48"/>
      <c r="C261" s="48"/>
      <c r="D261" s="48"/>
      <c r="E261" s="48"/>
      <c r="F261" s="48"/>
      <c r="G261" s="48"/>
      <c r="H261" s="48"/>
      <c r="I261" s="48"/>
      <c r="J261" s="61"/>
      <c r="K261" s="95"/>
      <c r="L261" s="94"/>
      <c r="M261" s="92"/>
      <c r="N261" s="65"/>
    </row>
    <row r="262" spans="1:14" ht="20.100000000000001" customHeight="1" x14ac:dyDescent="0.3">
      <c r="A262" s="60"/>
      <c r="B262" s="48"/>
      <c r="C262" s="48"/>
      <c r="D262" s="48"/>
      <c r="E262" s="48"/>
      <c r="F262" s="48"/>
      <c r="G262" s="48"/>
      <c r="H262" s="48"/>
      <c r="I262" s="48"/>
      <c r="J262" s="61"/>
      <c r="K262" s="95"/>
      <c r="L262" s="94"/>
      <c r="M262" s="92"/>
      <c r="N262" s="65"/>
    </row>
    <row r="263" spans="1:14" ht="20.100000000000001" customHeight="1" x14ac:dyDescent="0.3">
      <c r="A263" s="60"/>
      <c r="B263" s="48"/>
      <c r="C263" s="48"/>
      <c r="D263" s="48"/>
      <c r="E263" s="48"/>
      <c r="F263" s="48"/>
      <c r="G263" s="48"/>
      <c r="H263" s="48"/>
      <c r="I263" s="48"/>
      <c r="J263" s="61"/>
      <c r="K263" s="95"/>
      <c r="L263" s="94"/>
      <c r="M263" s="92"/>
      <c r="N263" s="65"/>
    </row>
    <row r="264" spans="1:14" ht="20.100000000000001" customHeight="1" x14ac:dyDescent="0.3">
      <c r="A264" s="60"/>
      <c r="B264" s="48"/>
      <c r="C264" s="48"/>
      <c r="D264" s="48"/>
      <c r="E264" s="48"/>
      <c r="F264" s="48"/>
      <c r="G264" s="48"/>
      <c r="H264" s="48"/>
      <c r="I264" s="48"/>
      <c r="J264" s="61"/>
      <c r="K264" s="95"/>
      <c r="L264" s="94"/>
      <c r="M264" s="92"/>
      <c r="N264" s="65"/>
    </row>
    <row r="265" spans="1:14" ht="20.100000000000001" customHeight="1" x14ac:dyDescent="0.3">
      <c r="A265" s="60"/>
      <c r="B265" s="48"/>
      <c r="C265" s="48"/>
      <c r="D265" s="48"/>
      <c r="E265" s="48"/>
      <c r="F265" s="48"/>
      <c r="G265" s="48"/>
      <c r="H265" s="48"/>
      <c r="I265" s="48"/>
      <c r="J265" s="61"/>
      <c r="K265" s="95"/>
      <c r="L265" s="94"/>
      <c r="M265" s="92"/>
      <c r="N265" s="65"/>
    </row>
    <row r="266" spans="1:14" ht="20.100000000000001" customHeight="1" x14ac:dyDescent="0.3">
      <c r="A266" s="60"/>
      <c r="B266" s="48"/>
      <c r="C266" s="48"/>
      <c r="D266" s="48"/>
      <c r="E266" s="48"/>
      <c r="F266" s="48"/>
      <c r="G266" s="48"/>
      <c r="H266" s="48"/>
      <c r="I266" s="48"/>
      <c r="J266" s="61"/>
      <c r="K266" s="95"/>
      <c r="L266" s="94"/>
      <c r="M266" s="92"/>
      <c r="N266" s="65"/>
    </row>
    <row r="267" spans="1:14" ht="20.100000000000001" customHeight="1" x14ac:dyDescent="0.3">
      <c r="A267" s="60"/>
      <c r="B267" s="48"/>
      <c r="C267" s="48"/>
      <c r="D267" s="48"/>
      <c r="E267" s="48"/>
      <c r="F267" s="48"/>
      <c r="G267" s="48"/>
      <c r="H267" s="48"/>
      <c r="I267" s="48"/>
      <c r="J267" s="61"/>
      <c r="K267" s="95"/>
      <c r="L267" s="94"/>
      <c r="M267" s="92"/>
      <c r="N267" s="65"/>
    </row>
    <row r="268" spans="1:14" ht="20.100000000000001" customHeight="1" x14ac:dyDescent="0.3">
      <c r="A268" s="60"/>
      <c r="B268" s="48"/>
      <c r="C268" s="48"/>
      <c r="D268" s="48"/>
      <c r="E268" s="48"/>
      <c r="F268" s="48"/>
      <c r="G268" s="48"/>
      <c r="H268" s="48"/>
      <c r="I268" s="48"/>
      <c r="J268" s="61"/>
      <c r="K268" s="95"/>
      <c r="L268" s="94"/>
      <c r="M268" s="92"/>
      <c r="N268" s="65"/>
    </row>
    <row r="269" spans="1:14" ht="20.100000000000001" customHeight="1" x14ac:dyDescent="0.3">
      <c r="A269" s="60"/>
      <c r="B269" s="48"/>
      <c r="C269" s="48"/>
      <c r="D269" s="48"/>
      <c r="E269" s="48"/>
      <c r="F269" s="48"/>
      <c r="G269" s="48"/>
      <c r="H269" s="48"/>
      <c r="I269" s="48"/>
      <c r="J269" s="61"/>
      <c r="K269" s="95"/>
      <c r="L269" s="94"/>
      <c r="M269" s="92"/>
      <c r="N269" s="65"/>
    </row>
    <row r="270" spans="1:14" ht="20.100000000000001" customHeight="1" x14ac:dyDescent="0.3">
      <c r="A270" s="60"/>
      <c r="B270" s="48"/>
      <c r="C270" s="48"/>
      <c r="D270" s="48"/>
      <c r="E270" s="48"/>
      <c r="F270" s="48"/>
      <c r="G270" s="48"/>
      <c r="H270" s="48"/>
      <c r="I270" s="48"/>
      <c r="J270" s="61"/>
      <c r="K270" s="95"/>
      <c r="L270" s="94"/>
      <c r="M270" s="92"/>
      <c r="N270" s="65"/>
    </row>
    <row r="271" spans="1:14" ht="20.100000000000001" customHeight="1" x14ac:dyDescent="0.3">
      <c r="A271" s="60"/>
      <c r="B271" s="48"/>
      <c r="C271" s="48"/>
      <c r="D271" s="48"/>
      <c r="E271" s="48"/>
      <c r="F271" s="48"/>
      <c r="G271" s="48"/>
      <c r="H271" s="48"/>
      <c r="I271" s="48"/>
      <c r="J271" s="61"/>
      <c r="K271" s="95"/>
      <c r="L271" s="94"/>
      <c r="M271" s="92"/>
      <c r="N271" s="65"/>
    </row>
    <row r="272" spans="1:14" ht="20.100000000000001" customHeight="1" x14ac:dyDescent="0.3">
      <c r="A272" s="60"/>
      <c r="B272" s="48"/>
      <c r="C272" s="48"/>
      <c r="D272" s="48"/>
      <c r="E272" s="48"/>
      <c r="F272" s="48"/>
      <c r="G272" s="48"/>
      <c r="H272" s="48"/>
      <c r="I272" s="48"/>
      <c r="J272" s="61"/>
      <c r="K272" s="95"/>
      <c r="L272" s="94"/>
      <c r="M272" s="92"/>
      <c r="N272" s="65"/>
    </row>
    <row r="273" spans="1:14" ht="20.100000000000001" customHeight="1" x14ac:dyDescent="0.3">
      <c r="A273" s="60"/>
      <c r="B273" s="48"/>
      <c r="C273" s="48"/>
      <c r="D273" s="48"/>
      <c r="E273" s="48"/>
      <c r="F273" s="48"/>
      <c r="G273" s="48"/>
      <c r="H273" s="48"/>
      <c r="I273" s="48"/>
      <c r="J273" s="61"/>
      <c r="K273" s="95"/>
      <c r="L273" s="94"/>
      <c r="M273" s="92"/>
      <c r="N273" s="65"/>
    </row>
    <row r="274" spans="1:14" ht="20.100000000000001" customHeight="1" x14ac:dyDescent="0.3">
      <c r="A274" s="60"/>
      <c r="B274" s="48"/>
      <c r="C274" s="48"/>
      <c r="D274" s="48"/>
      <c r="E274" s="48"/>
      <c r="F274" s="48"/>
      <c r="G274" s="48"/>
      <c r="H274" s="48"/>
      <c r="I274" s="48"/>
      <c r="J274" s="61"/>
      <c r="K274" s="95"/>
      <c r="L274" s="94"/>
      <c r="M274" s="92"/>
      <c r="N274" s="65"/>
    </row>
    <row r="275" spans="1:14" ht="20.100000000000001" customHeight="1" x14ac:dyDescent="0.3">
      <c r="A275" s="60"/>
      <c r="B275" s="48"/>
      <c r="C275" s="48"/>
      <c r="D275" s="48"/>
      <c r="E275" s="48"/>
      <c r="F275" s="48"/>
      <c r="G275" s="48"/>
      <c r="H275" s="48"/>
      <c r="I275" s="48"/>
      <c r="J275" s="61"/>
      <c r="K275" s="95"/>
      <c r="L275" s="94"/>
      <c r="M275" s="92"/>
      <c r="N275" s="65"/>
    </row>
    <row r="276" spans="1:14" ht="20.100000000000001" customHeight="1" x14ac:dyDescent="0.3">
      <c r="A276" s="60"/>
      <c r="B276" s="48"/>
      <c r="C276" s="48"/>
      <c r="D276" s="48"/>
      <c r="E276" s="48"/>
      <c r="F276" s="48"/>
      <c r="G276" s="48"/>
      <c r="H276" s="48"/>
      <c r="I276" s="48"/>
      <c r="J276" s="61"/>
      <c r="K276" s="95"/>
      <c r="L276" s="94"/>
      <c r="M276" s="92"/>
      <c r="N276" s="65"/>
    </row>
    <row r="277" spans="1:14" ht="20.100000000000001" customHeight="1" x14ac:dyDescent="0.3">
      <c r="A277" s="60"/>
      <c r="B277" s="48"/>
      <c r="C277" s="48"/>
      <c r="D277" s="48"/>
      <c r="E277" s="48"/>
      <c r="F277" s="48"/>
      <c r="G277" s="48"/>
      <c r="H277" s="48"/>
      <c r="I277" s="48"/>
      <c r="J277" s="61"/>
      <c r="K277" s="95"/>
      <c r="L277" s="94"/>
      <c r="M277" s="92"/>
      <c r="N277" s="65"/>
    </row>
    <row r="278" spans="1:14" ht="20.100000000000001" customHeight="1" x14ac:dyDescent="0.3">
      <c r="A278" s="60"/>
      <c r="B278" s="48"/>
      <c r="C278" s="48"/>
      <c r="D278" s="48"/>
      <c r="E278" s="48"/>
      <c r="F278" s="48"/>
      <c r="G278" s="48"/>
      <c r="H278" s="48"/>
      <c r="I278" s="48"/>
      <c r="J278" s="61"/>
      <c r="K278" s="95"/>
      <c r="L278" s="94"/>
      <c r="M278" s="92"/>
      <c r="N278" s="65"/>
    </row>
    <row r="279" spans="1:14" ht="20.100000000000001" customHeight="1" x14ac:dyDescent="0.3">
      <c r="A279" s="60"/>
      <c r="B279" s="48"/>
      <c r="C279" s="48"/>
      <c r="D279" s="48"/>
      <c r="E279" s="48"/>
      <c r="F279" s="48"/>
      <c r="G279" s="48"/>
      <c r="H279" s="48"/>
      <c r="I279" s="48"/>
      <c r="J279" s="61"/>
      <c r="K279" s="95"/>
      <c r="L279" s="94"/>
      <c r="M279" s="92"/>
      <c r="N279" s="65"/>
    </row>
    <row r="280" spans="1:14" ht="20.100000000000001" customHeight="1" x14ac:dyDescent="0.3">
      <c r="A280" s="60"/>
      <c r="B280" s="48"/>
      <c r="C280" s="48"/>
      <c r="D280" s="48"/>
      <c r="E280" s="48"/>
      <c r="F280" s="48"/>
      <c r="G280" s="48"/>
      <c r="H280" s="48"/>
      <c r="I280" s="48"/>
      <c r="J280" s="61"/>
      <c r="K280" s="95"/>
      <c r="L280" s="94"/>
      <c r="M280" s="92"/>
      <c r="N280" s="65"/>
    </row>
    <row r="281" spans="1:14" ht="20.100000000000001" customHeight="1" x14ac:dyDescent="0.3">
      <c r="A281" s="60"/>
      <c r="B281" s="48"/>
      <c r="C281" s="48"/>
      <c r="D281" s="48"/>
      <c r="E281" s="48"/>
      <c r="F281" s="48"/>
      <c r="G281" s="48"/>
      <c r="H281" s="48"/>
      <c r="I281" s="48"/>
      <c r="J281" s="61"/>
      <c r="K281" s="95"/>
      <c r="L281" s="94"/>
      <c r="M281" s="92"/>
      <c r="N281" s="65"/>
    </row>
    <row r="282" spans="1:14" ht="20.100000000000001" customHeight="1" x14ac:dyDescent="0.3">
      <c r="A282" s="60"/>
      <c r="B282" s="48"/>
      <c r="C282" s="48"/>
      <c r="D282" s="48"/>
      <c r="E282" s="48"/>
      <c r="F282" s="48"/>
      <c r="G282" s="48"/>
      <c r="H282" s="48"/>
      <c r="I282" s="48"/>
      <c r="J282" s="61"/>
      <c r="K282" s="95"/>
      <c r="L282" s="94"/>
      <c r="M282" s="92"/>
      <c r="N282" s="65"/>
    </row>
    <row r="283" spans="1:14" ht="20.100000000000001" customHeight="1" x14ac:dyDescent="0.3">
      <c r="A283" s="60"/>
      <c r="B283" s="48"/>
      <c r="C283" s="48"/>
      <c r="D283" s="48"/>
      <c r="E283" s="48"/>
      <c r="F283" s="48"/>
      <c r="G283" s="48"/>
      <c r="H283" s="48"/>
      <c r="I283" s="48"/>
      <c r="J283" s="61"/>
      <c r="K283" s="95"/>
      <c r="L283" s="94"/>
      <c r="M283" s="92"/>
      <c r="N283" s="65"/>
    </row>
    <row r="284" spans="1:14" ht="20.100000000000001" customHeight="1" x14ac:dyDescent="0.3">
      <c r="A284" s="60"/>
      <c r="B284" s="48"/>
      <c r="C284" s="48"/>
      <c r="D284" s="48"/>
      <c r="E284" s="48"/>
      <c r="F284" s="48"/>
      <c r="G284" s="48"/>
      <c r="H284" s="48"/>
      <c r="I284" s="48"/>
      <c r="J284" s="61"/>
      <c r="K284" s="95"/>
      <c r="L284" s="94"/>
      <c r="M284" s="92"/>
      <c r="N284" s="65"/>
    </row>
    <row r="285" spans="1:14" ht="20.100000000000001" customHeight="1" x14ac:dyDescent="0.3">
      <c r="A285" s="60"/>
      <c r="B285" s="48"/>
      <c r="C285" s="48"/>
      <c r="D285" s="48"/>
      <c r="E285" s="48"/>
      <c r="F285" s="48"/>
      <c r="G285" s="48"/>
      <c r="H285" s="48"/>
      <c r="I285" s="48"/>
      <c r="J285" s="61"/>
      <c r="K285" s="95"/>
      <c r="L285" s="94"/>
      <c r="M285" s="92"/>
      <c r="N285" s="65"/>
    </row>
    <row r="286" spans="1:14" ht="20.100000000000001" customHeight="1" x14ac:dyDescent="0.3">
      <c r="A286" s="60"/>
      <c r="B286" s="48"/>
      <c r="C286" s="48"/>
      <c r="D286" s="48"/>
      <c r="E286" s="48"/>
      <c r="F286" s="48"/>
      <c r="G286" s="48"/>
      <c r="H286" s="48"/>
      <c r="I286" s="48"/>
      <c r="J286" s="61"/>
      <c r="K286" s="95"/>
      <c r="L286" s="94"/>
      <c r="M286" s="92"/>
      <c r="N286" s="65"/>
    </row>
    <row r="287" spans="1:14" ht="20.100000000000001" customHeight="1" x14ac:dyDescent="0.3">
      <c r="A287" s="60"/>
      <c r="B287" s="48"/>
      <c r="C287" s="48"/>
      <c r="D287" s="48"/>
      <c r="E287" s="48"/>
      <c r="F287" s="48"/>
      <c r="G287" s="48"/>
      <c r="H287" s="48"/>
      <c r="I287" s="48"/>
      <c r="J287" s="61"/>
      <c r="K287" s="95"/>
      <c r="L287" s="94"/>
      <c r="M287" s="92"/>
      <c r="N287" s="65"/>
    </row>
    <row r="288" spans="1:14" ht="20.100000000000001" customHeight="1" x14ac:dyDescent="0.3">
      <c r="A288" s="60"/>
      <c r="B288" s="48"/>
      <c r="C288" s="48"/>
      <c r="D288" s="48"/>
      <c r="E288" s="48"/>
      <c r="F288" s="48"/>
      <c r="G288" s="48"/>
      <c r="H288" s="48"/>
      <c r="I288" s="48"/>
      <c r="J288" s="61"/>
      <c r="K288" s="95"/>
      <c r="L288" s="94"/>
      <c r="M288" s="92"/>
      <c r="N288" s="65"/>
    </row>
    <row r="289" spans="1:14" ht="20.100000000000001" customHeight="1" x14ac:dyDescent="0.3">
      <c r="A289" s="60"/>
      <c r="B289" s="48"/>
      <c r="C289" s="48"/>
      <c r="D289" s="48"/>
      <c r="E289" s="48"/>
      <c r="F289" s="48"/>
      <c r="G289" s="48"/>
      <c r="H289" s="48"/>
      <c r="I289" s="48"/>
      <c r="J289" s="61"/>
      <c r="K289" s="95"/>
      <c r="L289" s="94"/>
      <c r="M289" s="92"/>
      <c r="N289" s="65"/>
    </row>
    <row r="290" spans="1:14" ht="20.100000000000001" customHeight="1" x14ac:dyDescent="0.3">
      <c r="A290" s="60"/>
      <c r="B290" s="48"/>
      <c r="C290" s="48"/>
      <c r="D290" s="48"/>
      <c r="E290" s="48"/>
      <c r="F290" s="48"/>
      <c r="G290" s="48"/>
      <c r="H290" s="48"/>
      <c r="I290" s="48"/>
      <c r="J290" s="61"/>
      <c r="K290" s="95"/>
      <c r="L290" s="94"/>
      <c r="M290" s="92"/>
      <c r="N290" s="65"/>
    </row>
    <row r="291" spans="1:14" ht="20.100000000000001" customHeight="1" x14ac:dyDescent="0.3">
      <c r="A291" s="60"/>
      <c r="B291" s="48"/>
      <c r="C291" s="48"/>
      <c r="D291" s="48"/>
      <c r="E291" s="48"/>
      <c r="F291" s="48"/>
      <c r="G291" s="48"/>
      <c r="H291" s="48"/>
      <c r="I291" s="48"/>
      <c r="J291" s="61"/>
      <c r="K291" s="95"/>
      <c r="L291" s="94"/>
      <c r="M291" s="92"/>
      <c r="N291" s="65"/>
    </row>
    <row r="292" spans="1:14" ht="20.100000000000001" customHeight="1" x14ac:dyDescent="0.3">
      <c r="A292" s="60"/>
      <c r="B292" s="48"/>
      <c r="C292" s="48"/>
      <c r="D292" s="48"/>
      <c r="E292" s="48"/>
      <c r="F292" s="48"/>
      <c r="G292" s="48"/>
      <c r="H292" s="48"/>
      <c r="I292" s="48"/>
      <c r="J292" s="61"/>
      <c r="K292" s="95"/>
      <c r="L292" s="94"/>
      <c r="M292" s="92"/>
      <c r="N292" s="65"/>
    </row>
    <row r="293" spans="1:14" ht="20.100000000000001" customHeight="1" x14ac:dyDescent="0.3">
      <c r="A293" s="60"/>
      <c r="B293" s="48"/>
      <c r="C293" s="48"/>
      <c r="D293" s="48"/>
      <c r="E293" s="48"/>
      <c r="F293" s="48"/>
      <c r="G293" s="48"/>
      <c r="H293" s="48"/>
      <c r="I293" s="48"/>
      <c r="J293" s="61"/>
      <c r="K293" s="95"/>
      <c r="L293" s="94"/>
      <c r="M293" s="92"/>
      <c r="N293" s="65"/>
    </row>
    <row r="294" spans="1:14" ht="20.100000000000001" customHeight="1" x14ac:dyDescent="0.3">
      <c r="A294" s="60"/>
      <c r="B294" s="48"/>
      <c r="C294" s="48"/>
      <c r="D294" s="48"/>
      <c r="E294" s="48"/>
      <c r="F294" s="48"/>
      <c r="G294" s="48"/>
      <c r="H294" s="48"/>
      <c r="I294" s="48"/>
      <c r="J294" s="61"/>
      <c r="K294" s="95"/>
      <c r="L294" s="94"/>
      <c r="M294" s="92"/>
      <c r="N294" s="65"/>
    </row>
    <row r="295" spans="1:14" ht="20.100000000000001" customHeight="1" x14ac:dyDescent="0.3">
      <c r="A295" s="60"/>
      <c r="B295" s="48"/>
      <c r="C295" s="48"/>
      <c r="D295" s="48"/>
      <c r="E295" s="48"/>
      <c r="F295" s="48"/>
      <c r="G295" s="48"/>
      <c r="H295" s="48"/>
      <c r="I295" s="48"/>
      <c r="J295" s="61"/>
      <c r="K295" s="95"/>
      <c r="L295" s="94"/>
      <c r="M295" s="92"/>
      <c r="N295" s="65"/>
    </row>
  </sheetData>
  <sortState xmlns:xlrd2="http://schemas.microsoft.com/office/spreadsheetml/2017/richdata2" ref="A3:S42">
    <sortCondition ref="A3:A42"/>
  </sortState>
  <mergeCells count="1">
    <mergeCell ref="A1:L1"/>
  </mergeCells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100B5-9D2D-4000-9155-043810CB934E}">
  <sheetPr>
    <tabColor rgb="FFFFFF00"/>
  </sheetPr>
  <dimension ref="A1:S280"/>
  <sheetViews>
    <sheetView zoomScale="85" zoomScaleNormal="85" workbookViewId="0">
      <pane ySplit="2" topLeftCell="A100" activePane="bottomLeft" state="frozen"/>
      <selection activeCell="B29" sqref="B29:L29"/>
      <selection pane="bottomLeft" activeCell="L81" sqref="L81:L125"/>
    </sheetView>
  </sheetViews>
  <sheetFormatPr defaultColWidth="9" defaultRowHeight="20.100000000000001" customHeight="1" x14ac:dyDescent="0.3"/>
  <cols>
    <col min="1" max="6" width="8.625" customWidth="1"/>
    <col min="7" max="7" width="12.625" customWidth="1"/>
    <col min="8" max="8" width="16.25" customWidth="1"/>
    <col min="9" max="9" width="10.25" customWidth="1"/>
    <col min="10" max="10" width="14.625" style="113" customWidth="1"/>
    <col min="11" max="12" width="9.625" customWidth="1"/>
    <col min="14" max="15" width="11.625" customWidth="1"/>
    <col min="16" max="16" width="1.625" customWidth="1"/>
    <col min="17" max="17" width="10.625" customWidth="1"/>
    <col min="18" max="18" width="11.625" customWidth="1"/>
  </cols>
  <sheetData>
    <row r="1" spans="1:19" ht="20.100000000000001" customHeight="1" x14ac:dyDescent="0.3">
      <c r="A1" s="145" t="s">
        <v>20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59"/>
      <c r="N1" s="41" t="s">
        <v>0</v>
      </c>
      <c r="O1" s="27">
        <f>SUM(K1:K9965)</f>
        <v>12455000</v>
      </c>
      <c r="P1" s="28"/>
      <c r="Q1" s="41" t="s">
        <v>1</v>
      </c>
      <c r="R1" s="27">
        <f>SUM(L1:L9965)</f>
        <v>14915000</v>
      </c>
      <c r="S1" s="42"/>
    </row>
    <row r="2" spans="1:19" ht="20.100000000000001" customHeight="1" x14ac:dyDescent="0.3">
      <c r="A2" s="43" t="s">
        <v>8</v>
      </c>
      <c r="B2" s="43" t="s">
        <v>9</v>
      </c>
      <c r="C2" s="43" t="s">
        <v>10</v>
      </c>
      <c r="D2" s="43" t="s">
        <v>11</v>
      </c>
      <c r="E2" s="43" t="s">
        <v>12</v>
      </c>
      <c r="F2" s="43" t="s">
        <v>13</v>
      </c>
      <c r="G2" s="43" t="s">
        <v>14</v>
      </c>
      <c r="H2" s="43" t="s">
        <v>15</v>
      </c>
      <c r="I2" s="43" t="s">
        <v>16</v>
      </c>
      <c r="J2" s="107" t="s">
        <v>17</v>
      </c>
      <c r="K2" s="43" t="s">
        <v>0</v>
      </c>
      <c r="L2" s="43" t="s">
        <v>1</v>
      </c>
      <c r="M2" s="43" t="s">
        <v>18</v>
      </c>
      <c r="N2" s="46"/>
      <c r="O2" s="46"/>
      <c r="P2" s="46"/>
      <c r="Q2" s="46"/>
      <c r="R2" s="46"/>
      <c r="S2" s="45"/>
    </row>
    <row r="3" spans="1:19" ht="20.100000000000001" customHeight="1" x14ac:dyDescent="0.3">
      <c r="A3" s="60">
        <v>46113</v>
      </c>
      <c r="B3" s="48" t="s">
        <v>45</v>
      </c>
      <c r="C3" s="48" t="s">
        <v>47</v>
      </c>
      <c r="D3" s="48" t="s">
        <v>48</v>
      </c>
      <c r="E3" s="48"/>
      <c r="F3" s="48" t="s">
        <v>49</v>
      </c>
      <c r="G3" s="48" t="s">
        <v>50</v>
      </c>
      <c r="H3" s="48"/>
      <c r="I3" s="48" t="s">
        <v>51</v>
      </c>
      <c r="J3" s="110" t="s">
        <v>52</v>
      </c>
      <c r="K3" s="62">
        <v>100000</v>
      </c>
      <c r="L3" s="63">
        <v>120000</v>
      </c>
      <c r="M3" s="67" t="s">
        <v>82</v>
      </c>
      <c r="N3" s="65"/>
      <c r="S3" s="39"/>
    </row>
    <row r="4" spans="1:19" ht="20.100000000000001" customHeight="1" x14ac:dyDescent="0.3">
      <c r="A4" s="60">
        <v>46114</v>
      </c>
      <c r="B4" s="48" t="s">
        <v>45</v>
      </c>
      <c r="C4" s="48" t="s">
        <v>47</v>
      </c>
      <c r="D4" s="48" t="s">
        <v>48</v>
      </c>
      <c r="E4" s="48"/>
      <c r="F4" s="48" t="s">
        <v>49</v>
      </c>
      <c r="G4" s="48" t="s">
        <v>50</v>
      </c>
      <c r="H4" s="48"/>
      <c r="I4" s="48" t="s">
        <v>51</v>
      </c>
      <c r="J4" s="110" t="s">
        <v>52</v>
      </c>
      <c r="K4" s="62">
        <v>100000</v>
      </c>
      <c r="L4" s="63">
        <v>120000</v>
      </c>
      <c r="M4" s="67" t="s">
        <v>82</v>
      </c>
      <c r="N4" s="65"/>
      <c r="O4" s="66"/>
      <c r="P4" s="66"/>
      <c r="Q4" s="66"/>
      <c r="R4" s="66"/>
      <c r="S4" s="39"/>
    </row>
    <row r="5" spans="1:19" ht="20.100000000000001" customHeight="1" x14ac:dyDescent="0.3">
      <c r="A5" s="60">
        <v>46115</v>
      </c>
      <c r="B5" s="48" t="s">
        <v>45</v>
      </c>
      <c r="C5" s="48" t="s">
        <v>47</v>
      </c>
      <c r="D5" s="48" t="s">
        <v>48</v>
      </c>
      <c r="E5" s="48"/>
      <c r="F5" s="48" t="s">
        <v>49</v>
      </c>
      <c r="G5" s="48" t="s">
        <v>50</v>
      </c>
      <c r="H5" s="48"/>
      <c r="I5" s="48" t="s">
        <v>51</v>
      </c>
      <c r="J5" s="110" t="s">
        <v>52</v>
      </c>
      <c r="K5" s="62">
        <v>100000</v>
      </c>
      <c r="L5" s="63">
        <v>120000</v>
      </c>
      <c r="M5" s="67" t="s">
        <v>82</v>
      </c>
      <c r="N5" s="65"/>
      <c r="S5" s="39"/>
    </row>
    <row r="6" spans="1:19" ht="20.100000000000001" customHeight="1" x14ac:dyDescent="0.3">
      <c r="A6" s="47">
        <v>46113</v>
      </c>
      <c r="B6" s="48" t="s">
        <v>45</v>
      </c>
      <c r="C6" s="48" t="s">
        <v>47</v>
      </c>
      <c r="D6" s="48" t="s">
        <v>48</v>
      </c>
      <c r="E6" s="48"/>
      <c r="F6" s="48" t="s">
        <v>53</v>
      </c>
      <c r="G6" s="48" t="s">
        <v>54</v>
      </c>
      <c r="H6" s="48"/>
      <c r="I6" s="48" t="s">
        <v>55</v>
      </c>
      <c r="J6" s="110">
        <v>1002760342291</v>
      </c>
      <c r="K6" s="62">
        <v>100000</v>
      </c>
      <c r="L6" s="63">
        <v>120000</v>
      </c>
      <c r="M6" s="67" t="s">
        <v>82</v>
      </c>
      <c r="N6" s="65"/>
      <c r="S6" s="39"/>
    </row>
    <row r="7" spans="1:19" ht="20.100000000000001" customHeight="1" x14ac:dyDescent="0.3">
      <c r="A7" s="47">
        <v>46114</v>
      </c>
      <c r="B7" s="48" t="s">
        <v>45</v>
      </c>
      <c r="C7" s="48" t="s">
        <v>47</v>
      </c>
      <c r="D7" s="48" t="s">
        <v>48</v>
      </c>
      <c r="E7" s="48"/>
      <c r="F7" s="48" t="s">
        <v>53</v>
      </c>
      <c r="G7" s="48" t="s">
        <v>54</v>
      </c>
      <c r="H7" s="48"/>
      <c r="I7" s="48" t="s">
        <v>55</v>
      </c>
      <c r="J7" s="110">
        <v>1002760342291</v>
      </c>
      <c r="K7" s="62">
        <v>100000</v>
      </c>
      <c r="L7" s="63">
        <v>120000</v>
      </c>
      <c r="M7" s="67" t="s">
        <v>82</v>
      </c>
      <c r="N7" s="65"/>
      <c r="O7" s="37"/>
      <c r="P7" s="37"/>
      <c r="Q7" s="37"/>
      <c r="R7" s="37"/>
      <c r="S7" s="39"/>
    </row>
    <row r="8" spans="1:19" ht="20.100000000000001" customHeight="1" x14ac:dyDescent="0.3">
      <c r="A8" s="60">
        <v>46116</v>
      </c>
      <c r="B8" s="48" t="s">
        <v>45</v>
      </c>
      <c r="C8" s="48" t="s">
        <v>47</v>
      </c>
      <c r="D8" s="48" t="s">
        <v>48</v>
      </c>
      <c r="E8" s="48"/>
      <c r="F8" s="48" t="s">
        <v>53</v>
      </c>
      <c r="G8" s="48" t="s">
        <v>54</v>
      </c>
      <c r="H8" s="48"/>
      <c r="I8" s="48" t="s">
        <v>55</v>
      </c>
      <c r="J8" s="110">
        <v>1002760342291</v>
      </c>
      <c r="K8" s="62">
        <v>100000</v>
      </c>
      <c r="L8" s="63">
        <v>120000</v>
      </c>
      <c r="M8" s="67" t="s">
        <v>82</v>
      </c>
      <c r="N8" s="65"/>
      <c r="S8" s="39"/>
    </row>
    <row r="9" spans="1:19" ht="20.100000000000001" customHeight="1" x14ac:dyDescent="0.3">
      <c r="A9" s="60">
        <v>46117</v>
      </c>
      <c r="B9" s="48" t="s">
        <v>45</v>
      </c>
      <c r="C9" s="48" t="s">
        <v>47</v>
      </c>
      <c r="D9" s="48" t="s">
        <v>48</v>
      </c>
      <c r="E9" s="48"/>
      <c r="F9" s="48" t="s">
        <v>53</v>
      </c>
      <c r="G9" s="48" t="s">
        <v>54</v>
      </c>
      <c r="H9" s="48"/>
      <c r="I9" s="48" t="s">
        <v>55</v>
      </c>
      <c r="J9" s="110">
        <v>1002760342291</v>
      </c>
      <c r="K9" s="62">
        <v>100000</v>
      </c>
      <c r="L9" s="63">
        <v>120000</v>
      </c>
      <c r="M9" s="67" t="s">
        <v>82</v>
      </c>
      <c r="N9" s="65"/>
      <c r="S9" s="39"/>
    </row>
    <row r="10" spans="1:19" ht="20.100000000000001" customHeight="1" x14ac:dyDescent="0.3">
      <c r="A10" s="60">
        <v>46113</v>
      </c>
      <c r="B10" s="48" t="s">
        <v>45</v>
      </c>
      <c r="C10" s="48" t="s">
        <v>47</v>
      </c>
      <c r="D10" s="48" t="s">
        <v>48</v>
      </c>
      <c r="E10" s="48"/>
      <c r="F10" s="48" t="s">
        <v>56</v>
      </c>
      <c r="G10" s="48" t="s">
        <v>57</v>
      </c>
      <c r="H10" s="48"/>
      <c r="I10" s="48" t="s">
        <v>58</v>
      </c>
      <c r="J10" s="110" t="s">
        <v>59</v>
      </c>
      <c r="K10" s="62">
        <v>100000</v>
      </c>
      <c r="L10" s="63">
        <v>120000</v>
      </c>
      <c r="M10" s="67" t="s">
        <v>82</v>
      </c>
      <c r="N10" s="65"/>
      <c r="S10" s="39"/>
    </row>
    <row r="11" spans="1:19" ht="20.100000000000001" customHeight="1" x14ac:dyDescent="0.3">
      <c r="A11" s="47">
        <v>46114</v>
      </c>
      <c r="B11" s="48" t="s">
        <v>45</v>
      </c>
      <c r="C11" s="48" t="s">
        <v>47</v>
      </c>
      <c r="D11" s="48" t="s">
        <v>48</v>
      </c>
      <c r="E11" s="48"/>
      <c r="F11" s="48" t="s">
        <v>56</v>
      </c>
      <c r="G11" s="48" t="s">
        <v>57</v>
      </c>
      <c r="H11" s="48"/>
      <c r="I11" s="48" t="s">
        <v>58</v>
      </c>
      <c r="J11" s="110" t="s">
        <v>59</v>
      </c>
      <c r="K11" s="62">
        <v>100000</v>
      </c>
      <c r="L11" s="63">
        <v>120000</v>
      </c>
      <c r="M11" s="67" t="s">
        <v>82</v>
      </c>
      <c r="N11" s="65"/>
      <c r="S11" s="39"/>
    </row>
    <row r="12" spans="1:19" ht="20.100000000000001" customHeight="1" x14ac:dyDescent="0.3">
      <c r="A12" s="47">
        <v>46115</v>
      </c>
      <c r="B12" s="48" t="s">
        <v>45</v>
      </c>
      <c r="C12" s="48" t="s">
        <v>47</v>
      </c>
      <c r="D12" s="48" t="s">
        <v>48</v>
      </c>
      <c r="E12" s="48"/>
      <c r="F12" s="48" t="s">
        <v>56</v>
      </c>
      <c r="G12" s="48" t="s">
        <v>57</v>
      </c>
      <c r="H12" s="48"/>
      <c r="I12" s="48" t="s">
        <v>58</v>
      </c>
      <c r="J12" s="110" t="s">
        <v>59</v>
      </c>
      <c r="K12" s="62">
        <v>100000</v>
      </c>
      <c r="L12" s="63">
        <v>120000</v>
      </c>
      <c r="M12" s="67" t="s">
        <v>82</v>
      </c>
      <c r="N12" s="65"/>
      <c r="S12" s="39"/>
    </row>
    <row r="13" spans="1:19" ht="20.100000000000001" customHeight="1" x14ac:dyDescent="0.3">
      <c r="A13" s="47">
        <v>46116</v>
      </c>
      <c r="B13" s="48" t="s">
        <v>45</v>
      </c>
      <c r="C13" s="48" t="s">
        <v>47</v>
      </c>
      <c r="D13" s="48" t="s">
        <v>48</v>
      </c>
      <c r="E13" s="48"/>
      <c r="F13" s="48" t="s">
        <v>56</v>
      </c>
      <c r="G13" s="48" t="s">
        <v>57</v>
      </c>
      <c r="H13" s="48"/>
      <c r="I13" s="48" t="s">
        <v>58</v>
      </c>
      <c r="J13" s="110" t="s">
        <v>59</v>
      </c>
      <c r="K13" s="62">
        <v>100000</v>
      </c>
      <c r="L13" s="63">
        <v>120000</v>
      </c>
      <c r="M13" s="67" t="s">
        <v>82</v>
      </c>
      <c r="N13" s="65"/>
      <c r="O13" s="66"/>
      <c r="P13" s="66"/>
      <c r="Q13" s="66"/>
      <c r="R13" s="66"/>
      <c r="S13" s="39"/>
    </row>
    <row r="14" spans="1:19" ht="20.100000000000001" customHeight="1" x14ac:dyDescent="0.3">
      <c r="A14" s="60">
        <v>46117</v>
      </c>
      <c r="B14" s="48" t="s">
        <v>45</v>
      </c>
      <c r="C14" s="48" t="s">
        <v>47</v>
      </c>
      <c r="D14" s="48" t="s">
        <v>48</v>
      </c>
      <c r="E14" s="48"/>
      <c r="F14" s="48" t="s">
        <v>56</v>
      </c>
      <c r="G14" s="48" t="s">
        <v>57</v>
      </c>
      <c r="H14" s="48"/>
      <c r="I14" s="48" t="s">
        <v>58</v>
      </c>
      <c r="J14" s="110" t="s">
        <v>59</v>
      </c>
      <c r="K14" s="62">
        <v>100000</v>
      </c>
      <c r="L14" s="63">
        <v>120000</v>
      </c>
      <c r="M14" s="67" t="s">
        <v>82</v>
      </c>
      <c r="N14" s="65"/>
      <c r="S14" s="39"/>
    </row>
    <row r="15" spans="1:19" ht="20.100000000000001" customHeight="1" x14ac:dyDescent="0.3">
      <c r="A15" s="60">
        <v>46113</v>
      </c>
      <c r="B15" s="48" t="s">
        <v>45</v>
      </c>
      <c r="C15" s="48" t="s">
        <v>47</v>
      </c>
      <c r="D15" s="48" t="s">
        <v>48</v>
      </c>
      <c r="E15" s="48"/>
      <c r="F15" s="48" t="s">
        <v>60</v>
      </c>
      <c r="G15" s="48" t="s">
        <v>61</v>
      </c>
      <c r="H15" s="48"/>
      <c r="I15" s="48" t="s">
        <v>62</v>
      </c>
      <c r="J15" s="110" t="s">
        <v>63</v>
      </c>
      <c r="K15" s="62">
        <v>100000</v>
      </c>
      <c r="L15" s="63">
        <v>120000</v>
      </c>
      <c r="M15" s="67" t="s">
        <v>82</v>
      </c>
      <c r="N15" s="65"/>
      <c r="O15" s="37"/>
      <c r="P15" s="37"/>
      <c r="Q15" s="37"/>
      <c r="R15" s="37"/>
      <c r="S15" s="39"/>
    </row>
    <row r="16" spans="1:19" ht="20.100000000000001" customHeight="1" x14ac:dyDescent="0.3">
      <c r="A16" s="47">
        <v>46116</v>
      </c>
      <c r="B16" s="48" t="s">
        <v>45</v>
      </c>
      <c r="C16" s="48" t="s">
        <v>47</v>
      </c>
      <c r="D16" s="48" t="s">
        <v>48</v>
      </c>
      <c r="E16" s="48"/>
      <c r="F16" s="48" t="s">
        <v>60</v>
      </c>
      <c r="G16" s="48" t="s">
        <v>61</v>
      </c>
      <c r="H16" s="48"/>
      <c r="I16" s="48" t="s">
        <v>62</v>
      </c>
      <c r="J16" s="110" t="s">
        <v>63</v>
      </c>
      <c r="K16" s="62">
        <v>100000</v>
      </c>
      <c r="L16" s="63">
        <v>120000</v>
      </c>
      <c r="M16" s="67" t="s">
        <v>82</v>
      </c>
      <c r="N16" s="65"/>
      <c r="O16" s="66"/>
      <c r="P16" s="66"/>
      <c r="Q16" s="66"/>
      <c r="R16" s="66"/>
      <c r="S16" s="39"/>
    </row>
    <row r="17" spans="1:19" ht="20.100000000000001" customHeight="1" x14ac:dyDescent="0.3">
      <c r="A17" s="47">
        <v>46117</v>
      </c>
      <c r="B17" s="48" t="s">
        <v>45</v>
      </c>
      <c r="C17" s="48" t="s">
        <v>47</v>
      </c>
      <c r="D17" s="48" t="s">
        <v>48</v>
      </c>
      <c r="E17" s="48"/>
      <c r="F17" s="48" t="s">
        <v>60</v>
      </c>
      <c r="G17" s="48" t="s">
        <v>61</v>
      </c>
      <c r="H17" s="48"/>
      <c r="I17" s="48" t="s">
        <v>62</v>
      </c>
      <c r="J17" s="110" t="s">
        <v>63</v>
      </c>
      <c r="K17" s="62">
        <v>100000</v>
      </c>
      <c r="L17" s="63">
        <v>120000</v>
      </c>
      <c r="M17" s="67" t="s">
        <v>82</v>
      </c>
      <c r="N17" s="65"/>
      <c r="O17" s="66"/>
      <c r="P17" s="66"/>
      <c r="Q17" s="66"/>
      <c r="R17" s="66"/>
      <c r="S17" s="39"/>
    </row>
    <row r="18" spans="1:19" ht="20.100000000000001" customHeight="1" x14ac:dyDescent="0.3">
      <c r="A18" s="47">
        <v>46114</v>
      </c>
      <c r="B18" s="48" t="s">
        <v>45</v>
      </c>
      <c r="C18" s="48" t="s">
        <v>47</v>
      </c>
      <c r="D18" s="48" t="s">
        <v>48</v>
      </c>
      <c r="E18" s="48"/>
      <c r="F18" s="48" t="s">
        <v>64</v>
      </c>
      <c r="G18" s="48" t="s">
        <v>65</v>
      </c>
      <c r="H18" s="48"/>
      <c r="I18" s="48" t="s">
        <v>58</v>
      </c>
      <c r="J18" s="110" t="s">
        <v>66</v>
      </c>
      <c r="K18" s="62">
        <v>100000</v>
      </c>
      <c r="L18" s="63">
        <v>120000</v>
      </c>
      <c r="M18" s="67" t="s">
        <v>82</v>
      </c>
      <c r="N18" s="65"/>
      <c r="S18" s="39"/>
    </row>
    <row r="19" spans="1:19" ht="20.100000000000001" customHeight="1" x14ac:dyDescent="0.3">
      <c r="A19" s="47">
        <v>46116</v>
      </c>
      <c r="B19" s="48" t="s">
        <v>45</v>
      </c>
      <c r="C19" s="48" t="s">
        <v>47</v>
      </c>
      <c r="D19" s="48" t="s">
        <v>48</v>
      </c>
      <c r="E19" s="48"/>
      <c r="F19" s="48" t="s">
        <v>64</v>
      </c>
      <c r="G19" s="48" t="s">
        <v>65</v>
      </c>
      <c r="H19" s="48"/>
      <c r="I19" s="48" t="s">
        <v>58</v>
      </c>
      <c r="J19" s="110" t="s">
        <v>66</v>
      </c>
      <c r="K19" s="62">
        <v>100000</v>
      </c>
      <c r="L19" s="63">
        <v>120000</v>
      </c>
      <c r="M19" s="67" t="s">
        <v>82</v>
      </c>
      <c r="N19" s="65"/>
      <c r="S19" s="39"/>
    </row>
    <row r="20" spans="1:19" ht="20.100000000000001" customHeight="1" x14ac:dyDescent="0.3">
      <c r="A20" s="47">
        <v>46117</v>
      </c>
      <c r="B20" s="48" t="s">
        <v>45</v>
      </c>
      <c r="C20" s="48" t="s">
        <v>47</v>
      </c>
      <c r="D20" s="48" t="s">
        <v>48</v>
      </c>
      <c r="E20" s="48"/>
      <c r="F20" s="48" t="s">
        <v>64</v>
      </c>
      <c r="G20" s="48" t="s">
        <v>65</v>
      </c>
      <c r="H20" s="48"/>
      <c r="I20" s="48" t="s">
        <v>58</v>
      </c>
      <c r="J20" s="110" t="s">
        <v>66</v>
      </c>
      <c r="K20" s="62">
        <v>100000</v>
      </c>
      <c r="L20" s="63">
        <v>120000</v>
      </c>
      <c r="M20" s="67" t="s">
        <v>82</v>
      </c>
      <c r="N20" s="65"/>
      <c r="S20" s="39"/>
    </row>
    <row r="21" spans="1:19" ht="20.100000000000001" customHeight="1" x14ac:dyDescent="0.3">
      <c r="A21" s="47">
        <v>46116</v>
      </c>
      <c r="B21" s="48" t="s">
        <v>45</v>
      </c>
      <c r="C21" s="48" t="s">
        <v>47</v>
      </c>
      <c r="D21" s="48" t="s">
        <v>48</v>
      </c>
      <c r="E21" s="48"/>
      <c r="F21" s="48" t="s">
        <v>67</v>
      </c>
      <c r="G21" s="48" t="s">
        <v>68</v>
      </c>
      <c r="H21" s="48"/>
      <c r="I21" s="48" t="s">
        <v>62</v>
      </c>
      <c r="J21" s="110" t="s">
        <v>69</v>
      </c>
      <c r="K21" s="62">
        <v>100000</v>
      </c>
      <c r="L21" s="63">
        <v>120000</v>
      </c>
      <c r="M21" s="67" t="s">
        <v>82</v>
      </c>
      <c r="N21" s="65"/>
      <c r="S21" s="39"/>
    </row>
    <row r="22" spans="1:19" ht="20.100000000000001" customHeight="1" x14ac:dyDescent="0.3">
      <c r="A22" s="47">
        <v>46117</v>
      </c>
      <c r="B22" s="48" t="s">
        <v>45</v>
      </c>
      <c r="C22" s="48" t="s">
        <v>47</v>
      </c>
      <c r="D22" s="48" t="s">
        <v>48</v>
      </c>
      <c r="E22" s="48"/>
      <c r="F22" s="48" t="s">
        <v>67</v>
      </c>
      <c r="G22" s="48" t="s">
        <v>68</v>
      </c>
      <c r="H22" s="48"/>
      <c r="I22" s="48" t="s">
        <v>62</v>
      </c>
      <c r="J22" s="110" t="s">
        <v>69</v>
      </c>
      <c r="K22" s="62">
        <v>100000</v>
      </c>
      <c r="L22" s="63">
        <v>120000</v>
      </c>
      <c r="M22" s="67" t="s">
        <v>82</v>
      </c>
      <c r="N22" s="65"/>
      <c r="S22" s="39"/>
    </row>
    <row r="23" spans="1:19" ht="20.100000000000001" customHeight="1" x14ac:dyDescent="0.3">
      <c r="A23" s="47">
        <v>46113</v>
      </c>
      <c r="B23" s="48" t="s">
        <v>45</v>
      </c>
      <c r="C23" s="48" t="s">
        <v>47</v>
      </c>
      <c r="D23" s="48" t="s">
        <v>48</v>
      </c>
      <c r="E23" s="48"/>
      <c r="F23" s="48" t="s">
        <v>70</v>
      </c>
      <c r="G23" s="48" t="s">
        <v>71</v>
      </c>
      <c r="H23" s="48"/>
      <c r="I23" s="48" t="s">
        <v>72</v>
      </c>
      <c r="J23" s="110" t="s">
        <v>73</v>
      </c>
      <c r="K23" s="62">
        <v>100000</v>
      </c>
      <c r="L23" s="63">
        <v>120000</v>
      </c>
      <c r="M23" s="67" t="s">
        <v>82</v>
      </c>
      <c r="O23" s="66"/>
      <c r="P23" s="66"/>
      <c r="Q23" s="66"/>
      <c r="R23" s="66"/>
      <c r="S23" s="39"/>
    </row>
    <row r="24" spans="1:19" ht="20.100000000000001" customHeight="1" x14ac:dyDescent="0.3">
      <c r="A24" s="47">
        <v>46114</v>
      </c>
      <c r="B24" s="48" t="s">
        <v>45</v>
      </c>
      <c r="C24" s="48" t="s">
        <v>47</v>
      </c>
      <c r="D24" s="48" t="s">
        <v>48</v>
      </c>
      <c r="E24" s="48"/>
      <c r="F24" s="48" t="s">
        <v>70</v>
      </c>
      <c r="G24" s="48" t="s">
        <v>71</v>
      </c>
      <c r="H24" s="48"/>
      <c r="I24" s="48" t="s">
        <v>72</v>
      </c>
      <c r="J24" s="110" t="s">
        <v>73</v>
      </c>
      <c r="K24" s="62">
        <v>100000</v>
      </c>
      <c r="L24" s="63">
        <v>120000</v>
      </c>
      <c r="M24" s="67" t="s">
        <v>82</v>
      </c>
      <c r="N24" s="65"/>
      <c r="S24" s="39"/>
    </row>
    <row r="25" spans="1:19" ht="20.100000000000001" customHeight="1" x14ac:dyDescent="0.3">
      <c r="A25" s="47">
        <v>46116</v>
      </c>
      <c r="B25" s="48" t="s">
        <v>45</v>
      </c>
      <c r="C25" s="48" t="s">
        <v>47</v>
      </c>
      <c r="D25" s="48" t="s">
        <v>48</v>
      </c>
      <c r="E25" s="48"/>
      <c r="F25" s="48" t="s">
        <v>70</v>
      </c>
      <c r="G25" s="48" t="s">
        <v>71</v>
      </c>
      <c r="H25" s="48"/>
      <c r="I25" s="48" t="s">
        <v>72</v>
      </c>
      <c r="J25" s="110" t="s">
        <v>73</v>
      </c>
      <c r="K25" s="62">
        <v>100000</v>
      </c>
      <c r="L25" s="63">
        <v>120000</v>
      </c>
      <c r="M25" s="67" t="s">
        <v>82</v>
      </c>
      <c r="N25" s="65"/>
      <c r="S25" s="39"/>
    </row>
    <row r="26" spans="1:19" ht="20.100000000000001" customHeight="1" x14ac:dyDescent="0.3">
      <c r="A26" s="60">
        <v>46117</v>
      </c>
      <c r="B26" s="48" t="s">
        <v>45</v>
      </c>
      <c r="C26" s="48" t="s">
        <v>47</v>
      </c>
      <c r="D26" s="48" t="s">
        <v>48</v>
      </c>
      <c r="E26" s="48"/>
      <c r="F26" s="48" t="s">
        <v>70</v>
      </c>
      <c r="G26" s="48" t="s">
        <v>71</v>
      </c>
      <c r="H26" s="48"/>
      <c r="I26" s="48" t="s">
        <v>72</v>
      </c>
      <c r="J26" s="110" t="s">
        <v>73</v>
      </c>
      <c r="K26" s="62">
        <v>100000</v>
      </c>
      <c r="L26" s="63">
        <v>120000</v>
      </c>
      <c r="M26" s="67" t="s">
        <v>82</v>
      </c>
      <c r="N26" s="65"/>
      <c r="S26" s="39"/>
    </row>
    <row r="27" spans="1:19" ht="20.100000000000001" customHeight="1" x14ac:dyDescent="0.3">
      <c r="A27" s="47">
        <v>46113</v>
      </c>
      <c r="B27" s="48" t="s">
        <v>45</v>
      </c>
      <c r="C27" s="48" t="s">
        <v>47</v>
      </c>
      <c r="D27" s="48" t="s">
        <v>48</v>
      </c>
      <c r="E27" s="48"/>
      <c r="F27" s="48" t="s">
        <v>74</v>
      </c>
      <c r="G27" s="48"/>
      <c r="H27" s="48"/>
      <c r="I27" s="48" t="s">
        <v>72</v>
      </c>
      <c r="J27" s="110" t="s">
        <v>73</v>
      </c>
      <c r="K27" s="62">
        <v>100000</v>
      </c>
      <c r="L27" s="63">
        <v>120000</v>
      </c>
      <c r="M27" s="67" t="s">
        <v>82</v>
      </c>
      <c r="N27" s="65"/>
      <c r="S27" s="39"/>
    </row>
    <row r="28" spans="1:19" ht="20.100000000000001" customHeight="1" x14ac:dyDescent="0.3">
      <c r="A28" s="47">
        <v>46114</v>
      </c>
      <c r="B28" s="48" t="s">
        <v>45</v>
      </c>
      <c r="C28" s="48" t="s">
        <v>47</v>
      </c>
      <c r="D28" s="48" t="s">
        <v>48</v>
      </c>
      <c r="E28" s="48"/>
      <c r="F28" s="48" t="s">
        <v>74</v>
      </c>
      <c r="G28" s="48"/>
      <c r="H28" s="48"/>
      <c r="I28" s="48" t="s">
        <v>72</v>
      </c>
      <c r="J28" s="110" t="s">
        <v>73</v>
      </c>
      <c r="K28" s="62">
        <v>100000</v>
      </c>
      <c r="L28" s="63">
        <v>120000</v>
      </c>
      <c r="M28" s="67" t="s">
        <v>82</v>
      </c>
      <c r="N28" s="65"/>
      <c r="S28" s="39"/>
    </row>
    <row r="29" spans="1:19" ht="20.100000000000001" customHeight="1" x14ac:dyDescent="0.3">
      <c r="A29" s="60">
        <v>46115</v>
      </c>
      <c r="B29" s="48" t="s">
        <v>45</v>
      </c>
      <c r="C29" s="48" t="s">
        <v>47</v>
      </c>
      <c r="D29" s="48" t="s">
        <v>48</v>
      </c>
      <c r="E29" s="48"/>
      <c r="F29" s="48" t="s">
        <v>74</v>
      </c>
      <c r="G29" s="48"/>
      <c r="H29" s="48"/>
      <c r="I29" s="48" t="s">
        <v>72</v>
      </c>
      <c r="J29" s="110" t="s">
        <v>73</v>
      </c>
      <c r="K29" s="62">
        <v>100000</v>
      </c>
      <c r="L29" s="63">
        <v>120000</v>
      </c>
      <c r="M29" s="67" t="s">
        <v>82</v>
      </c>
      <c r="N29" s="65"/>
      <c r="S29" s="39"/>
    </row>
    <row r="30" spans="1:19" ht="20.100000000000001" customHeight="1" x14ac:dyDescent="0.3">
      <c r="A30" s="60">
        <v>46116</v>
      </c>
      <c r="B30" s="48" t="s">
        <v>45</v>
      </c>
      <c r="C30" s="48" t="s">
        <v>47</v>
      </c>
      <c r="D30" s="48" t="s">
        <v>48</v>
      </c>
      <c r="E30" s="48"/>
      <c r="F30" s="48" t="s">
        <v>74</v>
      </c>
      <c r="G30" s="48"/>
      <c r="H30" s="48"/>
      <c r="I30" s="48" t="s">
        <v>72</v>
      </c>
      <c r="J30" s="110" t="s">
        <v>73</v>
      </c>
      <c r="K30" s="62">
        <v>100000</v>
      </c>
      <c r="L30" s="63">
        <v>120000</v>
      </c>
      <c r="M30" s="67" t="s">
        <v>82</v>
      </c>
      <c r="N30" s="65"/>
      <c r="S30" s="39"/>
    </row>
    <row r="31" spans="1:19" ht="20.100000000000001" customHeight="1" x14ac:dyDescent="0.3">
      <c r="A31" s="60">
        <v>46117</v>
      </c>
      <c r="B31" s="48" t="s">
        <v>45</v>
      </c>
      <c r="C31" s="48" t="s">
        <v>47</v>
      </c>
      <c r="D31" s="48" t="s">
        <v>48</v>
      </c>
      <c r="E31" s="48"/>
      <c r="F31" s="48" t="s">
        <v>74</v>
      </c>
      <c r="G31" s="48"/>
      <c r="H31" s="48"/>
      <c r="I31" s="48" t="s">
        <v>72</v>
      </c>
      <c r="J31" s="110" t="s">
        <v>73</v>
      </c>
      <c r="K31" s="62">
        <v>100000</v>
      </c>
      <c r="L31" s="63">
        <v>120000</v>
      </c>
      <c r="M31" s="67" t="s">
        <v>82</v>
      </c>
      <c r="N31" s="65"/>
      <c r="S31" s="39"/>
    </row>
    <row r="32" spans="1:19" ht="20.100000000000001" customHeight="1" x14ac:dyDescent="0.3">
      <c r="A32" s="60">
        <v>46116</v>
      </c>
      <c r="B32" s="48" t="s">
        <v>45</v>
      </c>
      <c r="C32" s="48" t="s">
        <v>47</v>
      </c>
      <c r="D32" s="48" t="s">
        <v>48</v>
      </c>
      <c r="E32" s="48"/>
      <c r="F32" s="48" t="s">
        <v>75</v>
      </c>
      <c r="G32" s="48"/>
      <c r="H32" s="48"/>
      <c r="I32" s="48" t="s">
        <v>76</v>
      </c>
      <c r="J32" s="110" t="s">
        <v>77</v>
      </c>
      <c r="K32" s="62">
        <v>100000</v>
      </c>
      <c r="L32" s="63">
        <v>120000</v>
      </c>
      <c r="M32" s="67" t="s">
        <v>82</v>
      </c>
      <c r="N32" s="65"/>
      <c r="S32" s="39"/>
    </row>
    <row r="33" spans="1:19" ht="20.100000000000001" customHeight="1" x14ac:dyDescent="0.3">
      <c r="A33" s="60">
        <v>46117</v>
      </c>
      <c r="B33" s="48" t="s">
        <v>45</v>
      </c>
      <c r="C33" s="48" t="s">
        <v>47</v>
      </c>
      <c r="D33" s="48" t="s">
        <v>48</v>
      </c>
      <c r="E33" s="48"/>
      <c r="F33" s="48" t="s">
        <v>75</v>
      </c>
      <c r="G33" s="48"/>
      <c r="H33" s="48"/>
      <c r="I33" s="48" t="s">
        <v>76</v>
      </c>
      <c r="J33" s="110" t="s">
        <v>77</v>
      </c>
      <c r="K33" s="62">
        <v>100000</v>
      </c>
      <c r="L33" s="63">
        <v>120000</v>
      </c>
      <c r="M33" s="67" t="s">
        <v>82</v>
      </c>
      <c r="N33" s="65"/>
      <c r="S33" s="39"/>
    </row>
    <row r="34" spans="1:19" ht="20.100000000000001" customHeight="1" x14ac:dyDescent="0.3">
      <c r="A34" s="47">
        <v>46113</v>
      </c>
      <c r="B34" s="48" t="s">
        <v>45</v>
      </c>
      <c r="C34" s="48" t="s">
        <v>47</v>
      </c>
      <c r="D34" s="48" t="s">
        <v>48</v>
      </c>
      <c r="E34" s="48"/>
      <c r="F34" s="48" t="s">
        <v>78</v>
      </c>
      <c r="G34" s="48"/>
      <c r="H34" s="48"/>
      <c r="I34" s="48" t="s">
        <v>55</v>
      </c>
      <c r="J34" s="110" t="s">
        <v>79</v>
      </c>
      <c r="K34" s="62">
        <v>100000</v>
      </c>
      <c r="L34" s="63">
        <v>120000</v>
      </c>
      <c r="M34" s="67" t="s">
        <v>82</v>
      </c>
      <c r="N34" s="65"/>
      <c r="S34" s="39"/>
    </row>
    <row r="35" spans="1:19" ht="20.100000000000001" customHeight="1" x14ac:dyDescent="0.3">
      <c r="A35" s="60">
        <v>46116</v>
      </c>
      <c r="B35" s="48" t="s">
        <v>45</v>
      </c>
      <c r="C35" s="48" t="s">
        <v>47</v>
      </c>
      <c r="D35" s="48" t="s">
        <v>48</v>
      </c>
      <c r="E35" s="48"/>
      <c r="F35" s="48" t="s">
        <v>78</v>
      </c>
      <c r="G35" s="48"/>
      <c r="H35" s="48"/>
      <c r="I35" s="48" t="s">
        <v>55</v>
      </c>
      <c r="J35" s="110" t="s">
        <v>79</v>
      </c>
      <c r="K35" s="62">
        <v>100000</v>
      </c>
      <c r="L35" s="63">
        <v>120000</v>
      </c>
      <c r="M35" s="67" t="s">
        <v>82</v>
      </c>
      <c r="N35" s="65"/>
      <c r="S35" s="39"/>
    </row>
    <row r="36" spans="1:19" ht="20.100000000000001" customHeight="1" x14ac:dyDescent="0.3">
      <c r="A36" s="60">
        <v>46117</v>
      </c>
      <c r="B36" s="48" t="s">
        <v>45</v>
      </c>
      <c r="C36" s="48" t="s">
        <v>47</v>
      </c>
      <c r="D36" s="48" t="s">
        <v>48</v>
      </c>
      <c r="E36" s="48"/>
      <c r="F36" s="48" t="s">
        <v>78</v>
      </c>
      <c r="G36" s="48"/>
      <c r="H36" s="48"/>
      <c r="I36" s="48" t="s">
        <v>55</v>
      </c>
      <c r="J36" s="110" t="s">
        <v>79</v>
      </c>
      <c r="K36" s="62">
        <v>100000</v>
      </c>
      <c r="L36" s="63">
        <v>120000</v>
      </c>
      <c r="M36" s="67" t="s">
        <v>82</v>
      </c>
      <c r="N36" s="65"/>
      <c r="S36" s="39"/>
    </row>
    <row r="37" spans="1:19" ht="20.100000000000001" customHeight="1" x14ac:dyDescent="0.3">
      <c r="A37" s="47">
        <v>46117</v>
      </c>
      <c r="B37" s="48" t="s">
        <v>45</v>
      </c>
      <c r="C37" s="48" t="s">
        <v>47</v>
      </c>
      <c r="D37" s="48" t="s">
        <v>48</v>
      </c>
      <c r="E37" s="48"/>
      <c r="F37" s="48" t="s">
        <v>80</v>
      </c>
      <c r="G37" s="48" t="s">
        <v>81</v>
      </c>
      <c r="H37" s="48"/>
      <c r="I37" s="48" t="s">
        <v>62</v>
      </c>
      <c r="J37" s="110">
        <v>9500021279810</v>
      </c>
      <c r="K37" s="62">
        <v>100000</v>
      </c>
      <c r="L37" s="63">
        <v>120000</v>
      </c>
      <c r="M37" s="67" t="s">
        <v>82</v>
      </c>
      <c r="N37" s="65"/>
      <c r="S37" s="39"/>
    </row>
    <row r="38" spans="1:19" ht="20.100000000000001" customHeight="1" x14ac:dyDescent="0.3">
      <c r="A38" s="47">
        <v>46118</v>
      </c>
      <c r="B38" s="48" t="s">
        <v>45</v>
      </c>
      <c r="C38" s="48" t="s">
        <v>47</v>
      </c>
      <c r="D38" s="48" t="s">
        <v>48</v>
      </c>
      <c r="E38" s="48"/>
      <c r="F38" s="48" t="s">
        <v>49</v>
      </c>
      <c r="G38" s="48" t="s">
        <v>50</v>
      </c>
      <c r="H38" s="48"/>
      <c r="I38" s="48" t="s">
        <v>51</v>
      </c>
      <c r="J38" s="110" t="s">
        <v>52</v>
      </c>
      <c r="K38" s="62">
        <v>100000</v>
      </c>
      <c r="L38" s="63">
        <v>120000</v>
      </c>
      <c r="M38" s="67" t="s">
        <v>270</v>
      </c>
      <c r="N38" s="114"/>
      <c r="S38" s="39"/>
    </row>
    <row r="39" spans="1:19" ht="20.100000000000001" customHeight="1" x14ac:dyDescent="0.3">
      <c r="A39" s="47">
        <v>46119</v>
      </c>
      <c r="B39" s="48" t="s">
        <v>45</v>
      </c>
      <c r="C39" s="48" t="s">
        <v>47</v>
      </c>
      <c r="D39" s="48" t="s">
        <v>48</v>
      </c>
      <c r="E39" s="48"/>
      <c r="F39" s="48" t="s">
        <v>49</v>
      </c>
      <c r="G39" s="48" t="s">
        <v>50</v>
      </c>
      <c r="H39" s="48"/>
      <c r="I39" s="48" t="s">
        <v>51</v>
      </c>
      <c r="J39" s="110" t="s">
        <v>52</v>
      </c>
      <c r="K39" s="62">
        <v>100000</v>
      </c>
      <c r="L39" s="63">
        <v>120000</v>
      </c>
      <c r="M39" s="67" t="s">
        <v>270</v>
      </c>
      <c r="N39" s="65"/>
      <c r="S39" s="39"/>
    </row>
    <row r="40" spans="1:19" ht="20.100000000000001" customHeight="1" x14ac:dyDescent="0.3">
      <c r="A40" s="47">
        <v>46120</v>
      </c>
      <c r="B40" s="48" t="s">
        <v>45</v>
      </c>
      <c r="C40" s="48" t="s">
        <v>47</v>
      </c>
      <c r="D40" s="48" t="s">
        <v>48</v>
      </c>
      <c r="E40" s="48"/>
      <c r="F40" s="48" t="s">
        <v>49</v>
      </c>
      <c r="G40" s="48" t="s">
        <v>50</v>
      </c>
      <c r="H40" s="48"/>
      <c r="I40" s="48" t="s">
        <v>51</v>
      </c>
      <c r="J40" s="110" t="s">
        <v>52</v>
      </c>
      <c r="K40" s="62">
        <v>100000</v>
      </c>
      <c r="L40" s="63">
        <v>120000</v>
      </c>
      <c r="M40" s="67" t="s">
        <v>270</v>
      </c>
      <c r="N40" s="65"/>
      <c r="S40" s="39"/>
    </row>
    <row r="41" spans="1:19" ht="20.100000000000001" customHeight="1" x14ac:dyDescent="0.3">
      <c r="A41" s="47">
        <v>46121</v>
      </c>
      <c r="B41" s="48" t="s">
        <v>45</v>
      </c>
      <c r="C41" s="48" t="s">
        <v>47</v>
      </c>
      <c r="D41" s="48" t="s">
        <v>48</v>
      </c>
      <c r="E41" s="48"/>
      <c r="F41" s="48" t="s">
        <v>49</v>
      </c>
      <c r="G41" s="48" t="s">
        <v>50</v>
      </c>
      <c r="H41" s="48"/>
      <c r="I41" s="48" t="s">
        <v>51</v>
      </c>
      <c r="J41" s="110" t="s">
        <v>52</v>
      </c>
      <c r="K41" s="62">
        <v>100000</v>
      </c>
      <c r="L41" s="63">
        <v>120000</v>
      </c>
      <c r="M41" s="67" t="s">
        <v>270</v>
      </c>
      <c r="N41" s="65"/>
      <c r="O41" s="66"/>
      <c r="P41" s="66"/>
      <c r="Q41" s="66"/>
      <c r="R41" s="66"/>
      <c r="S41" s="39"/>
    </row>
    <row r="42" spans="1:19" ht="20.100000000000001" customHeight="1" x14ac:dyDescent="0.3">
      <c r="A42" s="47">
        <v>46122</v>
      </c>
      <c r="B42" s="48" t="s">
        <v>45</v>
      </c>
      <c r="C42" s="48" t="s">
        <v>47</v>
      </c>
      <c r="D42" s="48" t="s">
        <v>48</v>
      </c>
      <c r="E42" s="48"/>
      <c r="F42" s="48" t="s">
        <v>49</v>
      </c>
      <c r="G42" s="48" t="s">
        <v>50</v>
      </c>
      <c r="H42" s="48"/>
      <c r="I42" s="48" t="s">
        <v>51</v>
      </c>
      <c r="J42" s="110" t="s">
        <v>52</v>
      </c>
      <c r="K42" s="62">
        <v>100000</v>
      </c>
      <c r="L42" s="63">
        <v>120000</v>
      </c>
      <c r="M42" s="67" t="s">
        <v>270</v>
      </c>
      <c r="N42" s="65"/>
      <c r="S42" s="39"/>
    </row>
    <row r="43" spans="1:19" ht="20.100000000000001" customHeight="1" x14ac:dyDescent="0.3">
      <c r="A43" s="47">
        <v>46118</v>
      </c>
      <c r="B43" s="48" t="s">
        <v>45</v>
      </c>
      <c r="C43" s="48" t="s">
        <v>47</v>
      </c>
      <c r="D43" s="48" t="s">
        <v>48</v>
      </c>
      <c r="E43" s="48"/>
      <c r="F43" s="48" t="s">
        <v>53</v>
      </c>
      <c r="G43" s="48" t="s">
        <v>54</v>
      </c>
      <c r="H43" s="48"/>
      <c r="I43" s="48" t="s">
        <v>55</v>
      </c>
      <c r="J43" s="110">
        <v>1002760342291</v>
      </c>
      <c r="K43" s="62">
        <v>100000</v>
      </c>
      <c r="L43" s="63">
        <v>120000</v>
      </c>
      <c r="M43" s="67" t="s">
        <v>270</v>
      </c>
      <c r="N43" s="65"/>
      <c r="S43" s="39"/>
    </row>
    <row r="44" spans="1:19" ht="20.100000000000001" customHeight="1" x14ac:dyDescent="0.3">
      <c r="A44" s="47">
        <v>46119</v>
      </c>
      <c r="B44" s="48" t="s">
        <v>45</v>
      </c>
      <c r="C44" s="48" t="s">
        <v>47</v>
      </c>
      <c r="D44" s="48" t="s">
        <v>48</v>
      </c>
      <c r="E44" s="48"/>
      <c r="F44" s="48" t="s">
        <v>53</v>
      </c>
      <c r="G44" s="48" t="s">
        <v>54</v>
      </c>
      <c r="H44" s="48"/>
      <c r="I44" s="48" t="s">
        <v>55</v>
      </c>
      <c r="J44" s="110">
        <v>1002760342291</v>
      </c>
      <c r="K44" s="62">
        <v>100000</v>
      </c>
      <c r="L44" s="63">
        <v>120000</v>
      </c>
      <c r="M44" s="67" t="s">
        <v>270</v>
      </c>
      <c r="N44" s="65"/>
      <c r="S44" s="39"/>
    </row>
    <row r="45" spans="1:19" ht="20.100000000000001" customHeight="1" x14ac:dyDescent="0.3">
      <c r="A45" s="47">
        <v>46120</v>
      </c>
      <c r="B45" s="48" t="s">
        <v>45</v>
      </c>
      <c r="C45" s="48" t="s">
        <v>47</v>
      </c>
      <c r="D45" s="48" t="s">
        <v>48</v>
      </c>
      <c r="E45" s="48"/>
      <c r="F45" s="48" t="s">
        <v>53</v>
      </c>
      <c r="G45" s="48" t="s">
        <v>54</v>
      </c>
      <c r="H45" s="48"/>
      <c r="I45" s="48" t="s">
        <v>55</v>
      </c>
      <c r="J45" s="110">
        <v>1002760342291</v>
      </c>
      <c r="K45" s="62">
        <v>100000</v>
      </c>
      <c r="L45" s="63">
        <v>120000</v>
      </c>
      <c r="M45" s="67" t="s">
        <v>270</v>
      </c>
      <c r="N45" s="65"/>
      <c r="O45" s="66"/>
      <c r="P45" s="66"/>
      <c r="Q45" s="66"/>
      <c r="R45" s="66"/>
      <c r="S45" s="39"/>
    </row>
    <row r="46" spans="1:19" ht="20.100000000000001" customHeight="1" x14ac:dyDescent="0.3">
      <c r="A46" s="47">
        <v>46121</v>
      </c>
      <c r="B46" s="48" t="s">
        <v>45</v>
      </c>
      <c r="C46" s="48" t="s">
        <v>47</v>
      </c>
      <c r="D46" s="48" t="s">
        <v>48</v>
      </c>
      <c r="E46" s="48"/>
      <c r="F46" s="48" t="s">
        <v>53</v>
      </c>
      <c r="G46" s="48" t="s">
        <v>54</v>
      </c>
      <c r="H46" s="48"/>
      <c r="I46" s="48" t="s">
        <v>55</v>
      </c>
      <c r="J46" s="110">
        <v>1002760342291</v>
      </c>
      <c r="K46" s="62">
        <v>100000</v>
      </c>
      <c r="L46" s="63">
        <v>120000</v>
      </c>
      <c r="M46" s="67" t="s">
        <v>270</v>
      </c>
      <c r="N46" s="65"/>
      <c r="S46" s="39"/>
    </row>
    <row r="47" spans="1:19" ht="20.100000000000001" customHeight="1" x14ac:dyDescent="0.3">
      <c r="A47" s="47">
        <v>46123</v>
      </c>
      <c r="B47" s="48" t="s">
        <v>45</v>
      </c>
      <c r="C47" s="48" t="s">
        <v>47</v>
      </c>
      <c r="D47" s="48" t="s">
        <v>48</v>
      </c>
      <c r="E47" s="48"/>
      <c r="F47" s="48" t="s">
        <v>53</v>
      </c>
      <c r="G47" s="48" t="s">
        <v>54</v>
      </c>
      <c r="H47" s="48"/>
      <c r="I47" s="48" t="s">
        <v>55</v>
      </c>
      <c r="J47" s="110">
        <v>1002760342291</v>
      </c>
      <c r="K47" s="62">
        <v>100000</v>
      </c>
      <c r="L47" s="63">
        <v>120000</v>
      </c>
      <c r="M47" s="67" t="s">
        <v>270</v>
      </c>
      <c r="N47" s="65"/>
      <c r="S47" s="39"/>
    </row>
    <row r="48" spans="1:19" ht="20.100000000000001" customHeight="1" x14ac:dyDescent="0.3">
      <c r="A48" s="47">
        <v>46124</v>
      </c>
      <c r="B48" s="48" t="s">
        <v>45</v>
      </c>
      <c r="C48" s="48" t="s">
        <v>47</v>
      </c>
      <c r="D48" s="48" t="s">
        <v>48</v>
      </c>
      <c r="E48" s="48"/>
      <c r="F48" s="48" t="s">
        <v>53</v>
      </c>
      <c r="G48" s="48" t="s">
        <v>54</v>
      </c>
      <c r="H48" s="48"/>
      <c r="I48" s="48" t="s">
        <v>55</v>
      </c>
      <c r="J48" s="110">
        <v>1002760342291</v>
      </c>
      <c r="K48" s="62">
        <v>100000</v>
      </c>
      <c r="L48" s="63">
        <v>120000</v>
      </c>
      <c r="M48" s="67" t="s">
        <v>270</v>
      </c>
      <c r="N48" s="65"/>
      <c r="S48" s="39"/>
    </row>
    <row r="49" spans="1:19" ht="20.100000000000001" customHeight="1" x14ac:dyDescent="0.3">
      <c r="A49" s="47">
        <v>46120</v>
      </c>
      <c r="B49" s="48" t="s">
        <v>45</v>
      </c>
      <c r="C49" s="48" t="s">
        <v>47</v>
      </c>
      <c r="D49" s="48" t="s">
        <v>48</v>
      </c>
      <c r="E49" s="48"/>
      <c r="F49" s="48" t="s">
        <v>56</v>
      </c>
      <c r="G49" s="48" t="s">
        <v>57</v>
      </c>
      <c r="H49" s="48"/>
      <c r="I49" s="48" t="s">
        <v>58</v>
      </c>
      <c r="J49" s="110" t="s">
        <v>59</v>
      </c>
      <c r="K49" s="62">
        <v>100000</v>
      </c>
      <c r="L49" s="63">
        <v>120000</v>
      </c>
      <c r="M49" s="67" t="s">
        <v>270</v>
      </c>
      <c r="N49" s="65"/>
      <c r="S49" s="39"/>
    </row>
    <row r="50" spans="1:19" ht="20.100000000000001" customHeight="1" x14ac:dyDescent="0.3">
      <c r="A50" s="47">
        <v>46121</v>
      </c>
      <c r="B50" s="48" t="s">
        <v>45</v>
      </c>
      <c r="C50" s="48" t="s">
        <v>47</v>
      </c>
      <c r="D50" s="48" t="s">
        <v>48</v>
      </c>
      <c r="E50" s="48"/>
      <c r="F50" s="48" t="s">
        <v>56</v>
      </c>
      <c r="G50" s="48" t="s">
        <v>57</v>
      </c>
      <c r="H50" s="48"/>
      <c r="I50" s="48" t="s">
        <v>58</v>
      </c>
      <c r="J50" s="110" t="s">
        <v>59</v>
      </c>
      <c r="K50" s="62">
        <v>100000</v>
      </c>
      <c r="L50" s="63">
        <v>120000</v>
      </c>
      <c r="M50" s="67" t="s">
        <v>270</v>
      </c>
      <c r="N50" s="65"/>
      <c r="S50" s="39"/>
    </row>
    <row r="51" spans="1:19" ht="20.100000000000001" customHeight="1" x14ac:dyDescent="0.3">
      <c r="A51" s="47">
        <v>46122</v>
      </c>
      <c r="B51" s="48" t="s">
        <v>45</v>
      </c>
      <c r="C51" s="48" t="s">
        <v>47</v>
      </c>
      <c r="D51" s="48" t="s">
        <v>48</v>
      </c>
      <c r="E51" s="48"/>
      <c r="F51" s="48" t="s">
        <v>56</v>
      </c>
      <c r="G51" s="48" t="s">
        <v>57</v>
      </c>
      <c r="H51" s="48"/>
      <c r="I51" s="48" t="s">
        <v>58</v>
      </c>
      <c r="J51" s="110" t="s">
        <v>59</v>
      </c>
      <c r="K51" s="62">
        <v>100000</v>
      </c>
      <c r="L51" s="63">
        <v>120000</v>
      </c>
      <c r="M51" s="67" t="s">
        <v>270</v>
      </c>
      <c r="N51" s="65"/>
      <c r="S51" s="39"/>
    </row>
    <row r="52" spans="1:19" ht="20.100000000000001" customHeight="1" x14ac:dyDescent="0.3">
      <c r="A52" s="47">
        <v>46123</v>
      </c>
      <c r="B52" s="48" t="s">
        <v>45</v>
      </c>
      <c r="C52" s="48" t="s">
        <v>47</v>
      </c>
      <c r="D52" s="48" t="s">
        <v>48</v>
      </c>
      <c r="E52" s="48"/>
      <c r="F52" s="48" t="s">
        <v>56</v>
      </c>
      <c r="G52" s="48" t="s">
        <v>57</v>
      </c>
      <c r="H52" s="48"/>
      <c r="I52" s="48" t="s">
        <v>58</v>
      </c>
      <c r="J52" s="110" t="s">
        <v>59</v>
      </c>
      <c r="K52" s="62">
        <v>100000</v>
      </c>
      <c r="L52" s="63">
        <v>120000</v>
      </c>
      <c r="M52" s="67" t="s">
        <v>270</v>
      </c>
      <c r="N52" s="65"/>
      <c r="S52" s="39"/>
    </row>
    <row r="53" spans="1:19" ht="20.100000000000001" customHeight="1" x14ac:dyDescent="0.3">
      <c r="A53" s="47">
        <v>46124</v>
      </c>
      <c r="B53" s="48" t="s">
        <v>45</v>
      </c>
      <c r="C53" s="48" t="s">
        <v>47</v>
      </c>
      <c r="D53" s="48" t="s">
        <v>48</v>
      </c>
      <c r="E53" s="48"/>
      <c r="F53" s="48" t="s">
        <v>56</v>
      </c>
      <c r="G53" s="48" t="s">
        <v>57</v>
      </c>
      <c r="H53" s="48"/>
      <c r="I53" s="48" t="s">
        <v>58</v>
      </c>
      <c r="J53" s="110" t="s">
        <v>59</v>
      </c>
      <c r="K53" s="62">
        <v>100000</v>
      </c>
      <c r="L53" s="63">
        <v>120000</v>
      </c>
      <c r="M53" s="67" t="s">
        <v>270</v>
      </c>
      <c r="N53" s="65"/>
      <c r="S53" s="39"/>
    </row>
    <row r="54" spans="1:19" ht="20.100000000000001" customHeight="1" x14ac:dyDescent="0.3">
      <c r="A54" s="47">
        <v>46118</v>
      </c>
      <c r="B54" s="48" t="s">
        <v>45</v>
      </c>
      <c r="C54" s="48" t="s">
        <v>47</v>
      </c>
      <c r="D54" s="48" t="s">
        <v>48</v>
      </c>
      <c r="E54" s="48"/>
      <c r="F54" s="48" t="s">
        <v>60</v>
      </c>
      <c r="G54" s="48" t="s">
        <v>61</v>
      </c>
      <c r="H54" s="48"/>
      <c r="I54" s="48" t="s">
        <v>62</v>
      </c>
      <c r="J54" s="110" t="s">
        <v>63</v>
      </c>
      <c r="K54" s="62">
        <v>100000</v>
      </c>
      <c r="L54" s="63">
        <v>120000</v>
      </c>
      <c r="M54" s="67" t="s">
        <v>270</v>
      </c>
      <c r="N54" s="114"/>
      <c r="S54" s="39"/>
    </row>
    <row r="55" spans="1:19" ht="20.100000000000001" customHeight="1" x14ac:dyDescent="0.3">
      <c r="A55" s="47">
        <v>46119</v>
      </c>
      <c r="B55" s="48" t="s">
        <v>45</v>
      </c>
      <c r="C55" s="48" t="s">
        <v>47</v>
      </c>
      <c r="D55" s="48" t="s">
        <v>48</v>
      </c>
      <c r="E55" s="48"/>
      <c r="F55" s="48" t="s">
        <v>60</v>
      </c>
      <c r="G55" s="48" t="s">
        <v>61</v>
      </c>
      <c r="H55" s="48"/>
      <c r="I55" s="48" t="s">
        <v>62</v>
      </c>
      <c r="J55" s="110" t="s">
        <v>63</v>
      </c>
      <c r="K55" s="62">
        <v>100000</v>
      </c>
      <c r="L55" s="63">
        <v>120000</v>
      </c>
      <c r="M55" s="67" t="s">
        <v>270</v>
      </c>
      <c r="N55" s="65"/>
      <c r="S55" s="39"/>
    </row>
    <row r="56" spans="1:19" ht="20.100000000000001" customHeight="1" x14ac:dyDescent="0.3">
      <c r="A56" s="47">
        <v>46120</v>
      </c>
      <c r="B56" s="48" t="s">
        <v>45</v>
      </c>
      <c r="C56" s="48" t="s">
        <v>47</v>
      </c>
      <c r="D56" s="48" t="s">
        <v>48</v>
      </c>
      <c r="E56" s="48"/>
      <c r="F56" s="48" t="s">
        <v>60</v>
      </c>
      <c r="G56" s="48" t="s">
        <v>61</v>
      </c>
      <c r="H56" s="48"/>
      <c r="I56" s="48" t="s">
        <v>62</v>
      </c>
      <c r="J56" s="110" t="s">
        <v>63</v>
      </c>
      <c r="K56" s="62">
        <v>100000</v>
      </c>
      <c r="L56" s="63">
        <v>120000</v>
      </c>
      <c r="M56" s="67" t="s">
        <v>270</v>
      </c>
      <c r="N56" s="114"/>
      <c r="S56" s="39"/>
    </row>
    <row r="57" spans="1:19" ht="20.100000000000001" customHeight="1" x14ac:dyDescent="0.3">
      <c r="A57" s="47">
        <v>46124</v>
      </c>
      <c r="B57" s="48" t="s">
        <v>45</v>
      </c>
      <c r="C57" s="48" t="s">
        <v>47</v>
      </c>
      <c r="D57" s="48" t="s">
        <v>48</v>
      </c>
      <c r="E57" s="48"/>
      <c r="F57" s="48" t="s">
        <v>60</v>
      </c>
      <c r="G57" s="48" t="s">
        <v>61</v>
      </c>
      <c r="H57" s="48"/>
      <c r="I57" s="48" t="s">
        <v>62</v>
      </c>
      <c r="J57" s="110" t="s">
        <v>63</v>
      </c>
      <c r="K57" s="62">
        <v>100000</v>
      </c>
      <c r="L57" s="63">
        <v>120000</v>
      </c>
      <c r="M57" s="67" t="s">
        <v>270</v>
      </c>
      <c r="N57" s="114"/>
      <c r="S57" s="39"/>
    </row>
    <row r="58" spans="1:19" ht="20.100000000000001" customHeight="1" x14ac:dyDescent="0.3">
      <c r="A58" s="47">
        <v>46118</v>
      </c>
      <c r="B58" s="48" t="s">
        <v>45</v>
      </c>
      <c r="C58" s="48" t="s">
        <v>47</v>
      </c>
      <c r="D58" s="48" t="s">
        <v>48</v>
      </c>
      <c r="E58" s="48"/>
      <c r="F58" s="48" t="s">
        <v>64</v>
      </c>
      <c r="G58" s="48" t="s">
        <v>65</v>
      </c>
      <c r="H58" s="48"/>
      <c r="I58" s="48" t="s">
        <v>58</v>
      </c>
      <c r="J58" s="110" t="s">
        <v>66</v>
      </c>
      <c r="K58" s="62">
        <v>100000</v>
      </c>
      <c r="L58" s="63">
        <v>120000</v>
      </c>
      <c r="M58" s="67" t="s">
        <v>270</v>
      </c>
      <c r="N58" s="65"/>
      <c r="S58" s="39"/>
    </row>
    <row r="59" spans="1:19" ht="20.100000000000001" customHeight="1" x14ac:dyDescent="0.3">
      <c r="A59" s="47">
        <v>46119</v>
      </c>
      <c r="B59" s="48" t="s">
        <v>45</v>
      </c>
      <c r="C59" s="48" t="s">
        <v>47</v>
      </c>
      <c r="D59" s="48" t="s">
        <v>48</v>
      </c>
      <c r="E59" s="48"/>
      <c r="F59" s="48" t="s">
        <v>64</v>
      </c>
      <c r="G59" s="48" t="s">
        <v>65</v>
      </c>
      <c r="H59" s="48"/>
      <c r="I59" s="48" t="s">
        <v>58</v>
      </c>
      <c r="J59" s="110" t="s">
        <v>66</v>
      </c>
      <c r="K59" s="62">
        <v>177500</v>
      </c>
      <c r="L59" s="63">
        <v>197500</v>
      </c>
      <c r="M59" s="67" t="s">
        <v>270</v>
      </c>
      <c r="N59" s="119" t="s">
        <v>217</v>
      </c>
      <c r="S59" s="39"/>
    </row>
    <row r="60" spans="1:19" ht="20.100000000000001" customHeight="1" x14ac:dyDescent="0.3">
      <c r="A60" s="47">
        <v>46120</v>
      </c>
      <c r="B60" s="48" t="s">
        <v>45</v>
      </c>
      <c r="C60" s="48" t="s">
        <v>47</v>
      </c>
      <c r="D60" s="48" t="s">
        <v>48</v>
      </c>
      <c r="E60" s="48"/>
      <c r="F60" s="48" t="s">
        <v>64</v>
      </c>
      <c r="G60" s="48" t="s">
        <v>65</v>
      </c>
      <c r="H60" s="48"/>
      <c r="I60" s="48" t="s">
        <v>58</v>
      </c>
      <c r="J60" s="110" t="s">
        <v>66</v>
      </c>
      <c r="K60" s="62">
        <v>100000</v>
      </c>
      <c r="L60" s="63">
        <v>120000</v>
      </c>
      <c r="M60" s="67" t="s">
        <v>270</v>
      </c>
      <c r="N60" s="65"/>
      <c r="S60" s="39"/>
    </row>
    <row r="61" spans="1:19" ht="20.100000000000001" customHeight="1" x14ac:dyDescent="0.3">
      <c r="A61" s="47">
        <v>46122</v>
      </c>
      <c r="B61" s="48" t="s">
        <v>45</v>
      </c>
      <c r="C61" s="48" t="s">
        <v>47</v>
      </c>
      <c r="D61" s="48" t="s">
        <v>48</v>
      </c>
      <c r="E61" s="48"/>
      <c r="F61" s="48" t="s">
        <v>64</v>
      </c>
      <c r="G61" s="48" t="s">
        <v>65</v>
      </c>
      <c r="H61" s="48"/>
      <c r="I61" s="48" t="s">
        <v>58</v>
      </c>
      <c r="J61" s="110" t="s">
        <v>66</v>
      </c>
      <c r="K61" s="62">
        <v>100000</v>
      </c>
      <c r="L61" s="63">
        <v>120000</v>
      </c>
      <c r="M61" s="67" t="s">
        <v>270</v>
      </c>
      <c r="N61" s="65"/>
      <c r="S61" s="39"/>
    </row>
    <row r="62" spans="1:19" ht="20.100000000000001" customHeight="1" x14ac:dyDescent="0.3">
      <c r="A62" s="47">
        <v>46123</v>
      </c>
      <c r="B62" s="48" t="s">
        <v>45</v>
      </c>
      <c r="C62" s="48" t="s">
        <v>47</v>
      </c>
      <c r="D62" s="48" t="s">
        <v>48</v>
      </c>
      <c r="E62" s="48"/>
      <c r="F62" s="48" t="s">
        <v>64</v>
      </c>
      <c r="G62" s="48" t="s">
        <v>65</v>
      </c>
      <c r="H62" s="48"/>
      <c r="I62" s="48" t="s">
        <v>58</v>
      </c>
      <c r="J62" s="110" t="s">
        <v>66</v>
      </c>
      <c r="K62" s="62">
        <v>100000</v>
      </c>
      <c r="L62" s="63">
        <v>120000</v>
      </c>
      <c r="M62" s="67" t="s">
        <v>270</v>
      </c>
      <c r="N62" s="65"/>
      <c r="S62" s="39"/>
    </row>
    <row r="63" spans="1:19" ht="20.100000000000001" customHeight="1" x14ac:dyDescent="0.3">
      <c r="A63" s="47">
        <v>46118</v>
      </c>
      <c r="B63" s="48" t="s">
        <v>45</v>
      </c>
      <c r="C63" s="48" t="s">
        <v>47</v>
      </c>
      <c r="D63" s="48" t="s">
        <v>48</v>
      </c>
      <c r="E63" s="48"/>
      <c r="F63" s="48" t="s">
        <v>67</v>
      </c>
      <c r="G63" s="48" t="s">
        <v>68</v>
      </c>
      <c r="H63" s="48"/>
      <c r="I63" s="48" t="s">
        <v>62</v>
      </c>
      <c r="J63" s="110" t="s">
        <v>69</v>
      </c>
      <c r="K63" s="62">
        <v>100000</v>
      </c>
      <c r="L63" s="63">
        <v>120000</v>
      </c>
      <c r="M63" s="67" t="s">
        <v>270</v>
      </c>
      <c r="N63" s="65"/>
      <c r="S63" s="39"/>
    </row>
    <row r="64" spans="1:19" ht="20.100000000000001" customHeight="1" x14ac:dyDescent="0.3">
      <c r="A64" s="47">
        <v>46121</v>
      </c>
      <c r="B64" s="48" t="s">
        <v>45</v>
      </c>
      <c r="C64" s="48" t="s">
        <v>47</v>
      </c>
      <c r="D64" s="48" t="s">
        <v>48</v>
      </c>
      <c r="E64" s="48"/>
      <c r="F64" s="48" t="s">
        <v>67</v>
      </c>
      <c r="G64" s="48" t="s">
        <v>68</v>
      </c>
      <c r="H64" s="48"/>
      <c r="I64" s="48" t="s">
        <v>62</v>
      </c>
      <c r="J64" s="110" t="s">
        <v>69</v>
      </c>
      <c r="K64" s="62">
        <v>100000</v>
      </c>
      <c r="L64" s="63">
        <v>120000</v>
      </c>
      <c r="M64" s="67" t="s">
        <v>270</v>
      </c>
      <c r="N64" s="65"/>
      <c r="S64" s="39"/>
    </row>
    <row r="65" spans="1:19" ht="20.100000000000001" customHeight="1" x14ac:dyDescent="0.3">
      <c r="A65" s="47">
        <v>46123</v>
      </c>
      <c r="B65" s="48" t="s">
        <v>45</v>
      </c>
      <c r="C65" s="48" t="s">
        <v>47</v>
      </c>
      <c r="D65" s="48" t="s">
        <v>48</v>
      </c>
      <c r="E65" s="48"/>
      <c r="F65" s="48" t="s">
        <v>67</v>
      </c>
      <c r="G65" s="48" t="s">
        <v>68</v>
      </c>
      <c r="H65" s="48"/>
      <c r="I65" s="48" t="s">
        <v>62</v>
      </c>
      <c r="J65" s="110" t="s">
        <v>69</v>
      </c>
      <c r="K65" s="62">
        <v>100000</v>
      </c>
      <c r="L65" s="63">
        <v>120000</v>
      </c>
      <c r="M65" s="67" t="s">
        <v>270</v>
      </c>
      <c r="N65" s="65"/>
      <c r="S65" s="39"/>
    </row>
    <row r="66" spans="1:19" ht="20.100000000000001" customHeight="1" x14ac:dyDescent="0.3">
      <c r="A66" s="47">
        <v>46124</v>
      </c>
      <c r="B66" s="48" t="s">
        <v>45</v>
      </c>
      <c r="C66" s="48" t="s">
        <v>47</v>
      </c>
      <c r="D66" s="48" t="s">
        <v>48</v>
      </c>
      <c r="E66" s="48"/>
      <c r="F66" s="48" t="s">
        <v>67</v>
      </c>
      <c r="G66" s="48" t="s">
        <v>68</v>
      </c>
      <c r="H66" s="48"/>
      <c r="I66" s="48" t="s">
        <v>62</v>
      </c>
      <c r="J66" s="110" t="s">
        <v>69</v>
      </c>
      <c r="K66" s="62">
        <v>100000</v>
      </c>
      <c r="L66" s="63">
        <v>120000</v>
      </c>
      <c r="M66" s="67" t="s">
        <v>270</v>
      </c>
      <c r="N66" s="65"/>
      <c r="S66" s="39"/>
    </row>
    <row r="67" spans="1:19" ht="20.100000000000001" customHeight="1" x14ac:dyDescent="0.3">
      <c r="A67" s="47">
        <v>46118</v>
      </c>
      <c r="B67" s="48" t="s">
        <v>45</v>
      </c>
      <c r="C67" s="48" t="s">
        <v>47</v>
      </c>
      <c r="D67" s="48" t="s">
        <v>48</v>
      </c>
      <c r="E67" s="48"/>
      <c r="F67" s="48" t="s">
        <v>70</v>
      </c>
      <c r="G67" s="48" t="s">
        <v>71</v>
      </c>
      <c r="H67" s="48"/>
      <c r="I67" s="48" t="s">
        <v>72</v>
      </c>
      <c r="J67" s="110" t="s">
        <v>73</v>
      </c>
      <c r="K67" s="62">
        <v>100000</v>
      </c>
      <c r="L67" s="63">
        <v>120000</v>
      </c>
      <c r="M67" s="67" t="s">
        <v>270</v>
      </c>
      <c r="N67" s="65"/>
      <c r="S67" s="39"/>
    </row>
    <row r="68" spans="1:19" ht="20.100000000000001" customHeight="1" x14ac:dyDescent="0.3">
      <c r="A68" s="47">
        <v>46120</v>
      </c>
      <c r="B68" s="48" t="s">
        <v>45</v>
      </c>
      <c r="C68" s="48" t="s">
        <v>47</v>
      </c>
      <c r="D68" s="48" t="s">
        <v>48</v>
      </c>
      <c r="E68" s="48"/>
      <c r="F68" s="48" t="s">
        <v>70</v>
      </c>
      <c r="G68" s="48" t="s">
        <v>71</v>
      </c>
      <c r="H68" s="48"/>
      <c r="I68" s="48" t="s">
        <v>72</v>
      </c>
      <c r="J68" s="110" t="s">
        <v>73</v>
      </c>
      <c r="K68" s="62">
        <v>100000</v>
      </c>
      <c r="L68" s="63">
        <v>120000</v>
      </c>
      <c r="M68" s="67" t="s">
        <v>270</v>
      </c>
      <c r="N68" s="65"/>
      <c r="S68" s="39"/>
    </row>
    <row r="69" spans="1:19" ht="20.100000000000001" customHeight="1" x14ac:dyDescent="0.3">
      <c r="A69" s="47">
        <v>46121</v>
      </c>
      <c r="B69" s="48" t="s">
        <v>45</v>
      </c>
      <c r="C69" s="48" t="s">
        <v>47</v>
      </c>
      <c r="D69" s="48" t="s">
        <v>48</v>
      </c>
      <c r="E69" s="48"/>
      <c r="F69" s="48" t="s">
        <v>70</v>
      </c>
      <c r="G69" s="48" t="s">
        <v>71</v>
      </c>
      <c r="H69" s="48"/>
      <c r="I69" s="48" t="s">
        <v>72</v>
      </c>
      <c r="J69" s="110" t="s">
        <v>73</v>
      </c>
      <c r="K69" s="62">
        <v>100000</v>
      </c>
      <c r="L69" s="63">
        <v>120000</v>
      </c>
      <c r="M69" s="67" t="s">
        <v>270</v>
      </c>
      <c r="N69" s="65"/>
      <c r="S69" s="39"/>
    </row>
    <row r="70" spans="1:19" ht="20.100000000000001" customHeight="1" x14ac:dyDescent="0.3">
      <c r="A70" s="47">
        <v>46122</v>
      </c>
      <c r="B70" s="48" t="s">
        <v>45</v>
      </c>
      <c r="C70" s="48" t="s">
        <v>47</v>
      </c>
      <c r="D70" s="48" t="s">
        <v>48</v>
      </c>
      <c r="E70" s="48"/>
      <c r="F70" s="48" t="s">
        <v>70</v>
      </c>
      <c r="G70" s="48" t="s">
        <v>71</v>
      </c>
      <c r="H70" s="48"/>
      <c r="I70" s="48" t="s">
        <v>72</v>
      </c>
      <c r="J70" s="110" t="s">
        <v>73</v>
      </c>
      <c r="K70" s="62">
        <v>100000</v>
      </c>
      <c r="L70" s="63">
        <v>120000</v>
      </c>
      <c r="M70" s="67" t="s">
        <v>270</v>
      </c>
      <c r="N70" s="65"/>
      <c r="S70" s="39"/>
    </row>
    <row r="71" spans="1:19" ht="20.100000000000001" customHeight="1" x14ac:dyDescent="0.3">
      <c r="A71" s="47">
        <v>46123</v>
      </c>
      <c r="B71" s="48" t="s">
        <v>45</v>
      </c>
      <c r="C71" s="48" t="s">
        <v>47</v>
      </c>
      <c r="D71" s="48" t="s">
        <v>48</v>
      </c>
      <c r="E71" s="48"/>
      <c r="F71" s="48" t="s">
        <v>70</v>
      </c>
      <c r="G71" s="48" t="s">
        <v>71</v>
      </c>
      <c r="H71" s="48"/>
      <c r="I71" s="48" t="s">
        <v>72</v>
      </c>
      <c r="J71" s="110" t="s">
        <v>73</v>
      </c>
      <c r="K71" s="62">
        <v>100000</v>
      </c>
      <c r="L71" s="63">
        <v>120000</v>
      </c>
      <c r="M71" s="67" t="s">
        <v>270</v>
      </c>
      <c r="N71" s="65"/>
      <c r="S71" s="39"/>
    </row>
    <row r="72" spans="1:19" ht="20.100000000000001" customHeight="1" x14ac:dyDescent="0.3">
      <c r="A72" s="47">
        <v>46124</v>
      </c>
      <c r="B72" s="48" t="s">
        <v>45</v>
      </c>
      <c r="C72" s="48" t="s">
        <v>47</v>
      </c>
      <c r="D72" s="48" t="s">
        <v>48</v>
      </c>
      <c r="E72" s="48"/>
      <c r="F72" s="48" t="s">
        <v>70</v>
      </c>
      <c r="G72" s="48" t="s">
        <v>71</v>
      </c>
      <c r="H72" s="48"/>
      <c r="I72" s="48" t="s">
        <v>72</v>
      </c>
      <c r="J72" s="110" t="s">
        <v>73</v>
      </c>
      <c r="K72" s="62">
        <v>100000</v>
      </c>
      <c r="L72" s="63">
        <v>120000</v>
      </c>
      <c r="M72" s="67" t="s">
        <v>270</v>
      </c>
      <c r="N72" s="65"/>
      <c r="S72" s="39"/>
    </row>
    <row r="73" spans="1:19" ht="20.100000000000001" customHeight="1" x14ac:dyDescent="0.3">
      <c r="A73" s="47">
        <v>46123</v>
      </c>
      <c r="B73" s="48" t="s">
        <v>45</v>
      </c>
      <c r="C73" s="48" t="s">
        <v>47</v>
      </c>
      <c r="D73" s="48" t="s">
        <v>48</v>
      </c>
      <c r="E73" s="48"/>
      <c r="F73" s="48" t="s">
        <v>75</v>
      </c>
      <c r="G73" s="48"/>
      <c r="H73" s="48"/>
      <c r="I73" s="48" t="s">
        <v>76</v>
      </c>
      <c r="J73" s="110" t="s">
        <v>77</v>
      </c>
      <c r="K73" s="62">
        <v>100000</v>
      </c>
      <c r="L73" s="63">
        <v>120000</v>
      </c>
      <c r="M73" s="67" t="s">
        <v>270</v>
      </c>
      <c r="N73" s="65"/>
      <c r="S73" s="39"/>
    </row>
    <row r="74" spans="1:19" ht="20.100000000000001" customHeight="1" x14ac:dyDescent="0.3">
      <c r="A74" s="47">
        <v>46124</v>
      </c>
      <c r="B74" s="48" t="s">
        <v>45</v>
      </c>
      <c r="C74" s="48" t="s">
        <v>47</v>
      </c>
      <c r="D74" s="48" t="s">
        <v>48</v>
      </c>
      <c r="E74" s="48"/>
      <c r="F74" s="48" t="s">
        <v>75</v>
      </c>
      <c r="G74" s="48"/>
      <c r="H74" s="48"/>
      <c r="I74" s="48" t="s">
        <v>76</v>
      </c>
      <c r="J74" s="110" t="s">
        <v>77</v>
      </c>
      <c r="K74" s="62">
        <v>100000</v>
      </c>
      <c r="L74" s="63">
        <v>120000</v>
      </c>
      <c r="M74" s="67" t="s">
        <v>270</v>
      </c>
      <c r="N74" s="65"/>
      <c r="S74" s="39"/>
    </row>
    <row r="75" spans="1:19" ht="20.100000000000001" customHeight="1" x14ac:dyDescent="0.3">
      <c r="A75" s="47">
        <v>46124</v>
      </c>
      <c r="B75" s="48" t="s">
        <v>45</v>
      </c>
      <c r="C75" s="48" t="s">
        <v>47</v>
      </c>
      <c r="D75" s="48" t="s">
        <v>48</v>
      </c>
      <c r="E75" s="48"/>
      <c r="F75" s="48" t="s">
        <v>80</v>
      </c>
      <c r="G75" s="48" t="s">
        <v>81</v>
      </c>
      <c r="H75" s="48"/>
      <c r="I75" s="48" t="s">
        <v>62</v>
      </c>
      <c r="J75" s="110">
        <v>9500021279810</v>
      </c>
      <c r="K75" s="62">
        <v>100000</v>
      </c>
      <c r="L75" s="63">
        <v>120000</v>
      </c>
      <c r="M75" s="67" t="s">
        <v>270</v>
      </c>
      <c r="N75" s="65"/>
      <c r="S75" s="39"/>
    </row>
    <row r="76" spans="1:19" ht="20.100000000000001" customHeight="1" x14ac:dyDescent="0.3">
      <c r="A76" s="47">
        <v>46118</v>
      </c>
      <c r="B76" s="48" t="s">
        <v>45</v>
      </c>
      <c r="C76" s="48" t="s">
        <v>47</v>
      </c>
      <c r="D76" s="48" t="s">
        <v>48</v>
      </c>
      <c r="E76" s="48"/>
      <c r="F76" s="48" t="s">
        <v>74</v>
      </c>
      <c r="G76" s="48"/>
      <c r="H76" s="48"/>
      <c r="I76" s="48" t="s">
        <v>72</v>
      </c>
      <c r="J76" s="110" t="s">
        <v>73</v>
      </c>
      <c r="K76" s="62">
        <v>100000</v>
      </c>
      <c r="L76" s="63">
        <v>120000</v>
      </c>
      <c r="M76" s="67" t="s">
        <v>270</v>
      </c>
      <c r="N76" s="65"/>
      <c r="S76" s="39"/>
    </row>
    <row r="77" spans="1:19" ht="20.100000000000001" customHeight="1" x14ac:dyDescent="0.3">
      <c r="A77" s="47">
        <v>46122</v>
      </c>
      <c r="B77" s="48" t="s">
        <v>45</v>
      </c>
      <c r="C77" s="48" t="s">
        <v>47</v>
      </c>
      <c r="D77" s="48" t="s">
        <v>48</v>
      </c>
      <c r="E77" s="48"/>
      <c r="F77" s="48" t="s">
        <v>74</v>
      </c>
      <c r="G77" s="48"/>
      <c r="H77" s="48"/>
      <c r="I77" s="48" t="s">
        <v>72</v>
      </c>
      <c r="J77" s="110" t="s">
        <v>73</v>
      </c>
      <c r="K77" s="62">
        <v>100000</v>
      </c>
      <c r="L77" s="63">
        <v>120000</v>
      </c>
      <c r="M77" s="67" t="s">
        <v>270</v>
      </c>
      <c r="N77" s="65"/>
      <c r="S77" s="39"/>
    </row>
    <row r="78" spans="1:19" ht="20.100000000000001" customHeight="1" x14ac:dyDescent="0.3">
      <c r="A78" s="47">
        <v>46123</v>
      </c>
      <c r="B78" s="48" t="s">
        <v>45</v>
      </c>
      <c r="C78" s="48" t="s">
        <v>47</v>
      </c>
      <c r="D78" s="48" t="s">
        <v>48</v>
      </c>
      <c r="E78" s="48"/>
      <c r="F78" s="48" t="s">
        <v>74</v>
      </c>
      <c r="G78" s="48"/>
      <c r="H78" s="48"/>
      <c r="I78" s="48" t="s">
        <v>72</v>
      </c>
      <c r="J78" s="110" t="s">
        <v>73</v>
      </c>
      <c r="K78" s="62">
        <v>100000</v>
      </c>
      <c r="L78" s="63">
        <v>120000</v>
      </c>
      <c r="M78" s="67" t="s">
        <v>270</v>
      </c>
      <c r="N78" s="65"/>
      <c r="S78" s="39"/>
    </row>
    <row r="79" spans="1:19" ht="20.100000000000001" customHeight="1" x14ac:dyDescent="0.3">
      <c r="A79" s="47">
        <v>46124</v>
      </c>
      <c r="B79" s="48" t="s">
        <v>45</v>
      </c>
      <c r="C79" s="48" t="s">
        <v>47</v>
      </c>
      <c r="D79" s="48" t="s">
        <v>48</v>
      </c>
      <c r="E79" s="48"/>
      <c r="F79" s="48" t="s">
        <v>74</v>
      </c>
      <c r="G79" s="48"/>
      <c r="H79" s="48"/>
      <c r="I79" s="48" t="s">
        <v>72</v>
      </c>
      <c r="J79" s="110" t="s">
        <v>73</v>
      </c>
      <c r="K79" s="62">
        <v>100000</v>
      </c>
      <c r="L79" s="63">
        <v>120000</v>
      </c>
      <c r="M79" s="67" t="s">
        <v>270</v>
      </c>
      <c r="N79" s="65"/>
      <c r="S79" s="39"/>
    </row>
    <row r="80" spans="1:19" ht="20.100000000000001" customHeight="1" x14ac:dyDescent="0.3">
      <c r="A80" s="47">
        <v>46118</v>
      </c>
      <c r="B80" s="48" t="s">
        <v>45</v>
      </c>
      <c r="C80" s="48" t="s">
        <v>47</v>
      </c>
      <c r="D80" s="48" t="s">
        <v>48</v>
      </c>
      <c r="E80" s="48"/>
      <c r="F80" s="48" t="s">
        <v>78</v>
      </c>
      <c r="G80" s="48"/>
      <c r="H80" s="48"/>
      <c r="I80" s="48" t="s">
        <v>55</v>
      </c>
      <c r="J80" s="110" t="s">
        <v>79</v>
      </c>
      <c r="K80" s="62">
        <v>100000</v>
      </c>
      <c r="L80" s="63">
        <v>120000</v>
      </c>
      <c r="M80" s="67" t="s">
        <v>270</v>
      </c>
      <c r="N80" s="65"/>
      <c r="S80" s="39"/>
    </row>
    <row r="81" spans="1:19" ht="20.100000000000001" customHeight="1" x14ac:dyDescent="0.3">
      <c r="A81" s="47">
        <v>46125</v>
      </c>
      <c r="B81" s="48" t="s">
        <v>45</v>
      </c>
      <c r="C81" s="48" t="s">
        <v>47</v>
      </c>
      <c r="D81" s="48" t="s">
        <v>48</v>
      </c>
      <c r="E81" s="48"/>
      <c r="F81" s="48" t="s">
        <v>49</v>
      </c>
      <c r="G81" s="48" t="s">
        <v>50</v>
      </c>
      <c r="H81" s="48"/>
      <c r="I81" s="48" t="s">
        <v>51</v>
      </c>
      <c r="J81" s="110" t="s">
        <v>52</v>
      </c>
      <c r="K81" s="62">
        <v>100000</v>
      </c>
      <c r="L81" s="63">
        <v>120000</v>
      </c>
      <c r="M81" s="134" t="s">
        <v>271</v>
      </c>
      <c r="N81" s="65"/>
      <c r="S81" s="39"/>
    </row>
    <row r="82" spans="1:19" ht="20.100000000000001" customHeight="1" x14ac:dyDescent="0.3">
      <c r="A82" s="47">
        <v>46126</v>
      </c>
      <c r="B82" s="48" t="s">
        <v>45</v>
      </c>
      <c r="C82" s="48" t="s">
        <v>47</v>
      </c>
      <c r="D82" s="48" t="s">
        <v>48</v>
      </c>
      <c r="E82" s="48"/>
      <c r="F82" s="48" t="s">
        <v>49</v>
      </c>
      <c r="G82" s="48" t="s">
        <v>50</v>
      </c>
      <c r="H82" s="48"/>
      <c r="I82" s="48" t="s">
        <v>51</v>
      </c>
      <c r="J82" s="110" t="s">
        <v>52</v>
      </c>
      <c r="K82" s="62">
        <v>100000</v>
      </c>
      <c r="L82" s="63">
        <v>120000</v>
      </c>
      <c r="M82" s="134" t="s">
        <v>271</v>
      </c>
      <c r="N82" s="65"/>
      <c r="S82" s="39"/>
    </row>
    <row r="83" spans="1:19" ht="20.100000000000001" customHeight="1" x14ac:dyDescent="0.3">
      <c r="A83" s="47">
        <v>46127</v>
      </c>
      <c r="B83" s="48" t="s">
        <v>45</v>
      </c>
      <c r="C83" s="48" t="s">
        <v>47</v>
      </c>
      <c r="D83" s="48" t="s">
        <v>48</v>
      </c>
      <c r="E83" s="48"/>
      <c r="F83" s="48" t="s">
        <v>49</v>
      </c>
      <c r="G83" s="48" t="s">
        <v>50</v>
      </c>
      <c r="H83" s="48"/>
      <c r="I83" s="48" t="s">
        <v>51</v>
      </c>
      <c r="J83" s="110" t="s">
        <v>52</v>
      </c>
      <c r="K83" s="62">
        <v>100000</v>
      </c>
      <c r="L83" s="63">
        <v>120000</v>
      </c>
      <c r="M83" s="134" t="s">
        <v>271</v>
      </c>
      <c r="N83" s="65"/>
      <c r="S83" s="39"/>
    </row>
    <row r="84" spans="1:19" ht="20.100000000000001" customHeight="1" x14ac:dyDescent="0.3">
      <c r="A84" s="47">
        <v>46128</v>
      </c>
      <c r="B84" s="48" t="s">
        <v>45</v>
      </c>
      <c r="C84" s="48" t="s">
        <v>47</v>
      </c>
      <c r="D84" s="48" t="s">
        <v>48</v>
      </c>
      <c r="E84" s="48"/>
      <c r="F84" s="48" t="s">
        <v>49</v>
      </c>
      <c r="G84" s="48" t="s">
        <v>50</v>
      </c>
      <c r="H84" s="48"/>
      <c r="I84" s="48" t="s">
        <v>51</v>
      </c>
      <c r="J84" s="110" t="s">
        <v>52</v>
      </c>
      <c r="K84" s="62">
        <v>100000</v>
      </c>
      <c r="L84" s="63">
        <v>120000</v>
      </c>
      <c r="M84" s="134" t="s">
        <v>271</v>
      </c>
      <c r="N84" s="65"/>
      <c r="S84" s="39"/>
    </row>
    <row r="85" spans="1:19" ht="20.100000000000001" customHeight="1" x14ac:dyDescent="0.3">
      <c r="A85" s="47">
        <v>46129</v>
      </c>
      <c r="B85" s="48" t="s">
        <v>45</v>
      </c>
      <c r="C85" s="48" t="s">
        <v>47</v>
      </c>
      <c r="D85" s="48" t="s">
        <v>48</v>
      </c>
      <c r="E85" s="48"/>
      <c r="F85" s="48" t="s">
        <v>49</v>
      </c>
      <c r="G85" s="48" t="s">
        <v>50</v>
      </c>
      <c r="H85" s="48"/>
      <c r="I85" s="48" t="s">
        <v>51</v>
      </c>
      <c r="J85" s="110" t="s">
        <v>52</v>
      </c>
      <c r="K85" s="62">
        <v>100000</v>
      </c>
      <c r="L85" s="63">
        <v>120000</v>
      </c>
      <c r="M85" s="134" t="s">
        <v>271</v>
      </c>
      <c r="N85" s="65"/>
      <c r="S85" s="39"/>
    </row>
    <row r="86" spans="1:19" ht="20.100000000000001" customHeight="1" x14ac:dyDescent="0.3">
      <c r="A86" s="47">
        <v>46125</v>
      </c>
      <c r="B86" s="48" t="s">
        <v>45</v>
      </c>
      <c r="C86" s="48" t="s">
        <v>47</v>
      </c>
      <c r="D86" s="48" t="s">
        <v>48</v>
      </c>
      <c r="E86" s="48"/>
      <c r="F86" s="48" t="s">
        <v>53</v>
      </c>
      <c r="G86" s="48" t="s">
        <v>54</v>
      </c>
      <c r="H86" s="48"/>
      <c r="I86" s="48" t="s">
        <v>55</v>
      </c>
      <c r="J86" s="110">
        <v>1002760342291</v>
      </c>
      <c r="K86" s="62">
        <v>100000</v>
      </c>
      <c r="L86" s="63">
        <v>120000</v>
      </c>
      <c r="M86" s="134" t="s">
        <v>271</v>
      </c>
      <c r="N86" s="65"/>
      <c r="S86" s="39"/>
    </row>
    <row r="87" spans="1:19" ht="20.100000000000001" customHeight="1" x14ac:dyDescent="0.3">
      <c r="A87" s="47">
        <v>46126</v>
      </c>
      <c r="B87" s="48" t="s">
        <v>45</v>
      </c>
      <c r="C87" s="48" t="s">
        <v>47</v>
      </c>
      <c r="D87" s="48" t="s">
        <v>48</v>
      </c>
      <c r="E87" s="48"/>
      <c r="F87" s="48" t="s">
        <v>53</v>
      </c>
      <c r="G87" s="48" t="s">
        <v>54</v>
      </c>
      <c r="H87" s="48"/>
      <c r="I87" s="48" t="s">
        <v>55</v>
      </c>
      <c r="J87" s="110">
        <v>1002760342291</v>
      </c>
      <c r="K87" s="62">
        <v>100000</v>
      </c>
      <c r="L87" s="63">
        <v>120000</v>
      </c>
      <c r="M87" s="134" t="s">
        <v>271</v>
      </c>
      <c r="N87" s="65"/>
      <c r="S87" s="39"/>
    </row>
    <row r="88" spans="1:19" ht="20.100000000000001" customHeight="1" x14ac:dyDescent="0.3">
      <c r="A88" s="47">
        <v>46127</v>
      </c>
      <c r="B88" s="48" t="s">
        <v>45</v>
      </c>
      <c r="C88" s="48" t="s">
        <v>47</v>
      </c>
      <c r="D88" s="48" t="s">
        <v>48</v>
      </c>
      <c r="E88" s="48"/>
      <c r="F88" s="48" t="s">
        <v>53</v>
      </c>
      <c r="G88" s="48" t="s">
        <v>54</v>
      </c>
      <c r="H88" s="48"/>
      <c r="I88" s="48" t="s">
        <v>55</v>
      </c>
      <c r="J88" s="110">
        <v>1002760342291</v>
      </c>
      <c r="K88" s="62">
        <v>100000</v>
      </c>
      <c r="L88" s="63">
        <v>120000</v>
      </c>
      <c r="M88" s="134" t="s">
        <v>271</v>
      </c>
      <c r="N88" s="65"/>
      <c r="S88" s="39"/>
    </row>
    <row r="89" spans="1:19" ht="20.100000000000001" customHeight="1" x14ac:dyDescent="0.3">
      <c r="A89" s="47">
        <v>46128</v>
      </c>
      <c r="B89" s="48" t="s">
        <v>45</v>
      </c>
      <c r="C89" s="48" t="s">
        <v>47</v>
      </c>
      <c r="D89" s="48" t="s">
        <v>48</v>
      </c>
      <c r="E89" s="48"/>
      <c r="F89" s="48" t="s">
        <v>53</v>
      </c>
      <c r="G89" s="48" t="s">
        <v>54</v>
      </c>
      <c r="H89" s="48"/>
      <c r="I89" s="48" t="s">
        <v>55</v>
      </c>
      <c r="J89" s="110">
        <v>1002760342291</v>
      </c>
      <c r="K89" s="62">
        <v>100000</v>
      </c>
      <c r="L89" s="63">
        <v>120000</v>
      </c>
      <c r="M89" s="134" t="s">
        <v>271</v>
      </c>
      <c r="N89" s="65"/>
      <c r="S89" s="39"/>
    </row>
    <row r="90" spans="1:19" ht="20.100000000000001" customHeight="1" x14ac:dyDescent="0.3">
      <c r="A90" s="47">
        <v>46130</v>
      </c>
      <c r="B90" s="48" t="s">
        <v>45</v>
      </c>
      <c r="C90" s="48" t="s">
        <v>47</v>
      </c>
      <c r="D90" s="48" t="s">
        <v>48</v>
      </c>
      <c r="E90" s="48"/>
      <c r="F90" s="48" t="s">
        <v>53</v>
      </c>
      <c r="G90" s="48" t="s">
        <v>54</v>
      </c>
      <c r="H90" s="48"/>
      <c r="I90" s="48" t="s">
        <v>55</v>
      </c>
      <c r="J90" s="110">
        <v>1002760342291</v>
      </c>
      <c r="K90" s="62">
        <v>100000</v>
      </c>
      <c r="L90" s="63">
        <v>120000</v>
      </c>
      <c r="M90" s="134" t="s">
        <v>271</v>
      </c>
      <c r="N90" s="65"/>
      <c r="S90" s="39"/>
    </row>
    <row r="91" spans="1:19" ht="20.100000000000001" customHeight="1" x14ac:dyDescent="0.3">
      <c r="A91" s="47">
        <v>46131</v>
      </c>
      <c r="B91" s="48" t="s">
        <v>45</v>
      </c>
      <c r="C91" s="48" t="s">
        <v>47</v>
      </c>
      <c r="D91" s="48" t="s">
        <v>48</v>
      </c>
      <c r="E91" s="48"/>
      <c r="F91" s="48" t="s">
        <v>53</v>
      </c>
      <c r="G91" s="48" t="s">
        <v>54</v>
      </c>
      <c r="H91" s="48"/>
      <c r="I91" s="48" t="s">
        <v>55</v>
      </c>
      <c r="J91" s="110">
        <v>1002760342291</v>
      </c>
      <c r="K91" s="62">
        <v>100000</v>
      </c>
      <c r="L91" s="63">
        <v>120000</v>
      </c>
      <c r="M91" s="134" t="s">
        <v>271</v>
      </c>
      <c r="N91" s="65"/>
      <c r="S91" s="39"/>
    </row>
    <row r="92" spans="1:19" ht="20.100000000000001" customHeight="1" x14ac:dyDescent="0.3">
      <c r="A92" s="47">
        <v>46127</v>
      </c>
      <c r="B92" s="48" t="s">
        <v>45</v>
      </c>
      <c r="C92" s="48" t="s">
        <v>47</v>
      </c>
      <c r="D92" s="48" t="s">
        <v>48</v>
      </c>
      <c r="E92" s="48"/>
      <c r="F92" s="48" t="s">
        <v>56</v>
      </c>
      <c r="G92" s="48" t="s">
        <v>57</v>
      </c>
      <c r="H92" s="48"/>
      <c r="I92" s="48" t="s">
        <v>58</v>
      </c>
      <c r="J92" s="110" t="s">
        <v>59</v>
      </c>
      <c r="K92" s="62">
        <v>100000</v>
      </c>
      <c r="L92" s="63">
        <v>120000</v>
      </c>
      <c r="M92" s="134" t="s">
        <v>271</v>
      </c>
      <c r="N92" s="65"/>
      <c r="S92" s="39"/>
    </row>
    <row r="93" spans="1:19" ht="20.100000000000001" customHeight="1" x14ac:dyDescent="0.3">
      <c r="A93" s="47">
        <v>46128</v>
      </c>
      <c r="B93" s="48" t="s">
        <v>45</v>
      </c>
      <c r="C93" s="48" t="s">
        <v>47</v>
      </c>
      <c r="D93" s="48" t="s">
        <v>48</v>
      </c>
      <c r="E93" s="48"/>
      <c r="F93" s="48" t="s">
        <v>56</v>
      </c>
      <c r="G93" s="48" t="s">
        <v>57</v>
      </c>
      <c r="H93" s="48"/>
      <c r="I93" s="48" t="s">
        <v>58</v>
      </c>
      <c r="J93" s="110" t="s">
        <v>59</v>
      </c>
      <c r="K93" s="62">
        <v>100000</v>
      </c>
      <c r="L93" s="63">
        <v>120000</v>
      </c>
      <c r="M93" s="134" t="s">
        <v>271</v>
      </c>
      <c r="N93" s="65"/>
      <c r="S93" s="39"/>
    </row>
    <row r="94" spans="1:19" ht="20.100000000000001" customHeight="1" x14ac:dyDescent="0.3">
      <c r="A94" s="47">
        <v>46129</v>
      </c>
      <c r="B94" s="48" t="s">
        <v>45</v>
      </c>
      <c r="C94" s="48" t="s">
        <v>47</v>
      </c>
      <c r="D94" s="48" t="s">
        <v>48</v>
      </c>
      <c r="E94" s="48"/>
      <c r="F94" s="48" t="s">
        <v>56</v>
      </c>
      <c r="G94" s="48" t="s">
        <v>57</v>
      </c>
      <c r="H94" s="48"/>
      <c r="I94" s="48" t="s">
        <v>58</v>
      </c>
      <c r="J94" s="110" t="s">
        <v>59</v>
      </c>
      <c r="K94" s="62">
        <v>100000</v>
      </c>
      <c r="L94" s="63">
        <v>120000</v>
      </c>
      <c r="M94" s="134" t="s">
        <v>271</v>
      </c>
      <c r="N94" s="65"/>
      <c r="S94" s="39"/>
    </row>
    <row r="95" spans="1:19" ht="20.100000000000001" customHeight="1" x14ac:dyDescent="0.3">
      <c r="A95" s="47">
        <v>46130</v>
      </c>
      <c r="B95" s="48" t="s">
        <v>45</v>
      </c>
      <c r="C95" s="48" t="s">
        <v>47</v>
      </c>
      <c r="D95" s="48" t="s">
        <v>48</v>
      </c>
      <c r="E95" s="48"/>
      <c r="F95" s="48" t="s">
        <v>56</v>
      </c>
      <c r="G95" s="48" t="s">
        <v>57</v>
      </c>
      <c r="H95" s="48"/>
      <c r="I95" s="48" t="s">
        <v>58</v>
      </c>
      <c r="J95" s="110" t="s">
        <v>59</v>
      </c>
      <c r="K95" s="62">
        <v>100000</v>
      </c>
      <c r="L95" s="63">
        <v>120000</v>
      </c>
      <c r="M95" s="134" t="s">
        <v>271</v>
      </c>
      <c r="N95" s="65"/>
      <c r="S95" s="39"/>
    </row>
    <row r="96" spans="1:19" ht="20.100000000000001" customHeight="1" x14ac:dyDescent="0.3">
      <c r="A96" s="47">
        <v>46131</v>
      </c>
      <c r="B96" s="48" t="s">
        <v>45</v>
      </c>
      <c r="C96" s="48" t="s">
        <v>47</v>
      </c>
      <c r="D96" s="48" t="s">
        <v>48</v>
      </c>
      <c r="E96" s="48"/>
      <c r="F96" s="48" t="s">
        <v>56</v>
      </c>
      <c r="G96" s="48" t="s">
        <v>57</v>
      </c>
      <c r="H96" s="48"/>
      <c r="I96" s="48" t="s">
        <v>58</v>
      </c>
      <c r="J96" s="110" t="s">
        <v>59</v>
      </c>
      <c r="K96" s="62">
        <v>100000</v>
      </c>
      <c r="L96" s="63">
        <v>120000</v>
      </c>
      <c r="M96" s="134" t="s">
        <v>271</v>
      </c>
      <c r="N96" s="65"/>
      <c r="S96" s="39"/>
    </row>
    <row r="97" spans="1:19" ht="20.100000000000001" customHeight="1" x14ac:dyDescent="0.3">
      <c r="A97" s="47">
        <v>46128</v>
      </c>
      <c r="B97" s="48" t="s">
        <v>45</v>
      </c>
      <c r="C97" s="48" t="s">
        <v>47</v>
      </c>
      <c r="D97" s="48" t="s">
        <v>48</v>
      </c>
      <c r="E97" s="48"/>
      <c r="F97" s="48" t="s">
        <v>60</v>
      </c>
      <c r="G97" s="48" t="s">
        <v>61</v>
      </c>
      <c r="H97" s="48"/>
      <c r="I97" s="48" t="s">
        <v>62</v>
      </c>
      <c r="J97" s="110" t="s">
        <v>63</v>
      </c>
      <c r="K97" s="62">
        <v>177500</v>
      </c>
      <c r="L97" s="63">
        <v>197500</v>
      </c>
      <c r="M97" s="134" t="s">
        <v>271</v>
      </c>
      <c r="N97" s="119" t="s">
        <v>217</v>
      </c>
      <c r="S97" s="39"/>
    </row>
    <row r="98" spans="1:19" ht="20.100000000000001" customHeight="1" x14ac:dyDescent="0.3">
      <c r="A98" s="47">
        <v>46129</v>
      </c>
      <c r="B98" s="48" t="s">
        <v>45</v>
      </c>
      <c r="C98" s="48" t="s">
        <v>47</v>
      </c>
      <c r="D98" s="48" t="s">
        <v>48</v>
      </c>
      <c r="E98" s="48"/>
      <c r="F98" s="48" t="s">
        <v>60</v>
      </c>
      <c r="G98" s="48" t="s">
        <v>61</v>
      </c>
      <c r="H98" s="48"/>
      <c r="I98" s="48" t="s">
        <v>62</v>
      </c>
      <c r="J98" s="110" t="s">
        <v>63</v>
      </c>
      <c r="K98" s="62">
        <v>100000</v>
      </c>
      <c r="L98" s="63">
        <v>120000</v>
      </c>
      <c r="M98" s="134" t="s">
        <v>271</v>
      </c>
      <c r="N98" s="65"/>
      <c r="S98" s="39"/>
    </row>
    <row r="99" spans="1:19" ht="20.100000000000001" customHeight="1" x14ac:dyDescent="0.3">
      <c r="A99" s="47">
        <v>46125</v>
      </c>
      <c r="B99" s="48" t="s">
        <v>45</v>
      </c>
      <c r="C99" s="48" t="s">
        <v>47</v>
      </c>
      <c r="D99" s="48" t="s">
        <v>48</v>
      </c>
      <c r="E99" s="48"/>
      <c r="F99" s="48" t="s">
        <v>64</v>
      </c>
      <c r="G99" s="48" t="s">
        <v>65</v>
      </c>
      <c r="H99" s="48"/>
      <c r="I99" s="48" t="s">
        <v>58</v>
      </c>
      <c r="J99" s="110" t="s">
        <v>66</v>
      </c>
      <c r="K99" s="62">
        <v>100000</v>
      </c>
      <c r="L99" s="63">
        <v>120000</v>
      </c>
      <c r="M99" s="134" t="s">
        <v>271</v>
      </c>
      <c r="N99" s="65"/>
      <c r="S99" s="39"/>
    </row>
    <row r="100" spans="1:19" ht="20.100000000000001" customHeight="1" x14ac:dyDescent="0.3">
      <c r="A100" s="47">
        <v>46126</v>
      </c>
      <c r="B100" s="48" t="s">
        <v>45</v>
      </c>
      <c r="C100" s="48" t="s">
        <v>47</v>
      </c>
      <c r="D100" s="48" t="s">
        <v>48</v>
      </c>
      <c r="E100" s="48"/>
      <c r="F100" s="48" t="s">
        <v>64</v>
      </c>
      <c r="G100" s="48" t="s">
        <v>65</v>
      </c>
      <c r="H100" s="48"/>
      <c r="I100" s="48" t="s">
        <v>58</v>
      </c>
      <c r="J100" s="110" t="s">
        <v>66</v>
      </c>
      <c r="K100" s="62">
        <v>100000</v>
      </c>
      <c r="L100" s="63">
        <v>120000</v>
      </c>
      <c r="M100" s="134" t="s">
        <v>271</v>
      </c>
      <c r="N100" s="65"/>
    </row>
    <row r="101" spans="1:19" ht="20.100000000000001" customHeight="1" x14ac:dyDescent="0.3">
      <c r="A101" s="47">
        <v>46127</v>
      </c>
      <c r="B101" s="48" t="s">
        <v>45</v>
      </c>
      <c r="C101" s="48" t="s">
        <v>47</v>
      </c>
      <c r="D101" s="48" t="s">
        <v>48</v>
      </c>
      <c r="E101" s="48"/>
      <c r="F101" s="48" t="s">
        <v>64</v>
      </c>
      <c r="G101" s="48" t="s">
        <v>65</v>
      </c>
      <c r="H101" s="48"/>
      <c r="I101" s="48" t="s">
        <v>58</v>
      </c>
      <c r="J101" s="110" t="s">
        <v>66</v>
      </c>
      <c r="K101" s="62">
        <v>100000</v>
      </c>
      <c r="L101" s="63">
        <v>120000</v>
      </c>
      <c r="M101" s="134" t="s">
        <v>271</v>
      </c>
      <c r="N101" s="65"/>
    </row>
    <row r="102" spans="1:19" ht="20.100000000000001" customHeight="1" x14ac:dyDescent="0.3">
      <c r="A102" s="47">
        <v>46128</v>
      </c>
      <c r="B102" s="48" t="s">
        <v>45</v>
      </c>
      <c r="C102" s="48" t="s">
        <v>47</v>
      </c>
      <c r="D102" s="48" t="s">
        <v>48</v>
      </c>
      <c r="E102" s="48"/>
      <c r="F102" s="48" t="s">
        <v>64</v>
      </c>
      <c r="G102" s="48" t="s">
        <v>65</v>
      </c>
      <c r="H102" s="48"/>
      <c r="I102" s="48" t="s">
        <v>58</v>
      </c>
      <c r="J102" s="110" t="s">
        <v>66</v>
      </c>
      <c r="K102" s="62">
        <v>100000</v>
      </c>
      <c r="L102" s="63">
        <v>120000</v>
      </c>
      <c r="M102" s="134" t="s">
        <v>271</v>
      </c>
      <c r="N102" s="65"/>
    </row>
    <row r="103" spans="1:19" ht="20.100000000000001" customHeight="1" x14ac:dyDescent="0.3">
      <c r="A103" s="47">
        <v>46129</v>
      </c>
      <c r="B103" s="48" t="s">
        <v>45</v>
      </c>
      <c r="C103" s="48" t="s">
        <v>47</v>
      </c>
      <c r="D103" s="48" t="s">
        <v>48</v>
      </c>
      <c r="E103" s="48"/>
      <c r="F103" s="48" t="s">
        <v>64</v>
      </c>
      <c r="G103" s="48" t="s">
        <v>65</v>
      </c>
      <c r="H103" s="48"/>
      <c r="I103" s="48" t="s">
        <v>58</v>
      </c>
      <c r="J103" s="110" t="s">
        <v>66</v>
      </c>
      <c r="K103" s="62">
        <v>100000</v>
      </c>
      <c r="L103" s="63">
        <v>120000</v>
      </c>
      <c r="M103" s="134" t="s">
        <v>271</v>
      </c>
      <c r="N103" s="65"/>
      <c r="O103" s="66"/>
      <c r="P103" s="66"/>
      <c r="Q103" s="66"/>
      <c r="R103" s="66"/>
      <c r="S103" s="66"/>
    </row>
    <row r="104" spans="1:19" ht="20.100000000000001" customHeight="1" x14ac:dyDescent="0.3">
      <c r="A104" s="47">
        <v>46130</v>
      </c>
      <c r="B104" s="48" t="s">
        <v>45</v>
      </c>
      <c r="C104" s="48" t="s">
        <v>47</v>
      </c>
      <c r="D104" s="48" t="s">
        <v>48</v>
      </c>
      <c r="E104" s="48"/>
      <c r="F104" s="48" t="s">
        <v>64</v>
      </c>
      <c r="G104" s="48" t="s">
        <v>65</v>
      </c>
      <c r="H104" s="48"/>
      <c r="I104" s="48" t="s">
        <v>58</v>
      </c>
      <c r="J104" s="110" t="s">
        <v>66</v>
      </c>
      <c r="K104" s="62">
        <v>100000</v>
      </c>
      <c r="L104" s="63">
        <v>120000</v>
      </c>
      <c r="M104" s="134" t="s">
        <v>271</v>
      </c>
      <c r="N104" s="65"/>
      <c r="O104" s="66"/>
      <c r="P104" s="66"/>
      <c r="Q104" s="66"/>
      <c r="R104" s="66"/>
      <c r="S104" s="66"/>
    </row>
    <row r="105" spans="1:19" ht="20.100000000000001" customHeight="1" x14ac:dyDescent="0.3">
      <c r="A105" s="47">
        <v>46125</v>
      </c>
      <c r="B105" s="48" t="s">
        <v>45</v>
      </c>
      <c r="C105" s="48" t="s">
        <v>47</v>
      </c>
      <c r="D105" s="48" t="s">
        <v>48</v>
      </c>
      <c r="E105" s="48"/>
      <c r="F105" s="48" t="s">
        <v>67</v>
      </c>
      <c r="G105" s="48" t="s">
        <v>68</v>
      </c>
      <c r="H105" s="48"/>
      <c r="I105" s="48" t="s">
        <v>62</v>
      </c>
      <c r="J105" s="110" t="s">
        <v>69</v>
      </c>
      <c r="K105" s="62">
        <v>100000</v>
      </c>
      <c r="L105" s="63">
        <v>120000</v>
      </c>
      <c r="M105" s="134" t="s">
        <v>271</v>
      </c>
      <c r="N105" s="65"/>
      <c r="O105" s="69"/>
      <c r="P105" s="69"/>
      <c r="Q105" s="69"/>
      <c r="R105" s="69"/>
      <c r="S105" s="69"/>
    </row>
    <row r="106" spans="1:19" ht="20.100000000000001" customHeight="1" x14ac:dyDescent="0.3">
      <c r="A106" s="47">
        <v>46130</v>
      </c>
      <c r="B106" s="48" t="s">
        <v>45</v>
      </c>
      <c r="C106" s="48" t="s">
        <v>47</v>
      </c>
      <c r="D106" s="48" t="s">
        <v>48</v>
      </c>
      <c r="E106" s="48"/>
      <c r="F106" s="48" t="s">
        <v>67</v>
      </c>
      <c r="G106" s="48" t="s">
        <v>68</v>
      </c>
      <c r="H106" s="48"/>
      <c r="I106" s="48" t="s">
        <v>62</v>
      </c>
      <c r="J106" s="110" t="s">
        <v>69</v>
      </c>
      <c r="K106" s="62">
        <v>100000</v>
      </c>
      <c r="L106" s="63">
        <v>120000</v>
      </c>
      <c r="M106" s="134" t="s">
        <v>271</v>
      </c>
      <c r="N106" s="65"/>
      <c r="O106" s="69"/>
      <c r="P106" s="69"/>
      <c r="Q106" s="69"/>
      <c r="R106" s="69"/>
      <c r="S106" s="69"/>
    </row>
    <row r="107" spans="1:19" ht="20.100000000000001" customHeight="1" x14ac:dyDescent="0.3">
      <c r="A107" s="47">
        <v>46131</v>
      </c>
      <c r="B107" s="48" t="s">
        <v>45</v>
      </c>
      <c r="C107" s="48" t="s">
        <v>47</v>
      </c>
      <c r="D107" s="48" t="s">
        <v>48</v>
      </c>
      <c r="E107" s="48"/>
      <c r="F107" s="48" t="s">
        <v>67</v>
      </c>
      <c r="G107" s="48" t="s">
        <v>68</v>
      </c>
      <c r="H107" s="48"/>
      <c r="I107" s="48" t="s">
        <v>62</v>
      </c>
      <c r="J107" s="110" t="s">
        <v>69</v>
      </c>
      <c r="K107" s="62">
        <v>100000</v>
      </c>
      <c r="L107" s="63">
        <v>120000</v>
      </c>
      <c r="M107" s="134" t="s">
        <v>271</v>
      </c>
      <c r="N107" s="65"/>
    </row>
    <row r="108" spans="1:19" ht="20.100000000000001" customHeight="1" x14ac:dyDescent="0.3">
      <c r="A108" s="47">
        <v>46126</v>
      </c>
      <c r="B108" s="48" t="s">
        <v>45</v>
      </c>
      <c r="C108" s="48" t="s">
        <v>47</v>
      </c>
      <c r="D108" s="48" t="s">
        <v>48</v>
      </c>
      <c r="E108" s="48"/>
      <c r="F108" s="48" t="s">
        <v>70</v>
      </c>
      <c r="G108" s="48" t="s">
        <v>71</v>
      </c>
      <c r="H108" s="48"/>
      <c r="I108" s="48" t="s">
        <v>72</v>
      </c>
      <c r="J108" s="110" t="s">
        <v>73</v>
      </c>
      <c r="K108" s="62">
        <v>100000</v>
      </c>
      <c r="L108" s="63">
        <v>120000</v>
      </c>
      <c r="M108" s="134" t="s">
        <v>271</v>
      </c>
      <c r="N108" s="65"/>
    </row>
    <row r="109" spans="1:19" ht="20.100000000000001" customHeight="1" x14ac:dyDescent="0.3">
      <c r="A109" s="47">
        <v>46127</v>
      </c>
      <c r="B109" s="48" t="s">
        <v>45</v>
      </c>
      <c r="C109" s="48" t="s">
        <v>47</v>
      </c>
      <c r="D109" s="48" t="s">
        <v>48</v>
      </c>
      <c r="E109" s="48"/>
      <c r="F109" s="48" t="s">
        <v>70</v>
      </c>
      <c r="G109" s="48" t="s">
        <v>71</v>
      </c>
      <c r="H109" s="48"/>
      <c r="I109" s="48" t="s">
        <v>72</v>
      </c>
      <c r="J109" s="110" t="s">
        <v>73</v>
      </c>
      <c r="K109" s="62">
        <v>100000</v>
      </c>
      <c r="L109" s="63">
        <v>120000</v>
      </c>
      <c r="M109" s="134" t="s">
        <v>271</v>
      </c>
      <c r="N109" s="65"/>
      <c r="O109" s="66"/>
      <c r="P109" s="66"/>
      <c r="Q109" s="66"/>
      <c r="R109" s="66"/>
      <c r="S109" s="66"/>
    </row>
    <row r="110" spans="1:19" ht="20.100000000000001" customHeight="1" x14ac:dyDescent="0.3">
      <c r="A110" s="47">
        <v>46128</v>
      </c>
      <c r="B110" s="48" t="s">
        <v>45</v>
      </c>
      <c r="C110" s="48" t="s">
        <v>47</v>
      </c>
      <c r="D110" s="48" t="s">
        <v>48</v>
      </c>
      <c r="E110" s="48"/>
      <c r="F110" s="48" t="s">
        <v>70</v>
      </c>
      <c r="G110" s="48" t="s">
        <v>71</v>
      </c>
      <c r="H110" s="48"/>
      <c r="I110" s="48" t="s">
        <v>72</v>
      </c>
      <c r="J110" s="110" t="s">
        <v>73</v>
      </c>
      <c r="K110" s="62">
        <v>100000</v>
      </c>
      <c r="L110" s="63">
        <v>120000</v>
      </c>
      <c r="M110" s="134" t="s">
        <v>271</v>
      </c>
      <c r="N110" s="65"/>
    </row>
    <row r="111" spans="1:19" ht="20.100000000000001" customHeight="1" x14ac:dyDescent="0.3">
      <c r="A111" s="47">
        <v>46129</v>
      </c>
      <c r="B111" s="48" t="s">
        <v>45</v>
      </c>
      <c r="C111" s="48" t="s">
        <v>47</v>
      </c>
      <c r="D111" s="48" t="s">
        <v>48</v>
      </c>
      <c r="E111" s="48"/>
      <c r="F111" s="48" t="s">
        <v>70</v>
      </c>
      <c r="G111" s="48" t="s">
        <v>71</v>
      </c>
      <c r="H111" s="48"/>
      <c r="I111" s="48" t="s">
        <v>72</v>
      </c>
      <c r="J111" s="110" t="s">
        <v>73</v>
      </c>
      <c r="K111" s="62">
        <v>100000</v>
      </c>
      <c r="L111" s="63">
        <v>120000</v>
      </c>
      <c r="M111" s="134" t="s">
        <v>271</v>
      </c>
      <c r="N111" s="65"/>
    </row>
    <row r="112" spans="1:19" ht="20.100000000000001" customHeight="1" x14ac:dyDescent="0.3">
      <c r="A112" s="47">
        <v>46130</v>
      </c>
      <c r="B112" s="48" t="s">
        <v>45</v>
      </c>
      <c r="C112" s="48" t="s">
        <v>47</v>
      </c>
      <c r="D112" s="48" t="s">
        <v>48</v>
      </c>
      <c r="E112" s="48"/>
      <c r="F112" s="48" t="s">
        <v>70</v>
      </c>
      <c r="G112" s="48" t="s">
        <v>71</v>
      </c>
      <c r="H112" s="48"/>
      <c r="I112" s="48" t="s">
        <v>72</v>
      </c>
      <c r="J112" s="110" t="s">
        <v>73</v>
      </c>
      <c r="K112" s="62">
        <v>100000</v>
      </c>
      <c r="L112" s="63">
        <v>120000</v>
      </c>
      <c r="M112" s="134" t="s">
        <v>271</v>
      </c>
      <c r="N112" s="65"/>
    </row>
    <row r="113" spans="1:19" ht="20.100000000000001" customHeight="1" x14ac:dyDescent="0.3">
      <c r="A113" s="47">
        <v>46131</v>
      </c>
      <c r="B113" s="48" t="s">
        <v>45</v>
      </c>
      <c r="C113" s="48" t="s">
        <v>47</v>
      </c>
      <c r="D113" s="48" t="s">
        <v>48</v>
      </c>
      <c r="E113" s="48"/>
      <c r="F113" s="48" t="s">
        <v>70</v>
      </c>
      <c r="G113" s="48" t="s">
        <v>71</v>
      </c>
      <c r="H113" s="48"/>
      <c r="I113" s="48" t="s">
        <v>72</v>
      </c>
      <c r="J113" s="110" t="s">
        <v>73</v>
      </c>
      <c r="K113" s="62">
        <v>100000</v>
      </c>
      <c r="L113" s="63">
        <v>120000</v>
      </c>
      <c r="M113" s="134" t="s">
        <v>271</v>
      </c>
      <c r="N113" s="65"/>
      <c r="O113" s="66"/>
      <c r="P113" s="66"/>
      <c r="Q113" s="66"/>
      <c r="R113" s="66"/>
      <c r="S113" s="66"/>
    </row>
    <row r="114" spans="1:19" ht="20.100000000000001" customHeight="1" x14ac:dyDescent="0.3">
      <c r="A114" s="47">
        <v>46126</v>
      </c>
      <c r="B114" s="48" t="s">
        <v>45</v>
      </c>
      <c r="C114" s="48" t="s">
        <v>47</v>
      </c>
      <c r="D114" s="48" t="s">
        <v>48</v>
      </c>
      <c r="E114" s="48"/>
      <c r="F114" s="48" t="s">
        <v>74</v>
      </c>
      <c r="G114" s="48"/>
      <c r="H114" s="48"/>
      <c r="I114" s="48" t="s">
        <v>72</v>
      </c>
      <c r="J114" s="110" t="s">
        <v>73</v>
      </c>
      <c r="K114" s="62">
        <v>100000</v>
      </c>
      <c r="L114" s="63">
        <v>120000</v>
      </c>
      <c r="M114" s="134" t="s">
        <v>271</v>
      </c>
      <c r="N114" s="65"/>
      <c r="O114" s="66"/>
      <c r="P114" s="66"/>
      <c r="Q114" s="66"/>
      <c r="R114" s="66"/>
      <c r="S114" s="66"/>
    </row>
    <row r="115" spans="1:19" ht="20.100000000000001" customHeight="1" x14ac:dyDescent="0.3">
      <c r="A115" s="47">
        <v>46127</v>
      </c>
      <c r="B115" s="48" t="s">
        <v>45</v>
      </c>
      <c r="C115" s="48" t="s">
        <v>47</v>
      </c>
      <c r="D115" s="48" t="s">
        <v>48</v>
      </c>
      <c r="E115" s="48"/>
      <c r="F115" s="48" t="s">
        <v>74</v>
      </c>
      <c r="G115" s="48"/>
      <c r="H115" s="48"/>
      <c r="I115" s="48" t="s">
        <v>72</v>
      </c>
      <c r="J115" s="110" t="s">
        <v>73</v>
      </c>
      <c r="K115" s="62">
        <v>100000</v>
      </c>
      <c r="L115" s="63">
        <v>120000</v>
      </c>
      <c r="M115" s="134" t="s">
        <v>271</v>
      </c>
      <c r="O115" s="69"/>
      <c r="P115" s="69"/>
      <c r="Q115" s="69"/>
      <c r="R115" s="69"/>
      <c r="S115" s="69"/>
    </row>
    <row r="116" spans="1:19" ht="20.100000000000001" customHeight="1" x14ac:dyDescent="0.3">
      <c r="A116" s="47">
        <v>46128</v>
      </c>
      <c r="B116" s="48" t="s">
        <v>45</v>
      </c>
      <c r="C116" s="48" t="s">
        <v>47</v>
      </c>
      <c r="D116" s="48" t="s">
        <v>48</v>
      </c>
      <c r="E116" s="48"/>
      <c r="F116" s="48" t="s">
        <v>74</v>
      </c>
      <c r="G116" s="48"/>
      <c r="H116" s="48"/>
      <c r="I116" s="48" t="s">
        <v>72</v>
      </c>
      <c r="J116" s="110" t="s">
        <v>73</v>
      </c>
      <c r="K116" s="62">
        <v>100000</v>
      </c>
      <c r="L116" s="63">
        <v>120000</v>
      </c>
      <c r="M116" s="134" t="s">
        <v>271</v>
      </c>
      <c r="N116" s="65"/>
      <c r="O116" s="69"/>
      <c r="P116" s="69"/>
      <c r="Q116" s="69"/>
      <c r="R116" s="69"/>
      <c r="S116" s="69"/>
    </row>
    <row r="117" spans="1:19" ht="20.100000000000001" customHeight="1" x14ac:dyDescent="0.3">
      <c r="A117" s="47">
        <v>46129</v>
      </c>
      <c r="B117" s="48" t="s">
        <v>45</v>
      </c>
      <c r="C117" s="48" t="s">
        <v>47</v>
      </c>
      <c r="D117" s="48" t="s">
        <v>48</v>
      </c>
      <c r="E117" s="48"/>
      <c r="F117" s="48" t="s">
        <v>74</v>
      </c>
      <c r="G117" s="48"/>
      <c r="H117" s="48"/>
      <c r="I117" s="48" t="s">
        <v>72</v>
      </c>
      <c r="J117" s="110" t="s">
        <v>73</v>
      </c>
      <c r="K117" s="62">
        <v>100000</v>
      </c>
      <c r="L117" s="63">
        <v>120000</v>
      </c>
      <c r="M117" s="134" t="s">
        <v>271</v>
      </c>
      <c r="N117" s="65"/>
      <c r="O117" s="69"/>
      <c r="P117" s="69"/>
      <c r="Q117" s="69"/>
      <c r="R117" s="69"/>
      <c r="S117" s="69"/>
    </row>
    <row r="118" spans="1:19" ht="20.100000000000001" customHeight="1" x14ac:dyDescent="0.3">
      <c r="A118" s="47">
        <v>46130</v>
      </c>
      <c r="B118" s="48" t="s">
        <v>45</v>
      </c>
      <c r="C118" s="48" t="s">
        <v>47</v>
      </c>
      <c r="D118" s="48" t="s">
        <v>48</v>
      </c>
      <c r="E118" s="48"/>
      <c r="F118" s="48" t="s">
        <v>74</v>
      </c>
      <c r="G118" s="48"/>
      <c r="H118" s="48"/>
      <c r="I118" s="48" t="s">
        <v>72</v>
      </c>
      <c r="J118" s="110" t="s">
        <v>73</v>
      </c>
      <c r="K118" s="62">
        <v>100000</v>
      </c>
      <c r="L118" s="63">
        <v>120000</v>
      </c>
      <c r="M118" s="134" t="s">
        <v>271</v>
      </c>
      <c r="N118" s="65"/>
      <c r="O118" s="69"/>
      <c r="P118" s="69"/>
      <c r="Q118" s="69"/>
      <c r="R118" s="69"/>
      <c r="S118" s="69"/>
    </row>
    <row r="119" spans="1:19" ht="20.100000000000001" customHeight="1" x14ac:dyDescent="0.3">
      <c r="A119" s="47">
        <v>46131</v>
      </c>
      <c r="B119" s="48" t="s">
        <v>45</v>
      </c>
      <c r="C119" s="48" t="s">
        <v>47</v>
      </c>
      <c r="D119" s="48" t="s">
        <v>48</v>
      </c>
      <c r="E119" s="48"/>
      <c r="F119" s="48" t="s">
        <v>74</v>
      </c>
      <c r="G119" s="48"/>
      <c r="H119" s="48"/>
      <c r="I119" s="48" t="s">
        <v>72</v>
      </c>
      <c r="J119" s="110" t="s">
        <v>73</v>
      </c>
      <c r="K119" s="62">
        <v>100000</v>
      </c>
      <c r="L119" s="63">
        <v>120000</v>
      </c>
      <c r="M119" s="134" t="s">
        <v>271</v>
      </c>
      <c r="N119" s="65"/>
      <c r="O119" s="70"/>
      <c r="P119" s="70"/>
      <c r="Q119" s="70"/>
      <c r="R119" s="70"/>
      <c r="S119" s="70"/>
    </row>
    <row r="120" spans="1:19" ht="20.100000000000001" customHeight="1" x14ac:dyDescent="0.3">
      <c r="A120" s="47">
        <v>46125</v>
      </c>
      <c r="B120" s="48" t="s">
        <v>45</v>
      </c>
      <c r="C120" s="48" t="s">
        <v>47</v>
      </c>
      <c r="D120" s="48" t="s">
        <v>48</v>
      </c>
      <c r="E120" s="48"/>
      <c r="F120" s="48" t="s">
        <v>75</v>
      </c>
      <c r="G120" s="48"/>
      <c r="H120" s="48"/>
      <c r="I120" s="48" t="s">
        <v>76</v>
      </c>
      <c r="J120" s="110" t="s">
        <v>77</v>
      </c>
      <c r="K120" s="62">
        <v>100000</v>
      </c>
      <c r="L120" s="63">
        <v>120000</v>
      </c>
      <c r="M120" s="134" t="s">
        <v>271</v>
      </c>
      <c r="N120" s="65"/>
      <c r="O120" s="69"/>
      <c r="P120" s="69"/>
      <c r="Q120" s="69"/>
      <c r="R120" s="69"/>
      <c r="S120" s="69"/>
    </row>
    <row r="121" spans="1:19" ht="20.100000000000001" customHeight="1" x14ac:dyDescent="0.3">
      <c r="A121" s="47">
        <v>46130</v>
      </c>
      <c r="B121" s="48" t="s">
        <v>45</v>
      </c>
      <c r="C121" s="48" t="s">
        <v>47</v>
      </c>
      <c r="D121" s="48" t="s">
        <v>48</v>
      </c>
      <c r="E121" s="48"/>
      <c r="F121" s="48" t="s">
        <v>75</v>
      </c>
      <c r="G121" s="48"/>
      <c r="H121" s="48"/>
      <c r="I121" s="48" t="s">
        <v>76</v>
      </c>
      <c r="J121" s="110" t="s">
        <v>77</v>
      </c>
      <c r="K121" s="62">
        <v>100000</v>
      </c>
      <c r="L121" s="63">
        <v>120000</v>
      </c>
      <c r="M121" s="134" t="s">
        <v>271</v>
      </c>
      <c r="N121" s="65"/>
      <c r="O121" s="69"/>
      <c r="P121" s="69"/>
      <c r="Q121" s="69"/>
      <c r="R121" s="69"/>
      <c r="S121" s="69"/>
    </row>
    <row r="122" spans="1:19" ht="20.100000000000001" customHeight="1" x14ac:dyDescent="0.3">
      <c r="A122" s="47">
        <v>46131</v>
      </c>
      <c r="B122" s="48" t="s">
        <v>45</v>
      </c>
      <c r="C122" s="48" t="s">
        <v>47</v>
      </c>
      <c r="D122" s="48" t="s">
        <v>48</v>
      </c>
      <c r="E122" s="48"/>
      <c r="F122" s="48" t="s">
        <v>75</v>
      </c>
      <c r="G122" s="48"/>
      <c r="H122" s="48"/>
      <c r="I122" s="48" t="s">
        <v>76</v>
      </c>
      <c r="J122" s="110" t="s">
        <v>77</v>
      </c>
      <c r="K122" s="62">
        <v>100000</v>
      </c>
      <c r="L122" s="63">
        <v>120000</v>
      </c>
      <c r="M122" s="134" t="s">
        <v>271</v>
      </c>
      <c r="N122" s="65"/>
    </row>
    <row r="123" spans="1:19" ht="20.100000000000001" customHeight="1" x14ac:dyDescent="0.3">
      <c r="A123" s="47">
        <v>46130</v>
      </c>
      <c r="B123" s="48" t="s">
        <v>45</v>
      </c>
      <c r="C123" s="48" t="s">
        <v>47</v>
      </c>
      <c r="D123" s="48" t="s">
        <v>48</v>
      </c>
      <c r="E123" s="48"/>
      <c r="F123" s="48" t="s">
        <v>272</v>
      </c>
      <c r="G123" s="48"/>
      <c r="H123" s="48"/>
      <c r="I123" s="48" t="s">
        <v>204</v>
      </c>
      <c r="J123" s="110">
        <v>1005702808747</v>
      </c>
      <c r="K123" s="62">
        <v>100000</v>
      </c>
      <c r="L123" s="63">
        <v>120000</v>
      </c>
      <c r="M123" s="134" t="s">
        <v>271</v>
      </c>
      <c r="N123" s="65"/>
      <c r="O123" s="66"/>
      <c r="P123" s="66"/>
      <c r="Q123" s="66"/>
      <c r="R123" s="66"/>
      <c r="S123" s="66"/>
    </row>
    <row r="124" spans="1:19" ht="20.100000000000001" customHeight="1" x14ac:dyDescent="0.3">
      <c r="A124" s="47">
        <v>46131</v>
      </c>
      <c r="B124" s="48" t="s">
        <v>45</v>
      </c>
      <c r="C124" s="48" t="s">
        <v>47</v>
      </c>
      <c r="D124" s="48" t="s">
        <v>48</v>
      </c>
      <c r="E124" s="48"/>
      <c r="F124" s="48" t="s">
        <v>272</v>
      </c>
      <c r="G124" s="48"/>
      <c r="H124" s="48"/>
      <c r="I124" s="48" t="s">
        <v>204</v>
      </c>
      <c r="J124" s="110">
        <v>1005702808747</v>
      </c>
      <c r="K124" s="62">
        <v>100000</v>
      </c>
      <c r="L124" s="63">
        <v>120000</v>
      </c>
      <c r="M124" s="134" t="s">
        <v>271</v>
      </c>
      <c r="N124" s="65"/>
    </row>
    <row r="125" spans="1:19" ht="20.100000000000001" customHeight="1" x14ac:dyDescent="0.3">
      <c r="A125" s="47">
        <v>46131</v>
      </c>
      <c r="B125" s="48" t="s">
        <v>45</v>
      </c>
      <c r="C125" s="48" t="s">
        <v>47</v>
      </c>
      <c r="D125" s="48" t="s">
        <v>48</v>
      </c>
      <c r="E125" s="48"/>
      <c r="F125" s="48" t="s">
        <v>80</v>
      </c>
      <c r="G125" s="48" t="s">
        <v>81</v>
      </c>
      <c r="H125" s="48"/>
      <c r="I125" s="48" t="s">
        <v>62</v>
      </c>
      <c r="J125" s="110">
        <v>9500021279810</v>
      </c>
      <c r="K125" s="62">
        <v>100000</v>
      </c>
      <c r="L125" s="63">
        <v>120000</v>
      </c>
      <c r="M125" s="134" t="s">
        <v>271</v>
      </c>
      <c r="N125" s="65"/>
    </row>
    <row r="126" spans="1:19" ht="20.100000000000001" customHeight="1" x14ac:dyDescent="0.3">
      <c r="A126" s="47"/>
      <c r="B126" s="48"/>
      <c r="C126" s="48"/>
      <c r="D126" s="48"/>
      <c r="E126" s="48"/>
      <c r="F126" s="48"/>
      <c r="G126" s="48"/>
      <c r="H126" s="48"/>
      <c r="I126" s="48"/>
      <c r="J126" s="110"/>
      <c r="K126" s="62"/>
      <c r="L126" s="68"/>
      <c r="M126" s="65"/>
      <c r="N126" s="65"/>
      <c r="O126" s="66"/>
      <c r="P126" s="66"/>
      <c r="Q126" s="66"/>
      <c r="R126" s="66"/>
      <c r="S126" s="66"/>
    </row>
    <row r="127" spans="1:19" ht="20.100000000000001" customHeight="1" x14ac:dyDescent="0.3">
      <c r="A127" s="47"/>
      <c r="B127" s="48"/>
      <c r="C127" s="48"/>
      <c r="D127" s="48"/>
      <c r="E127" s="48"/>
      <c r="F127" s="48"/>
      <c r="G127" s="48"/>
      <c r="H127" s="48"/>
      <c r="I127" s="48"/>
      <c r="J127" s="110"/>
      <c r="K127" s="62"/>
      <c r="L127" s="68"/>
      <c r="M127" s="65"/>
      <c r="N127" s="65"/>
      <c r="O127" s="66"/>
      <c r="P127" s="66"/>
      <c r="Q127" s="66"/>
      <c r="R127" s="66"/>
      <c r="S127" s="66"/>
    </row>
    <row r="128" spans="1:19" ht="20.100000000000001" customHeight="1" x14ac:dyDescent="0.3">
      <c r="A128" s="47"/>
      <c r="B128" s="48"/>
      <c r="C128" s="48"/>
      <c r="D128" s="48"/>
      <c r="E128" s="48"/>
      <c r="F128" s="48"/>
      <c r="G128" s="48"/>
      <c r="H128" s="48"/>
      <c r="I128" s="48"/>
      <c r="J128" s="110"/>
      <c r="K128" s="62"/>
      <c r="L128" s="68"/>
      <c r="M128" s="65"/>
    </row>
    <row r="129" spans="1:14" ht="20.100000000000001" customHeight="1" x14ac:dyDescent="0.3">
      <c r="A129" s="47"/>
      <c r="B129" s="48"/>
      <c r="C129" s="48"/>
      <c r="D129" s="48"/>
      <c r="E129" s="48"/>
      <c r="F129" s="48"/>
      <c r="G129" s="48"/>
      <c r="H129" s="48"/>
      <c r="I129" s="48"/>
      <c r="J129" s="110"/>
      <c r="K129" s="62"/>
      <c r="L129" s="68"/>
      <c r="M129" s="65"/>
    </row>
    <row r="130" spans="1:14" ht="20.100000000000001" customHeight="1" x14ac:dyDescent="0.3">
      <c r="A130" s="47"/>
      <c r="B130" s="48"/>
      <c r="C130" s="48"/>
      <c r="D130" s="48"/>
      <c r="E130" s="48"/>
      <c r="F130" s="48"/>
      <c r="G130" s="48"/>
      <c r="H130" s="48"/>
      <c r="I130" s="48"/>
      <c r="J130" s="110"/>
      <c r="K130" s="62"/>
      <c r="L130" s="68"/>
      <c r="M130" s="65"/>
    </row>
    <row r="131" spans="1:14" ht="20.100000000000001" customHeight="1" x14ac:dyDescent="0.3">
      <c r="A131" s="47"/>
      <c r="B131" s="48"/>
      <c r="C131" s="48"/>
      <c r="D131" s="48"/>
      <c r="E131" s="48"/>
      <c r="F131" s="48"/>
      <c r="G131" s="48"/>
      <c r="H131" s="48"/>
      <c r="I131" s="48"/>
      <c r="J131" s="110"/>
      <c r="K131" s="62"/>
      <c r="L131" s="68"/>
      <c r="M131" s="65"/>
      <c r="N131" s="69"/>
    </row>
    <row r="132" spans="1:14" ht="20.100000000000001" customHeight="1" x14ac:dyDescent="0.3">
      <c r="A132" s="47"/>
      <c r="B132" s="48"/>
      <c r="C132" s="48"/>
      <c r="D132" s="48"/>
      <c r="E132" s="48"/>
      <c r="F132" s="48"/>
      <c r="G132" s="48"/>
      <c r="H132" s="48"/>
      <c r="I132" s="48"/>
      <c r="J132" s="110"/>
      <c r="K132" s="62"/>
      <c r="L132" s="68"/>
      <c r="M132" s="65"/>
      <c r="N132" s="69"/>
    </row>
    <row r="133" spans="1:14" ht="20.100000000000001" customHeight="1" x14ac:dyDescent="0.3">
      <c r="A133" s="47"/>
      <c r="B133" s="48"/>
      <c r="C133" s="48"/>
      <c r="D133" s="48"/>
      <c r="E133" s="48"/>
      <c r="F133" s="48"/>
      <c r="G133" s="48"/>
      <c r="H133" s="48"/>
      <c r="I133" s="48"/>
      <c r="J133" s="110"/>
      <c r="K133" s="62"/>
      <c r="L133" s="68"/>
      <c r="M133" s="65"/>
      <c r="N133" s="69"/>
    </row>
    <row r="134" spans="1:14" ht="20.100000000000001" customHeight="1" x14ac:dyDescent="0.3">
      <c r="A134" s="47"/>
      <c r="B134" s="48"/>
      <c r="C134" s="48"/>
      <c r="D134" s="48"/>
      <c r="E134" s="48"/>
      <c r="F134" s="48"/>
      <c r="G134" s="48"/>
      <c r="H134" s="48"/>
      <c r="I134" s="48"/>
      <c r="J134" s="110"/>
      <c r="K134" s="62"/>
      <c r="L134" s="68"/>
      <c r="M134" s="65"/>
      <c r="N134" s="69"/>
    </row>
    <row r="135" spans="1:14" ht="20.100000000000001" customHeight="1" x14ac:dyDescent="0.3">
      <c r="A135" s="47"/>
      <c r="B135" s="48"/>
      <c r="C135" s="48"/>
      <c r="D135" s="48"/>
      <c r="E135" s="48"/>
      <c r="F135" s="48"/>
      <c r="G135" s="48"/>
      <c r="H135" s="48"/>
      <c r="I135" s="48"/>
      <c r="J135" s="110"/>
      <c r="K135" s="62"/>
      <c r="L135" s="68"/>
      <c r="M135" s="65"/>
      <c r="N135" s="69"/>
    </row>
    <row r="136" spans="1:14" ht="20.100000000000001" customHeight="1" x14ac:dyDescent="0.3">
      <c r="A136" s="47"/>
      <c r="B136" s="48"/>
      <c r="C136" s="48"/>
      <c r="D136" s="48"/>
      <c r="E136" s="48"/>
      <c r="F136" s="48"/>
      <c r="G136" s="48"/>
      <c r="H136" s="48"/>
      <c r="I136" s="48"/>
      <c r="J136" s="110"/>
      <c r="K136" s="62"/>
      <c r="L136" s="68"/>
      <c r="M136" s="65"/>
      <c r="N136" s="69"/>
    </row>
    <row r="137" spans="1:14" ht="20.100000000000001" customHeight="1" x14ac:dyDescent="0.3">
      <c r="A137" s="47"/>
      <c r="B137" s="48"/>
      <c r="C137" s="48"/>
      <c r="D137" s="48"/>
      <c r="E137" s="48"/>
      <c r="F137" s="48"/>
      <c r="G137" s="48"/>
      <c r="H137" s="48"/>
      <c r="I137" s="48"/>
      <c r="J137" s="110"/>
      <c r="K137" s="62"/>
      <c r="L137" s="68"/>
      <c r="M137" s="65"/>
      <c r="N137" s="69"/>
    </row>
    <row r="138" spans="1:14" ht="20.100000000000001" customHeight="1" x14ac:dyDescent="0.3">
      <c r="A138" s="47"/>
      <c r="B138" s="48"/>
      <c r="C138" s="48"/>
      <c r="D138" s="48"/>
      <c r="E138" s="48"/>
      <c r="F138" s="48"/>
      <c r="G138" s="48"/>
      <c r="H138" s="48"/>
      <c r="I138" s="48"/>
      <c r="J138" s="110"/>
      <c r="K138" s="62"/>
      <c r="L138" s="68"/>
      <c r="M138" s="65"/>
      <c r="N138" s="69"/>
    </row>
    <row r="139" spans="1:14" ht="20.100000000000001" customHeight="1" x14ac:dyDescent="0.3">
      <c r="A139" s="47"/>
      <c r="B139" s="48"/>
      <c r="C139" s="48"/>
      <c r="D139" s="48"/>
      <c r="E139" s="48"/>
      <c r="F139" s="48"/>
      <c r="G139" s="48"/>
      <c r="H139" s="48"/>
      <c r="I139" s="48"/>
      <c r="J139" s="110"/>
      <c r="K139" s="62"/>
      <c r="L139" s="68"/>
      <c r="M139" s="65"/>
      <c r="N139" s="69"/>
    </row>
    <row r="140" spans="1:14" ht="20.100000000000001" customHeight="1" x14ac:dyDescent="0.3">
      <c r="A140" s="47"/>
      <c r="B140" s="48"/>
      <c r="C140" s="48"/>
      <c r="D140" s="48"/>
      <c r="E140" s="48"/>
      <c r="F140" s="48"/>
      <c r="G140" s="48"/>
      <c r="H140" s="48"/>
      <c r="I140" s="48"/>
      <c r="J140" s="110"/>
      <c r="K140" s="62"/>
      <c r="L140" s="68"/>
      <c r="M140" s="65"/>
      <c r="N140" s="69"/>
    </row>
    <row r="141" spans="1:14" ht="20.100000000000001" customHeight="1" x14ac:dyDescent="0.3">
      <c r="A141" s="47"/>
      <c r="B141" s="48"/>
      <c r="C141" s="48"/>
      <c r="D141" s="48"/>
      <c r="E141" s="48"/>
      <c r="F141" s="48"/>
      <c r="G141" s="48"/>
      <c r="H141" s="48"/>
      <c r="I141" s="48"/>
      <c r="J141" s="110"/>
      <c r="K141" s="62"/>
      <c r="L141" s="68"/>
      <c r="M141" s="65"/>
      <c r="N141" s="69"/>
    </row>
    <row r="142" spans="1:14" ht="20.100000000000001" customHeight="1" x14ac:dyDescent="0.3">
      <c r="A142" s="47"/>
      <c r="B142" s="48"/>
      <c r="C142" s="48"/>
      <c r="D142" s="48"/>
      <c r="E142" s="48"/>
      <c r="F142" s="48"/>
      <c r="G142" s="48"/>
      <c r="H142" s="48"/>
      <c r="I142" s="48"/>
      <c r="J142" s="110"/>
      <c r="K142" s="62"/>
      <c r="L142" s="68"/>
      <c r="M142" s="65"/>
      <c r="N142" s="69"/>
    </row>
    <row r="143" spans="1:14" ht="20.100000000000001" customHeight="1" x14ac:dyDescent="0.3">
      <c r="A143" s="47"/>
      <c r="B143" s="48"/>
      <c r="C143" s="48"/>
      <c r="D143" s="48"/>
      <c r="E143" s="48"/>
      <c r="F143" s="48"/>
      <c r="G143" s="48"/>
      <c r="H143" s="48"/>
      <c r="I143" s="48"/>
      <c r="J143" s="110"/>
      <c r="K143" s="62"/>
      <c r="L143" s="68"/>
      <c r="M143" s="65"/>
      <c r="N143" s="69"/>
    </row>
    <row r="144" spans="1:14" ht="20.100000000000001" customHeight="1" x14ac:dyDescent="0.3">
      <c r="A144" s="47"/>
      <c r="B144" s="48"/>
      <c r="C144" s="48"/>
      <c r="D144" s="48"/>
      <c r="E144" s="48"/>
      <c r="F144" s="48"/>
      <c r="G144" s="48"/>
      <c r="H144" s="48"/>
      <c r="I144" s="48"/>
      <c r="J144" s="110"/>
      <c r="K144" s="62"/>
      <c r="L144" s="68"/>
      <c r="M144" s="65"/>
      <c r="N144" s="69"/>
    </row>
    <row r="145" spans="1:12" ht="20.100000000000001" customHeight="1" x14ac:dyDescent="0.3">
      <c r="A145" s="47"/>
      <c r="B145" s="48"/>
      <c r="C145" s="48"/>
      <c r="D145" s="48"/>
      <c r="E145" s="48"/>
      <c r="F145" s="48"/>
      <c r="G145" s="48"/>
      <c r="H145" s="48"/>
      <c r="I145" s="48"/>
      <c r="J145" s="110"/>
      <c r="K145" s="62"/>
      <c r="L145" s="68"/>
    </row>
    <row r="146" spans="1:12" ht="20.100000000000001" customHeight="1" x14ac:dyDescent="0.3">
      <c r="A146" s="47"/>
      <c r="B146" s="48"/>
      <c r="C146" s="48"/>
      <c r="D146" s="71"/>
      <c r="E146" s="48"/>
      <c r="F146" s="48"/>
      <c r="G146" s="72"/>
      <c r="H146" s="72"/>
      <c r="I146" s="72"/>
      <c r="J146" s="112"/>
      <c r="K146" s="62"/>
      <c r="L146" s="68"/>
    </row>
    <row r="147" spans="1:12" ht="20.100000000000001" customHeight="1" x14ac:dyDescent="0.3">
      <c r="A147" s="47"/>
      <c r="B147" s="48"/>
      <c r="C147" s="48"/>
      <c r="D147" s="48"/>
      <c r="E147" s="48"/>
      <c r="F147" s="48"/>
      <c r="G147" s="48"/>
      <c r="H147" s="48"/>
      <c r="I147" s="48"/>
      <c r="J147" s="110"/>
      <c r="K147" s="62"/>
      <c r="L147" s="68"/>
    </row>
    <row r="148" spans="1:12" ht="20.100000000000001" customHeight="1" x14ac:dyDescent="0.3">
      <c r="A148" s="47"/>
      <c r="B148" s="48"/>
      <c r="C148" s="48"/>
      <c r="D148" s="48"/>
      <c r="E148" s="48"/>
      <c r="F148" s="48"/>
      <c r="G148" s="48"/>
      <c r="H148" s="48"/>
      <c r="I148" s="48"/>
      <c r="J148" s="110"/>
      <c r="K148" s="62"/>
      <c r="L148" s="68"/>
    </row>
    <row r="149" spans="1:12" ht="20.100000000000001" customHeight="1" x14ac:dyDescent="0.3">
      <c r="A149" s="47"/>
      <c r="B149" s="48"/>
      <c r="C149" s="48"/>
      <c r="D149" s="48"/>
      <c r="E149" s="48"/>
      <c r="F149" s="48"/>
      <c r="G149" s="48"/>
      <c r="H149" s="48"/>
      <c r="I149" s="48"/>
      <c r="J149" s="110"/>
      <c r="K149" s="62"/>
      <c r="L149" s="68"/>
    </row>
    <row r="150" spans="1:12" ht="20.100000000000001" customHeight="1" x14ac:dyDescent="0.3">
      <c r="A150" s="47"/>
      <c r="B150" s="48"/>
      <c r="C150" s="48"/>
      <c r="D150" s="48"/>
      <c r="E150" s="48"/>
      <c r="F150" s="48"/>
      <c r="G150" s="48"/>
      <c r="H150" s="48"/>
      <c r="I150" s="48"/>
      <c r="J150" s="110"/>
      <c r="K150" s="62"/>
      <c r="L150" s="68"/>
    </row>
    <row r="151" spans="1:12" ht="20.100000000000001" customHeight="1" x14ac:dyDescent="0.3">
      <c r="A151" s="47"/>
      <c r="B151" s="48"/>
      <c r="C151" s="48"/>
      <c r="D151" s="48"/>
      <c r="E151" s="48"/>
      <c r="F151" s="48"/>
      <c r="G151" s="48"/>
      <c r="H151" s="48"/>
      <c r="I151" s="48"/>
      <c r="J151" s="110"/>
      <c r="K151" s="62"/>
      <c r="L151" s="68"/>
    </row>
    <row r="152" spans="1:12" ht="20.100000000000001" customHeight="1" x14ac:dyDescent="0.3">
      <c r="A152" s="47"/>
      <c r="B152" s="48"/>
      <c r="C152" s="48"/>
      <c r="D152" s="48"/>
      <c r="E152" s="48"/>
      <c r="F152" s="48"/>
      <c r="G152" s="48"/>
      <c r="H152" s="48"/>
      <c r="I152" s="48"/>
      <c r="J152" s="110"/>
      <c r="K152" s="62"/>
      <c r="L152" s="68"/>
    </row>
    <row r="153" spans="1:12" ht="20.100000000000001" customHeight="1" x14ac:dyDescent="0.3">
      <c r="A153" s="47"/>
    </row>
    <row r="154" spans="1:12" ht="20.100000000000001" customHeight="1" x14ac:dyDescent="0.3">
      <c r="A154" s="47"/>
    </row>
    <row r="155" spans="1:12" ht="20.100000000000001" customHeight="1" x14ac:dyDescent="0.3">
      <c r="A155" s="47"/>
    </row>
    <row r="156" spans="1:12" ht="20.100000000000001" customHeight="1" x14ac:dyDescent="0.3">
      <c r="A156" s="47"/>
    </row>
    <row r="157" spans="1:12" ht="20.100000000000001" customHeight="1" x14ac:dyDescent="0.3">
      <c r="A157" s="47"/>
    </row>
    <row r="158" spans="1:12" ht="20.100000000000001" customHeight="1" x14ac:dyDescent="0.3">
      <c r="A158" s="47"/>
    </row>
    <row r="159" spans="1:12" ht="20.100000000000001" customHeight="1" x14ac:dyDescent="0.3">
      <c r="A159" s="47"/>
    </row>
    <row r="160" spans="1:12" ht="20.100000000000001" customHeight="1" x14ac:dyDescent="0.3">
      <c r="A160" s="47"/>
    </row>
    <row r="161" spans="1:1" ht="20.100000000000001" customHeight="1" x14ac:dyDescent="0.3">
      <c r="A161" s="47"/>
    </row>
    <row r="162" spans="1:1" ht="20.100000000000001" customHeight="1" x14ac:dyDescent="0.3">
      <c r="A162" s="47"/>
    </row>
    <row r="163" spans="1:1" ht="20.100000000000001" customHeight="1" x14ac:dyDescent="0.3">
      <c r="A163" s="47"/>
    </row>
    <row r="164" spans="1:1" ht="20.100000000000001" customHeight="1" x14ac:dyDescent="0.3">
      <c r="A164" s="47"/>
    </row>
    <row r="165" spans="1:1" ht="20.100000000000001" customHeight="1" x14ac:dyDescent="0.3">
      <c r="A165" s="47"/>
    </row>
    <row r="166" spans="1:1" ht="20.100000000000001" customHeight="1" x14ac:dyDescent="0.3">
      <c r="A166" s="47"/>
    </row>
    <row r="167" spans="1:1" ht="20.100000000000001" customHeight="1" x14ac:dyDescent="0.3">
      <c r="A167" s="47"/>
    </row>
    <row r="168" spans="1:1" ht="20.100000000000001" customHeight="1" x14ac:dyDescent="0.3">
      <c r="A168" s="47"/>
    </row>
    <row r="169" spans="1:1" ht="20.100000000000001" customHeight="1" x14ac:dyDescent="0.3">
      <c r="A169" s="47"/>
    </row>
    <row r="170" spans="1:1" ht="20.100000000000001" customHeight="1" x14ac:dyDescent="0.3">
      <c r="A170" s="47"/>
    </row>
    <row r="171" spans="1:1" ht="20.100000000000001" customHeight="1" x14ac:dyDescent="0.3">
      <c r="A171" s="47"/>
    </row>
    <row r="172" spans="1:1" ht="20.100000000000001" customHeight="1" x14ac:dyDescent="0.3">
      <c r="A172" s="47"/>
    </row>
    <row r="173" spans="1:1" ht="20.100000000000001" customHeight="1" x14ac:dyDescent="0.3">
      <c r="A173" s="47"/>
    </row>
    <row r="174" spans="1:1" ht="20.100000000000001" customHeight="1" x14ac:dyDescent="0.3">
      <c r="A174" s="47"/>
    </row>
    <row r="175" spans="1:1" ht="20.100000000000001" customHeight="1" x14ac:dyDescent="0.3">
      <c r="A175" s="47"/>
    </row>
    <row r="176" spans="1:1" ht="20.100000000000001" customHeight="1" x14ac:dyDescent="0.3">
      <c r="A176" s="47"/>
    </row>
    <row r="177" spans="1:1" ht="20.100000000000001" customHeight="1" x14ac:dyDescent="0.3">
      <c r="A177" s="47"/>
    </row>
    <row r="178" spans="1:1" ht="20.100000000000001" customHeight="1" x14ac:dyDescent="0.3">
      <c r="A178" s="47"/>
    </row>
    <row r="179" spans="1:1" ht="20.100000000000001" customHeight="1" x14ac:dyDescent="0.3">
      <c r="A179" s="47"/>
    </row>
    <row r="180" spans="1:1" ht="20.100000000000001" customHeight="1" x14ac:dyDescent="0.3">
      <c r="A180" s="47"/>
    </row>
    <row r="181" spans="1:1" ht="20.100000000000001" customHeight="1" x14ac:dyDescent="0.3">
      <c r="A181" s="47"/>
    </row>
    <row r="182" spans="1:1" ht="20.100000000000001" customHeight="1" x14ac:dyDescent="0.3">
      <c r="A182" s="47"/>
    </row>
    <row r="183" spans="1:1" ht="20.100000000000001" customHeight="1" x14ac:dyDescent="0.3">
      <c r="A183" s="47"/>
    </row>
    <row r="184" spans="1:1" ht="20.100000000000001" customHeight="1" x14ac:dyDescent="0.3">
      <c r="A184" s="47"/>
    </row>
    <row r="185" spans="1:1" ht="20.100000000000001" customHeight="1" x14ac:dyDescent="0.3">
      <c r="A185" s="47"/>
    </row>
    <row r="186" spans="1:1" ht="20.100000000000001" customHeight="1" x14ac:dyDescent="0.3">
      <c r="A186" s="47"/>
    </row>
    <row r="187" spans="1:1" ht="20.100000000000001" customHeight="1" x14ac:dyDescent="0.3">
      <c r="A187" s="47"/>
    </row>
    <row r="188" spans="1:1" ht="20.100000000000001" customHeight="1" x14ac:dyDescent="0.3">
      <c r="A188" s="47"/>
    </row>
    <row r="189" spans="1:1" ht="20.100000000000001" customHeight="1" x14ac:dyDescent="0.3">
      <c r="A189" s="47"/>
    </row>
    <row r="190" spans="1:1" ht="20.100000000000001" customHeight="1" x14ac:dyDescent="0.3">
      <c r="A190" s="47"/>
    </row>
    <row r="191" spans="1:1" ht="20.100000000000001" customHeight="1" x14ac:dyDescent="0.3">
      <c r="A191" s="47"/>
    </row>
    <row r="192" spans="1:1" ht="20.100000000000001" customHeight="1" x14ac:dyDescent="0.3">
      <c r="A192" s="47"/>
    </row>
    <row r="193" spans="1:1" ht="20.100000000000001" customHeight="1" x14ac:dyDescent="0.3">
      <c r="A193" s="47"/>
    </row>
    <row r="194" spans="1:1" ht="20.100000000000001" customHeight="1" x14ac:dyDescent="0.3">
      <c r="A194" s="47"/>
    </row>
    <row r="195" spans="1:1" ht="20.100000000000001" customHeight="1" x14ac:dyDescent="0.3">
      <c r="A195" s="47"/>
    </row>
    <row r="196" spans="1:1" ht="20.100000000000001" customHeight="1" x14ac:dyDescent="0.3">
      <c r="A196" s="47"/>
    </row>
    <row r="197" spans="1:1" ht="20.100000000000001" customHeight="1" x14ac:dyDescent="0.3">
      <c r="A197" s="47"/>
    </row>
    <row r="198" spans="1:1" ht="20.100000000000001" customHeight="1" x14ac:dyDescent="0.3">
      <c r="A198" s="47"/>
    </row>
    <row r="199" spans="1:1" ht="20.100000000000001" customHeight="1" x14ac:dyDescent="0.3">
      <c r="A199" s="47"/>
    </row>
    <row r="200" spans="1:1" ht="20.100000000000001" customHeight="1" x14ac:dyDescent="0.3">
      <c r="A200" s="47"/>
    </row>
    <row r="201" spans="1:1" ht="20.100000000000001" customHeight="1" x14ac:dyDescent="0.3">
      <c r="A201" s="47"/>
    </row>
    <row r="202" spans="1:1" ht="20.100000000000001" customHeight="1" x14ac:dyDescent="0.3">
      <c r="A202" s="47"/>
    </row>
    <row r="203" spans="1:1" ht="20.100000000000001" customHeight="1" x14ac:dyDescent="0.3">
      <c r="A203" s="47"/>
    </row>
    <row r="204" spans="1:1" ht="20.100000000000001" customHeight="1" x14ac:dyDescent="0.3">
      <c r="A204" s="47"/>
    </row>
    <row r="205" spans="1:1" ht="20.100000000000001" customHeight="1" x14ac:dyDescent="0.3">
      <c r="A205" s="47"/>
    </row>
    <row r="206" spans="1:1" ht="20.100000000000001" customHeight="1" x14ac:dyDescent="0.3">
      <c r="A206" s="47"/>
    </row>
    <row r="207" spans="1:1" ht="20.100000000000001" customHeight="1" x14ac:dyDescent="0.3">
      <c r="A207" s="47"/>
    </row>
    <row r="208" spans="1:1" ht="20.100000000000001" customHeight="1" x14ac:dyDescent="0.3">
      <c r="A208" s="47"/>
    </row>
    <row r="209" spans="1:1" ht="20.100000000000001" customHeight="1" x14ac:dyDescent="0.3">
      <c r="A209" s="47"/>
    </row>
    <row r="210" spans="1:1" ht="20.100000000000001" customHeight="1" x14ac:dyDescent="0.3">
      <c r="A210" s="47"/>
    </row>
    <row r="211" spans="1:1" ht="20.100000000000001" customHeight="1" x14ac:dyDescent="0.3">
      <c r="A211" s="47"/>
    </row>
    <row r="212" spans="1:1" ht="20.100000000000001" customHeight="1" x14ac:dyDescent="0.3">
      <c r="A212" s="47"/>
    </row>
    <row r="213" spans="1:1" ht="20.100000000000001" customHeight="1" x14ac:dyDescent="0.3">
      <c r="A213" s="47"/>
    </row>
    <row r="214" spans="1:1" ht="20.100000000000001" customHeight="1" x14ac:dyDescent="0.3">
      <c r="A214" s="47"/>
    </row>
    <row r="215" spans="1:1" ht="20.100000000000001" customHeight="1" x14ac:dyDescent="0.3">
      <c r="A215" s="47"/>
    </row>
    <row r="216" spans="1:1" ht="20.100000000000001" customHeight="1" x14ac:dyDescent="0.3">
      <c r="A216" s="47"/>
    </row>
    <row r="217" spans="1:1" ht="20.100000000000001" customHeight="1" x14ac:dyDescent="0.3">
      <c r="A217" s="47"/>
    </row>
    <row r="218" spans="1:1" ht="20.100000000000001" customHeight="1" x14ac:dyDescent="0.3">
      <c r="A218" s="47"/>
    </row>
    <row r="219" spans="1:1" ht="20.100000000000001" customHeight="1" x14ac:dyDescent="0.3">
      <c r="A219" s="47"/>
    </row>
    <row r="220" spans="1:1" ht="20.100000000000001" customHeight="1" x14ac:dyDescent="0.3">
      <c r="A220" s="47"/>
    </row>
    <row r="221" spans="1:1" ht="20.100000000000001" customHeight="1" x14ac:dyDescent="0.3">
      <c r="A221" s="47"/>
    </row>
    <row r="222" spans="1:1" ht="20.100000000000001" customHeight="1" x14ac:dyDescent="0.3">
      <c r="A222" s="47"/>
    </row>
    <row r="223" spans="1:1" ht="20.100000000000001" customHeight="1" x14ac:dyDescent="0.3">
      <c r="A223" s="47"/>
    </row>
    <row r="224" spans="1:1" ht="20.100000000000001" customHeight="1" x14ac:dyDescent="0.3">
      <c r="A224" s="47"/>
    </row>
    <row r="225" spans="1:1" ht="20.100000000000001" customHeight="1" x14ac:dyDescent="0.3">
      <c r="A225" s="47"/>
    </row>
    <row r="226" spans="1:1" ht="20.100000000000001" customHeight="1" x14ac:dyDescent="0.3">
      <c r="A226" s="47"/>
    </row>
    <row r="227" spans="1:1" ht="20.100000000000001" customHeight="1" x14ac:dyDescent="0.3">
      <c r="A227" s="47"/>
    </row>
    <row r="228" spans="1:1" ht="20.100000000000001" customHeight="1" x14ac:dyDescent="0.3">
      <c r="A228" s="47"/>
    </row>
    <row r="229" spans="1:1" ht="20.100000000000001" customHeight="1" x14ac:dyDescent="0.3">
      <c r="A229" s="47"/>
    </row>
    <row r="230" spans="1:1" ht="20.100000000000001" customHeight="1" x14ac:dyDescent="0.3">
      <c r="A230" s="47"/>
    </row>
    <row r="231" spans="1:1" ht="20.100000000000001" customHeight="1" x14ac:dyDescent="0.3">
      <c r="A231" s="47"/>
    </row>
    <row r="232" spans="1:1" ht="20.100000000000001" customHeight="1" x14ac:dyDescent="0.3">
      <c r="A232" s="47"/>
    </row>
    <row r="233" spans="1:1" ht="20.100000000000001" customHeight="1" x14ac:dyDescent="0.3">
      <c r="A233" s="47"/>
    </row>
    <row r="234" spans="1:1" ht="20.100000000000001" customHeight="1" x14ac:dyDescent="0.3">
      <c r="A234" s="47"/>
    </row>
    <row r="235" spans="1:1" ht="20.100000000000001" customHeight="1" x14ac:dyDescent="0.3">
      <c r="A235" s="47"/>
    </row>
    <row r="236" spans="1:1" ht="20.100000000000001" customHeight="1" x14ac:dyDescent="0.3">
      <c r="A236" s="47"/>
    </row>
    <row r="237" spans="1:1" ht="20.100000000000001" customHeight="1" x14ac:dyDescent="0.3">
      <c r="A237" s="47"/>
    </row>
    <row r="238" spans="1:1" ht="20.100000000000001" customHeight="1" x14ac:dyDescent="0.3">
      <c r="A238" s="47"/>
    </row>
    <row r="239" spans="1:1" ht="20.100000000000001" customHeight="1" x14ac:dyDescent="0.3">
      <c r="A239" s="47"/>
    </row>
    <row r="240" spans="1:1" ht="20.100000000000001" customHeight="1" x14ac:dyDescent="0.3">
      <c r="A240" s="47"/>
    </row>
    <row r="241" spans="1:1" ht="20.100000000000001" customHeight="1" x14ac:dyDescent="0.3">
      <c r="A241" s="47"/>
    </row>
    <row r="242" spans="1:1" ht="20.100000000000001" customHeight="1" x14ac:dyDescent="0.3">
      <c r="A242" s="47"/>
    </row>
    <row r="243" spans="1:1" ht="20.100000000000001" customHeight="1" x14ac:dyDescent="0.3">
      <c r="A243" s="47"/>
    </row>
    <row r="244" spans="1:1" ht="20.100000000000001" customHeight="1" x14ac:dyDescent="0.3">
      <c r="A244" s="47"/>
    </row>
    <row r="245" spans="1:1" ht="20.100000000000001" customHeight="1" x14ac:dyDescent="0.3">
      <c r="A245" s="47"/>
    </row>
    <row r="246" spans="1:1" ht="20.100000000000001" customHeight="1" x14ac:dyDescent="0.3">
      <c r="A246" s="47"/>
    </row>
    <row r="247" spans="1:1" ht="20.100000000000001" customHeight="1" x14ac:dyDescent="0.3">
      <c r="A247" s="47"/>
    </row>
    <row r="248" spans="1:1" ht="20.100000000000001" customHeight="1" x14ac:dyDescent="0.3">
      <c r="A248" s="47"/>
    </row>
    <row r="249" spans="1:1" ht="20.100000000000001" customHeight="1" x14ac:dyDescent="0.3">
      <c r="A249" s="47"/>
    </row>
    <row r="250" spans="1:1" ht="20.100000000000001" customHeight="1" x14ac:dyDescent="0.3">
      <c r="A250" s="47"/>
    </row>
    <row r="251" spans="1:1" ht="20.100000000000001" customHeight="1" x14ac:dyDescent="0.3">
      <c r="A251" s="47"/>
    </row>
    <row r="252" spans="1:1" ht="20.100000000000001" customHeight="1" x14ac:dyDescent="0.3">
      <c r="A252" s="47"/>
    </row>
    <row r="253" spans="1:1" ht="20.100000000000001" customHeight="1" x14ac:dyDescent="0.3">
      <c r="A253" s="47"/>
    </row>
    <row r="254" spans="1:1" ht="20.100000000000001" customHeight="1" x14ac:dyDescent="0.3">
      <c r="A254" s="47"/>
    </row>
    <row r="255" spans="1:1" ht="20.100000000000001" customHeight="1" x14ac:dyDescent="0.3">
      <c r="A255" s="47"/>
    </row>
    <row r="256" spans="1:1" ht="20.100000000000001" customHeight="1" x14ac:dyDescent="0.3">
      <c r="A256" s="47"/>
    </row>
    <row r="257" spans="1:1" ht="20.100000000000001" customHeight="1" x14ac:dyDescent="0.3">
      <c r="A257" s="47"/>
    </row>
    <row r="258" spans="1:1" ht="20.100000000000001" customHeight="1" x14ac:dyDescent="0.3">
      <c r="A258" s="47"/>
    </row>
    <row r="259" spans="1:1" ht="20.100000000000001" customHeight="1" x14ac:dyDescent="0.3">
      <c r="A259" s="47"/>
    </row>
    <row r="260" spans="1:1" ht="20.100000000000001" customHeight="1" x14ac:dyDescent="0.3">
      <c r="A260" s="47"/>
    </row>
    <row r="261" spans="1:1" ht="20.100000000000001" customHeight="1" x14ac:dyDescent="0.3">
      <c r="A261" s="47"/>
    </row>
    <row r="262" spans="1:1" ht="20.100000000000001" customHeight="1" x14ac:dyDescent="0.3">
      <c r="A262" s="47"/>
    </row>
    <row r="263" spans="1:1" ht="20.100000000000001" customHeight="1" x14ac:dyDescent="0.3">
      <c r="A263" s="47"/>
    </row>
    <row r="264" spans="1:1" ht="20.100000000000001" customHeight="1" x14ac:dyDescent="0.3">
      <c r="A264" s="47"/>
    </row>
    <row r="265" spans="1:1" ht="20.100000000000001" customHeight="1" x14ac:dyDescent="0.3">
      <c r="A265" s="47"/>
    </row>
    <row r="266" spans="1:1" ht="20.100000000000001" customHeight="1" x14ac:dyDescent="0.3">
      <c r="A266" s="47"/>
    </row>
    <row r="267" spans="1:1" ht="20.100000000000001" customHeight="1" x14ac:dyDescent="0.3">
      <c r="A267" s="47"/>
    </row>
    <row r="268" spans="1:1" ht="20.100000000000001" customHeight="1" x14ac:dyDescent="0.3">
      <c r="A268" s="47"/>
    </row>
    <row r="269" spans="1:1" ht="20.100000000000001" customHeight="1" x14ac:dyDescent="0.3">
      <c r="A269" s="47"/>
    </row>
    <row r="270" spans="1:1" ht="20.100000000000001" customHeight="1" x14ac:dyDescent="0.3">
      <c r="A270" s="47"/>
    </row>
    <row r="271" spans="1:1" ht="20.100000000000001" customHeight="1" x14ac:dyDescent="0.3">
      <c r="A271" s="47"/>
    </row>
    <row r="272" spans="1:1" ht="20.100000000000001" customHeight="1" x14ac:dyDescent="0.3">
      <c r="A272" s="47"/>
    </row>
    <row r="273" spans="1:1" ht="20.100000000000001" customHeight="1" x14ac:dyDescent="0.3">
      <c r="A273" s="47"/>
    </row>
    <row r="274" spans="1:1" ht="20.100000000000001" customHeight="1" x14ac:dyDescent="0.3">
      <c r="A274" s="47"/>
    </row>
    <row r="275" spans="1:1" ht="20.100000000000001" customHeight="1" x14ac:dyDescent="0.3">
      <c r="A275" s="47"/>
    </row>
    <row r="276" spans="1:1" ht="20.100000000000001" customHeight="1" x14ac:dyDescent="0.3">
      <c r="A276" s="47"/>
    </row>
    <row r="277" spans="1:1" ht="20.100000000000001" customHeight="1" x14ac:dyDescent="0.3">
      <c r="A277" s="47"/>
    </row>
    <row r="278" spans="1:1" ht="20.100000000000001" customHeight="1" x14ac:dyDescent="0.3">
      <c r="A278" s="47"/>
    </row>
    <row r="279" spans="1:1" ht="20.100000000000001" customHeight="1" x14ac:dyDescent="0.3">
      <c r="A279" s="47"/>
    </row>
    <row r="280" spans="1:1" ht="20.100000000000001" customHeight="1" x14ac:dyDescent="0.3">
      <c r="A280" s="47"/>
    </row>
  </sheetData>
  <mergeCells count="1">
    <mergeCell ref="A1:L1"/>
  </mergeCells>
  <phoneticPr fontId="3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BA22D-3E93-43B4-A6B5-58F9F16B7F16}">
  <sheetPr>
    <tabColor rgb="FFFFFF00"/>
  </sheetPr>
  <dimension ref="A1:R219"/>
  <sheetViews>
    <sheetView zoomScale="85" zoomScaleNormal="85" workbookViewId="0">
      <pane ySplit="2" topLeftCell="A111" activePane="bottomLeft" state="frozen"/>
      <selection activeCell="B29" sqref="B29:L29"/>
      <selection pane="bottomLeft" activeCell="M126" sqref="M126"/>
    </sheetView>
  </sheetViews>
  <sheetFormatPr defaultColWidth="9" defaultRowHeight="20.100000000000001" customHeight="1" x14ac:dyDescent="0.3"/>
  <cols>
    <col min="1" max="1" width="15.25" bestFit="1" customWidth="1"/>
    <col min="2" max="6" width="8.625" customWidth="1"/>
    <col min="7" max="7" width="12.625" customWidth="1"/>
    <col min="8" max="8" width="16.25" customWidth="1"/>
    <col min="9" max="9" width="10.25" customWidth="1"/>
    <col min="10" max="10" width="14.625" customWidth="1"/>
    <col min="11" max="12" width="9.625" customWidth="1"/>
    <col min="13" max="13" width="11.625" style="93" customWidth="1"/>
    <col min="14" max="14" width="11.625" customWidth="1"/>
    <col min="15" max="15" width="1.625" customWidth="1"/>
    <col min="16" max="16" width="10.625" customWidth="1"/>
    <col min="17" max="17" width="11.625" customWidth="1"/>
  </cols>
  <sheetData>
    <row r="1" spans="1:18" ht="20.100000000000001" customHeight="1" x14ac:dyDescent="0.3">
      <c r="A1" s="145" t="s">
        <v>19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06" t="s">
        <v>0</v>
      </c>
      <c r="N1" s="27">
        <f>SUM(K1:K9932)</f>
        <v>37631740</v>
      </c>
      <c r="O1" s="28"/>
      <c r="P1" s="41" t="s">
        <v>1</v>
      </c>
      <c r="Q1" s="27">
        <f>SUM(L1:L9932)</f>
        <v>46490140</v>
      </c>
      <c r="R1" s="42"/>
    </row>
    <row r="2" spans="1:18" ht="20.100000000000001" customHeight="1" x14ac:dyDescent="0.3">
      <c r="A2" s="43" t="s">
        <v>8</v>
      </c>
      <c r="B2" s="43" t="s">
        <v>9</v>
      </c>
      <c r="C2" s="43" t="s">
        <v>10</v>
      </c>
      <c r="D2" s="43" t="s">
        <v>11</v>
      </c>
      <c r="E2" s="43" t="s">
        <v>12</v>
      </c>
      <c r="F2" s="43" t="s">
        <v>13</v>
      </c>
      <c r="G2" s="43" t="s">
        <v>30</v>
      </c>
      <c r="H2" s="43" t="s">
        <v>42</v>
      </c>
      <c r="I2" s="43" t="s">
        <v>16</v>
      </c>
      <c r="J2" s="44" t="s">
        <v>17</v>
      </c>
      <c r="K2" s="43" t="s">
        <v>0</v>
      </c>
      <c r="L2" s="43" t="s">
        <v>1</v>
      </c>
      <c r="M2" s="91" t="s">
        <v>33</v>
      </c>
      <c r="N2" s="46"/>
      <c r="O2" s="46"/>
      <c r="P2" s="46"/>
      <c r="Q2" s="46"/>
      <c r="R2" s="45"/>
    </row>
    <row r="3" spans="1:18" ht="20.100000000000001" customHeight="1" x14ac:dyDescent="0.3">
      <c r="A3" s="60" t="s">
        <v>131</v>
      </c>
      <c r="B3" s="48" t="s">
        <v>132</v>
      </c>
      <c r="C3" s="48" t="s">
        <v>133</v>
      </c>
      <c r="D3" s="48"/>
      <c r="E3" s="48"/>
      <c r="F3" s="48" t="s">
        <v>83</v>
      </c>
      <c r="G3" s="48">
        <v>5</v>
      </c>
      <c r="H3" s="48"/>
      <c r="I3" s="48"/>
      <c r="J3" s="61"/>
      <c r="K3" s="62">
        <f>M3-(G3*6200)</f>
        <v>588040</v>
      </c>
      <c r="L3" s="63">
        <v>719040</v>
      </c>
      <c r="M3" s="105">
        <v>619040</v>
      </c>
      <c r="N3" s="101" t="str">
        <f>P10</f>
        <v>SUMPRODUCT(--ISNUMBER(E6:K6), --(E6:K6&gt;12), (E6:K6-12)*(E6:K6&lt;13) + (E6:K6&gt;=13))</v>
      </c>
      <c r="O3" s="66"/>
      <c r="P3" s="66" t="s">
        <v>26</v>
      </c>
      <c r="Q3" s="66"/>
      <c r="R3" s="66"/>
    </row>
    <row r="4" spans="1:18" ht="20.100000000000001" customHeight="1" x14ac:dyDescent="0.3">
      <c r="A4" s="60" t="s">
        <v>131</v>
      </c>
      <c r="B4" s="48" t="s">
        <v>132</v>
      </c>
      <c r="C4" s="48" t="s">
        <v>133</v>
      </c>
      <c r="D4" s="48"/>
      <c r="E4" s="48"/>
      <c r="F4" s="48" t="s">
        <v>84</v>
      </c>
      <c r="G4" s="48">
        <v>5</v>
      </c>
      <c r="H4" s="48"/>
      <c r="I4" s="48"/>
      <c r="J4" s="61"/>
      <c r="K4" s="62">
        <f t="shared" ref="K4:K67" si="0">M4-(G4*6200)</f>
        <v>609740</v>
      </c>
      <c r="L4" s="63">
        <v>740740</v>
      </c>
      <c r="M4" s="105">
        <v>640740</v>
      </c>
      <c r="N4" s="102"/>
      <c r="P4" t="s">
        <v>27</v>
      </c>
    </row>
    <row r="5" spans="1:18" ht="20.100000000000001" customHeight="1" x14ac:dyDescent="0.3">
      <c r="A5" s="60" t="s">
        <v>131</v>
      </c>
      <c r="B5" s="48" t="s">
        <v>132</v>
      </c>
      <c r="C5" s="48" t="s">
        <v>133</v>
      </c>
      <c r="D5" s="48"/>
      <c r="E5" s="48"/>
      <c r="F5" s="48" t="s">
        <v>85</v>
      </c>
      <c r="G5" s="48">
        <v>4</v>
      </c>
      <c r="H5" s="48"/>
      <c r="I5" s="48"/>
      <c r="J5" s="61"/>
      <c r="K5" s="62">
        <f t="shared" si="0"/>
        <v>488660</v>
      </c>
      <c r="L5" s="63">
        <v>593460</v>
      </c>
      <c r="M5" s="105">
        <v>513460</v>
      </c>
      <c r="N5" s="102"/>
      <c r="O5" s="37"/>
      <c r="P5" s="37" t="s">
        <v>28</v>
      </c>
      <c r="Q5" s="37"/>
      <c r="R5" s="3"/>
    </row>
    <row r="6" spans="1:18" ht="20.100000000000001" customHeight="1" x14ac:dyDescent="0.3">
      <c r="A6" s="60" t="s">
        <v>131</v>
      </c>
      <c r="B6" s="48" t="s">
        <v>132</v>
      </c>
      <c r="C6" s="48" t="s">
        <v>133</v>
      </c>
      <c r="D6" s="48"/>
      <c r="E6" s="48"/>
      <c r="F6" s="48" t="s">
        <v>86</v>
      </c>
      <c r="G6" s="48">
        <v>3</v>
      </c>
      <c r="H6" s="48"/>
      <c r="I6" s="48"/>
      <c r="J6" s="61"/>
      <c r="K6" s="62">
        <f t="shared" si="0"/>
        <v>473780</v>
      </c>
      <c r="L6" s="63">
        <v>572380</v>
      </c>
      <c r="M6" s="105">
        <v>492380</v>
      </c>
      <c r="N6" s="102"/>
      <c r="P6" t="s">
        <v>29</v>
      </c>
    </row>
    <row r="7" spans="1:18" ht="20.100000000000001" customHeight="1" x14ac:dyDescent="0.3">
      <c r="A7" s="60" t="s">
        <v>131</v>
      </c>
      <c r="B7" s="48" t="s">
        <v>132</v>
      </c>
      <c r="C7" s="48" t="s">
        <v>133</v>
      </c>
      <c r="D7" s="48"/>
      <c r="E7" s="48"/>
      <c r="F7" s="48" t="s">
        <v>87</v>
      </c>
      <c r="G7" s="48">
        <v>1</v>
      </c>
      <c r="H7" s="48"/>
      <c r="I7" s="48"/>
      <c r="J7" s="61"/>
      <c r="K7" s="62">
        <f t="shared" si="0"/>
        <v>101240</v>
      </c>
      <c r="L7" s="63">
        <v>127440</v>
      </c>
      <c r="M7" s="105">
        <v>107440</v>
      </c>
      <c r="N7" s="102"/>
      <c r="P7" t="s">
        <v>35</v>
      </c>
    </row>
    <row r="8" spans="1:18" ht="20.100000000000001" customHeight="1" x14ac:dyDescent="0.3">
      <c r="A8" s="60" t="s">
        <v>131</v>
      </c>
      <c r="B8" s="48" t="s">
        <v>132</v>
      </c>
      <c r="C8" s="48" t="s">
        <v>133</v>
      </c>
      <c r="D8" s="48"/>
      <c r="E8" s="48"/>
      <c r="F8" s="48" t="s">
        <v>88</v>
      </c>
      <c r="G8" s="48">
        <v>5</v>
      </c>
      <c r="H8" s="48"/>
      <c r="I8" s="48"/>
      <c r="J8" s="61"/>
      <c r="K8" s="62">
        <f t="shared" si="0"/>
        <v>596100</v>
      </c>
      <c r="L8" s="63">
        <v>727100</v>
      </c>
      <c r="M8" s="105">
        <v>627100</v>
      </c>
      <c r="N8" s="102"/>
      <c r="O8" s="66"/>
      <c r="P8" s="66"/>
      <c r="Q8" s="66"/>
      <c r="R8" s="66"/>
    </row>
    <row r="9" spans="1:18" ht="20.100000000000001" customHeight="1" x14ac:dyDescent="0.3">
      <c r="A9" s="60" t="s">
        <v>131</v>
      </c>
      <c r="B9" s="48" t="s">
        <v>132</v>
      </c>
      <c r="C9" s="48" t="s">
        <v>133</v>
      </c>
      <c r="D9" s="48"/>
      <c r="E9" s="48"/>
      <c r="F9" s="48" t="s">
        <v>89</v>
      </c>
      <c r="G9" s="48">
        <v>5</v>
      </c>
      <c r="H9" s="48"/>
      <c r="I9" s="48"/>
      <c r="J9" s="61"/>
      <c r="K9" s="62">
        <f t="shared" si="0"/>
        <v>581220</v>
      </c>
      <c r="L9" s="63">
        <v>712220</v>
      </c>
      <c r="M9" s="105">
        <v>612220</v>
      </c>
      <c r="N9" s="102"/>
      <c r="O9" s="37"/>
      <c r="P9" s="37" t="s">
        <v>34</v>
      </c>
      <c r="Q9" s="37" t="s">
        <v>37</v>
      </c>
      <c r="R9" s="3"/>
    </row>
    <row r="10" spans="1:18" ht="20.100000000000001" customHeight="1" x14ac:dyDescent="0.3">
      <c r="A10" s="60" t="s">
        <v>131</v>
      </c>
      <c r="B10" s="48" t="s">
        <v>132</v>
      </c>
      <c r="C10" s="48" t="s">
        <v>133</v>
      </c>
      <c r="D10" s="48"/>
      <c r="E10" s="48"/>
      <c r="F10" s="48" t="s">
        <v>90</v>
      </c>
      <c r="G10" s="48">
        <v>4</v>
      </c>
      <c r="H10" s="48"/>
      <c r="I10" s="48"/>
      <c r="J10" s="61"/>
      <c r="K10" s="62">
        <f t="shared" si="0"/>
        <v>480600</v>
      </c>
      <c r="L10" s="63">
        <v>585400</v>
      </c>
      <c r="M10" s="105">
        <v>505400</v>
      </c>
      <c r="N10" s="102"/>
      <c r="O10" s="66"/>
      <c r="P10" s="66" t="s">
        <v>36</v>
      </c>
      <c r="Q10" s="66"/>
      <c r="R10" s="66"/>
    </row>
    <row r="11" spans="1:18" ht="20.100000000000001" customHeight="1" x14ac:dyDescent="0.3">
      <c r="A11" s="60" t="s">
        <v>131</v>
      </c>
      <c r="B11" s="48" t="s">
        <v>132</v>
      </c>
      <c r="C11" s="48" t="s">
        <v>133</v>
      </c>
      <c r="D11" s="48"/>
      <c r="E11" s="48"/>
      <c r="F11" s="48" t="s">
        <v>91</v>
      </c>
      <c r="G11" s="48">
        <v>4</v>
      </c>
      <c r="H11" s="48"/>
      <c r="I11" s="48"/>
      <c r="J11" s="61"/>
      <c r="K11" s="62">
        <f t="shared" si="0"/>
        <v>489900</v>
      </c>
      <c r="L11" s="63">
        <v>594700</v>
      </c>
      <c r="M11" s="105">
        <v>514700</v>
      </c>
      <c r="N11" s="102"/>
    </row>
    <row r="12" spans="1:18" ht="20.100000000000001" customHeight="1" x14ac:dyDescent="0.3">
      <c r="A12" s="60" t="s">
        <v>131</v>
      </c>
      <c r="B12" s="48" t="s">
        <v>132</v>
      </c>
      <c r="C12" s="48" t="s">
        <v>133</v>
      </c>
      <c r="D12" s="48"/>
      <c r="E12" s="48"/>
      <c r="F12" s="48" t="s">
        <v>92</v>
      </c>
      <c r="G12" s="48">
        <v>4</v>
      </c>
      <c r="H12" s="48"/>
      <c r="I12" s="48"/>
      <c r="J12" s="61"/>
      <c r="K12" s="62">
        <f t="shared" si="0"/>
        <v>464480</v>
      </c>
      <c r="L12" s="63">
        <v>569280</v>
      </c>
      <c r="M12" s="105">
        <v>489280</v>
      </c>
      <c r="N12" s="102"/>
      <c r="P12" t="s">
        <v>38</v>
      </c>
    </row>
    <row r="13" spans="1:18" ht="20.100000000000001" customHeight="1" x14ac:dyDescent="0.3">
      <c r="A13" s="60" t="s">
        <v>131</v>
      </c>
      <c r="B13" s="48" t="s">
        <v>132</v>
      </c>
      <c r="C13" s="48" t="s">
        <v>133</v>
      </c>
      <c r="D13" s="48"/>
      <c r="E13" s="48"/>
      <c r="F13" s="48" t="s">
        <v>93</v>
      </c>
      <c r="G13" s="48">
        <v>5</v>
      </c>
      <c r="H13" s="48"/>
      <c r="I13" s="48"/>
      <c r="J13" s="61"/>
      <c r="K13" s="62">
        <f t="shared" si="0"/>
        <v>591760</v>
      </c>
      <c r="L13" s="63">
        <v>722760</v>
      </c>
      <c r="M13" s="105">
        <v>622760</v>
      </c>
      <c r="N13" s="102"/>
      <c r="O13" s="66"/>
      <c r="P13" s="66"/>
      <c r="Q13" s="66"/>
      <c r="R13" s="66"/>
    </row>
    <row r="14" spans="1:18" ht="20.100000000000001" customHeight="1" x14ac:dyDescent="0.3">
      <c r="A14" s="60" t="s">
        <v>131</v>
      </c>
      <c r="B14" s="48" t="s">
        <v>132</v>
      </c>
      <c r="C14" s="48" t="s">
        <v>133</v>
      </c>
      <c r="D14" s="48"/>
      <c r="E14" s="48"/>
      <c r="F14" s="48" t="s">
        <v>94</v>
      </c>
      <c r="G14" s="48">
        <v>1</v>
      </c>
      <c r="H14" s="48"/>
      <c r="I14" s="48"/>
      <c r="J14" s="61"/>
      <c r="K14" s="62">
        <f t="shared" si="0"/>
        <v>118600</v>
      </c>
      <c r="L14" s="63">
        <v>144800</v>
      </c>
      <c r="M14" s="105">
        <v>124800</v>
      </c>
      <c r="N14" s="102"/>
    </row>
    <row r="15" spans="1:18" ht="20.100000000000001" customHeight="1" x14ac:dyDescent="0.3">
      <c r="A15" s="60" t="s">
        <v>131</v>
      </c>
      <c r="B15" s="48" t="s">
        <v>132</v>
      </c>
      <c r="C15" s="48" t="s">
        <v>133</v>
      </c>
      <c r="D15" s="48"/>
      <c r="E15" s="48"/>
      <c r="F15" s="48" t="s">
        <v>95</v>
      </c>
      <c r="G15" s="48">
        <v>4</v>
      </c>
      <c r="H15" s="48"/>
      <c r="I15" s="48"/>
      <c r="J15" s="61"/>
      <c r="K15" s="62">
        <f t="shared" si="0"/>
        <v>562000</v>
      </c>
      <c r="L15" s="63">
        <v>686800</v>
      </c>
      <c r="M15" s="105">
        <v>586800</v>
      </c>
      <c r="N15" s="102"/>
    </row>
    <row r="16" spans="1:18" ht="20.100000000000001" customHeight="1" x14ac:dyDescent="0.3">
      <c r="A16" s="60" t="s">
        <v>131</v>
      </c>
      <c r="B16" s="48" t="s">
        <v>132</v>
      </c>
      <c r="C16" s="48" t="s">
        <v>133</v>
      </c>
      <c r="D16" s="48"/>
      <c r="E16" s="48"/>
      <c r="F16" s="48" t="s">
        <v>96</v>
      </c>
      <c r="G16" s="48">
        <v>4</v>
      </c>
      <c r="H16" s="48"/>
      <c r="I16" s="48"/>
      <c r="J16" s="61"/>
      <c r="K16" s="62">
        <f t="shared" si="0"/>
        <v>588660</v>
      </c>
      <c r="L16" s="63">
        <v>713460</v>
      </c>
      <c r="M16" s="105">
        <v>613460</v>
      </c>
      <c r="N16" s="102"/>
    </row>
    <row r="17" spans="1:14" ht="20.100000000000001" customHeight="1" x14ac:dyDescent="0.3">
      <c r="A17" s="60" t="s">
        <v>131</v>
      </c>
      <c r="B17" s="48" t="s">
        <v>132</v>
      </c>
      <c r="C17" s="48" t="s">
        <v>133</v>
      </c>
      <c r="D17" s="48"/>
      <c r="E17" s="48"/>
      <c r="F17" s="48" t="s">
        <v>97</v>
      </c>
      <c r="G17" s="48">
        <v>1</v>
      </c>
      <c r="H17" s="48"/>
      <c r="I17" s="48"/>
      <c r="J17" s="61"/>
      <c r="K17" s="62">
        <f t="shared" si="0"/>
        <v>117980</v>
      </c>
      <c r="L17" s="63">
        <v>144180</v>
      </c>
      <c r="M17" s="105">
        <v>124180</v>
      </c>
      <c r="N17" s="102"/>
    </row>
    <row r="18" spans="1:14" ht="20.100000000000001" customHeight="1" x14ac:dyDescent="0.3">
      <c r="A18" s="60" t="s">
        <v>131</v>
      </c>
      <c r="B18" s="48" t="s">
        <v>132</v>
      </c>
      <c r="C18" s="48" t="s">
        <v>133</v>
      </c>
      <c r="D18" s="48"/>
      <c r="E18" s="48"/>
      <c r="F18" s="48" t="s">
        <v>98</v>
      </c>
      <c r="G18" s="48">
        <v>0</v>
      </c>
      <c r="H18" s="48"/>
      <c r="I18" s="48"/>
      <c r="J18" s="61"/>
      <c r="K18" s="62">
        <f t="shared" si="0"/>
        <v>98760</v>
      </c>
      <c r="L18" s="63">
        <v>118760</v>
      </c>
      <c r="M18" s="105">
        <v>98760</v>
      </c>
      <c r="N18" s="102"/>
    </row>
    <row r="19" spans="1:14" ht="20.100000000000001" customHeight="1" x14ac:dyDescent="0.3">
      <c r="A19" s="60" t="s">
        <v>131</v>
      </c>
      <c r="B19" s="48" t="s">
        <v>132</v>
      </c>
      <c r="C19" s="48" t="s">
        <v>133</v>
      </c>
      <c r="D19" s="48"/>
      <c r="E19" s="48"/>
      <c r="F19" s="48" t="s">
        <v>99</v>
      </c>
      <c r="G19" s="48">
        <v>1</v>
      </c>
      <c r="H19" s="48"/>
      <c r="I19" s="48"/>
      <c r="J19" s="61"/>
      <c r="K19" s="62">
        <f t="shared" si="0"/>
        <v>126040</v>
      </c>
      <c r="L19" s="63">
        <v>152240</v>
      </c>
      <c r="M19" s="105">
        <v>132240</v>
      </c>
      <c r="N19" s="102"/>
    </row>
    <row r="20" spans="1:14" ht="20.100000000000001" customHeight="1" x14ac:dyDescent="0.3">
      <c r="A20" s="60" t="s">
        <v>131</v>
      </c>
      <c r="B20" s="48" t="s">
        <v>132</v>
      </c>
      <c r="C20" s="48" t="s">
        <v>133</v>
      </c>
      <c r="D20" s="48"/>
      <c r="E20" s="48"/>
      <c r="F20" s="48" t="s">
        <v>100</v>
      </c>
      <c r="G20" s="48">
        <v>1</v>
      </c>
      <c r="H20" s="48"/>
      <c r="I20" s="48"/>
      <c r="J20" s="61"/>
      <c r="K20" s="62">
        <f t="shared" si="0"/>
        <v>102480</v>
      </c>
      <c r="L20" s="63">
        <v>128680</v>
      </c>
      <c r="M20" s="105">
        <v>108680</v>
      </c>
      <c r="N20" s="102"/>
    </row>
    <row r="21" spans="1:14" ht="20.100000000000001" customHeight="1" x14ac:dyDescent="0.3">
      <c r="A21" s="60" t="s">
        <v>131</v>
      </c>
      <c r="B21" s="48" t="s">
        <v>132</v>
      </c>
      <c r="C21" s="48" t="s">
        <v>133</v>
      </c>
      <c r="D21" s="48"/>
      <c r="E21" s="48"/>
      <c r="F21" s="48" t="s">
        <v>101</v>
      </c>
      <c r="G21" s="48">
        <v>1</v>
      </c>
      <c r="H21" s="48"/>
      <c r="I21" s="48"/>
      <c r="J21" s="61"/>
      <c r="K21" s="62">
        <f t="shared" si="0"/>
        <v>134100</v>
      </c>
      <c r="L21" s="63">
        <v>160300</v>
      </c>
      <c r="M21" s="105">
        <v>140300</v>
      </c>
      <c r="N21" s="102"/>
    </row>
    <row r="22" spans="1:14" ht="20.100000000000001" customHeight="1" x14ac:dyDescent="0.3">
      <c r="A22" s="60" t="s">
        <v>131</v>
      </c>
      <c r="B22" s="48" t="s">
        <v>132</v>
      </c>
      <c r="C22" s="48" t="s">
        <v>133</v>
      </c>
      <c r="D22" s="48"/>
      <c r="E22" s="48"/>
      <c r="F22" s="48" t="s">
        <v>102</v>
      </c>
      <c r="G22" s="48">
        <v>2</v>
      </c>
      <c r="H22" s="48"/>
      <c r="I22" s="48"/>
      <c r="J22" s="61"/>
      <c r="K22" s="62">
        <f t="shared" si="0"/>
        <v>337820</v>
      </c>
      <c r="L22" s="63">
        <v>410220</v>
      </c>
      <c r="M22" s="105">
        <v>350220</v>
      </c>
      <c r="N22" s="102"/>
    </row>
    <row r="23" spans="1:14" ht="20.100000000000001" customHeight="1" x14ac:dyDescent="0.3">
      <c r="A23" s="60" t="s">
        <v>131</v>
      </c>
      <c r="B23" s="48" t="s">
        <v>132</v>
      </c>
      <c r="C23" s="48" t="s">
        <v>133</v>
      </c>
      <c r="D23" s="48"/>
      <c r="E23" s="48"/>
      <c r="F23" s="48" t="s">
        <v>103</v>
      </c>
      <c r="G23" s="48">
        <v>4</v>
      </c>
      <c r="H23" s="48"/>
      <c r="I23" s="48"/>
      <c r="J23" s="61"/>
      <c r="K23" s="62">
        <f t="shared" si="0"/>
        <v>571920</v>
      </c>
      <c r="L23" s="63">
        <v>696720</v>
      </c>
      <c r="M23" s="105">
        <v>596720</v>
      </c>
      <c r="N23" s="102"/>
    </row>
    <row r="24" spans="1:14" ht="20.100000000000001" customHeight="1" x14ac:dyDescent="0.3">
      <c r="A24" s="60" t="s">
        <v>131</v>
      </c>
      <c r="B24" s="48" t="s">
        <v>132</v>
      </c>
      <c r="C24" s="48" t="s">
        <v>133</v>
      </c>
      <c r="D24" s="48"/>
      <c r="E24" s="48"/>
      <c r="F24" s="48" t="s">
        <v>104</v>
      </c>
      <c r="G24" s="48">
        <v>1</v>
      </c>
      <c r="H24" s="48"/>
      <c r="I24" s="48"/>
      <c r="J24" s="61"/>
      <c r="K24" s="62">
        <f t="shared" si="0"/>
        <v>125420</v>
      </c>
      <c r="L24" s="63">
        <v>151620</v>
      </c>
      <c r="M24" s="105">
        <v>131620</v>
      </c>
      <c r="N24" s="102"/>
    </row>
    <row r="25" spans="1:14" ht="20.100000000000001" customHeight="1" x14ac:dyDescent="0.3">
      <c r="A25" s="60" t="s">
        <v>131</v>
      </c>
      <c r="B25" s="48" t="s">
        <v>132</v>
      </c>
      <c r="C25" s="48" t="s">
        <v>133</v>
      </c>
      <c r="D25" s="48"/>
      <c r="E25" s="48"/>
      <c r="F25" s="48" t="s">
        <v>105</v>
      </c>
      <c r="G25" s="48">
        <v>2</v>
      </c>
      <c r="H25" s="48"/>
      <c r="I25" s="48"/>
      <c r="J25" s="61"/>
      <c r="K25" s="62">
        <f t="shared" si="0"/>
        <v>229140</v>
      </c>
      <c r="L25" s="63">
        <v>281540</v>
      </c>
      <c r="M25" s="105">
        <v>241540</v>
      </c>
      <c r="N25" s="102"/>
    </row>
    <row r="26" spans="1:14" ht="20.100000000000001" customHeight="1" x14ac:dyDescent="0.3">
      <c r="A26" s="60" t="s">
        <v>131</v>
      </c>
      <c r="B26" s="48" t="s">
        <v>132</v>
      </c>
      <c r="C26" s="48" t="s">
        <v>133</v>
      </c>
      <c r="D26" s="48"/>
      <c r="E26" s="48"/>
      <c r="F26" s="48" t="s">
        <v>106</v>
      </c>
      <c r="G26" s="48">
        <v>4</v>
      </c>
      <c r="H26" s="48"/>
      <c r="I26" s="48"/>
      <c r="J26" s="61"/>
      <c r="K26" s="62">
        <f t="shared" si="0"/>
        <v>501680</v>
      </c>
      <c r="L26" s="63">
        <v>606480</v>
      </c>
      <c r="M26" s="105">
        <v>526480</v>
      </c>
      <c r="N26" s="102"/>
    </row>
    <row r="27" spans="1:14" ht="20.100000000000001" customHeight="1" x14ac:dyDescent="0.3">
      <c r="A27" s="60" t="s">
        <v>131</v>
      </c>
      <c r="B27" s="48" t="s">
        <v>132</v>
      </c>
      <c r="C27" s="48" t="s">
        <v>133</v>
      </c>
      <c r="D27" s="48"/>
      <c r="E27" s="48"/>
      <c r="F27" s="48" t="s">
        <v>107</v>
      </c>
      <c r="G27" s="48">
        <v>1</v>
      </c>
      <c r="H27" s="48"/>
      <c r="I27" s="48"/>
      <c r="J27" s="61"/>
      <c r="K27" s="62">
        <f t="shared" si="0"/>
        <v>114880</v>
      </c>
      <c r="L27" s="63">
        <v>141080</v>
      </c>
      <c r="M27" s="105">
        <v>121080</v>
      </c>
      <c r="N27" s="102"/>
    </row>
    <row r="28" spans="1:14" ht="20.100000000000001" customHeight="1" x14ac:dyDescent="0.3">
      <c r="A28" s="60" t="s">
        <v>131</v>
      </c>
      <c r="B28" s="48" t="s">
        <v>132</v>
      </c>
      <c r="C28" s="48" t="s">
        <v>133</v>
      </c>
      <c r="D28" s="48"/>
      <c r="E28" s="48"/>
      <c r="F28" s="48" t="s">
        <v>108</v>
      </c>
      <c r="G28" s="48">
        <v>1</v>
      </c>
      <c r="H28" s="48"/>
      <c r="I28" s="48"/>
      <c r="J28" s="61"/>
      <c r="K28" s="62">
        <f t="shared" si="0"/>
        <v>112400</v>
      </c>
      <c r="L28" s="63">
        <v>138600</v>
      </c>
      <c r="M28" s="105">
        <v>118600</v>
      </c>
      <c r="N28" s="102"/>
    </row>
    <row r="29" spans="1:14" ht="20.100000000000001" customHeight="1" x14ac:dyDescent="0.3">
      <c r="A29" s="60" t="s">
        <v>131</v>
      </c>
      <c r="B29" s="48" t="s">
        <v>132</v>
      </c>
      <c r="C29" s="48" t="s">
        <v>133</v>
      </c>
      <c r="D29" s="48"/>
      <c r="E29" s="48"/>
      <c r="F29" s="48" t="s">
        <v>109</v>
      </c>
      <c r="G29" s="48">
        <v>1</v>
      </c>
      <c r="H29" s="48"/>
      <c r="I29" s="48"/>
      <c r="J29" s="61"/>
      <c r="K29" s="62">
        <f t="shared" si="0"/>
        <v>106200</v>
      </c>
      <c r="L29" s="63">
        <v>132400</v>
      </c>
      <c r="M29" s="105">
        <v>112400</v>
      </c>
      <c r="N29" s="102"/>
    </row>
    <row r="30" spans="1:14" ht="20.100000000000001" customHeight="1" x14ac:dyDescent="0.3">
      <c r="A30" s="60" t="s">
        <v>131</v>
      </c>
      <c r="B30" s="48" t="s">
        <v>132</v>
      </c>
      <c r="C30" s="48" t="s">
        <v>133</v>
      </c>
      <c r="D30" s="48"/>
      <c r="E30" s="48"/>
      <c r="F30" s="48" t="s">
        <v>110</v>
      </c>
      <c r="G30" s="48">
        <v>2</v>
      </c>
      <c r="H30" s="48"/>
      <c r="I30" s="48"/>
      <c r="J30" s="61"/>
      <c r="K30" s="62">
        <f t="shared" si="0"/>
        <v>245880</v>
      </c>
      <c r="L30" s="63">
        <v>298280</v>
      </c>
      <c r="M30" s="105">
        <v>258280</v>
      </c>
      <c r="N30" s="102"/>
    </row>
    <row r="31" spans="1:14" ht="20.100000000000001" customHeight="1" x14ac:dyDescent="0.3">
      <c r="A31" s="60" t="s">
        <v>131</v>
      </c>
      <c r="B31" s="48" t="s">
        <v>132</v>
      </c>
      <c r="C31" s="48" t="s">
        <v>133</v>
      </c>
      <c r="D31" s="48"/>
      <c r="E31" s="48"/>
      <c r="F31" s="48" t="s">
        <v>111</v>
      </c>
      <c r="G31" s="48">
        <v>1</v>
      </c>
      <c r="H31" s="48"/>
      <c r="I31" s="48"/>
      <c r="J31" s="61"/>
      <c r="K31" s="62">
        <f t="shared" si="0"/>
        <v>106200</v>
      </c>
      <c r="L31" s="63">
        <v>132400</v>
      </c>
      <c r="M31" s="105">
        <v>112400</v>
      </c>
      <c r="N31" s="102"/>
    </row>
    <row r="32" spans="1:14" ht="20.100000000000001" customHeight="1" x14ac:dyDescent="0.3">
      <c r="A32" s="60" t="s">
        <v>131</v>
      </c>
      <c r="B32" s="48" t="s">
        <v>132</v>
      </c>
      <c r="C32" s="48" t="s">
        <v>133</v>
      </c>
      <c r="D32" s="48"/>
      <c r="E32" s="48"/>
      <c r="F32" s="48" t="s">
        <v>112</v>
      </c>
      <c r="G32" s="48">
        <v>0</v>
      </c>
      <c r="H32" s="48"/>
      <c r="I32" s="48"/>
      <c r="J32" s="61"/>
      <c r="K32" s="62">
        <f t="shared" si="0"/>
        <v>75200</v>
      </c>
      <c r="L32" s="63">
        <v>95200</v>
      </c>
      <c r="M32" s="105">
        <v>75200</v>
      </c>
      <c r="N32" s="102"/>
    </row>
    <row r="33" spans="1:18" ht="20.100000000000001" customHeight="1" x14ac:dyDescent="0.3">
      <c r="A33" s="60" t="s">
        <v>131</v>
      </c>
      <c r="B33" s="48" t="s">
        <v>132</v>
      </c>
      <c r="C33" s="48" t="s">
        <v>133</v>
      </c>
      <c r="D33" s="48"/>
      <c r="E33" s="48"/>
      <c r="F33" s="48" t="s">
        <v>113</v>
      </c>
      <c r="G33" s="48">
        <v>0</v>
      </c>
      <c r="H33" s="48"/>
      <c r="I33" s="48"/>
      <c r="J33" s="61"/>
      <c r="K33" s="62">
        <f t="shared" si="0"/>
        <v>93800</v>
      </c>
      <c r="L33" s="63">
        <v>113800</v>
      </c>
      <c r="M33" s="105">
        <v>93800</v>
      </c>
      <c r="N33" s="102"/>
    </row>
    <row r="34" spans="1:18" ht="20.100000000000001" customHeight="1" x14ac:dyDescent="0.3">
      <c r="A34" s="60" t="s">
        <v>131</v>
      </c>
      <c r="B34" s="48" t="s">
        <v>132</v>
      </c>
      <c r="C34" s="48" t="s">
        <v>133</v>
      </c>
      <c r="D34" s="48"/>
      <c r="E34" s="48"/>
      <c r="F34" s="48" t="s">
        <v>114</v>
      </c>
      <c r="G34" s="48">
        <v>1</v>
      </c>
      <c r="H34" s="48"/>
      <c r="I34" s="48"/>
      <c r="J34" s="61"/>
      <c r="K34" s="62">
        <f t="shared" si="0"/>
        <v>106200</v>
      </c>
      <c r="L34" s="63">
        <v>132400</v>
      </c>
      <c r="M34" s="105">
        <v>112400</v>
      </c>
      <c r="N34" s="102"/>
    </row>
    <row r="35" spans="1:18" ht="20.100000000000001" customHeight="1" x14ac:dyDescent="0.3">
      <c r="A35" s="60" t="s">
        <v>131</v>
      </c>
      <c r="B35" s="48" t="s">
        <v>132</v>
      </c>
      <c r="C35" s="48" t="s">
        <v>133</v>
      </c>
      <c r="D35" s="48"/>
      <c r="E35" s="48"/>
      <c r="F35" s="48" t="s">
        <v>115</v>
      </c>
      <c r="G35" s="48">
        <v>0</v>
      </c>
      <c r="H35" s="48"/>
      <c r="I35" s="48"/>
      <c r="J35" s="61"/>
      <c r="K35" s="62">
        <f t="shared" si="0"/>
        <v>87600</v>
      </c>
      <c r="L35" s="63">
        <v>107600</v>
      </c>
      <c r="M35" s="105">
        <v>87600</v>
      </c>
      <c r="N35" s="102"/>
    </row>
    <row r="36" spans="1:18" ht="20.100000000000001" customHeight="1" x14ac:dyDescent="0.3">
      <c r="A36" s="60" t="s">
        <v>131</v>
      </c>
      <c r="B36" s="48" t="s">
        <v>132</v>
      </c>
      <c r="C36" s="48" t="s">
        <v>133</v>
      </c>
      <c r="D36" s="48"/>
      <c r="E36" s="48"/>
      <c r="F36" s="48" t="s">
        <v>116</v>
      </c>
      <c r="G36" s="48">
        <v>3</v>
      </c>
      <c r="H36" s="48"/>
      <c r="I36" s="48"/>
      <c r="J36" s="61"/>
      <c r="K36" s="62">
        <f t="shared" si="0"/>
        <v>342780.00000000006</v>
      </c>
      <c r="L36" s="63">
        <v>421380.00000000006</v>
      </c>
      <c r="M36" s="105">
        <v>361380.00000000006</v>
      </c>
      <c r="N36" s="102"/>
    </row>
    <row r="37" spans="1:18" ht="20.100000000000001" customHeight="1" x14ac:dyDescent="0.3">
      <c r="A37" s="60" t="s">
        <v>131</v>
      </c>
      <c r="B37" s="48" t="s">
        <v>132</v>
      </c>
      <c r="C37" s="48" t="s">
        <v>133</v>
      </c>
      <c r="D37" s="48"/>
      <c r="E37" s="48"/>
      <c r="F37" s="48" t="s">
        <v>117</v>
      </c>
      <c r="G37" s="48">
        <v>1</v>
      </c>
      <c r="H37" s="48"/>
      <c r="I37" s="48"/>
      <c r="J37" s="61"/>
      <c r="K37" s="62">
        <f t="shared" si="0"/>
        <v>100000</v>
      </c>
      <c r="L37" s="63">
        <v>126200</v>
      </c>
      <c r="M37" s="105">
        <v>106200</v>
      </c>
      <c r="N37" s="102"/>
    </row>
    <row r="38" spans="1:18" ht="20.100000000000001" customHeight="1" x14ac:dyDescent="0.3">
      <c r="A38" s="60" t="s">
        <v>131</v>
      </c>
      <c r="B38" s="48" t="s">
        <v>132</v>
      </c>
      <c r="C38" s="48" t="s">
        <v>133</v>
      </c>
      <c r="D38" s="48"/>
      <c r="E38" s="48"/>
      <c r="F38" s="48" t="s">
        <v>118</v>
      </c>
      <c r="G38" s="48">
        <v>0</v>
      </c>
      <c r="H38" s="48"/>
      <c r="I38" s="48"/>
      <c r="J38" s="61"/>
      <c r="K38" s="62">
        <f t="shared" si="0"/>
        <v>87600</v>
      </c>
      <c r="L38" s="63">
        <v>107600</v>
      </c>
      <c r="M38" s="105">
        <v>87600</v>
      </c>
      <c r="N38" s="102"/>
    </row>
    <row r="39" spans="1:18" ht="20.100000000000001" customHeight="1" x14ac:dyDescent="0.3">
      <c r="A39" s="60" t="s">
        <v>131</v>
      </c>
      <c r="B39" s="48" t="s">
        <v>132</v>
      </c>
      <c r="C39" s="48" t="s">
        <v>133</v>
      </c>
      <c r="D39" s="48"/>
      <c r="E39" s="48"/>
      <c r="F39" s="48" t="s">
        <v>119</v>
      </c>
      <c r="G39" s="48">
        <v>2</v>
      </c>
      <c r="H39" s="48"/>
      <c r="I39" s="48"/>
      <c r="J39" s="61"/>
      <c r="K39" s="62">
        <f t="shared" si="0"/>
        <v>244020</v>
      </c>
      <c r="L39" s="63">
        <v>296420</v>
      </c>
      <c r="M39" s="105">
        <v>256420</v>
      </c>
      <c r="N39" s="102"/>
      <c r="O39" s="66"/>
      <c r="P39" s="66"/>
      <c r="Q39" s="66"/>
      <c r="R39" s="66"/>
    </row>
    <row r="40" spans="1:18" ht="20.100000000000001" customHeight="1" x14ac:dyDescent="0.3">
      <c r="A40" s="60" t="s">
        <v>131</v>
      </c>
      <c r="B40" s="48" t="s">
        <v>132</v>
      </c>
      <c r="C40" s="48" t="s">
        <v>133</v>
      </c>
      <c r="D40" s="48"/>
      <c r="E40" s="48"/>
      <c r="F40" s="48" t="s">
        <v>120</v>
      </c>
      <c r="G40" s="48">
        <v>2</v>
      </c>
      <c r="H40" s="48"/>
      <c r="I40" s="48"/>
      <c r="J40" s="61"/>
      <c r="K40" s="62">
        <f t="shared" si="0"/>
        <v>225420</v>
      </c>
      <c r="L40" s="63">
        <v>277820</v>
      </c>
      <c r="M40" s="105">
        <v>237820</v>
      </c>
      <c r="N40" s="102"/>
    </row>
    <row r="41" spans="1:18" ht="20.100000000000001" customHeight="1" x14ac:dyDescent="0.3">
      <c r="A41" s="60" t="s">
        <v>131</v>
      </c>
      <c r="B41" s="48" t="s">
        <v>132</v>
      </c>
      <c r="C41" s="48" t="s">
        <v>133</v>
      </c>
      <c r="D41" s="48"/>
      <c r="E41" s="48"/>
      <c r="F41" s="48" t="s">
        <v>121</v>
      </c>
      <c r="G41" s="48">
        <v>2</v>
      </c>
      <c r="H41" s="48"/>
      <c r="I41" s="48"/>
      <c r="J41" s="61"/>
      <c r="K41" s="62">
        <f t="shared" si="0"/>
        <v>222320</v>
      </c>
      <c r="L41" s="63">
        <v>274720</v>
      </c>
      <c r="M41" s="105">
        <v>234720</v>
      </c>
      <c r="N41" s="102"/>
    </row>
    <row r="42" spans="1:18" ht="20.100000000000001" customHeight="1" x14ac:dyDescent="0.3">
      <c r="A42" s="60" t="s">
        <v>131</v>
      </c>
      <c r="B42" s="48" t="s">
        <v>132</v>
      </c>
      <c r="C42" s="48" t="s">
        <v>133</v>
      </c>
      <c r="D42" s="48"/>
      <c r="E42" s="48"/>
      <c r="F42" s="48" t="s">
        <v>122</v>
      </c>
      <c r="G42" s="48">
        <v>1</v>
      </c>
      <c r="H42" s="48"/>
      <c r="I42" s="48"/>
      <c r="J42" s="61"/>
      <c r="K42" s="62">
        <f t="shared" si="0"/>
        <v>214260</v>
      </c>
      <c r="L42" s="63">
        <v>260460</v>
      </c>
      <c r="M42" s="105">
        <v>220460</v>
      </c>
      <c r="N42" s="102"/>
      <c r="O42" s="66"/>
      <c r="P42" s="66"/>
      <c r="Q42" s="66"/>
      <c r="R42" s="66"/>
    </row>
    <row r="43" spans="1:18" ht="20.100000000000001" customHeight="1" x14ac:dyDescent="0.3">
      <c r="A43" s="60" t="s">
        <v>131</v>
      </c>
      <c r="B43" s="48" t="s">
        <v>132</v>
      </c>
      <c r="C43" s="48" t="s">
        <v>133</v>
      </c>
      <c r="D43" s="48"/>
      <c r="E43" s="48"/>
      <c r="F43" s="48" t="s">
        <v>123</v>
      </c>
      <c r="G43" s="48">
        <v>1</v>
      </c>
      <c r="H43" s="48"/>
      <c r="I43" s="48"/>
      <c r="J43" s="61"/>
      <c r="K43" s="62">
        <f t="shared" si="0"/>
        <v>209920</v>
      </c>
      <c r="L43" s="63">
        <v>256120</v>
      </c>
      <c r="M43" s="105">
        <v>216120</v>
      </c>
      <c r="N43" s="102"/>
    </row>
    <row r="44" spans="1:18" ht="20.100000000000001" customHeight="1" x14ac:dyDescent="0.3">
      <c r="A44" s="60" t="s">
        <v>131</v>
      </c>
      <c r="B44" s="48" t="s">
        <v>132</v>
      </c>
      <c r="C44" s="48" t="s">
        <v>133</v>
      </c>
      <c r="D44" s="48"/>
      <c r="E44" s="48"/>
      <c r="F44" s="48" t="s">
        <v>124</v>
      </c>
      <c r="G44" s="48">
        <v>1</v>
      </c>
      <c r="H44" s="48"/>
      <c r="I44" s="48"/>
      <c r="J44" s="61"/>
      <c r="K44" s="62">
        <f t="shared" si="0"/>
        <v>107440</v>
      </c>
      <c r="L44" s="63">
        <v>133640</v>
      </c>
      <c r="M44" s="105">
        <v>113640</v>
      </c>
      <c r="N44" s="102"/>
    </row>
    <row r="45" spans="1:18" ht="20.100000000000001" customHeight="1" x14ac:dyDescent="0.3">
      <c r="A45" s="60" t="s">
        <v>131</v>
      </c>
      <c r="B45" s="48" t="s">
        <v>132</v>
      </c>
      <c r="C45" s="48" t="s">
        <v>133</v>
      </c>
      <c r="D45" s="48"/>
      <c r="E45" s="48"/>
      <c r="F45" s="48" t="s">
        <v>125</v>
      </c>
      <c r="G45" s="48">
        <v>1</v>
      </c>
      <c r="H45" s="48"/>
      <c r="I45" s="48"/>
      <c r="J45" s="61"/>
      <c r="K45" s="62">
        <f t="shared" si="0"/>
        <v>219840</v>
      </c>
      <c r="L45" s="63">
        <v>266040</v>
      </c>
      <c r="M45" s="105">
        <v>226040</v>
      </c>
      <c r="N45" s="102"/>
      <c r="O45" s="66"/>
      <c r="P45" s="66"/>
      <c r="Q45" s="66"/>
      <c r="R45" s="66"/>
    </row>
    <row r="46" spans="1:18" ht="20.100000000000001" customHeight="1" x14ac:dyDescent="0.3">
      <c r="A46" s="60" t="s">
        <v>131</v>
      </c>
      <c r="B46" s="48" t="s">
        <v>132</v>
      </c>
      <c r="C46" s="48" t="s">
        <v>133</v>
      </c>
      <c r="D46" s="48"/>
      <c r="E46" s="48"/>
      <c r="F46" s="48" t="s">
        <v>126</v>
      </c>
      <c r="G46" s="48">
        <v>2</v>
      </c>
      <c r="H46" s="48"/>
      <c r="I46" s="48"/>
      <c r="J46" s="61"/>
      <c r="K46" s="62">
        <f t="shared" si="0"/>
        <v>226040</v>
      </c>
      <c r="L46" s="63">
        <v>278440</v>
      </c>
      <c r="M46" s="105">
        <v>238440</v>
      </c>
      <c r="N46" s="102"/>
    </row>
    <row r="47" spans="1:18" ht="20.100000000000001" customHeight="1" x14ac:dyDescent="0.3">
      <c r="A47" s="60" t="s">
        <v>131</v>
      </c>
      <c r="B47" s="48" t="s">
        <v>132</v>
      </c>
      <c r="C47" s="48" t="s">
        <v>133</v>
      </c>
      <c r="D47" s="48"/>
      <c r="E47" s="48"/>
      <c r="F47" s="48" t="s">
        <v>127</v>
      </c>
      <c r="G47" s="48">
        <v>2</v>
      </c>
      <c r="H47" s="48"/>
      <c r="I47" s="48"/>
      <c r="J47" s="61"/>
      <c r="K47" s="62">
        <f t="shared" si="0"/>
        <v>204340</v>
      </c>
      <c r="L47" s="63">
        <v>256740</v>
      </c>
      <c r="M47" s="105">
        <v>216740</v>
      </c>
      <c r="N47" s="102"/>
    </row>
    <row r="48" spans="1:18" ht="20.100000000000001" customHeight="1" x14ac:dyDescent="0.3">
      <c r="A48" s="60" t="s">
        <v>131</v>
      </c>
      <c r="B48" s="48" t="s">
        <v>132</v>
      </c>
      <c r="C48" s="48" t="s">
        <v>133</v>
      </c>
      <c r="D48" s="48"/>
      <c r="E48" s="48"/>
      <c r="F48" s="48" t="s">
        <v>128</v>
      </c>
      <c r="G48" s="48">
        <v>1</v>
      </c>
      <c r="H48" s="48"/>
      <c r="I48" s="48"/>
      <c r="J48" s="61"/>
      <c r="K48" s="62">
        <f t="shared" si="0"/>
        <v>207440</v>
      </c>
      <c r="L48" s="63">
        <v>253640</v>
      </c>
      <c r="M48" s="105">
        <v>213640</v>
      </c>
      <c r="N48" s="102"/>
    </row>
    <row r="49" spans="1:18" ht="20.100000000000001" customHeight="1" x14ac:dyDescent="0.3">
      <c r="A49" s="60" t="s">
        <v>131</v>
      </c>
      <c r="B49" s="48" t="s">
        <v>132</v>
      </c>
      <c r="C49" s="48" t="s">
        <v>133</v>
      </c>
      <c r="D49" s="48"/>
      <c r="E49" s="48"/>
      <c r="F49" s="48" t="s">
        <v>129</v>
      </c>
      <c r="G49" s="48">
        <v>1</v>
      </c>
      <c r="H49" s="48"/>
      <c r="I49" s="48"/>
      <c r="J49" s="61"/>
      <c r="K49" s="62">
        <f t="shared" si="0"/>
        <v>103720</v>
      </c>
      <c r="L49" s="63">
        <v>129920</v>
      </c>
      <c r="M49" s="105">
        <v>109920</v>
      </c>
      <c r="N49" s="66"/>
      <c r="O49" s="66"/>
      <c r="P49" s="66"/>
      <c r="Q49" s="66"/>
      <c r="R49" s="66"/>
    </row>
    <row r="50" spans="1:18" ht="20.100000000000001" customHeight="1" x14ac:dyDescent="0.3">
      <c r="A50" s="60" t="s">
        <v>131</v>
      </c>
      <c r="B50" s="48" t="s">
        <v>132</v>
      </c>
      <c r="C50" s="48" t="s">
        <v>133</v>
      </c>
      <c r="D50" s="48"/>
      <c r="E50" s="48"/>
      <c r="F50" s="48" t="s">
        <v>130</v>
      </c>
      <c r="G50" s="48">
        <v>0</v>
      </c>
      <c r="H50" s="48"/>
      <c r="I50" s="48"/>
      <c r="J50" s="61"/>
      <c r="K50" s="62">
        <f t="shared" si="0"/>
        <v>100000</v>
      </c>
      <c r="L50" s="63">
        <v>120000</v>
      </c>
      <c r="M50" s="105">
        <v>100000</v>
      </c>
    </row>
    <row r="51" spans="1:18" ht="20.100000000000001" customHeight="1" x14ac:dyDescent="0.3">
      <c r="A51" s="60" t="s">
        <v>218</v>
      </c>
      <c r="B51" s="48" t="s">
        <v>132</v>
      </c>
      <c r="C51" s="48" t="s">
        <v>133</v>
      </c>
      <c r="D51" s="48"/>
      <c r="E51" s="48"/>
      <c r="F51" s="48" t="s">
        <v>220</v>
      </c>
      <c r="G51" s="48">
        <v>1</v>
      </c>
      <c r="H51" s="48"/>
      <c r="I51" s="48"/>
      <c r="J51" s="61"/>
      <c r="K51" s="62">
        <f t="shared" si="0"/>
        <v>316120</v>
      </c>
      <c r="L51" s="63">
        <v>382320</v>
      </c>
      <c r="M51" s="105">
        <v>322320</v>
      </c>
    </row>
    <row r="52" spans="1:18" ht="20.100000000000001" customHeight="1" x14ac:dyDescent="0.3">
      <c r="A52" s="60" t="s">
        <v>218</v>
      </c>
      <c r="B52" s="48" t="s">
        <v>132</v>
      </c>
      <c r="C52" s="48" t="s">
        <v>133</v>
      </c>
      <c r="D52" s="48"/>
      <c r="E52" s="48"/>
      <c r="F52" s="48" t="s">
        <v>93</v>
      </c>
      <c r="G52" s="48">
        <v>7</v>
      </c>
      <c r="H52" s="48"/>
      <c r="I52" s="48"/>
      <c r="J52" s="61"/>
      <c r="K52" s="62">
        <f t="shared" si="0"/>
        <v>833920</v>
      </c>
      <c r="L52" s="63">
        <v>1017320</v>
      </c>
      <c r="M52" s="105">
        <v>877320</v>
      </c>
      <c r="N52" s="66"/>
      <c r="O52" s="66"/>
      <c r="P52" s="66"/>
      <c r="Q52" s="66"/>
      <c r="R52" s="66"/>
    </row>
    <row r="53" spans="1:18" ht="20.100000000000001" customHeight="1" x14ac:dyDescent="0.3">
      <c r="A53" s="60" t="s">
        <v>218</v>
      </c>
      <c r="B53" s="48" t="s">
        <v>132</v>
      </c>
      <c r="C53" s="48" t="s">
        <v>133</v>
      </c>
      <c r="D53" s="48"/>
      <c r="E53" s="48"/>
      <c r="F53" s="48" t="s">
        <v>88</v>
      </c>
      <c r="G53" s="48">
        <v>6</v>
      </c>
      <c r="H53" s="48"/>
      <c r="I53" s="48"/>
      <c r="J53" s="61"/>
      <c r="K53" s="62">
        <f t="shared" si="0"/>
        <v>710359.99999999988</v>
      </c>
      <c r="L53" s="63">
        <v>867559.99999999988</v>
      </c>
      <c r="M53" s="105">
        <v>747559.99999999988</v>
      </c>
    </row>
    <row r="54" spans="1:18" ht="20.100000000000001" customHeight="1" x14ac:dyDescent="0.3">
      <c r="A54" s="60" t="s">
        <v>218</v>
      </c>
      <c r="B54" s="48" t="s">
        <v>132</v>
      </c>
      <c r="C54" s="48" t="s">
        <v>133</v>
      </c>
      <c r="D54" s="48"/>
      <c r="E54" s="48"/>
      <c r="F54" s="48" t="s">
        <v>92</v>
      </c>
      <c r="G54" s="48">
        <v>5</v>
      </c>
      <c r="H54" s="48"/>
      <c r="I54" s="48"/>
      <c r="J54" s="61"/>
      <c r="K54" s="62">
        <f t="shared" si="0"/>
        <v>694860</v>
      </c>
      <c r="L54" s="63">
        <v>845860</v>
      </c>
      <c r="M54" s="105">
        <v>725860</v>
      </c>
    </row>
    <row r="55" spans="1:18" ht="20.100000000000001" customHeight="1" x14ac:dyDescent="0.3">
      <c r="A55" s="60" t="s">
        <v>218</v>
      </c>
      <c r="B55" s="48" t="s">
        <v>132</v>
      </c>
      <c r="C55" s="48" t="s">
        <v>133</v>
      </c>
      <c r="D55" s="48"/>
      <c r="E55" s="48"/>
      <c r="F55" s="48" t="s">
        <v>90</v>
      </c>
      <c r="G55" s="48">
        <v>5</v>
      </c>
      <c r="H55" s="48"/>
      <c r="I55" s="48"/>
      <c r="J55" s="61"/>
      <c r="K55" s="62">
        <f t="shared" si="0"/>
        <v>550220</v>
      </c>
      <c r="L55" s="63">
        <v>681220</v>
      </c>
      <c r="M55" s="105">
        <v>581220</v>
      </c>
      <c r="N55" s="37"/>
      <c r="O55" s="37"/>
      <c r="P55" s="37"/>
      <c r="Q55" s="37"/>
      <c r="R55" s="3"/>
    </row>
    <row r="56" spans="1:18" ht="20.100000000000001" customHeight="1" x14ac:dyDescent="0.3">
      <c r="A56" s="60" t="s">
        <v>218</v>
      </c>
      <c r="B56" s="48" t="s">
        <v>132</v>
      </c>
      <c r="C56" s="48" t="s">
        <v>133</v>
      </c>
      <c r="D56" s="48"/>
      <c r="E56" s="48"/>
      <c r="F56" s="48" t="s">
        <v>106</v>
      </c>
      <c r="G56" s="48">
        <v>7</v>
      </c>
      <c r="H56" s="48"/>
      <c r="I56" s="48"/>
      <c r="J56" s="61"/>
      <c r="K56" s="62">
        <f t="shared" si="0"/>
        <v>804780</v>
      </c>
      <c r="L56" s="63">
        <v>988180</v>
      </c>
      <c r="M56" s="105">
        <v>848180</v>
      </c>
    </row>
    <row r="57" spans="1:18" ht="20.100000000000001" customHeight="1" x14ac:dyDescent="0.3">
      <c r="A57" s="60" t="s">
        <v>218</v>
      </c>
      <c r="B57" s="48" t="s">
        <v>132</v>
      </c>
      <c r="C57" s="48" t="s">
        <v>133</v>
      </c>
      <c r="D57" s="48"/>
      <c r="E57" s="48"/>
      <c r="F57" s="48" t="s">
        <v>91</v>
      </c>
      <c r="G57" s="48">
        <v>4</v>
      </c>
      <c r="H57" s="48"/>
      <c r="I57" s="48"/>
      <c r="J57" s="61"/>
      <c r="K57" s="62">
        <f t="shared" si="0"/>
        <v>570060</v>
      </c>
      <c r="L57" s="63">
        <v>694860</v>
      </c>
      <c r="M57" s="105">
        <v>594860</v>
      </c>
    </row>
    <row r="58" spans="1:18" ht="20.100000000000001" customHeight="1" x14ac:dyDescent="0.3">
      <c r="A58" s="60" t="s">
        <v>218</v>
      </c>
      <c r="B58" s="48" t="s">
        <v>132</v>
      </c>
      <c r="C58" s="48" t="s">
        <v>133</v>
      </c>
      <c r="D58" s="48"/>
      <c r="E58" s="48"/>
      <c r="F58" s="48" t="s">
        <v>89</v>
      </c>
      <c r="G58" s="48">
        <v>6</v>
      </c>
      <c r="H58" s="48"/>
      <c r="I58" s="48"/>
      <c r="J58" s="61"/>
      <c r="K58" s="62">
        <f t="shared" si="0"/>
        <v>688040</v>
      </c>
      <c r="L58" s="63">
        <v>845240</v>
      </c>
      <c r="M58" s="105">
        <v>725240</v>
      </c>
    </row>
    <row r="59" spans="1:18" ht="20.100000000000001" customHeight="1" x14ac:dyDescent="0.3">
      <c r="A59" s="60" t="s">
        <v>218</v>
      </c>
      <c r="B59" s="48" t="s">
        <v>132</v>
      </c>
      <c r="C59" s="48" t="s">
        <v>133</v>
      </c>
      <c r="D59" s="48"/>
      <c r="E59" s="48"/>
      <c r="F59" s="48" t="s">
        <v>103</v>
      </c>
      <c r="G59" s="48">
        <v>4</v>
      </c>
      <c r="H59" s="48"/>
      <c r="I59" s="48"/>
      <c r="J59" s="61"/>
      <c r="K59" s="62">
        <f t="shared" si="0"/>
        <v>458280</v>
      </c>
      <c r="L59" s="63">
        <v>563080</v>
      </c>
      <c r="M59" s="105">
        <v>483080</v>
      </c>
      <c r="N59" s="66"/>
      <c r="O59" s="66"/>
      <c r="P59" s="66"/>
      <c r="Q59" s="66"/>
      <c r="R59" s="66"/>
    </row>
    <row r="60" spans="1:18" ht="20.100000000000001" customHeight="1" x14ac:dyDescent="0.3">
      <c r="A60" s="60" t="s">
        <v>218</v>
      </c>
      <c r="B60" s="48" t="s">
        <v>132</v>
      </c>
      <c r="C60" s="48" t="s">
        <v>133</v>
      </c>
      <c r="D60" s="48"/>
      <c r="E60" s="48"/>
      <c r="F60" s="48" t="s">
        <v>96</v>
      </c>
      <c r="G60" s="48">
        <v>3</v>
      </c>
      <c r="H60" s="48"/>
      <c r="I60" s="48"/>
      <c r="J60" s="61"/>
      <c r="K60" s="62">
        <f t="shared" si="0"/>
        <v>527280</v>
      </c>
      <c r="L60" s="63">
        <v>645880</v>
      </c>
      <c r="M60" s="105">
        <v>545880</v>
      </c>
      <c r="N60" s="37"/>
      <c r="O60" s="37"/>
      <c r="P60" s="37"/>
      <c r="Q60" s="37"/>
      <c r="R60" s="3"/>
    </row>
    <row r="61" spans="1:18" ht="20.100000000000001" customHeight="1" x14ac:dyDescent="0.3">
      <c r="A61" s="60" t="s">
        <v>218</v>
      </c>
      <c r="B61" s="48" t="s">
        <v>132</v>
      </c>
      <c r="C61" s="48" t="s">
        <v>133</v>
      </c>
      <c r="D61" s="48"/>
      <c r="E61" s="48"/>
      <c r="F61" s="48" t="s">
        <v>83</v>
      </c>
      <c r="G61" s="48">
        <v>1</v>
      </c>
      <c r="H61" s="48"/>
      <c r="I61" s="48"/>
      <c r="J61" s="61"/>
      <c r="K61" s="62">
        <f t="shared" si="0"/>
        <v>213640</v>
      </c>
      <c r="L61" s="63">
        <v>259840</v>
      </c>
      <c r="M61" s="105">
        <v>219840</v>
      </c>
    </row>
    <row r="62" spans="1:18" ht="20.100000000000001" customHeight="1" x14ac:dyDescent="0.3">
      <c r="A62" s="60" t="s">
        <v>218</v>
      </c>
      <c r="B62" s="48" t="s">
        <v>132</v>
      </c>
      <c r="C62" s="48" t="s">
        <v>133</v>
      </c>
      <c r="D62" s="48"/>
      <c r="E62" s="48"/>
      <c r="F62" s="48" t="s">
        <v>84</v>
      </c>
      <c r="G62" s="48">
        <v>1</v>
      </c>
      <c r="H62" s="48"/>
      <c r="I62" s="48"/>
      <c r="J62" s="61"/>
      <c r="K62" s="62">
        <f t="shared" si="0"/>
        <v>232240</v>
      </c>
      <c r="L62" s="63">
        <v>278440</v>
      </c>
      <c r="M62" s="105">
        <v>238440</v>
      </c>
    </row>
    <row r="63" spans="1:18" ht="20.100000000000001" customHeight="1" x14ac:dyDescent="0.3">
      <c r="A63" s="60" t="s">
        <v>218</v>
      </c>
      <c r="B63" s="48" t="s">
        <v>132</v>
      </c>
      <c r="C63" s="48" t="s">
        <v>133</v>
      </c>
      <c r="D63" s="48"/>
      <c r="E63" s="48"/>
      <c r="F63" s="48" t="s">
        <v>95</v>
      </c>
      <c r="G63" s="48">
        <v>2</v>
      </c>
      <c r="H63" s="48"/>
      <c r="I63" s="48"/>
      <c r="J63" s="61"/>
      <c r="K63" s="62">
        <f t="shared" si="0"/>
        <v>309919.99999999994</v>
      </c>
      <c r="L63" s="63">
        <v>382319.99999999994</v>
      </c>
      <c r="M63" s="105">
        <v>322319.99999999994</v>
      </c>
      <c r="N63" s="66"/>
      <c r="O63" s="66"/>
      <c r="P63" s="66"/>
      <c r="Q63" s="66"/>
      <c r="R63" s="66"/>
    </row>
    <row r="64" spans="1:18" ht="20.100000000000001" customHeight="1" x14ac:dyDescent="0.3">
      <c r="A64" s="60" t="s">
        <v>218</v>
      </c>
      <c r="B64" s="48" t="s">
        <v>132</v>
      </c>
      <c r="C64" s="48" t="s">
        <v>133</v>
      </c>
      <c r="D64" s="48"/>
      <c r="E64" s="48"/>
      <c r="F64" s="48" t="s">
        <v>221</v>
      </c>
      <c r="G64" s="48">
        <v>1</v>
      </c>
      <c r="H64" s="48"/>
      <c r="I64" s="48"/>
      <c r="J64" s="61"/>
      <c r="K64" s="62">
        <f t="shared" si="0"/>
        <v>103720</v>
      </c>
      <c r="L64" s="63">
        <v>129920</v>
      </c>
      <c r="M64" s="105">
        <v>109920</v>
      </c>
      <c r="N64" s="37"/>
      <c r="O64" s="37"/>
      <c r="P64" s="37"/>
      <c r="Q64" s="37"/>
      <c r="R64" s="3"/>
    </row>
    <row r="65" spans="1:18" ht="20.100000000000001" customHeight="1" x14ac:dyDescent="0.3">
      <c r="A65" s="60" t="s">
        <v>218</v>
      </c>
      <c r="B65" s="48" t="s">
        <v>132</v>
      </c>
      <c r="C65" s="48" t="s">
        <v>133</v>
      </c>
      <c r="D65" s="48"/>
      <c r="E65" s="48"/>
      <c r="F65" s="48" t="s">
        <v>86</v>
      </c>
      <c r="G65" s="48">
        <v>4</v>
      </c>
      <c r="H65" s="48"/>
      <c r="I65" s="48"/>
      <c r="J65" s="61"/>
      <c r="K65" s="62">
        <f t="shared" si="0"/>
        <v>441540</v>
      </c>
      <c r="L65" s="63">
        <v>546340</v>
      </c>
      <c r="M65" s="105">
        <v>466340</v>
      </c>
      <c r="N65" s="66"/>
      <c r="O65" s="66"/>
      <c r="P65" s="66"/>
      <c r="Q65" s="66"/>
      <c r="R65" s="66"/>
    </row>
    <row r="66" spans="1:18" ht="20.100000000000001" customHeight="1" x14ac:dyDescent="0.3">
      <c r="A66" s="60" t="s">
        <v>218</v>
      </c>
      <c r="B66" s="48" t="s">
        <v>132</v>
      </c>
      <c r="C66" s="48" t="s">
        <v>133</v>
      </c>
      <c r="D66" s="48"/>
      <c r="E66" s="48"/>
      <c r="F66" s="48" t="s">
        <v>105</v>
      </c>
      <c r="G66" s="48">
        <v>0</v>
      </c>
      <c r="H66" s="48"/>
      <c r="I66" s="48"/>
      <c r="J66" s="61"/>
      <c r="K66" s="62">
        <f t="shared" si="0"/>
        <v>203100</v>
      </c>
      <c r="L66" s="63">
        <v>243100</v>
      </c>
      <c r="M66" s="105">
        <v>203100</v>
      </c>
      <c r="N66" s="37"/>
      <c r="O66" s="37"/>
      <c r="P66" s="37"/>
      <c r="Q66" s="37"/>
      <c r="R66" s="3"/>
    </row>
    <row r="67" spans="1:18" ht="20.100000000000001" customHeight="1" x14ac:dyDescent="0.3">
      <c r="A67" s="60" t="s">
        <v>218</v>
      </c>
      <c r="B67" s="48" t="s">
        <v>132</v>
      </c>
      <c r="C67" s="48" t="s">
        <v>133</v>
      </c>
      <c r="D67" s="48"/>
      <c r="E67" s="48"/>
      <c r="F67" s="48" t="s">
        <v>222</v>
      </c>
      <c r="G67" s="48">
        <v>1</v>
      </c>
      <c r="H67" s="48"/>
      <c r="I67" s="48"/>
      <c r="J67" s="61"/>
      <c r="K67" s="62">
        <f t="shared" si="0"/>
        <v>201240</v>
      </c>
      <c r="L67" s="63">
        <v>247440</v>
      </c>
      <c r="M67" s="105">
        <v>207440</v>
      </c>
    </row>
    <row r="68" spans="1:18" ht="20.100000000000001" customHeight="1" x14ac:dyDescent="0.3">
      <c r="A68" s="60" t="s">
        <v>218</v>
      </c>
      <c r="B68" s="48" t="s">
        <v>132</v>
      </c>
      <c r="C68" s="48" t="s">
        <v>133</v>
      </c>
      <c r="D68" s="48"/>
      <c r="E68" s="48"/>
      <c r="F68" s="48" t="s">
        <v>97</v>
      </c>
      <c r="G68" s="48">
        <v>0</v>
      </c>
      <c r="H68" s="48"/>
      <c r="I68" s="48"/>
      <c r="J68" s="61"/>
      <c r="K68" s="62">
        <f t="shared" ref="K68:K123" si="1">M68-(G68*6200)</f>
        <v>101860</v>
      </c>
      <c r="L68" s="63">
        <v>121860</v>
      </c>
      <c r="M68" s="105">
        <v>101860</v>
      </c>
    </row>
    <row r="69" spans="1:18" ht="20.100000000000001" customHeight="1" x14ac:dyDescent="0.3">
      <c r="A69" s="60" t="s">
        <v>218</v>
      </c>
      <c r="B69" s="48" t="s">
        <v>132</v>
      </c>
      <c r="C69" s="48" t="s">
        <v>133</v>
      </c>
      <c r="D69" s="48"/>
      <c r="E69" s="48"/>
      <c r="F69" s="48" t="s">
        <v>119</v>
      </c>
      <c r="G69" s="48">
        <v>0</v>
      </c>
      <c r="H69" s="48"/>
      <c r="I69" s="48"/>
      <c r="J69" s="61"/>
      <c r="K69" s="62">
        <f t="shared" si="1"/>
        <v>100620</v>
      </c>
      <c r="L69" s="63">
        <v>120620</v>
      </c>
      <c r="M69" s="105">
        <v>100620</v>
      </c>
    </row>
    <row r="70" spans="1:18" ht="20.100000000000001" customHeight="1" x14ac:dyDescent="0.3">
      <c r="A70" s="60" t="s">
        <v>218</v>
      </c>
      <c r="B70" s="48" t="s">
        <v>132</v>
      </c>
      <c r="C70" s="48" t="s">
        <v>133</v>
      </c>
      <c r="D70" s="48"/>
      <c r="E70" s="48"/>
      <c r="F70" s="48" t="s">
        <v>110</v>
      </c>
      <c r="G70" s="48">
        <v>2</v>
      </c>
      <c r="H70" s="48"/>
      <c r="I70" s="48"/>
      <c r="J70" s="61"/>
      <c r="K70" s="62">
        <f t="shared" si="1"/>
        <v>230380</v>
      </c>
      <c r="L70" s="63">
        <v>282780</v>
      </c>
      <c r="M70" s="105">
        <v>242780</v>
      </c>
      <c r="N70" s="66"/>
      <c r="O70" s="66"/>
      <c r="P70" s="66"/>
      <c r="Q70" s="66"/>
      <c r="R70" s="66"/>
    </row>
    <row r="71" spans="1:18" ht="20.100000000000001" customHeight="1" x14ac:dyDescent="0.3">
      <c r="A71" s="60" t="s">
        <v>218</v>
      </c>
      <c r="B71" s="48" t="s">
        <v>132</v>
      </c>
      <c r="C71" s="48" t="s">
        <v>133</v>
      </c>
      <c r="D71" s="48"/>
      <c r="E71" s="48"/>
      <c r="F71" s="48" t="s">
        <v>127</v>
      </c>
      <c r="G71" s="48">
        <v>2</v>
      </c>
      <c r="H71" s="48"/>
      <c r="I71" s="48"/>
      <c r="J71" s="61"/>
      <c r="K71" s="62">
        <f t="shared" si="1"/>
        <v>321700</v>
      </c>
      <c r="L71" s="63">
        <v>394100</v>
      </c>
      <c r="M71" s="105">
        <v>334100</v>
      </c>
      <c r="N71" s="66"/>
      <c r="O71" s="66"/>
      <c r="P71" s="66"/>
      <c r="Q71" s="66"/>
      <c r="R71" s="66"/>
    </row>
    <row r="72" spans="1:18" ht="20.100000000000001" customHeight="1" x14ac:dyDescent="0.3">
      <c r="A72" s="60" t="s">
        <v>218</v>
      </c>
      <c r="B72" s="48" t="s">
        <v>132</v>
      </c>
      <c r="C72" s="48" t="s">
        <v>133</v>
      </c>
      <c r="D72" s="48"/>
      <c r="E72" s="48"/>
      <c r="F72" s="48" t="s">
        <v>122</v>
      </c>
      <c r="G72" s="48">
        <v>1</v>
      </c>
      <c r="H72" s="48"/>
      <c r="I72" s="48"/>
      <c r="J72" s="61"/>
      <c r="K72" s="62">
        <f t="shared" si="1"/>
        <v>107440</v>
      </c>
      <c r="L72" s="63">
        <v>133640</v>
      </c>
      <c r="M72" s="105">
        <v>113640</v>
      </c>
    </row>
    <row r="73" spans="1:18" ht="20.100000000000001" customHeight="1" x14ac:dyDescent="0.3">
      <c r="A73" s="60" t="s">
        <v>218</v>
      </c>
      <c r="B73" s="48" t="s">
        <v>132</v>
      </c>
      <c r="C73" s="48" t="s">
        <v>133</v>
      </c>
      <c r="D73" s="48"/>
      <c r="E73" s="48"/>
      <c r="F73" s="48" t="s">
        <v>126</v>
      </c>
      <c r="G73" s="48">
        <v>1</v>
      </c>
      <c r="H73" s="48"/>
      <c r="I73" s="48"/>
      <c r="J73" s="61"/>
      <c r="K73" s="62">
        <f t="shared" si="1"/>
        <v>101240</v>
      </c>
      <c r="L73" s="63">
        <v>127440</v>
      </c>
      <c r="M73" s="105">
        <v>107440</v>
      </c>
    </row>
    <row r="74" spans="1:18" ht="20.100000000000001" customHeight="1" x14ac:dyDescent="0.3">
      <c r="A74" s="60" t="s">
        <v>218</v>
      </c>
      <c r="B74" s="48" t="s">
        <v>132</v>
      </c>
      <c r="C74" s="48" t="s">
        <v>133</v>
      </c>
      <c r="D74" s="48"/>
      <c r="E74" s="48"/>
      <c r="F74" s="48" t="s">
        <v>223</v>
      </c>
      <c r="G74" s="48">
        <v>1</v>
      </c>
      <c r="H74" s="48"/>
      <c r="I74" s="48"/>
      <c r="J74" s="61"/>
      <c r="K74" s="62">
        <f t="shared" si="1"/>
        <v>100000</v>
      </c>
      <c r="L74" s="63">
        <v>126200</v>
      </c>
      <c r="M74" s="105">
        <v>106200</v>
      </c>
    </row>
    <row r="75" spans="1:18" ht="20.100000000000001" customHeight="1" x14ac:dyDescent="0.3">
      <c r="A75" s="60" t="s">
        <v>218</v>
      </c>
      <c r="B75" s="48" t="s">
        <v>132</v>
      </c>
      <c r="C75" s="48" t="s">
        <v>133</v>
      </c>
      <c r="D75" s="48"/>
      <c r="E75" s="48"/>
      <c r="F75" s="48" t="s">
        <v>224</v>
      </c>
      <c r="G75" s="48">
        <v>0</v>
      </c>
      <c r="H75" s="48"/>
      <c r="I75" s="48"/>
      <c r="J75" s="61"/>
      <c r="K75" s="62">
        <f t="shared" si="1"/>
        <v>100000</v>
      </c>
      <c r="L75" s="63">
        <v>120000</v>
      </c>
      <c r="M75" s="105">
        <v>100000</v>
      </c>
    </row>
    <row r="76" spans="1:18" ht="20.100000000000001" customHeight="1" x14ac:dyDescent="0.3">
      <c r="A76" s="60" t="s">
        <v>218</v>
      </c>
      <c r="B76" s="48" t="s">
        <v>132</v>
      </c>
      <c r="C76" s="48" t="s">
        <v>133</v>
      </c>
      <c r="D76" s="48"/>
      <c r="E76" s="48"/>
      <c r="F76" s="48" t="s">
        <v>130</v>
      </c>
      <c r="G76" s="48">
        <v>0</v>
      </c>
      <c r="H76" s="48"/>
      <c r="I76" s="48"/>
      <c r="J76" s="61"/>
      <c r="K76" s="62">
        <f t="shared" si="1"/>
        <v>100000</v>
      </c>
      <c r="L76" s="63">
        <v>120000</v>
      </c>
      <c r="M76" s="105">
        <v>100000</v>
      </c>
    </row>
    <row r="77" spans="1:18" ht="20.100000000000001" customHeight="1" x14ac:dyDescent="0.3">
      <c r="A77" s="60" t="s">
        <v>218</v>
      </c>
      <c r="B77" s="48" t="s">
        <v>132</v>
      </c>
      <c r="C77" s="48" t="s">
        <v>133</v>
      </c>
      <c r="D77" s="48"/>
      <c r="E77" s="48"/>
      <c r="F77" s="48" t="s">
        <v>225</v>
      </c>
      <c r="G77" s="48">
        <v>0</v>
      </c>
      <c r="H77" s="48"/>
      <c r="I77" s="48"/>
      <c r="J77" s="61"/>
      <c r="K77" s="62">
        <f t="shared" si="1"/>
        <v>100000</v>
      </c>
      <c r="L77" s="63">
        <v>120000</v>
      </c>
      <c r="M77" s="105">
        <v>100000</v>
      </c>
    </row>
    <row r="78" spans="1:18" ht="20.100000000000001" customHeight="1" x14ac:dyDescent="0.3">
      <c r="A78" s="60" t="s">
        <v>218</v>
      </c>
      <c r="B78" s="48" t="s">
        <v>132</v>
      </c>
      <c r="C78" s="48" t="s">
        <v>133</v>
      </c>
      <c r="D78" s="48"/>
      <c r="E78" s="48"/>
      <c r="F78" s="48" t="s">
        <v>129</v>
      </c>
      <c r="G78" s="48">
        <v>1</v>
      </c>
      <c r="H78" s="48"/>
      <c r="I78" s="48"/>
      <c r="J78" s="61"/>
      <c r="K78" s="62">
        <f t="shared" si="1"/>
        <v>214880</v>
      </c>
      <c r="L78" s="63">
        <v>261080</v>
      </c>
      <c r="M78" s="105">
        <v>221080</v>
      </c>
    </row>
    <row r="79" spans="1:18" ht="20.100000000000001" customHeight="1" x14ac:dyDescent="0.3">
      <c r="A79" s="60" t="s">
        <v>218</v>
      </c>
      <c r="B79" s="48" t="s">
        <v>132</v>
      </c>
      <c r="C79" s="48" t="s">
        <v>133</v>
      </c>
      <c r="D79" s="48"/>
      <c r="E79" s="48"/>
      <c r="F79" s="48" t="s">
        <v>85</v>
      </c>
      <c r="G79" s="48">
        <v>1</v>
      </c>
      <c r="H79" s="48"/>
      <c r="I79" s="48"/>
      <c r="J79" s="61"/>
      <c r="K79" s="62">
        <f t="shared" si="1"/>
        <v>107440</v>
      </c>
      <c r="L79" s="63">
        <v>133640</v>
      </c>
      <c r="M79" s="105">
        <v>113640</v>
      </c>
    </row>
    <row r="80" spans="1:18" ht="20.100000000000001" customHeight="1" x14ac:dyDescent="0.3">
      <c r="A80" s="60" t="s">
        <v>218</v>
      </c>
      <c r="B80" s="48" t="s">
        <v>132</v>
      </c>
      <c r="C80" s="48" t="s">
        <v>133</v>
      </c>
      <c r="D80" s="48"/>
      <c r="E80" s="48"/>
      <c r="F80" s="48" t="s">
        <v>121</v>
      </c>
      <c r="G80" s="48">
        <v>1</v>
      </c>
      <c r="H80" s="48"/>
      <c r="I80" s="48"/>
      <c r="J80" s="61"/>
      <c r="K80" s="62">
        <f t="shared" si="1"/>
        <v>107440</v>
      </c>
      <c r="L80" s="63">
        <v>133640</v>
      </c>
      <c r="M80" s="105">
        <v>113640</v>
      </c>
    </row>
    <row r="81" spans="1:13" ht="20.100000000000001" customHeight="1" x14ac:dyDescent="0.3">
      <c r="A81" s="60" t="s">
        <v>218</v>
      </c>
      <c r="B81" s="48" t="s">
        <v>132</v>
      </c>
      <c r="C81" s="48" t="s">
        <v>133</v>
      </c>
      <c r="D81" s="48"/>
      <c r="E81" s="48"/>
      <c r="F81" s="48" t="s">
        <v>100</v>
      </c>
      <c r="G81" s="48">
        <v>0</v>
      </c>
      <c r="H81" s="48"/>
      <c r="I81" s="48"/>
      <c r="J81" s="61"/>
      <c r="K81" s="62">
        <f t="shared" si="1"/>
        <v>93800</v>
      </c>
      <c r="L81" s="63">
        <v>113800</v>
      </c>
      <c r="M81" s="105">
        <v>93800</v>
      </c>
    </row>
    <row r="82" spans="1:13" ht="20.100000000000001" customHeight="1" x14ac:dyDescent="0.3">
      <c r="A82" s="60" t="s">
        <v>218</v>
      </c>
      <c r="B82" s="48" t="s">
        <v>132</v>
      </c>
      <c r="C82" s="48" t="s">
        <v>133</v>
      </c>
      <c r="D82" s="48"/>
      <c r="E82" s="48"/>
      <c r="F82" s="48" t="s">
        <v>99</v>
      </c>
      <c r="G82" s="48">
        <v>1</v>
      </c>
      <c r="H82" s="48"/>
      <c r="I82" s="48"/>
      <c r="J82" s="61"/>
      <c r="K82" s="62">
        <f t="shared" si="1"/>
        <v>100000</v>
      </c>
      <c r="L82" s="63">
        <v>126200</v>
      </c>
      <c r="M82" s="105">
        <v>106200</v>
      </c>
    </row>
    <row r="83" spans="1:13" ht="20.100000000000001" customHeight="1" x14ac:dyDescent="0.3">
      <c r="A83" s="60" t="s">
        <v>218</v>
      </c>
      <c r="B83" s="48" t="s">
        <v>132</v>
      </c>
      <c r="C83" s="48" t="s">
        <v>133</v>
      </c>
      <c r="D83" s="48"/>
      <c r="E83" s="48"/>
      <c r="F83" s="48" t="s">
        <v>226</v>
      </c>
      <c r="G83" s="48">
        <v>2</v>
      </c>
      <c r="H83" s="48"/>
      <c r="I83" s="48"/>
      <c r="J83" s="61"/>
      <c r="K83" s="62">
        <f t="shared" si="1"/>
        <v>229760</v>
      </c>
      <c r="L83" s="63">
        <v>282160</v>
      </c>
      <c r="M83" s="105">
        <v>242160</v>
      </c>
    </row>
    <row r="84" spans="1:13" ht="20.100000000000001" customHeight="1" x14ac:dyDescent="0.3">
      <c r="A84" s="60" t="s">
        <v>295</v>
      </c>
      <c r="B84" s="48" t="s">
        <v>132</v>
      </c>
      <c r="C84" s="48" t="s">
        <v>133</v>
      </c>
      <c r="D84" s="48"/>
      <c r="E84" s="48"/>
      <c r="F84" s="48" t="s">
        <v>281</v>
      </c>
      <c r="G84" s="48">
        <v>1</v>
      </c>
      <c r="H84" s="48"/>
      <c r="I84" s="48"/>
      <c r="J84" s="61"/>
      <c r="K84" s="62">
        <f t="shared" si="1"/>
        <v>109300</v>
      </c>
      <c r="L84" s="63">
        <v>135500</v>
      </c>
      <c r="M84" s="105">
        <v>115500</v>
      </c>
    </row>
    <row r="85" spans="1:13" ht="20.100000000000001" customHeight="1" x14ac:dyDescent="0.3">
      <c r="A85" s="60" t="s">
        <v>295</v>
      </c>
      <c r="B85" s="48" t="s">
        <v>132</v>
      </c>
      <c r="C85" s="48" t="s">
        <v>133</v>
      </c>
      <c r="D85" s="48"/>
      <c r="E85" s="48"/>
      <c r="F85" s="48" t="s">
        <v>84</v>
      </c>
      <c r="G85" s="48">
        <v>4</v>
      </c>
      <c r="H85" s="48"/>
      <c r="I85" s="48"/>
      <c r="J85" s="61"/>
      <c r="K85" s="62">
        <f t="shared" si="1"/>
        <v>622140</v>
      </c>
      <c r="L85" s="63">
        <v>746940</v>
      </c>
      <c r="M85" s="105">
        <v>646940</v>
      </c>
    </row>
    <row r="86" spans="1:13" ht="20.100000000000001" customHeight="1" x14ac:dyDescent="0.3">
      <c r="A86" s="60" t="s">
        <v>295</v>
      </c>
      <c r="B86" s="48" t="s">
        <v>132</v>
      </c>
      <c r="C86" s="48" t="s">
        <v>133</v>
      </c>
      <c r="D86" s="48"/>
      <c r="E86" s="48"/>
      <c r="F86" s="48" t="s">
        <v>282</v>
      </c>
      <c r="G86" s="48">
        <v>3</v>
      </c>
      <c r="H86" s="48"/>
      <c r="I86" s="48"/>
      <c r="J86" s="61"/>
      <c r="K86" s="62">
        <f t="shared" si="1"/>
        <v>365720.00000000006</v>
      </c>
      <c r="L86" s="63">
        <v>444320.00000000006</v>
      </c>
      <c r="M86" s="105">
        <v>384320.00000000006</v>
      </c>
    </row>
    <row r="87" spans="1:13" ht="20.100000000000001" customHeight="1" x14ac:dyDescent="0.3">
      <c r="A87" s="60" t="s">
        <v>295</v>
      </c>
      <c r="B87" s="48" t="s">
        <v>132</v>
      </c>
      <c r="C87" s="48" t="s">
        <v>133</v>
      </c>
      <c r="D87" s="48"/>
      <c r="E87" s="48"/>
      <c r="F87" s="48" t="s">
        <v>85</v>
      </c>
      <c r="G87" s="48">
        <v>4</v>
      </c>
      <c r="H87" s="48"/>
      <c r="I87" s="48"/>
      <c r="J87" s="61"/>
      <c r="K87" s="62">
        <f t="shared" si="1"/>
        <v>540120</v>
      </c>
      <c r="L87" s="63">
        <v>644920</v>
      </c>
      <c r="M87" s="105">
        <v>564920</v>
      </c>
    </row>
    <row r="88" spans="1:13" ht="20.100000000000001" customHeight="1" x14ac:dyDescent="0.3">
      <c r="A88" s="60" t="s">
        <v>295</v>
      </c>
      <c r="B88" s="48" t="s">
        <v>132</v>
      </c>
      <c r="C88" s="48" t="s">
        <v>133</v>
      </c>
      <c r="D88" s="48"/>
      <c r="E88" s="48"/>
      <c r="F88" s="48" t="s">
        <v>96</v>
      </c>
      <c r="G88" s="48">
        <v>1</v>
      </c>
      <c r="H88" s="48"/>
      <c r="I88" s="48"/>
      <c r="J88" s="61"/>
      <c r="K88" s="62">
        <f t="shared" si="1"/>
        <v>103720</v>
      </c>
      <c r="L88" s="63">
        <v>129920</v>
      </c>
      <c r="M88" s="105">
        <v>109920</v>
      </c>
    </row>
    <row r="89" spans="1:13" ht="20.100000000000001" customHeight="1" x14ac:dyDescent="0.3">
      <c r="A89" s="60" t="s">
        <v>295</v>
      </c>
      <c r="B89" s="48" t="s">
        <v>132</v>
      </c>
      <c r="C89" s="48" t="s">
        <v>133</v>
      </c>
      <c r="D89" s="48"/>
      <c r="E89" s="48"/>
      <c r="F89" s="48" t="s">
        <v>95</v>
      </c>
      <c r="G89" s="48">
        <v>1</v>
      </c>
      <c r="H89" s="48"/>
      <c r="I89" s="48"/>
      <c r="J89" s="61"/>
      <c r="K89" s="62">
        <f t="shared" si="1"/>
        <v>131620</v>
      </c>
      <c r="L89" s="63">
        <v>157820</v>
      </c>
      <c r="M89" s="105">
        <v>137820</v>
      </c>
    </row>
    <row r="90" spans="1:13" ht="20.100000000000001" customHeight="1" x14ac:dyDescent="0.3">
      <c r="A90" s="60" t="s">
        <v>295</v>
      </c>
      <c r="B90" s="48" t="s">
        <v>132</v>
      </c>
      <c r="C90" s="48" t="s">
        <v>133</v>
      </c>
      <c r="D90" s="48"/>
      <c r="E90" s="48"/>
      <c r="F90" s="48" t="s">
        <v>283</v>
      </c>
      <c r="G90" s="48">
        <v>7</v>
      </c>
      <c r="H90" s="48"/>
      <c r="I90" s="48"/>
      <c r="J90" s="61"/>
      <c r="K90" s="62">
        <f t="shared" si="1"/>
        <v>891580</v>
      </c>
      <c r="L90" s="63">
        <v>1074980</v>
      </c>
      <c r="M90" s="105">
        <v>934980</v>
      </c>
    </row>
    <row r="91" spans="1:13" ht="20.100000000000001" customHeight="1" x14ac:dyDescent="0.3">
      <c r="A91" s="60" t="s">
        <v>295</v>
      </c>
      <c r="B91" s="48" t="s">
        <v>132</v>
      </c>
      <c r="C91" s="48" t="s">
        <v>133</v>
      </c>
      <c r="D91" s="48"/>
      <c r="E91" s="48"/>
      <c r="F91" s="48" t="s">
        <v>88</v>
      </c>
      <c r="G91" s="48">
        <v>7</v>
      </c>
      <c r="H91" s="48"/>
      <c r="I91" s="48"/>
      <c r="J91" s="61"/>
      <c r="K91" s="62">
        <f t="shared" si="1"/>
        <v>844460</v>
      </c>
      <c r="L91" s="63">
        <v>1027860</v>
      </c>
      <c r="M91" s="105">
        <v>887860</v>
      </c>
    </row>
    <row r="92" spans="1:13" ht="20.100000000000001" customHeight="1" x14ac:dyDescent="0.3">
      <c r="A92" s="60" t="s">
        <v>295</v>
      </c>
      <c r="B92" s="48" t="s">
        <v>132</v>
      </c>
      <c r="C92" s="48" t="s">
        <v>133</v>
      </c>
      <c r="D92" s="48"/>
      <c r="E92" s="48"/>
      <c r="F92" s="48" t="s">
        <v>106</v>
      </c>
      <c r="G92" s="48">
        <v>7</v>
      </c>
      <c r="H92" s="48"/>
      <c r="I92" s="48"/>
      <c r="J92" s="61"/>
      <c r="K92" s="62">
        <f t="shared" si="1"/>
        <v>902740.00000000012</v>
      </c>
      <c r="L92" s="63">
        <v>1086140</v>
      </c>
      <c r="M92" s="105">
        <v>946140.00000000012</v>
      </c>
    </row>
    <row r="93" spans="1:13" ht="20.100000000000001" customHeight="1" x14ac:dyDescent="0.3">
      <c r="A93" s="60" t="s">
        <v>295</v>
      </c>
      <c r="B93" s="48" t="s">
        <v>132</v>
      </c>
      <c r="C93" s="48" t="s">
        <v>133</v>
      </c>
      <c r="D93" s="48"/>
      <c r="E93" s="48"/>
      <c r="F93" s="48" t="s">
        <v>91</v>
      </c>
      <c r="G93" s="48">
        <v>6</v>
      </c>
      <c r="H93" s="48"/>
      <c r="I93" s="48"/>
      <c r="J93" s="61"/>
      <c r="K93" s="62">
        <f t="shared" si="1"/>
        <v>688660</v>
      </c>
      <c r="L93" s="63">
        <v>845860</v>
      </c>
      <c r="M93" s="105">
        <v>725860</v>
      </c>
    </row>
    <row r="94" spans="1:13" ht="20.100000000000001" customHeight="1" x14ac:dyDescent="0.3">
      <c r="A94" s="60" t="s">
        <v>295</v>
      </c>
      <c r="B94" s="48" t="s">
        <v>132</v>
      </c>
      <c r="C94" s="48" t="s">
        <v>133</v>
      </c>
      <c r="D94" s="48"/>
      <c r="E94" s="48"/>
      <c r="F94" s="48" t="s">
        <v>103</v>
      </c>
      <c r="G94" s="48">
        <v>4</v>
      </c>
      <c r="H94" s="48"/>
      <c r="I94" s="48"/>
      <c r="J94" s="61"/>
      <c r="K94" s="62">
        <f t="shared" si="1"/>
        <v>610980</v>
      </c>
      <c r="L94" s="63">
        <v>735780</v>
      </c>
      <c r="M94" s="105">
        <v>635780</v>
      </c>
    </row>
    <row r="95" spans="1:13" ht="20.100000000000001" customHeight="1" x14ac:dyDescent="0.3">
      <c r="A95" s="60" t="s">
        <v>295</v>
      </c>
      <c r="B95" s="48" t="s">
        <v>132</v>
      </c>
      <c r="C95" s="48" t="s">
        <v>133</v>
      </c>
      <c r="D95" s="48"/>
      <c r="E95" s="48"/>
      <c r="F95" s="48" t="s">
        <v>86</v>
      </c>
      <c r="G95" s="48">
        <v>4</v>
      </c>
      <c r="H95" s="48"/>
      <c r="I95" s="48"/>
      <c r="J95" s="61"/>
      <c r="K95" s="62">
        <f t="shared" si="1"/>
        <v>512220</v>
      </c>
      <c r="L95" s="63">
        <v>617020</v>
      </c>
      <c r="M95" s="105">
        <v>537020</v>
      </c>
    </row>
    <row r="96" spans="1:13" ht="20.100000000000001" customHeight="1" x14ac:dyDescent="0.3">
      <c r="A96" s="60" t="s">
        <v>295</v>
      </c>
      <c r="B96" s="48" t="s">
        <v>132</v>
      </c>
      <c r="C96" s="48" t="s">
        <v>133</v>
      </c>
      <c r="D96" s="48"/>
      <c r="E96" s="48"/>
      <c r="F96" s="48" t="s">
        <v>223</v>
      </c>
      <c r="G96" s="48">
        <v>4</v>
      </c>
      <c r="H96" s="48"/>
      <c r="I96" s="48"/>
      <c r="J96" s="61"/>
      <c r="K96" s="62">
        <f t="shared" si="1"/>
        <v>481840</v>
      </c>
      <c r="L96" s="63">
        <v>586640</v>
      </c>
      <c r="M96" s="105">
        <v>506640</v>
      </c>
    </row>
    <row r="97" spans="1:13" ht="20.100000000000001" customHeight="1" x14ac:dyDescent="0.3">
      <c r="A97" s="60" t="s">
        <v>295</v>
      </c>
      <c r="B97" s="48" t="s">
        <v>132</v>
      </c>
      <c r="C97" s="48" t="s">
        <v>133</v>
      </c>
      <c r="D97" s="48"/>
      <c r="E97" s="48"/>
      <c r="F97" s="48" t="s">
        <v>121</v>
      </c>
      <c r="G97" s="48">
        <v>3</v>
      </c>
      <c r="H97" s="48"/>
      <c r="I97" s="48"/>
      <c r="J97" s="61"/>
      <c r="K97" s="62">
        <f t="shared" si="1"/>
        <v>352080</v>
      </c>
      <c r="L97" s="63">
        <v>430680</v>
      </c>
      <c r="M97" s="105">
        <v>370680</v>
      </c>
    </row>
    <row r="98" spans="1:13" ht="20.100000000000001" customHeight="1" x14ac:dyDescent="0.3">
      <c r="A98" s="60" t="s">
        <v>295</v>
      </c>
      <c r="B98" s="48" t="s">
        <v>132</v>
      </c>
      <c r="C98" s="48" t="s">
        <v>133</v>
      </c>
      <c r="D98" s="48"/>
      <c r="E98" s="48"/>
      <c r="F98" s="48" t="s">
        <v>105</v>
      </c>
      <c r="G98" s="48">
        <v>5</v>
      </c>
      <c r="H98" s="48"/>
      <c r="I98" s="48"/>
      <c r="J98" s="61"/>
      <c r="K98" s="62">
        <f t="shared" si="1"/>
        <v>593000</v>
      </c>
      <c r="L98" s="63">
        <v>724000</v>
      </c>
      <c r="M98" s="105">
        <v>624000</v>
      </c>
    </row>
    <row r="99" spans="1:13" ht="20.100000000000001" customHeight="1" x14ac:dyDescent="0.3">
      <c r="A99" s="60" t="s">
        <v>295</v>
      </c>
      <c r="B99" s="48" t="s">
        <v>132</v>
      </c>
      <c r="C99" s="48" t="s">
        <v>133</v>
      </c>
      <c r="D99" s="48"/>
      <c r="E99" s="48"/>
      <c r="F99" s="48" t="s">
        <v>108</v>
      </c>
      <c r="G99" s="48">
        <v>2</v>
      </c>
      <c r="H99" s="48"/>
      <c r="I99" s="48"/>
      <c r="J99" s="61"/>
      <c r="K99" s="62">
        <f t="shared" si="1"/>
        <v>257040</v>
      </c>
      <c r="L99" s="63">
        <v>309440</v>
      </c>
      <c r="M99" s="105">
        <v>269440</v>
      </c>
    </row>
    <row r="100" spans="1:13" ht="20.100000000000001" customHeight="1" x14ac:dyDescent="0.3">
      <c r="A100" s="60" t="s">
        <v>295</v>
      </c>
      <c r="B100" s="48" t="s">
        <v>132</v>
      </c>
      <c r="C100" s="48" t="s">
        <v>133</v>
      </c>
      <c r="D100" s="48"/>
      <c r="E100" s="48"/>
      <c r="F100" s="48" t="s">
        <v>284</v>
      </c>
      <c r="G100" s="48">
        <v>1</v>
      </c>
      <c r="H100" s="48"/>
      <c r="I100" s="48"/>
      <c r="J100" s="61"/>
      <c r="K100" s="62">
        <f t="shared" si="1"/>
        <v>147120</v>
      </c>
      <c r="L100" s="63">
        <v>173320</v>
      </c>
      <c r="M100" s="105">
        <v>153320</v>
      </c>
    </row>
    <row r="101" spans="1:13" ht="20.100000000000001" customHeight="1" x14ac:dyDescent="0.3">
      <c r="A101" s="60" t="s">
        <v>295</v>
      </c>
      <c r="B101" s="48" t="s">
        <v>132</v>
      </c>
      <c r="C101" s="48" t="s">
        <v>133</v>
      </c>
      <c r="D101" s="48"/>
      <c r="E101" s="48"/>
      <c r="F101" s="48" t="s">
        <v>285</v>
      </c>
      <c r="G101" s="48">
        <v>1</v>
      </c>
      <c r="H101" s="48"/>
      <c r="I101" s="48"/>
      <c r="J101" s="61"/>
      <c r="K101" s="62">
        <f t="shared" si="1"/>
        <v>100620</v>
      </c>
      <c r="L101" s="63">
        <v>126820</v>
      </c>
      <c r="M101" s="105">
        <v>106820</v>
      </c>
    </row>
    <row r="102" spans="1:13" ht="20.100000000000001" customHeight="1" x14ac:dyDescent="0.3">
      <c r="A102" s="60" t="s">
        <v>295</v>
      </c>
      <c r="B102" s="48" t="s">
        <v>132</v>
      </c>
      <c r="C102" s="48" t="s">
        <v>133</v>
      </c>
      <c r="D102" s="48"/>
      <c r="E102" s="48"/>
      <c r="F102" s="48" t="s">
        <v>127</v>
      </c>
      <c r="G102" s="48">
        <v>3</v>
      </c>
      <c r="H102" s="48"/>
      <c r="I102" s="48"/>
      <c r="J102" s="61"/>
      <c r="K102" s="62">
        <f t="shared" si="1"/>
        <v>347120</v>
      </c>
      <c r="L102" s="63">
        <v>425720</v>
      </c>
      <c r="M102" s="105">
        <v>365720</v>
      </c>
    </row>
    <row r="103" spans="1:13" ht="20.100000000000001" customHeight="1" x14ac:dyDescent="0.3">
      <c r="A103" s="60" t="s">
        <v>295</v>
      </c>
      <c r="B103" s="48" t="s">
        <v>132</v>
      </c>
      <c r="C103" s="48" t="s">
        <v>133</v>
      </c>
      <c r="D103" s="48"/>
      <c r="E103" s="48"/>
      <c r="F103" s="48" t="s">
        <v>83</v>
      </c>
      <c r="G103" s="48">
        <v>3</v>
      </c>
      <c r="H103" s="48"/>
      <c r="I103" s="48"/>
      <c r="J103" s="61"/>
      <c r="K103" s="62">
        <f t="shared" si="1"/>
        <v>517180</v>
      </c>
      <c r="L103" s="63">
        <v>615780</v>
      </c>
      <c r="M103" s="105">
        <v>535780</v>
      </c>
    </row>
    <row r="104" spans="1:13" ht="20.100000000000001" customHeight="1" x14ac:dyDescent="0.3">
      <c r="A104" s="60" t="s">
        <v>295</v>
      </c>
      <c r="B104" s="48" t="s">
        <v>132</v>
      </c>
      <c r="C104" s="48" t="s">
        <v>133</v>
      </c>
      <c r="D104" s="48"/>
      <c r="E104" s="48"/>
      <c r="F104" s="48" t="s">
        <v>89</v>
      </c>
      <c r="G104" s="48">
        <v>6</v>
      </c>
      <c r="H104" s="48"/>
      <c r="I104" s="48"/>
      <c r="J104" s="61"/>
      <c r="K104" s="62">
        <f t="shared" si="1"/>
        <v>755000.00000000012</v>
      </c>
      <c r="L104" s="63">
        <v>912200.00000000012</v>
      </c>
      <c r="M104" s="105">
        <v>792200.00000000012</v>
      </c>
    </row>
    <row r="105" spans="1:13" ht="20.100000000000001" customHeight="1" x14ac:dyDescent="0.3">
      <c r="A105" s="60" t="s">
        <v>295</v>
      </c>
      <c r="B105" s="48" t="s">
        <v>132</v>
      </c>
      <c r="C105" s="48" t="s">
        <v>133</v>
      </c>
      <c r="D105" s="48"/>
      <c r="E105" s="48"/>
      <c r="F105" s="48" t="s">
        <v>286</v>
      </c>
      <c r="G105" s="48">
        <v>5</v>
      </c>
      <c r="H105" s="48"/>
      <c r="I105" s="48"/>
      <c r="J105" s="61"/>
      <c r="K105" s="62">
        <f t="shared" si="1"/>
        <v>588660</v>
      </c>
      <c r="L105" s="63">
        <v>719660</v>
      </c>
      <c r="M105" s="105">
        <v>619660</v>
      </c>
    </row>
    <row r="106" spans="1:13" ht="20.100000000000001" customHeight="1" x14ac:dyDescent="0.3">
      <c r="A106" s="60" t="s">
        <v>295</v>
      </c>
      <c r="B106" s="48" t="s">
        <v>132</v>
      </c>
      <c r="C106" s="48" t="s">
        <v>133</v>
      </c>
      <c r="D106" s="48"/>
      <c r="E106" s="48"/>
      <c r="F106" s="48" t="s">
        <v>287</v>
      </c>
      <c r="G106" s="48">
        <v>2</v>
      </c>
      <c r="H106" s="48"/>
      <c r="I106" s="48"/>
      <c r="J106" s="61"/>
      <c r="K106" s="62">
        <f t="shared" si="1"/>
        <v>370060</v>
      </c>
      <c r="L106" s="63">
        <v>442460</v>
      </c>
      <c r="M106" s="105">
        <v>382460</v>
      </c>
    </row>
    <row r="107" spans="1:13" ht="20.100000000000001" customHeight="1" x14ac:dyDescent="0.3">
      <c r="A107" s="60" t="s">
        <v>295</v>
      </c>
      <c r="B107" s="48" t="s">
        <v>132</v>
      </c>
      <c r="C107" s="48" t="s">
        <v>133</v>
      </c>
      <c r="D107" s="48"/>
      <c r="E107" s="48"/>
      <c r="F107" s="48" t="s">
        <v>288</v>
      </c>
      <c r="G107" s="48">
        <v>4</v>
      </c>
      <c r="H107" s="48"/>
      <c r="I107" s="48"/>
      <c r="J107" s="61"/>
      <c r="K107" s="62">
        <f t="shared" si="1"/>
        <v>447740</v>
      </c>
      <c r="L107" s="63">
        <v>552540</v>
      </c>
      <c r="M107" s="105">
        <v>472540</v>
      </c>
    </row>
    <row r="108" spans="1:13" ht="20.100000000000001" customHeight="1" x14ac:dyDescent="0.3">
      <c r="A108" s="60" t="s">
        <v>295</v>
      </c>
      <c r="B108" s="48" t="s">
        <v>132</v>
      </c>
      <c r="C108" s="48" t="s">
        <v>133</v>
      </c>
      <c r="D108" s="48"/>
      <c r="E108" s="48"/>
      <c r="F108" s="48" t="s">
        <v>289</v>
      </c>
      <c r="G108" s="48">
        <v>1</v>
      </c>
      <c r="H108" s="48"/>
      <c r="I108" s="48"/>
      <c r="J108" s="61"/>
      <c r="K108" s="62">
        <f t="shared" si="1"/>
        <v>119220</v>
      </c>
      <c r="L108" s="63">
        <v>145420</v>
      </c>
      <c r="M108" s="105">
        <v>125420</v>
      </c>
    </row>
    <row r="109" spans="1:13" ht="20.100000000000001" customHeight="1" x14ac:dyDescent="0.3">
      <c r="A109" s="60" t="s">
        <v>295</v>
      </c>
      <c r="B109" s="48" t="s">
        <v>132</v>
      </c>
      <c r="C109" s="48" t="s">
        <v>133</v>
      </c>
      <c r="D109" s="48"/>
      <c r="E109" s="48"/>
      <c r="F109" s="48" t="s">
        <v>129</v>
      </c>
      <c r="G109" s="48">
        <v>3</v>
      </c>
      <c r="H109" s="48"/>
      <c r="I109" s="48"/>
      <c r="J109" s="61"/>
      <c r="K109" s="62">
        <f t="shared" si="1"/>
        <v>343400</v>
      </c>
      <c r="L109" s="63">
        <v>422000</v>
      </c>
      <c r="M109" s="105">
        <v>362000</v>
      </c>
    </row>
    <row r="110" spans="1:13" ht="20.100000000000001" customHeight="1" x14ac:dyDescent="0.3">
      <c r="A110" s="60" t="s">
        <v>295</v>
      </c>
      <c r="B110" s="48" t="s">
        <v>132</v>
      </c>
      <c r="C110" s="48" t="s">
        <v>133</v>
      </c>
      <c r="D110" s="48"/>
      <c r="E110" s="48"/>
      <c r="F110" s="48" t="s">
        <v>92</v>
      </c>
      <c r="G110" s="48">
        <v>5</v>
      </c>
      <c r="H110" s="48"/>
      <c r="I110" s="48"/>
      <c r="J110" s="61"/>
      <c r="K110" s="62">
        <f t="shared" si="1"/>
        <v>606020</v>
      </c>
      <c r="L110" s="63">
        <v>737020</v>
      </c>
      <c r="M110" s="105">
        <v>637020</v>
      </c>
    </row>
    <row r="111" spans="1:13" ht="20.100000000000001" customHeight="1" x14ac:dyDescent="0.3">
      <c r="A111" s="60" t="s">
        <v>295</v>
      </c>
      <c r="B111" s="48" t="s">
        <v>132</v>
      </c>
      <c r="C111" s="48" t="s">
        <v>133</v>
      </c>
      <c r="D111" s="48"/>
      <c r="E111" s="48"/>
      <c r="F111" s="48" t="s">
        <v>100</v>
      </c>
      <c r="G111" s="48">
        <v>0</v>
      </c>
      <c r="H111" s="48"/>
      <c r="I111" s="48"/>
      <c r="J111" s="61"/>
      <c r="K111" s="62">
        <f t="shared" si="1"/>
        <v>96280</v>
      </c>
      <c r="L111" s="63">
        <v>116280</v>
      </c>
      <c r="M111" s="105">
        <v>96280</v>
      </c>
    </row>
    <row r="112" spans="1:13" ht="20.100000000000001" customHeight="1" x14ac:dyDescent="0.3">
      <c r="A112" s="60" t="s">
        <v>295</v>
      </c>
      <c r="B112" s="48" t="s">
        <v>132</v>
      </c>
      <c r="C112" s="48" t="s">
        <v>133</v>
      </c>
      <c r="D112" s="48"/>
      <c r="E112" s="48"/>
      <c r="F112" s="48" t="s">
        <v>102</v>
      </c>
      <c r="G112" s="48">
        <v>2</v>
      </c>
      <c r="H112" s="48"/>
      <c r="I112" s="48"/>
      <c r="J112" s="61"/>
      <c r="K112" s="62">
        <f t="shared" si="1"/>
        <v>322320</v>
      </c>
      <c r="L112" s="63">
        <v>394720</v>
      </c>
      <c r="M112" s="105">
        <v>334720</v>
      </c>
    </row>
    <row r="113" spans="1:14" ht="20.100000000000001" customHeight="1" x14ac:dyDescent="0.3">
      <c r="A113" s="60" t="s">
        <v>295</v>
      </c>
      <c r="B113" s="48" t="s">
        <v>132</v>
      </c>
      <c r="C113" s="48" t="s">
        <v>133</v>
      </c>
      <c r="D113" s="48"/>
      <c r="E113" s="48"/>
      <c r="F113" s="48" t="s">
        <v>290</v>
      </c>
      <c r="G113" s="48">
        <v>2</v>
      </c>
      <c r="H113" s="48"/>
      <c r="I113" s="48"/>
      <c r="J113" s="61"/>
      <c r="K113" s="62">
        <f t="shared" si="1"/>
        <v>234720</v>
      </c>
      <c r="L113" s="63">
        <v>287120</v>
      </c>
      <c r="M113" s="105">
        <v>247120</v>
      </c>
    </row>
    <row r="114" spans="1:14" ht="20.100000000000001" customHeight="1" x14ac:dyDescent="0.3">
      <c r="A114" s="60" t="s">
        <v>295</v>
      </c>
      <c r="B114" s="48" t="s">
        <v>132</v>
      </c>
      <c r="C114" s="48" t="s">
        <v>133</v>
      </c>
      <c r="D114" s="48"/>
      <c r="E114" s="48"/>
      <c r="F114" s="48" t="s">
        <v>291</v>
      </c>
      <c r="G114" s="48">
        <v>1</v>
      </c>
      <c r="H114" s="48"/>
      <c r="I114" s="48"/>
      <c r="J114" s="61"/>
      <c r="K114" s="62">
        <f t="shared" si="1"/>
        <v>100000</v>
      </c>
      <c r="L114" s="63">
        <v>126200</v>
      </c>
      <c r="M114" s="105">
        <v>106200</v>
      </c>
    </row>
    <row r="115" spans="1:14" ht="20.100000000000001" customHeight="1" x14ac:dyDescent="0.3">
      <c r="A115" s="60" t="s">
        <v>295</v>
      </c>
      <c r="B115" s="48" t="s">
        <v>132</v>
      </c>
      <c r="C115" s="48" t="s">
        <v>133</v>
      </c>
      <c r="D115" s="48"/>
      <c r="E115" s="48"/>
      <c r="F115" s="48" t="s">
        <v>292</v>
      </c>
      <c r="G115" s="48">
        <v>1</v>
      </c>
      <c r="H115" s="48"/>
      <c r="I115" s="48"/>
      <c r="J115" s="61"/>
      <c r="K115" s="62">
        <f t="shared" si="1"/>
        <v>117980</v>
      </c>
      <c r="L115" s="63">
        <v>144180</v>
      </c>
      <c r="M115" s="105">
        <v>124180</v>
      </c>
    </row>
    <row r="116" spans="1:14" ht="20.100000000000001" customHeight="1" x14ac:dyDescent="0.3">
      <c r="A116" s="60" t="s">
        <v>295</v>
      </c>
      <c r="B116" s="48" t="s">
        <v>132</v>
      </c>
      <c r="C116" s="48" t="s">
        <v>133</v>
      </c>
      <c r="D116" s="48"/>
      <c r="E116" s="48"/>
      <c r="F116" s="48" t="s">
        <v>97</v>
      </c>
      <c r="G116" s="48">
        <v>1</v>
      </c>
      <c r="H116" s="48"/>
      <c r="I116" s="48"/>
      <c r="J116" s="61"/>
      <c r="K116" s="62">
        <f t="shared" si="1"/>
        <v>129760</v>
      </c>
      <c r="L116" s="63">
        <v>155960</v>
      </c>
      <c r="M116" s="105">
        <v>135960</v>
      </c>
    </row>
    <row r="117" spans="1:14" ht="20.100000000000001" customHeight="1" x14ac:dyDescent="0.3">
      <c r="A117" s="60" t="s">
        <v>295</v>
      </c>
      <c r="B117" s="48" t="s">
        <v>132</v>
      </c>
      <c r="C117" s="48" t="s">
        <v>133</v>
      </c>
      <c r="D117" s="48"/>
      <c r="E117" s="48"/>
      <c r="F117" s="48" t="s">
        <v>293</v>
      </c>
      <c r="G117" s="48">
        <v>1</v>
      </c>
      <c r="H117" s="48"/>
      <c r="I117" s="48"/>
      <c r="J117" s="61"/>
      <c r="K117" s="62">
        <f t="shared" si="1"/>
        <v>110540</v>
      </c>
      <c r="L117" s="63">
        <v>136740</v>
      </c>
      <c r="M117" s="105">
        <v>116740</v>
      </c>
    </row>
    <row r="118" spans="1:14" ht="20.100000000000001" customHeight="1" x14ac:dyDescent="0.3">
      <c r="A118" s="60" t="s">
        <v>295</v>
      </c>
      <c r="B118" s="48" t="s">
        <v>132</v>
      </c>
      <c r="C118" s="48" t="s">
        <v>133</v>
      </c>
      <c r="D118" s="48"/>
      <c r="E118" s="48"/>
      <c r="F118" s="48" t="s">
        <v>294</v>
      </c>
      <c r="G118" s="48">
        <v>1</v>
      </c>
      <c r="H118" s="48"/>
      <c r="I118" s="48"/>
      <c r="J118" s="61"/>
      <c r="K118" s="62">
        <f t="shared" si="1"/>
        <v>110540</v>
      </c>
      <c r="L118" s="63">
        <v>136740</v>
      </c>
      <c r="M118" s="105">
        <v>116740</v>
      </c>
    </row>
    <row r="119" spans="1:14" ht="20.100000000000001" customHeight="1" x14ac:dyDescent="0.3">
      <c r="A119" s="60" t="s">
        <v>295</v>
      </c>
      <c r="B119" s="48" t="s">
        <v>132</v>
      </c>
      <c r="C119" s="48" t="s">
        <v>133</v>
      </c>
      <c r="D119" s="48"/>
      <c r="E119" s="48"/>
      <c r="F119" s="48" t="s">
        <v>110</v>
      </c>
      <c r="G119" s="48">
        <v>3</v>
      </c>
      <c r="H119" s="48"/>
      <c r="I119" s="48"/>
      <c r="J119" s="61"/>
      <c r="K119" s="62">
        <f t="shared" si="1"/>
        <v>366340</v>
      </c>
      <c r="L119" s="63">
        <v>444940</v>
      </c>
      <c r="M119" s="105">
        <v>384940</v>
      </c>
    </row>
    <row r="120" spans="1:14" ht="20.100000000000001" customHeight="1" x14ac:dyDescent="0.3">
      <c r="A120" s="60" t="s">
        <v>295</v>
      </c>
      <c r="B120" s="48" t="s">
        <v>132</v>
      </c>
      <c r="C120" s="48" t="s">
        <v>133</v>
      </c>
      <c r="D120" s="48"/>
      <c r="E120" s="48"/>
      <c r="F120" s="48" t="s">
        <v>126</v>
      </c>
      <c r="G120" s="48">
        <v>2</v>
      </c>
      <c r="H120" s="48"/>
      <c r="I120" s="48"/>
      <c r="J120" s="61"/>
      <c r="K120" s="62">
        <f t="shared" si="1"/>
        <v>217360</v>
      </c>
      <c r="L120" s="63">
        <v>269760</v>
      </c>
      <c r="M120" s="105">
        <v>229760</v>
      </c>
    </row>
    <row r="121" spans="1:14" ht="20.100000000000001" customHeight="1" x14ac:dyDescent="0.3">
      <c r="A121" s="60" t="s">
        <v>295</v>
      </c>
      <c r="B121" s="48" t="s">
        <v>132</v>
      </c>
      <c r="C121" s="48" t="s">
        <v>133</v>
      </c>
      <c r="D121" s="48"/>
      <c r="E121" s="48"/>
      <c r="F121" s="48" t="s">
        <v>125</v>
      </c>
      <c r="G121" s="48">
        <v>0</v>
      </c>
      <c r="H121" s="48"/>
      <c r="I121" s="48"/>
      <c r="J121" s="61"/>
      <c r="K121" s="62">
        <f t="shared" si="1"/>
        <v>104960</v>
      </c>
      <c r="L121" s="63">
        <v>124960</v>
      </c>
      <c r="M121" s="105">
        <v>104960</v>
      </c>
    </row>
    <row r="122" spans="1:14" ht="20.100000000000001" customHeight="1" x14ac:dyDescent="0.3">
      <c r="A122" s="60" t="s">
        <v>295</v>
      </c>
      <c r="B122" s="48" t="s">
        <v>132</v>
      </c>
      <c r="C122" s="48" t="s">
        <v>133</v>
      </c>
      <c r="D122" s="48"/>
      <c r="E122" s="48"/>
      <c r="F122" s="48" t="s">
        <v>122</v>
      </c>
      <c r="G122" s="48">
        <v>2</v>
      </c>
      <c r="H122" s="48"/>
      <c r="I122" s="48"/>
      <c r="J122" s="61"/>
      <c r="K122" s="62">
        <f t="shared" si="1"/>
        <v>251460</v>
      </c>
      <c r="L122" s="63">
        <v>303860</v>
      </c>
      <c r="M122" s="105">
        <v>263860</v>
      </c>
    </row>
    <row r="123" spans="1:14" ht="20.100000000000001" customHeight="1" x14ac:dyDescent="0.3">
      <c r="A123" s="60" t="s">
        <v>295</v>
      </c>
      <c r="B123" s="48" t="s">
        <v>132</v>
      </c>
      <c r="C123" s="48" t="s">
        <v>133</v>
      </c>
      <c r="D123" s="48"/>
      <c r="E123" s="48"/>
      <c r="F123" s="48" t="s">
        <v>128</v>
      </c>
      <c r="G123" s="48">
        <v>0</v>
      </c>
      <c r="H123" s="48"/>
      <c r="I123" s="48"/>
      <c r="J123" s="61"/>
      <c r="K123" s="62">
        <f t="shared" si="1"/>
        <v>100620</v>
      </c>
      <c r="L123" s="63">
        <v>120620</v>
      </c>
      <c r="M123" s="105">
        <v>100620</v>
      </c>
    </row>
    <row r="124" spans="1:14" ht="20.100000000000001" customHeight="1" x14ac:dyDescent="0.3">
      <c r="A124" s="158" t="s">
        <v>295</v>
      </c>
      <c r="B124" s="159" t="s">
        <v>132</v>
      </c>
      <c r="C124" s="159" t="s">
        <v>133</v>
      </c>
      <c r="D124" s="159"/>
      <c r="E124" s="159"/>
      <c r="F124" s="159" t="s">
        <v>301</v>
      </c>
      <c r="G124" s="159"/>
      <c r="H124" s="159"/>
      <c r="I124" s="159"/>
      <c r="J124" s="160"/>
      <c r="K124" s="161">
        <v>0</v>
      </c>
      <c r="L124" s="162">
        <v>370000</v>
      </c>
      <c r="M124" s="163">
        <v>0</v>
      </c>
      <c r="N124" t="s">
        <v>303</v>
      </c>
    </row>
    <row r="125" spans="1:14" ht="20.100000000000001" customHeight="1" x14ac:dyDescent="0.3">
      <c r="A125" s="158" t="s">
        <v>295</v>
      </c>
      <c r="B125" s="159" t="s">
        <v>132</v>
      </c>
      <c r="C125" s="159" t="s">
        <v>133</v>
      </c>
      <c r="D125" s="159"/>
      <c r="E125" s="159"/>
      <c r="F125" s="159" t="s">
        <v>302</v>
      </c>
      <c r="G125" s="159"/>
      <c r="H125" s="159"/>
      <c r="I125" s="159"/>
      <c r="J125" s="160"/>
      <c r="K125" s="161">
        <v>0</v>
      </c>
      <c r="L125" s="162">
        <v>240000</v>
      </c>
      <c r="M125" s="163">
        <v>0</v>
      </c>
      <c r="N125" t="s">
        <v>303</v>
      </c>
    </row>
    <row r="126" spans="1:14" ht="20.100000000000001" customHeight="1" x14ac:dyDescent="0.3">
      <c r="A126" s="60"/>
      <c r="B126" s="48"/>
      <c r="C126" s="48"/>
      <c r="D126" s="48"/>
      <c r="E126" s="48"/>
      <c r="F126" s="48"/>
      <c r="G126" s="48"/>
      <c r="H126" s="48"/>
      <c r="I126" s="48"/>
      <c r="J126" s="61"/>
      <c r="K126" s="62"/>
      <c r="L126" s="63"/>
      <c r="M126" s="105"/>
    </row>
    <row r="127" spans="1:14" ht="20.100000000000001" customHeight="1" x14ac:dyDescent="0.3">
      <c r="A127" s="60"/>
      <c r="B127" s="48"/>
      <c r="C127" s="48"/>
      <c r="D127" s="48"/>
      <c r="E127" s="48"/>
      <c r="F127" s="48"/>
      <c r="G127" s="48"/>
      <c r="H127" s="48"/>
      <c r="I127" s="48"/>
      <c r="J127" s="61"/>
      <c r="K127" s="62"/>
      <c r="L127" s="63"/>
      <c r="M127" s="105"/>
    </row>
    <row r="128" spans="1:14" ht="20.100000000000001" customHeight="1" x14ac:dyDescent="0.3">
      <c r="A128" s="60"/>
      <c r="B128" s="48"/>
      <c r="C128" s="48"/>
      <c r="D128" s="48"/>
      <c r="E128" s="48"/>
      <c r="F128" s="48"/>
      <c r="G128" s="48"/>
      <c r="H128" s="48"/>
      <c r="I128" s="48"/>
      <c r="J128" s="61"/>
      <c r="K128" s="62"/>
      <c r="L128" s="63"/>
      <c r="M128" s="105"/>
    </row>
    <row r="129" spans="1:13" ht="20.100000000000001" customHeight="1" x14ac:dyDescent="0.3">
      <c r="A129" s="60"/>
      <c r="B129" s="48"/>
      <c r="C129" s="48"/>
      <c r="D129" s="48"/>
      <c r="E129" s="48"/>
      <c r="F129" s="48"/>
      <c r="G129" s="48"/>
      <c r="H129" s="48"/>
      <c r="I129" s="48"/>
      <c r="J129" s="61"/>
      <c r="K129" s="62"/>
      <c r="L129" s="63"/>
      <c r="M129" s="105"/>
    </row>
    <row r="130" spans="1:13" ht="20.100000000000001" customHeight="1" x14ac:dyDescent="0.3">
      <c r="A130" s="60"/>
      <c r="B130" s="48"/>
      <c r="C130" s="48"/>
      <c r="D130" s="48"/>
      <c r="E130" s="48"/>
      <c r="F130" s="48"/>
      <c r="G130" s="48"/>
      <c r="H130" s="48"/>
      <c r="I130" s="48"/>
      <c r="J130" s="61"/>
      <c r="K130" s="62"/>
      <c r="L130" s="63"/>
      <c r="M130" s="105"/>
    </row>
    <row r="131" spans="1:13" ht="20.100000000000001" customHeight="1" x14ac:dyDescent="0.3">
      <c r="A131" s="60"/>
      <c r="B131" s="48"/>
      <c r="C131" s="48"/>
      <c r="D131" s="48"/>
      <c r="E131" s="48"/>
      <c r="F131" s="48"/>
      <c r="G131" s="48"/>
      <c r="H131" s="48"/>
      <c r="I131" s="48"/>
      <c r="J131" s="61"/>
      <c r="K131" s="62"/>
      <c r="L131" s="63"/>
      <c r="M131" s="105"/>
    </row>
    <row r="132" spans="1:13" ht="20.100000000000001" customHeight="1" x14ac:dyDescent="0.3">
      <c r="A132" s="60"/>
      <c r="B132" s="48"/>
      <c r="C132" s="48"/>
      <c r="D132" s="48"/>
      <c r="E132" s="48"/>
      <c r="F132" s="48"/>
      <c r="G132" s="48"/>
      <c r="H132" s="48"/>
      <c r="I132" s="48"/>
      <c r="J132" s="61"/>
      <c r="K132" s="62"/>
      <c r="L132" s="63"/>
      <c r="M132" s="105"/>
    </row>
    <row r="133" spans="1:13" ht="20.100000000000001" customHeight="1" x14ac:dyDescent="0.3">
      <c r="A133" s="60"/>
      <c r="B133" s="48"/>
      <c r="C133" s="48"/>
      <c r="D133" s="48"/>
      <c r="E133" s="48"/>
      <c r="F133" s="48"/>
      <c r="G133" s="48"/>
      <c r="H133" s="48"/>
      <c r="I133" s="48"/>
      <c r="J133" s="61"/>
      <c r="K133" s="62"/>
      <c r="L133" s="63"/>
      <c r="M133" s="105"/>
    </row>
    <row r="134" spans="1:13" ht="20.100000000000001" customHeight="1" x14ac:dyDescent="0.3">
      <c r="A134" s="60"/>
      <c r="B134" s="48"/>
      <c r="C134" s="48"/>
      <c r="D134" s="48"/>
      <c r="E134" s="48"/>
      <c r="F134" s="48"/>
      <c r="G134" s="48"/>
      <c r="H134" s="48"/>
      <c r="I134" s="48"/>
      <c r="J134" s="61"/>
      <c r="K134" s="62"/>
      <c r="L134" s="63"/>
      <c r="M134" s="105"/>
    </row>
    <row r="135" spans="1:13" ht="20.100000000000001" customHeight="1" x14ac:dyDescent="0.3">
      <c r="A135" s="60"/>
      <c r="B135" s="48"/>
      <c r="C135" s="48"/>
      <c r="D135" s="48"/>
      <c r="E135" s="48"/>
      <c r="F135" s="48"/>
      <c r="G135" s="48"/>
      <c r="H135" s="48"/>
      <c r="I135" s="48"/>
      <c r="J135" s="61"/>
      <c r="K135" s="62"/>
      <c r="L135" s="63"/>
      <c r="M135" s="105"/>
    </row>
    <row r="136" spans="1:13" ht="20.100000000000001" customHeight="1" x14ac:dyDescent="0.3">
      <c r="A136" s="60"/>
      <c r="B136" s="48"/>
      <c r="C136" s="48"/>
      <c r="D136" s="48"/>
      <c r="E136" s="48"/>
      <c r="F136" s="48"/>
      <c r="G136" s="48"/>
      <c r="H136" s="48"/>
      <c r="I136" s="48"/>
      <c r="J136" s="61"/>
      <c r="K136" s="62"/>
      <c r="L136" s="63"/>
      <c r="M136" s="105"/>
    </row>
    <row r="137" spans="1:13" ht="20.100000000000001" customHeight="1" x14ac:dyDescent="0.3">
      <c r="A137" s="60"/>
      <c r="B137" s="48"/>
      <c r="C137" s="48"/>
      <c r="D137" s="48"/>
      <c r="E137" s="48"/>
      <c r="F137" s="48"/>
      <c r="G137" s="48"/>
      <c r="H137" s="48"/>
      <c r="I137" s="48"/>
      <c r="J137" s="61"/>
      <c r="K137" s="62"/>
      <c r="L137" s="63"/>
      <c r="M137" s="105"/>
    </row>
    <row r="138" spans="1:13" ht="20.100000000000001" customHeight="1" x14ac:dyDescent="0.3">
      <c r="A138" s="60"/>
      <c r="B138" s="48"/>
      <c r="C138" s="48"/>
      <c r="D138" s="48"/>
      <c r="E138" s="48"/>
      <c r="F138" s="48"/>
      <c r="G138" s="48"/>
      <c r="H138" s="48"/>
      <c r="I138" s="48"/>
      <c r="J138" s="61"/>
      <c r="K138" s="62"/>
      <c r="L138" s="63"/>
      <c r="M138" s="105"/>
    </row>
    <row r="139" spans="1:13" ht="20.100000000000001" customHeight="1" x14ac:dyDescent="0.3">
      <c r="A139" s="60"/>
      <c r="B139" s="48"/>
      <c r="C139" s="48"/>
      <c r="D139" s="48"/>
      <c r="E139" s="48"/>
      <c r="F139" s="48"/>
      <c r="G139" s="48"/>
      <c r="H139" s="48"/>
      <c r="I139" s="48"/>
      <c r="J139" s="61"/>
      <c r="K139" s="62"/>
      <c r="L139" s="63"/>
      <c r="M139" s="105"/>
    </row>
    <row r="140" spans="1:13" ht="20.100000000000001" customHeight="1" x14ac:dyDescent="0.3">
      <c r="A140" s="60"/>
      <c r="B140" s="48"/>
      <c r="C140" s="48"/>
      <c r="D140" s="48"/>
      <c r="E140" s="48"/>
      <c r="F140" s="48"/>
      <c r="G140" s="48"/>
      <c r="H140" s="48"/>
      <c r="I140" s="48"/>
      <c r="J140" s="61"/>
      <c r="K140" s="62"/>
      <c r="L140" s="63"/>
      <c r="M140" s="105"/>
    </row>
    <row r="141" spans="1:13" ht="20.100000000000001" customHeight="1" x14ac:dyDescent="0.3">
      <c r="A141" s="60"/>
      <c r="B141" s="48"/>
      <c r="C141" s="48"/>
      <c r="D141" s="48"/>
      <c r="E141" s="48"/>
      <c r="F141" s="48"/>
      <c r="G141" s="48"/>
      <c r="H141" s="48"/>
      <c r="I141" s="48"/>
      <c r="J141" s="61"/>
      <c r="K141" s="62"/>
      <c r="L141" s="63"/>
      <c r="M141" s="105"/>
    </row>
    <row r="142" spans="1:13" ht="20.100000000000001" customHeight="1" x14ac:dyDescent="0.3">
      <c r="A142" s="60"/>
      <c r="B142" s="48"/>
      <c r="C142" s="48"/>
      <c r="D142" s="48"/>
      <c r="E142" s="48"/>
      <c r="F142" s="48"/>
      <c r="G142" s="48"/>
      <c r="H142" s="48"/>
      <c r="I142" s="48"/>
      <c r="J142" s="61"/>
      <c r="K142" s="62"/>
      <c r="L142" s="63"/>
      <c r="M142" s="105"/>
    </row>
    <row r="143" spans="1:13" ht="20.100000000000001" customHeight="1" x14ac:dyDescent="0.3">
      <c r="A143" s="60"/>
      <c r="B143" s="48"/>
      <c r="C143" s="48"/>
      <c r="D143" s="48"/>
      <c r="E143" s="48"/>
      <c r="F143" s="48"/>
      <c r="G143" s="48"/>
      <c r="H143" s="48"/>
      <c r="I143" s="48"/>
      <c r="J143" s="61"/>
      <c r="K143" s="62"/>
      <c r="L143" s="63"/>
      <c r="M143" s="105"/>
    </row>
    <row r="144" spans="1:13" ht="20.100000000000001" customHeight="1" x14ac:dyDescent="0.3">
      <c r="A144" s="60"/>
      <c r="B144" s="48"/>
      <c r="C144" s="48"/>
      <c r="D144" s="48"/>
      <c r="E144" s="48"/>
      <c r="F144" s="48"/>
      <c r="G144" s="48"/>
      <c r="H144" s="48"/>
      <c r="I144" s="48"/>
      <c r="J144" s="61"/>
      <c r="K144" s="62"/>
      <c r="L144" s="63"/>
      <c r="M144" s="105"/>
    </row>
    <row r="145" spans="1:13" ht="20.100000000000001" customHeight="1" x14ac:dyDescent="0.3">
      <c r="A145" s="60"/>
      <c r="B145" s="48"/>
      <c r="C145" s="48"/>
      <c r="D145" s="48"/>
      <c r="E145" s="48"/>
      <c r="F145" s="48"/>
      <c r="G145" s="48"/>
      <c r="H145" s="48"/>
      <c r="I145" s="48"/>
      <c r="J145" s="61"/>
      <c r="K145" s="62"/>
      <c r="L145" s="63"/>
      <c r="M145" s="105"/>
    </row>
    <row r="146" spans="1:13" ht="20.100000000000001" customHeight="1" x14ac:dyDescent="0.3">
      <c r="A146" s="60"/>
      <c r="B146" s="48"/>
      <c r="C146" s="48"/>
      <c r="D146" s="48"/>
      <c r="E146" s="48"/>
      <c r="F146" s="48"/>
      <c r="G146" s="48"/>
      <c r="H146" s="48"/>
      <c r="I146" s="48"/>
      <c r="J146" s="61"/>
      <c r="K146" s="62"/>
      <c r="L146" s="63"/>
      <c r="M146" s="105"/>
    </row>
    <row r="147" spans="1:13" ht="20.100000000000001" customHeight="1" x14ac:dyDescent="0.3">
      <c r="A147" s="60"/>
      <c r="B147" s="48"/>
      <c r="C147" s="48"/>
      <c r="D147" s="48"/>
      <c r="E147" s="48"/>
      <c r="F147" s="48"/>
      <c r="G147" s="48"/>
      <c r="H147" s="48"/>
      <c r="I147" s="48"/>
      <c r="J147" s="61"/>
      <c r="K147" s="62"/>
      <c r="L147" s="63"/>
      <c r="M147" s="105"/>
    </row>
    <row r="148" spans="1:13" ht="20.100000000000001" customHeight="1" x14ac:dyDescent="0.3">
      <c r="A148" s="60"/>
      <c r="B148" s="48"/>
      <c r="C148" s="48"/>
      <c r="D148" s="48"/>
      <c r="E148" s="48"/>
      <c r="F148" s="48"/>
      <c r="G148" s="48"/>
      <c r="H148" s="48"/>
      <c r="I148" s="48"/>
      <c r="J148" s="61"/>
      <c r="K148" s="62"/>
      <c r="L148" s="63"/>
      <c r="M148" s="105"/>
    </row>
    <row r="149" spans="1:13" ht="20.100000000000001" customHeight="1" x14ac:dyDescent="0.3">
      <c r="A149" s="60"/>
      <c r="B149" s="48"/>
      <c r="C149" s="48"/>
      <c r="D149" s="48"/>
      <c r="E149" s="48"/>
      <c r="F149" s="48"/>
      <c r="G149" s="48"/>
      <c r="H149" s="48"/>
      <c r="I149" s="48"/>
      <c r="J149" s="61"/>
      <c r="K149" s="62"/>
      <c r="L149" s="63"/>
      <c r="M149" s="105"/>
    </row>
    <row r="150" spans="1:13" ht="20.100000000000001" customHeight="1" x14ac:dyDescent="0.3">
      <c r="A150" s="60"/>
      <c r="B150" s="48"/>
      <c r="C150" s="48"/>
      <c r="D150" s="48"/>
      <c r="E150" s="48"/>
      <c r="F150" s="48"/>
      <c r="G150" s="48"/>
      <c r="H150" s="48"/>
      <c r="I150" s="48"/>
      <c r="J150" s="61"/>
      <c r="K150" s="62"/>
      <c r="L150" s="63"/>
      <c r="M150" s="105"/>
    </row>
    <row r="151" spans="1:13" ht="20.100000000000001" customHeight="1" x14ac:dyDescent="0.3">
      <c r="A151" s="60"/>
      <c r="B151" s="48"/>
      <c r="C151" s="48"/>
      <c r="D151" s="48"/>
      <c r="E151" s="48"/>
      <c r="F151" s="48"/>
      <c r="G151" s="48"/>
      <c r="H151" s="48"/>
      <c r="I151" s="48"/>
      <c r="J151" s="61"/>
      <c r="K151" s="62"/>
      <c r="L151" s="63"/>
      <c r="M151" s="105"/>
    </row>
    <row r="152" spans="1:13" ht="20.100000000000001" customHeight="1" x14ac:dyDescent="0.3">
      <c r="A152" s="60"/>
      <c r="B152" s="48"/>
      <c r="C152" s="48"/>
      <c r="D152" s="48"/>
      <c r="E152" s="48"/>
      <c r="F152" s="48"/>
      <c r="G152" s="48"/>
      <c r="H152" s="48"/>
      <c r="I152" s="48"/>
      <c r="J152" s="61"/>
      <c r="K152" s="62"/>
      <c r="L152" s="63"/>
      <c r="M152" s="105"/>
    </row>
    <row r="153" spans="1:13" ht="20.100000000000001" customHeight="1" x14ac:dyDescent="0.3">
      <c r="A153" s="60"/>
      <c r="B153" s="48"/>
      <c r="C153" s="48"/>
      <c r="D153" s="48"/>
      <c r="E153" s="48"/>
      <c r="F153" s="48"/>
      <c r="G153" s="48"/>
      <c r="H153" s="48"/>
      <c r="I153" s="48"/>
      <c r="J153" s="61"/>
      <c r="K153" s="62"/>
      <c r="L153" s="63"/>
      <c r="M153" s="105"/>
    </row>
    <row r="154" spans="1:13" ht="20.100000000000001" customHeight="1" x14ac:dyDescent="0.3">
      <c r="A154" s="60"/>
      <c r="B154" s="48"/>
      <c r="C154" s="48"/>
      <c r="D154" s="48"/>
      <c r="E154" s="48"/>
      <c r="F154" s="48"/>
      <c r="G154" s="48"/>
      <c r="H154" s="48"/>
      <c r="I154" s="48"/>
      <c r="J154" s="61"/>
      <c r="K154" s="62"/>
      <c r="L154" s="63"/>
      <c r="M154" s="105"/>
    </row>
    <row r="155" spans="1:13" ht="20.100000000000001" customHeight="1" x14ac:dyDescent="0.3">
      <c r="A155" s="60"/>
      <c r="B155" s="48"/>
      <c r="C155" s="48"/>
      <c r="D155" s="48"/>
      <c r="E155" s="48"/>
      <c r="F155" s="48"/>
      <c r="G155" s="48"/>
      <c r="H155" s="48"/>
      <c r="I155" s="48"/>
      <c r="J155" s="61"/>
      <c r="K155" s="62"/>
      <c r="L155" s="63"/>
      <c r="M155" s="105"/>
    </row>
    <row r="156" spans="1:13" ht="20.100000000000001" customHeight="1" x14ac:dyDescent="0.3">
      <c r="A156" s="60"/>
      <c r="B156" s="48"/>
      <c r="C156" s="48"/>
      <c r="D156" s="48"/>
      <c r="E156" s="48"/>
      <c r="F156" s="48"/>
      <c r="G156" s="48"/>
      <c r="H156" s="48"/>
      <c r="I156" s="48"/>
      <c r="J156" s="61"/>
      <c r="K156" s="62"/>
      <c r="L156" s="63"/>
      <c r="M156" s="105"/>
    </row>
    <row r="157" spans="1:13" ht="20.100000000000001" customHeight="1" x14ac:dyDescent="0.3">
      <c r="A157" s="60"/>
      <c r="B157" s="48"/>
      <c r="C157" s="48"/>
      <c r="D157" s="48"/>
      <c r="E157" s="48"/>
      <c r="F157" s="48"/>
      <c r="G157" s="48"/>
      <c r="H157" s="48"/>
      <c r="I157" s="48"/>
      <c r="J157" s="61"/>
      <c r="K157" s="62"/>
      <c r="L157" s="63"/>
      <c r="M157" s="105"/>
    </row>
    <row r="158" spans="1:13" ht="20.100000000000001" customHeight="1" x14ac:dyDescent="0.3">
      <c r="A158" s="60"/>
      <c r="B158" s="48"/>
      <c r="C158" s="48"/>
      <c r="D158" s="48"/>
      <c r="E158" s="48"/>
      <c r="F158" s="48"/>
      <c r="G158" s="48"/>
      <c r="H158" s="48"/>
      <c r="I158" s="48"/>
      <c r="J158" s="61"/>
      <c r="K158" s="62"/>
      <c r="L158" s="63"/>
      <c r="M158" s="105"/>
    </row>
    <row r="159" spans="1:13" ht="20.100000000000001" customHeight="1" x14ac:dyDescent="0.3">
      <c r="A159" s="60"/>
      <c r="B159" s="48"/>
      <c r="C159" s="48"/>
      <c r="D159" s="48"/>
      <c r="E159" s="48"/>
      <c r="F159" s="48"/>
      <c r="G159" s="48"/>
      <c r="H159" s="48"/>
      <c r="I159" s="48"/>
      <c r="J159" s="61"/>
      <c r="K159" s="62"/>
      <c r="L159" s="63"/>
      <c r="M159" s="105"/>
    </row>
    <row r="160" spans="1:13" ht="20.100000000000001" customHeight="1" x14ac:dyDescent="0.3">
      <c r="A160" s="60"/>
      <c r="B160" s="48"/>
      <c r="C160" s="48"/>
      <c r="D160" s="48"/>
      <c r="E160" s="48"/>
      <c r="F160" s="48"/>
      <c r="G160" s="48"/>
      <c r="H160" s="48"/>
      <c r="I160" s="48"/>
      <c r="J160" s="61"/>
      <c r="K160" s="62"/>
      <c r="L160" s="63"/>
      <c r="M160" s="105"/>
    </row>
    <row r="161" spans="1:13" ht="20.100000000000001" customHeight="1" x14ac:dyDescent="0.3">
      <c r="A161" s="60"/>
      <c r="B161" s="48"/>
      <c r="C161" s="48"/>
      <c r="D161" s="48"/>
      <c r="E161" s="48"/>
      <c r="F161" s="48"/>
      <c r="G161" s="48"/>
      <c r="H161" s="48"/>
      <c r="I161" s="48"/>
      <c r="J161" s="61"/>
      <c r="K161" s="62"/>
      <c r="L161" s="63"/>
      <c r="M161" s="105"/>
    </row>
    <row r="162" spans="1:13" ht="20.100000000000001" customHeight="1" x14ac:dyDescent="0.3">
      <c r="A162" s="60"/>
      <c r="B162" s="48"/>
      <c r="C162" s="48"/>
      <c r="D162" s="48"/>
      <c r="E162" s="48"/>
      <c r="F162" s="48"/>
      <c r="G162" s="48"/>
      <c r="H162" s="48"/>
      <c r="I162" s="48"/>
      <c r="J162" s="61"/>
      <c r="K162" s="62"/>
      <c r="L162" s="63"/>
      <c r="M162" s="105"/>
    </row>
    <row r="163" spans="1:13" ht="20.100000000000001" customHeight="1" x14ac:dyDescent="0.3">
      <c r="A163" s="60"/>
      <c r="B163" s="48"/>
      <c r="C163" s="48"/>
      <c r="D163" s="48"/>
      <c r="E163" s="48"/>
      <c r="F163" s="48"/>
      <c r="G163" s="48"/>
      <c r="H163" s="48"/>
      <c r="I163" s="48"/>
      <c r="J163" s="61"/>
      <c r="K163" s="62"/>
      <c r="L163" s="63"/>
      <c r="M163" s="105"/>
    </row>
    <row r="164" spans="1:13" ht="20.100000000000001" customHeight="1" x14ac:dyDescent="0.3">
      <c r="A164" s="60"/>
      <c r="B164" s="48"/>
      <c r="C164" s="48"/>
      <c r="D164" s="48"/>
      <c r="E164" s="48"/>
      <c r="F164" s="48"/>
      <c r="G164" s="48"/>
      <c r="H164" s="48"/>
      <c r="I164" s="48"/>
      <c r="J164" s="61"/>
      <c r="K164" s="62"/>
      <c r="L164" s="63"/>
      <c r="M164" s="105"/>
    </row>
    <row r="165" spans="1:13" ht="20.100000000000001" customHeight="1" x14ac:dyDescent="0.3">
      <c r="A165" s="60"/>
      <c r="B165" s="48"/>
      <c r="C165" s="48"/>
      <c r="D165" s="48"/>
      <c r="E165" s="48"/>
      <c r="F165" s="48"/>
      <c r="G165" s="48"/>
      <c r="H165" s="48"/>
      <c r="I165" s="48"/>
      <c r="J165" s="61"/>
      <c r="K165" s="62"/>
      <c r="L165" s="63"/>
      <c r="M165" s="105"/>
    </row>
    <row r="166" spans="1:13" ht="20.100000000000001" customHeight="1" x14ac:dyDescent="0.3">
      <c r="A166" s="60"/>
      <c r="B166" s="48"/>
      <c r="C166" s="48"/>
      <c r="D166" s="48"/>
      <c r="E166" s="48"/>
      <c r="F166" s="48"/>
      <c r="G166" s="48"/>
      <c r="H166" s="48"/>
      <c r="I166" s="48"/>
      <c r="J166" s="61"/>
      <c r="K166" s="62"/>
      <c r="L166" s="63"/>
      <c r="M166" s="105"/>
    </row>
    <row r="167" spans="1:13" ht="20.100000000000001" customHeight="1" x14ac:dyDescent="0.3">
      <c r="A167" s="60"/>
      <c r="B167" s="48"/>
      <c r="C167" s="48"/>
      <c r="D167" s="48"/>
      <c r="E167" s="48"/>
      <c r="F167" s="48"/>
      <c r="G167" s="48"/>
      <c r="H167" s="48"/>
      <c r="I167" s="48"/>
      <c r="J167" s="61"/>
      <c r="K167" s="62"/>
      <c r="L167" s="63"/>
      <c r="M167" s="105"/>
    </row>
    <row r="168" spans="1:13" ht="20.100000000000001" customHeight="1" x14ac:dyDescent="0.3">
      <c r="A168" s="60"/>
      <c r="B168" s="48"/>
      <c r="C168" s="48"/>
      <c r="D168" s="48"/>
      <c r="E168" s="48"/>
      <c r="F168" s="48"/>
      <c r="G168" s="48"/>
      <c r="H168" s="48"/>
      <c r="I168" s="48"/>
      <c r="J168" s="61"/>
      <c r="K168" s="62"/>
      <c r="L168" s="63"/>
      <c r="M168" s="105"/>
    </row>
    <row r="169" spans="1:13" ht="20.100000000000001" customHeight="1" x14ac:dyDescent="0.3">
      <c r="A169" s="60"/>
      <c r="B169" s="48"/>
      <c r="C169" s="48"/>
      <c r="D169" s="48"/>
      <c r="E169" s="48"/>
      <c r="F169" s="48"/>
      <c r="G169" s="48"/>
      <c r="H169" s="48"/>
      <c r="I169" s="48"/>
      <c r="J169" s="61"/>
      <c r="K169" s="62"/>
      <c r="L169" s="63"/>
      <c r="M169" s="105"/>
    </row>
    <row r="170" spans="1:13" ht="20.100000000000001" customHeight="1" x14ac:dyDescent="0.3">
      <c r="A170" s="60"/>
      <c r="B170" s="48"/>
      <c r="C170" s="48"/>
      <c r="D170" s="48"/>
      <c r="E170" s="48"/>
      <c r="F170" s="48"/>
      <c r="G170" s="48"/>
      <c r="H170" s="48"/>
      <c r="I170" s="48"/>
      <c r="J170" s="61"/>
      <c r="K170" s="62"/>
      <c r="L170" s="63"/>
      <c r="M170" s="105"/>
    </row>
    <row r="171" spans="1:13" ht="20.100000000000001" customHeight="1" x14ac:dyDescent="0.3">
      <c r="A171" s="60"/>
      <c r="B171" s="48"/>
      <c r="C171" s="48"/>
      <c r="D171" s="48"/>
      <c r="E171" s="48"/>
      <c r="F171" s="48"/>
      <c r="G171" s="48"/>
      <c r="H171" s="48"/>
      <c r="I171" s="48"/>
      <c r="J171" s="61"/>
      <c r="K171" s="62"/>
      <c r="L171" s="63"/>
      <c r="M171" s="105"/>
    </row>
    <row r="172" spans="1:13" ht="20.100000000000001" customHeight="1" x14ac:dyDescent="0.3">
      <c r="A172" s="60"/>
      <c r="B172" s="48"/>
      <c r="C172" s="48"/>
      <c r="D172" s="48"/>
      <c r="E172" s="48"/>
      <c r="F172" s="48"/>
      <c r="G172" s="48"/>
      <c r="H172" s="48"/>
      <c r="I172" s="48"/>
      <c r="J172" s="61"/>
      <c r="K172" s="62"/>
      <c r="L172" s="63"/>
      <c r="M172" s="105"/>
    </row>
    <row r="173" spans="1:13" ht="20.100000000000001" customHeight="1" x14ac:dyDescent="0.3">
      <c r="A173" s="60"/>
      <c r="B173" s="48"/>
      <c r="C173" s="48"/>
      <c r="D173" s="48"/>
      <c r="E173" s="48"/>
      <c r="F173" s="48"/>
      <c r="G173" s="48"/>
      <c r="H173" s="48"/>
      <c r="I173" s="48"/>
      <c r="J173" s="61"/>
      <c r="K173" s="62"/>
      <c r="L173" s="63"/>
      <c r="M173" s="105"/>
    </row>
    <row r="174" spans="1:13" ht="20.100000000000001" customHeight="1" x14ac:dyDescent="0.3">
      <c r="A174" s="60"/>
      <c r="B174" s="48"/>
      <c r="C174" s="48"/>
      <c r="D174" s="48"/>
      <c r="E174" s="48"/>
      <c r="F174" s="48"/>
      <c r="G174" s="48"/>
      <c r="H174" s="48"/>
      <c r="I174" s="48"/>
      <c r="J174" s="61"/>
      <c r="K174" s="62"/>
      <c r="L174" s="63"/>
      <c r="M174" s="105"/>
    </row>
    <row r="175" spans="1:13" ht="20.100000000000001" customHeight="1" x14ac:dyDescent="0.3">
      <c r="A175" s="60"/>
      <c r="B175" s="48"/>
      <c r="C175" s="48"/>
      <c r="D175" s="48"/>
      <c r="E175" s="48"/>
      <c r="F175" s="48"/>
      <c r="G175" s="48"/>
      <c r="H175" s="48"/>
      <c r="I175" s="48"/>
      <c r="J175" s="61"/>
      <c r="K175" s="62"/>
      <c r="L175" s="63"/>
      <c r="M175" s="105"/>
    </row>
    <row r="176" spans="1:13" ht="20.100000000000001" customHeight="1" x14ac:dyDescent="0.3">
      <c r="A176" s="60"/>
      <c r="B176" s="48"/>
      <c r="C176" s="48"/>
      <c r="D176" s="48"/>
      <c r="E176" s="48"/>
      <c r="F176" s="48"/>
      <c r="G176" s="48"/>
      <c r="H176" s="48"/>
      <c r="I176" s="48"/>
      <c r="J176" s="61"/>
      <c r="K176" s="62"/>
      <c r="L176" s="63"/>
      <c r="M176" s="105"/>
    </row>
    <row r="177" spans="1:13" ht="20.100000000000001" customHeight="1" x14ac:dyDescent="0.3">
      <c r="A177" s="60"/>
      <c r="B177" s="48"/>
      <c r="C177" s="48"/>
      <c r="D177" s="48"/>
      <c r="E177" s="48"/>
      <c r="F177" s="48"/>
      <c r="G177" s="48"/>
      <c r="H177" s="48"/>
      <c r="I177" s="48"/>
      <c r="J177" s="61"/>
      <c r="K177" s="62"/>
      <c r="L177" s="63"/>
      <c r="M177" s="105"/>
    </row>
    <row r="178" spans="1:13" ht="20.100000000000001" customHeight="1" x14ac:dyDescent="0.3">
      <c r="A178" s="60"/>
      <c r="B178" s="48"/>
      <c r="C178" s="48"/>
      <c r="D178" s="48"/>
      <c r="E178" s="48"/>
      <c r="F178" s="48"/>
      <c r="G178" s="48"/>
      <c r="H178" s="48"/>
      <c r="I178" s="48"/>
      <c r="J178" s="61"/>
      <c r="K178" s="62"/>
      <c r="L178" s="63"/>
      <c r="M178" s="105"/>
    </row>
    <row r="179" spans="1:13" ht="20.100000000000001" customHeight="1" x14ac:dyDescent="0.3">
      <c r="A179" s="60"/>
      <c r="B179" s="48"/>
      <c r="C179" s="48"/>
      <c r="D179" s="48"/>
      <c r="E179" s="48"/>
      <c r="F179" s="48"/>
      <c r="G179" s="48"/>
      <c r="H179" s="48"/>
      <c r="I179" s="48"/>
      <c r="J179" s="61"/>
      <c r="K179" s="62"/>
      <c r="L179" s="63"/>
      <c r="M179" s="105"/>
    </row>
    <row r="180" spans="1:13" ht="20.100000000000001" customHeight="1" x14ac:dyDescent="0.3">
      <c r="A180" s="60"/>
      <c r="B180" s="48"/>
      <c r="C180" s="48"/>
      <c r="D180" s="48"/>
      <c r="E180" s="48"/>
      <c r="F180" s="48"/>
      <c r="G180" s="48"/>
      <c r="H180" s="48"/>
      <c r="I180" s="48"/>
      <c r="J180" s="61"/>
      <c r="K180" s="62"/>
      <c r="L180" s="63"/>
      <c r="M180" s="105"/>
    </row>
    <row r="181" spans="1:13" ht="20.100000000000001" customHeight="1" x14ac:dyDescent="0.3">
      <c r="A181" s="60"/>
      <c r="B181" s="48"/>
      <c r="C181" s="48"/>
      <c r="D181" s="48"/>
      <c r="E181" s="48"/>
      <c r="F181" s="48"/>
      <c r="G181" s="48"/>
      <c r="H181" s="48"/>
      <c r="I181" s="48"/>
      <c r="J181" s="61"/>
      <c r="K181" s="62"/>
      <c r="L181" s="63"/>
      <c r="M181" s="105"/>
    </row>
    <row r="182" spans="1:13" ht="20.100000000000001" customHeight="1" x14ac:dyDescent="0.3">
      <c r="A182" s="60"/>
      <c r="B182" s="48"/>
      <c r="C182" s="48"/>
      <c r="D182" s="48"/>
      <c r="E182" s="48"/>
      <c r="F182" s="48"/>
      <c r="G182" s="48"/>
      <c r="H182" s="48"/>
      <c r="I182" s="48"/>
      <c r="J182" s="61"/>
      <c r="K182" s="62"/>
      <c r="L182" s="63"/>
      <c r="M182" s="105"/>
    </row>
    <row r="183" spans="1:13" ht="20.100000000000001" customHeight="1" x14ac:dyDescent="0.3">
      <c r="A183" s="60"/>
      <c r="B183" s="48"/>
      <c r="C183" s="48"/>
      <c r="D183" s="48"/>
      <c r="E183" s="48"/>
      <c r="F183" s="48"/>
      <c r="G183" s="48"/>
      <c r="H183" s="48"/>
      <c r="I183" s="48"/>
      <c r="J183" s="61"/>
      <c r="K183" s="62"/>
      <c r="L183" s="63"/>
      <c r="M183" s="105"/>
    </row>
    <row r="184" spans="1:13" ht="20.100000000000001" customHeight="1" x14ac:dyDescent="0.3">
      <c r="A184" s="60"/>
      <c r="B184" s="48"/>
      <c r="C184" s="48"/>
      <c r="D184" s="48"/>
      <c r="E184" s="48"/>
      <c r="F184" s="48"/>
      <c r="G184" s="48"/>
      <c r="H184" s="48"/>
      <c r="I184" s="48"/>
      <c r="J184" s="61"/>
      <c r="K184" s="62"/>
      <c r="L184" s="63"/>
      <c r="M184" s="105"/>
    </row>
    <row r="185" spans="1:13" ht="20.100000000000001" customHeight="1" x14ac:dyDescent="0.3">
      <c r="A185" s="60"/>
      <c r="B185" s="48"/>
      <c r="C185" s="48"/>
      <c r="D185" s="48"/>
      <c r="E185" s="48"/>
      <c r="F185" s="48"/>
      <c r="G185" s="48"/>
      <c r="H185" s="48"/>
      <c r="I185" s="48"/>
      <c r="J185" s="61"/>
      <c r="K185" s="62"/>
      <c r="L185" s="63"/>
      <c r="M185" s="105"/>
    </row>
    <row r="186" spans="1:13" ht="20.100000000000001" customHeight="1" x14ac:dyDescent="0.3">
      <c r="A186" s="60"/>
      <c r="B186" s="48"/>
      <c r="C186" s="48"/>
      <c r="D186" s="48"/>
      <c r="E186" s="48"/>
      <c r="F186" s="48"/>
      <c r="G186" s="48"/>
      <c r="H186" s="48"/>
      <c r="I186" s="48"/>
      <c r="J186" s="61"/>
      <c r="K186" s="62"/>
      <c r="L186" s="63"/>
      <c r="M186" s="105"/>
    </row>
    <row r="187" spans="1:13" ht="20.100000000000001" customHeight="1" x14ac:dyDescent="0.3">
      <c r="A187" s="60"/>
      <c r="B187" s="48"/>
      <c r="C187" s="48"/>
      <c r="D187" s="48"/>
      <c r="E187" s="48"/>
      <c r="F187" s="48"/>
      <c r="G187" s="48"/>
      <c r="H187" s="48"/>
      <c r="I187" s="48"/>
      <c r="J187" s="61"/>
      <c r="K187" s="62"/>
      <c r="L187" s="63"/>
      <c r="M187" s="105"/>
    </row>
    <row r="188" spans="1:13" ht="20.100000000000001" customHeight="1" x14ac:dyDescent="0.3">
      <c r="A188" s="60"/>
      <c r="B188" s="48"/>
      <c r="C188" s="48"/>
      <c r="D188" s="48"/>
      <c r="E188" s="48"/>
      <c r="F188" s="48"/>
      <c r="G188" s="48"/>
      <c r="H188" s="48"/>
      <c r="I188" s="48"/>
      <c r="J188" s="61"/>
      <c r="K188" s="62"/>
      <c r="L188" s="63"/>
      <c r="M188" s="105"/>
    </row>
    <row r="189" spans="1:13" ht="20.100000000000001" customHeight="1" x14ac:dyDescent="0.3">
      <c r="A189" s="60"/>
      <c r="B189" s="48"/>
      <c r="C189" s="48"/>
      <c r="D189" s="48"/>
      <c r="E189" s="48"/>
      <c r="F189" s="48"/>
      <c r="G189" s="48"/>
      <c r="H189" s="48"/>
      <c r="I189" s="48"/>
      <c r="J189" s="61"/>
      <c r="K189" s="62"/>
      <c r="L189" s="63"/>
      <c r="M189" s="105"/>
    </row>
    <row r="190" spans="1:13" ht="20.100000000000001" customHeight="1" x14ac:dyDescent="0.3">
      <c r="A190" s="60"/>
      <c r="B190" s="48"/>
      <c r="C190" s="48"/>
      <c r="D190" s="48"/>
      <c r="E190" s="48"/>
      <c r="F190" s="48"/>
      <c r="G190" s="48"/>
      <c r="H190" s="48"/>
      <c r="I190" s="48"/>
      <c r="J190" s="61"/>
      <c r="K190" s="62"/>
      <c r="L190" s="63"/>
      <c r="M190" s="105"/>
    </row>
    <row r="191" spans="1:13" ht="20.100000000000001" customHeight="1" x14ac:dyDescent="0.3">
      <c r="A191" s="60"/>
      <c r="B191" s="48"/>
      <c r="C191" s="48"/>
      <c r="D191" s="48"/>
      <c r="E191" s="48"/>
      <c r="F191" s="48"/>
      <c r="G191" s="48"/>
      <c r="H191" s="48"/>
      <c r="I191" s="48"/>
      <c r="J191" s="61"/>
      <c r="K191" s="62"/>
      <c r="L191" s="63"/>
      <c r="M191" s="105"/>
    </row>
    <row r="192" spans="1:13" ht="20.100000000000001" customHeight="1" x14ac:dyDescent="0.3">
      <c r="A192" s="60"/>
      <c r="B192" s="48"/>
      <c r="C192" s="48"/>
      <c r="D192" s="48"/>
      <c r="E192" s="48"/>
      <c r="F192" s="48"/>
      <c r="G192" s="48"/>
      <c r="H192" s="48"/>
      <c r="I192" s="48"/>
      <c r="J192" s="61"/>
      <c r="K192" s="62"/>
      <c r="L192" s="63"/>
      <c r="M192" s="105"/>
    </row>
    <row r="193" spans="1:13" ht="20.100000000000001" customHeight="1" x14ac:dyDescent="0.3">
      <c r="A193" s="60"/>
      <c r="B193" s="48"/>
      <c r="C193" s="48"/>
      <c r="D193" s="48"/>
      <c r="E193" s="48"/>
      <c r="F193" s="48"/>
      <c r="G193" s="48"/>
      <c r="H193" s="48"/>
      <c r="I193" s="48"/>
      <c r="J193" s="61"/>
      <c r="K193" s="62"/>
      <c r="L193" s="63"/>
      <c r="M193" s="105"/>
    </row>
    <row r="194" spans="1:13" ht="20.100000000000001" customHeight="1" x14ac:dyDescent="0.3">
      <c r="A194" s="60"/>
      <c r="B194" s="48"/>
      <c r="C194" s="48"/>
      <c r="D194" s="48"/>
      <c r="E194" s="48"/>
      <c r="F194" s="48"/>
      <c r="G194" s="48"/>
      <c r="H194" s="48"/>
      <c r="I194" s="48"/>
      <c r="J194" s="61"/>
      <c r="K194" s="62"/>
      <c r="L194" s="63"/>
      <c r="M194" s="105"/>
    </row>
    <row r="195" spans="1:13" ht="20.100000000000001" customHeight="1" x14ac:dyDescent="0.3">
      <c r="A195" s="60"/>
      <c r="B195" s="48"/>
      <c r="C195" s="48"/>
      <c r="D195" s="48"/>
      <c r="E195" s="48"/>
      <c r="F195" s="48"/>
      <c r="G195" s="48"/>
      <c r="H195" s="48"/>
      <c r="I195" s="48"/>
      <c r="J195" s="61"/>
      <c r="K195" s="62"/>
      <c r="L195" s="63"/>
      <c r="M195" s="105"/>
    </row>
    <row r="196" spans="1:13" ht="20.100000000000001" customHeight="1" x14ac:dyDescent="0.3">
      <c r="A196" s="60"/>
      <c r="B196" s="48"/>
      <c r="C196" s="48"/>
      <c r="D196" s="48"/>
      <c r="E196" s="48"/>
      <c r="F196" s="48"/>
      <c r="G196" s="48"/>
      <c r="H196" s="48"/>
      <c r="I196" s="48"/>
      <c r="J196" s="61"/>
      <c r="K196" s="62"/>
      <c r="L196" s="63"/>
      <c r="M196" s="105"/>
    </row>
    <row r="197" spans="1:13" ht="20.100000000000001" customHeight="1" x14ac:dyDescent="0.3">
      <c r="A197" s="60"/>
      <c r="B197" s="48"/>
      <c r="C197" s="48"/>
      <c r="D197" s="48"/>
      <c r="E197" s="48"/>
      <c r="F197" s="48"/>
      <c r="G197" s="48"/>
      <c r="H197" s="48"/>
      <c r="I197" s="48"/>
      <c r="J197" s="61"/>
      <c r="K197" s="62"/>
      <c r="L197" s="63"/>
      <c r="M197" s="105"/>
    </row>
    <row r="198" spans="1:13" ht="20.100000000000001" customHeight="1" x14ac:dyDescent="0.3">
      <c r="A198" s="60"/>
      <c r="B198" s="48"/>
      <c r="C198" s="48"/>
      <c r="D198" s="48"/>
      <c r="E198" s="48"/>
      <c r="F198" s="48"/>
      <c r="G198" s="48"/>
      <c r="H198" s="48"/>
      <c r="I198" s="48"/>
      <c r="J198" s="61"/>
      <c r="K198" s="62"/>
      <c r="L198" s="63"/>
      <c r="M198" s="105"/>
    </row>
    <row r="199" spans="1:13" ht="20.100000000000001" customHeight="1" x14ac:dyDescent="0.3">
      <c r="A199" s="60"/>
      <c r="B199" s="48"/>
      <c r="C199" s="48"/>
      <c r="D199" s="48"/>
      <c r="E199" s="48"/>
      <c r="F199" s="48"/>
      <c r="G199" s="48"/>
      <c r="H199" s="48"/>
      <c r="I199" s="48"/>
      <c r="J199" s="61"/>
      <c r="K199" s="62"/>
      <c r="L199" s="63"/>
      <c r="M199" s="105"/>
    </row>
    <row r="200" spans="1:13" ht="20.100000000000001" customHeight="1" x14ac:dyDescent="0.3">
      <c r="A200" s="60"/>
      <c r="B200" s="48"/>
      <c r="C200" s="48"/>
      <c r="D200" s="48"/>
      <c r="E200" s="48"/>
      <c r="F200" s="48"/>
      <c r="G200" s="48"/>
      <c r="H200" s="48"/>
      <c r="I200" s="48"/>
      <c r="J200" s="61"/>
      <c r="K200" s="62"/>
      <c r="L200" s="63"/>
      <c r="M200" s="105"/>
    </row>
    <row r="201" spans="1:13" ht="20.100000000000001" customHeight="1" x14ac:dyDescent="0.3">
      <c r="A201" s="60"/>
      <c r="B201" s="48"/>
      <c r="C201" s="48"/>
      <c r="D201" s="48"/>
      <c r="E201" s="48"/>
      <c r="F201" s="48"/>
      <c r="G201" s="48"/>
      <c r="H201" s="48"/>
      <c r="I201" s="48"/>
      <c r="J201" s="61"/>
      <c r="K201" s="62"/>
      <c r="L201" s="63"/>
      <c r="M201" s="105"/>
    </row>
    <row r="202" spans="1:13" ht="20.100000000000001" customHeight="1" x14ac:dyDescent="0.3">
      <c r="A202" s="60"/>
      <c r="B202" s="48"/>
      <c r="C202" s="48"/>
      <c r="D202" s="48"/>
      <c r="E202" s="48"/>
      <c r="F202" s="48"/>
      <c r="G202" s="48"/>
      <c r="H202" s="48"/>
      <c r="I202" s="48"/>
      <c r="J202" s="61"/>
      <c r="K202" s="62"/>
      <c r="L202" s="63"/>
      <c r="M202" s="105"/>
    </row>
    <row r="203" spans="1:13" ht="20.100000000000001" customHeight="1" x14ac:dyDescent="0.3">
      <c r="A203" s="60"/>
      <c r="B203" s="48"/>
      <c r="C203" s="48"/>
      <c r="D203" s="48"/>
      <c r="E203" s="48"/>
      <c r="F203" s="48"/>
      <c r="G203" s="48"/>
      <c r="H203" s="48"/>
      <c r="I203" s="48"/>
      <c r="J203" s="61"/>
      <c r="K203" s="62"/>
      <c r="L203" s="63"/>
      <c r="M203" s="105"/>
    </row>
    <row r="204" spans="1:13" ht="20.100000000000001" customHeight="1" x14ac:dyDescent="0.3">
      <c r="A204" s="60"/>
      <c r="B204" s="48"/>
      <c r="C204" s="48"/>
      <c r="D204" s="48"/>
      <c r="E204" s="48"/>
      <c r="F204" s="48"/>
      <c r="G204" s="48"/>
      <c r="H204" s="48"/>
      <c r="I204" s="48"/>
      <c r="J204" s="61"/>
      <c r="K204" s="62"/>
      <c r="L204" s="63"/>
      <c r="M204" s="105"/>
    </row>
    <row r="205" spans="1:13" ht="20.100000000000001" customHeight="1" x14ac:dyDescent="0.3">
      <c r="A205" s="60"/>
      <c r="B205" s="48"/>
      <c r="C205" s="48"/>
      <c r="D205" s="48"/>
      <c r="E205" s="48"/>
      <c r="F205" s="48"/>
      <c r="G205" s="48"/>
      <c r="H205" s="48"/>
      <c r="I205" s="48"/>
      <c r="J205" s="61"/>
      <c r="K205" s="62"/>
      <c r="L205" s="63"/>
      <c r="M205" s="105"/>
    </row>
    <row r="206" spans="1:13" ht="20.100000000000001" customHeight="1" x14ac:dyDescent="0.3">
      <c r="A206" s="60"/>
      <c r="B206" s="48"/>
      <c r="C206" s="48"/>
      <c r="D206" s="48"/>
      <c r="E206" s="48"/>
      <c r="F206" s="48"/>
      <c r="G206" s="48"/>
      <c r="H206" s="48"/>
      <c r="I206" s="48"/>
      <c r="J206" s="61"/>
      <c r="K206" s="62"/>
      <c r="L206" s="63"/>
      <c r="M206" s="105"/>
    </row>
    <row r="207" spans="1:13" ht="20.100000000000001" customHeight="1" x14ac:dyDescent="0.3">
      <c r="A207" s="60"/>
      <c r="B207" s="48"/>
      <c r="C207" s="48"/>
      <c r="D207" s="48"/>
      <c r="E207" s="48"/>
      <c r="F207" s="48"/>
      <c r="G207" s="48"/>
      <c r="H207" s="48"/>
      <c r="I207" s="48"/>
      <c r="J207" s="61"/>
      <c r="K207" s="62"/>
      <c r="L207" s="63"/>
      <c r="M207" s="105"/>
    </row>
    <row r="208" spans="1:13" ht="20.100000000000001" customHeight="1" x14ac:dyDescent="0.3">
      <c r="A208" s="60"/>
      <c r="B208" s="48"/>
      <c r="C208" s="48"/>
      <c r="D208" s="48"/>
      <c r="E208" s="48"/>
      <c r="F208" s="48"/>
      <c r="G208" s="48"/>
      <c r="H208" s="48"/>
      <c r="I208" s="48"/>
      <c r="J208" s="61"/>
      <c r="K208" s="62"/>
      <c r="L208" s="63"/>
      <c r="M208" s="105"/>
    </row>
    <row r="209" spans="1:13" ht="20.100000000000001" customHeight="1" x14ac:dyDescent="0.3">
      <c r="A209" s="60"/>
      <c r="B209" s="48"/>
      <c r="C209" s="48"/>
      <c r="D209" s="48"/>
      <c r="E209" s="48"/>
      <c r="F209" s="48"/>
      <c r="G209" s="48"/>
      <c r="H209" s="48"/>
      <c r="I209" s="48"/>
      <c r="J209" s="61"/>
      <c r="K209" s="62"/>
      <c r="L209" s="63"/>
      <c r="M209" s="105"/>
    </row>
    <row r="210" spans="1:13" ht="20.100000000000001" customHeight="1" x14ac:dyDescent="0.3">
      <c r="A210" s="60"/>
      <c r="B210" s="48"/>
      <c r="C210" s="48"/>
      <c r="D210" s="48"/>
      <c r="E210" s="48"/>
      <c r="F210" s="48"/>
      <c r="G210" s="48"/>
      <c r="H210" s="48"/>
      <c r="I210" s="48"/>
      <c r="J210" s="61"/>
      <c r="K210" s="62"/>
      <c r="L210" s="63"/>
      <c r="M210" s="105"/>
    </row>
    <row r="211" spans="1:13" ht="20.100000000000001" customHeight="1" x14ac:dyDescent="0.3">
      <c r="A211" s="60"/>
      <c r="B211" s="48"/>
      <c r="C211" s="48"/>
      <c r="D211" s="48"/>
      <c r="E211" s="48"/>
      <c r="F211" s="48"/>
      <c r="G211" s="48"/>
      <c r="H211" s="48"/>
      <c r="I211" s="48"/>
      <c r="J211" s="61"/>
      <c r="K211" s="62"/>
      <c r="L211" s="63"/>
      <c r="M211" s="105"/>
    </row>
    <row r="212" spans="1:13" ht="20.100000000000001" customHeight="1" x14ac:dyDescent="0.3">
      <c r="A212" s="60"/>
      <c r="B212" s="48"/>
      <c r="C212" s="48"/>
      <c r="D212" s="48"/>
      <c r="E212" s="48"/>
      <c r="F212" s="48"/>
      <c r="G212" s="48"/>
      <c r="H212" s="48"/>
      <c r="I212" s="48"/>
      <c r="J212" s="61"/>
      <c r="K212" s="62"/>
      <c r="L212" s="63"/>
      <c r="M212" s="105"/>
    </row>
    <row r="213" spans="1:13" ht="20.100000000000001" customHeight="1" x14ac:dyDescent="0.3">
      <c r="A213" s="60"/>
      <c r="B213" s="48"/>
      <c r="C213" s="48"/>
      <c r="D213" s="48"/>
      <c r="E213" s="48"/>
      <c r="F213" s="48"/>
      <c r="G213" s="48"/>
      <c r="H213" s="48"/>
      <c r="I213" s="48"/>
      <c r="J213" s="61"/>
      <c r="K213" s="62"/>
      <c r="L213" s="63"/>
      <c r="M213" s="105"/>
    </row>
    <row r="214" spans="1:13" ht="20.100000000000001" customHeight="1" x14ac:dyDescent="0.3">
      <c r="A214" s="60"/>
      <c r="B214" s="48"/>
      <c r="C214" s="48"/>
      <c r="D214" s="48"/>
      <c r="E214" s="48"/>
      <c r="F214" s="48"/>
      <c r="G214" s="48"/>
      <c r="H214" s="48"/>
      <c r="I214" s="48"/>
      <c r="J214" s="61"/>
      <c r="K214" s="62"/>
      <c r="L214" s="63"/>
      <c r="M214" s="105"/>
    </row>
    <row r="215" spans="1:13" ht="20.100000000000001" customHeight="1" x14ac:dyDescent="0.3">
      <c r="A215" s="60"/>
      <c r="B215" s="48"/>
      <c r="C215" s="48"/>
      <c r="D215" s="48"/>
      <c r="E215" s="48"/>
      <c r="F215" s="48"/>
      <c r="G215" s="48"/>
      <c r="H215" s="48"/>
      <c r="I215" s="48"/>
      <c r="J215" s="61"/>
      <c r="K215" s="62"/>
      <c r="L215" s="63"/>
      <c r="M215" s="105"/>
    </row>
    <row r="216" spans="1:13" ht="20.100000000000001" customHeight="1" x14ac:dyDescent="0.3">
      <c r="A216" s="60"/>
      <c r="B216" s="48"/>
      <c r="C216" s="48"/>
      <c r="D216" s="48"/>
      <c r="E216" s="48"/>
      <c r="F216" s="48"/>
      <c r="G216" s="48"/>
      <c r="H216" s="48"/>
      <c r="I216" s="48"/>
      <c r="J216" s="61"/>
      <c r="K216" s="62"/>
      <c r="L216" s="63"/>
      <c r="M216" s="105"/>
    </row>
    <row r="217" spans="1:13" ht="20.100000000000001" customHeight="1" x14ac:dyDescent="0.3">
      <c r="A217" s="60"/>
      <c r="B217" s="48"/>
      <c r="C217" s="48"/>
      <c r="D217" s="48"/>
      <c r="E217" s="48"/>
      <c r="F217" s="48"/>
      <c r="G217" s="48"/>
      <c r="H217" s="48"/>
      <c r="I217" s="48"/>
      <c r="J217" s="61"/>
      <c r="K217" s="62"/>
      <c r="L217" s="63"/>
      <c r="M217" s="105"/>
    </row>
    <row r="218" spans="1:13" ht="20.100000000000001" customHeight="1" x14ac:dyDescent="0.3">
      <c r="A218" s="60"/>
      <c r="B218" s="48"/>
      <c r="C218" s="48"/>
      <c r="D218" s="48"/>
      <c r="E218" s="48"/>
      <c r="F218" s="48"/>
      <c r="G218" s="48"/>
      <c r="H218" s="48"/>
      <c r="I218" s="48"/>
      <c r="J218" s="61"/>
      <c r="K218" s="62"/>
      <c r="L218" s="63"/>
      <c r="M218" s="105"/>
    </row>
    <row r="219" spans="1:13" ht="20.100000000000001" customHeight="1" x14ac:dyDescent="0.3">
      <c r="A219" s="60"/>
      <c r="B219" s="48"/>
      <c r="C219" s="48"/>
      <c r="D219" s="48"/>
      <c r="E219" s="48"/>
      <c r="F219" s="48"/>
      <c r="G219" s="48"/>
      <c r="H219" s="48"/>
      <c r="I219" s="48"/>
      <c r="J219" s="61"/>
      <c r="K219" s="62"/>
      <c r="L219" s="63"/>
      <c r="M219" s="105"/>
    </row>
  </sheetData>
  <autoFilter ref="A2:R2" xr:uid="{728BA22D-3E93-43B4-A6B5-58F9F16B7F16}"/>
  <mergeCells count="1">
    <mergeCell ref="A1:L1"/>
  </mergeCells>
  <phoneticPr fontId="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AC7BA-8792-4DD5-9614-FECF89F230A3}">
  <sheetPr>
    <tabColor rgb="FFFFFF00"/>
  </sheetPr>
  <dimension ref="A1:S152"/>
  <sheetViews>
    <sheetView zoomScale="85" zoomScaleNormal="85" workbookViewId="0">
      <pane ySplit="2" topLeftCell="A3" activePane="bottomLeft" state="frozen"/>
      <selection activeCell="B29" sqref="B29:L29"/>
      <selection pane="bottomLeft" activeCell="F21" sqref="F21"/>
    </sheetView>
  </sheetViews>
  <sheetFormatPr defaultColWidth="9" defaultRowHeight="20.100000000000001" customHeight="1" x14ac:dyDescent="0.3"/>
  <cols>
    <col min="1" max="1" width="15.25" bestFit="1" customWidth="1"/>
    <col min="2" max="6" width="8.625" customWidth="1"/>
    <col min="7" max="7" width="12.625" customWidth="1"/>
    <col min="8" max="8" width="16.25" customWidth="1"/>
    <col min="9" max="9" width="10.25" customWidth="1"/>
    <col min="10" max="10" width="14.625" customWidth="1"/>
    <col min="11" max="12" width="9.625" customWidth="1"/>
    <col min="13" max="13" width="9.25" style="93" customWidth="1"/>
    <col min="14" max="15" width="11.625" customWidth="1"/>
    <col min="16" max="16" width="1.625" customWidth="1"/>
    <col min="17" max="17" width="10.625" customWidth="1"/>
    <col min="18" max="18" width="11.625" customWidth="1"/>
  </cols>
  <sheetData>
    <row r="1" spans="1:19" ht="20.100000000000001" customHeight="1" x14ac:dyDescent="0.3">
      <c r="A1" s="145" t="s">
        <v>22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90"/>
      <c r="N1" s="41" t="s">
        <v>0</v>
      </c>
      <c r="O1" s="27">
        <f>SUM(K1:K9965)</f>
        <v>3200000</v>
      </c>
      <c r="P1" s="28"/>
      <c r="Q1" s="41" t="s">
        <v>1</v>
      </c>
      <c r="R1" s="27">
        <f>SUM(L1:L9965)</f>
        <v>3840000</v>
      </c>
      <c r="S1" s="42"/>
    </row>
    <row r="2" spans="1:19" ht="20.100000000000001" customHeight="1" x14ac:dyDescent="0.3">
      <c r="A2" s="43" t="s">
        <v>8</v>
      </c>
      <c r="B2" s="43" t="s">
        <v>9</v>
      </c>
      <c r="C2" s="43" t="s">
        <v>10</v>
      </c>
      <c r="D2" s="43" t="s">
        <v>11</v>
      </c>
      <c r="E2" s="43" t="s">
        <v>12</v>
      </c>
      <c r="F2" s="43" t="s">
        <v>13</v>
      </c>
      <c r="G2" s="43" t="s">
        <v>39</v>
      </c>
      <c r="H2" s="43" t="s">
        <v>15</v>
      </c>
      <c r="I2" s="43" t="s">
        <v>16</v>
      </c>
      <c r="J2" s="44" t="s">
        <v>17</v>
      </c>
      <c r="K2" s="43" t="s">
        <v>0</v>
      </c>
      <c r="L2" s="43" t="s">
        <v>1</v>
      </c>
      <c r="M2" s="91" t="s">
        <v>25</v>
      </c>
      <c r="N2" s="46"/>
      <c r="O2" s="46"/>
      <c r="P2" s="46"/>
      <c r="Q2" s="46"/>
      <c r="R2" s="46"/>
      <c r="S2" s="45"/>
    </row>
    <row r="3" spans="1:19" ht="20.100000000000001" customHeight="1" x14ac:dyDescent="0.3">
      <c r="A3" s="60" t="s">
        <v>131</v>
      </c>
      <c r="B3" s="48" t="s">
        <v>45</v>
      </c>
      <c r="C3" s="48" t="s">
        <v>134</v>
      </c>
      <c r="D3" s="48" t="s">
        <v>135</v>
      </c>
      <c r="E3" s="48"/>
      <c r="F3" s="48" t="s">
        <v>136</v>
      </c>
      <c r="G3" s="48">
        <v>4</v>
      </c>
      <c r="H3" s="48"/>
      <c r="I3" s="48"/>
      <c r="J3" s="61"/>
      <c r="K3" s="62">
        <f t="shared" ref="K3" si="0">G3*100000</f>
        <v>400000</v>
      </c>
      <c r="L3" s="63">
        <f t="shared" ref="L3" si="1">120000*G3</f>
        <v>480000</v>
      </c>
      <c r="M3" s="92">
        <f t="shared" ref="M3" si="2">L3-K3</f>
        <v>80000</v>
      </c>
      <c r="N3" s="65"/>
      <c r="Q3" t="s">
        <v>31</v>
      </c>
    </row>
    <row r="4" spans="1:19" ht="20.100000000000001" customHeight="1" x14ac:dyDescent="0.3">
      <c r="A4" s="60" t="s">
        <v>131</v>
      </c>
      <c r="B4" s="48" t="s">
        <v>45</v>
      </c>
      <c r="C4" s="48" t="s">
        <v>134</v>
      </c>
      <c r="D4" s="48" t="s">
        <v>135</v>
      </c>
      <c r="E4" s="48"/>
      <c r="F4" s="48" t="s">
        <v>137</v>
      </c>
      <c r="G4" s="48">
        <v>3</v>
      </c>
      <c r="H4" s="48"/>
      <c r="I4" s="48"/>
      <c r="J4" s="61"/>
      <c r="K4" s="62">
        <f t="shared" ref="K4:K29" si="3">G4*100000</f>
        <v>300000</v>
      </c>
      <c r="L4" s="63">
        <f t="shared" ref="L4:L29" si="4">120000*G4</f>
        <v>360000</v>
      </c>
      <c r="M4" s="92">
        <f t="shared" ref="M4:M29" si="5">L4-K4</f>
        <v>60000</v>
      </c>
      <c r="N4" s="65"/>
      <c r="O4" s="66"/>
      <c r="P4" s="66"/>
      <c r="Q4" s="66" t="s">
        <v>32</v>
      </c>
      <c r="R4" s="66"/>
      <c r="S4" s="66"/>
    </row>
    <row r="5" spans="1:19" ht="20.100000000000001" customHeight="1" x14ac:dyDescent="0.3">
      <c r="A5" s="60" t="s">
        <v>131</v>
      </c>
      <c r="B5" s="48" t="s">
        <v>45</v>
      </c>
      <c r="C5" s="48" t="s">
        <v>134</v>
      </c>
      <c r="D5" s="48" t="s">
        <v>135</v>
      </c>
      <c r="E5" s="48"/>
      <c r="F5" s="48" t="s">
        <v>138</v>
      </c>
      <c r="G5" s="48">
        <v>1</v>
      </c>
      <c r="H5" s="48"/>
      <c r="I5" s="48"/>
      <c r="J5" s="61"/>
      <c r="K5" s="62">
        <f t="shared" si="3"/>
        <v>100000</v>
      </c>
      <c r="L5" s="63">
        <f t="shared" si="4"/>
        <v>120000</v>
      </c>
      <c r="M5" s="92">
        <f t="shared" si="5"/>
        <v>20000</v>
      </c>
      <c r="N5" s="65"/>
      <c r="Q5" t="s">
        <v>29</v>
      </c>
    </row>
    <row r="6" spans="1:19" ht="20.100000000000001" customHeight="1" x14ac:dyDescent="0.3">
      <c r="A6" s="60" t="s">
        <v>219</v>
      </c>
      <c r="B6" s="48" t="s">
        <v>45</v>
      </c>
      <c r="C6" s="48" t="s">
        <v>134</v>
      </c>
      <c r="D6" s="48" t="s">
        <v>135</v>
      </c>
      <c r="E6" s="48"/>
      <c r="F6" s="48" t="s">
        <v>136</v>
      </c>
      <c r="G6" s="48">
        <v>6</v>
      </c>
      <c r="H6" s="48"/>
      <c r="I6" s="48"/>
      <c r="J6" s="61"/>
      <c r="K6" s="62">
        <f t="shared" si="3"/>
        <v>600000</v>
      </c>
      <c r="L6" s="63">
        <f t="shared" si="4"/>
        <v>720000</v>
      </c>
      <c r="M6" s="92">
        <f t="shared" si="5"/>
        <v>120000</v>
      </c>
      <c r="N6" s="65"/>
    </row>
    <row r="7" spans="1:19" ht="20.100000000000001" customHeight="1" x14ac:dyDescent="0.3">
      <c r="A7" s="60" t="s">
        <v>219</v>
      </c>
      <c r="B7" s="48" t="s">
        <v>45</v>
      </c>
      <c r="C7" s="48" t="s">
        <v>134</v>
      </c>
      <c r="D7" s="48" t="s">
        <v>135</v>
      </c>
      <c r="E7" s="48"/>
      <c r="F7" s="48" t="s">
        <v>137</v>
      </c>
      <c r="G7" s="48">
        <v>4</v>
      </c>
      <c r="H7" s="48"/>
      <c r="I7" s="48"/>
      <c r="J7" s="61"/>
      <c r="K7" s="62">
        <f t="shared" si="3"/>
        <v>400000</v>
      </c>
      <c r="L7" s="63">
        <f t="shared" si="4"/>
        <v>480000</v>
      </c>
      <c r="M7" s="92">
        <f t="shared" si="5"/>
        <v>80000</v>
      </c>
      <c r="N7" s="65"/>
      <c r="O7" s="37"/>
      <c r="P7" s="37"/>
      <c r="Q7" s="37"/>
      <c r="R7" s="37"/>
      <c r="S7" s="3"/>
    </row>
    <row r="8" spans="1:19" ht="20.100000000000001" customHeight="1" x14ac:dyDescent="0.3">
      <c r="A8" s="60" t="s">
        <v>295</v>
      </c>
      <c r="B8" s="48" t="s">
        <v>45</v>
      </c>
      <c r="C8" s="48" t="s">
        <v>134</v>
      </c>
      <c r="D8" s="48" t="s">
        <v>135</v>
      </c>
      <c r="E8" s="48"/>
      <c r="F8" s="48" t="s">
        <v>136</v>
      </c>
      <c r="G8" s="48">
        <v>3</v>
      </c>
      <c r="H8" s="48"/>
      <c r="I8" s="48"/>
      <c r="J8" s="61"/>
      <c r="K8" s="62">
        <f t="shared" si="3"/>
        <v>300000</v>
      </c>
      <c r="L8" s="63">
        <f t="shared" si="4"/>
        <v>360000</v>
      </c>
      <c r="M8" s="92">
        <f t="shared" si="5"/>
        <v>60000</v>
      </c>
      <c r="N8" s="65"/>
    </row>
    <row r="9" spans="1:19" ht="20.100000000000001" customHeight="1" x14ac:dyDescent="0.3">
      <c r="A9" s="60" t="s">
        <v>295</v>
      </c>
      <c r="B9" s="48" t="s">
        <v>45</v>
      </c>
      <c r="C9" s="48" t="s">
        <v>134</v>
      </c>
      <c r="D9" s="48" t="s">
        <v>135</v>
      </c>
      <c r="E9" s="48"/>
      <c r="F9" s="48" t="s">
        <v>296</v>
      </c>
      <c r="G9" s="48">
        <v>1</v>
      </c>
      <c r="H9" s="48"/>
      <c r="I9" s="48"/>
      <c r="J9" s="61"/>
      <c r="K9" s="62">
        <f t="shared" si="3"/>
        <v>100000</v>
      </c>
      <c r="L9" s="63">
        <f t="shared" si="4"/>
        <v>120000</v>
      </c>
      <c r="M9" s="92">
        <f t="shared" si="5"/>
        <v>20000</v>
      </c>
      <c r="N9" s="65"/>
    </row>
    <row r="10" spans="1:19" ht="20.100000000000001" customHeight="1" x14ac:dyDescent="0.3">
      <c r="A10" s="60" t="s">
        <v>295</v>
      </c>
      <c r="B10" s="48" t="s">
        <v>45</v>
      </c>
      <c r="C10" s="48" t="s">
        <v>134</v>
      </c>
      <c r="D10" s="48" t="s">
        <v>135</v>
      </c>
      <c r="E10" s="48"/>
      <c r="F10" s="48" t="s">
        <v>297</v>
      </c>
      <c r="G10" s="48">
        <v>4</v>
      </c>
      <c r="H10" s="48"/>
      <c r="I10" s="48"/>
      <c r="J10" s="61"/>
      <c r="K10" s="62">
        <f t="shared" si="3"/>
        <v>400000</v>
      </c>
      <c r="L10" s="63">
        <f t="shared" si="4"/>
        <v>480000</v>
      </c>
      <c r="M10" s="92">
        <f t="shared" si="5"/>
        <v>80000</v>
      </c>
      <c r="N10" s="65"/>
    </row>
    <row r="11" spans="1:19" ht="20.100000000000001" customHeight="1" x14ac:dyDescent="0.3">
      <c r="A11" s="60" t="s">
        <v>295</v>
      </c>
      <c r="B11" s="48" t="s">
        <v>45</v>
      </c>
      <c r="C11" s="48" t="s">
        <v>134</v>
      </c>
      <c r="D11" s="48" t="s">
        <v>135</v>
      </c>
      <c r="E11" s="48"/>
      <c r="F11" s="48" t="s">
        <v>137</v>
      </c>
      <c r="G11" s="48">
        <v>6</v>
      </c>
      <c r="H11" s="48"/>
      <c r="I11" s="48"/>
      <c r="J11" s="61"/>
      <c r="K11" s="62">
        <f t="shared" si="3"/>
        <v>600000</v>
      </c>
      <c r="L11" s="63">
        <f t="shared" si="4"/>
        <v>720000</v>
      </c>
      <c r="M11" s="92">
        <f t="shared" si="5"/>
        <v>120000</v>
      </c>
      <c r="N11" s="65"/>
    </row>
    <row r="12" spans="1:19" ht="20.100000000000001" customHeight="1" x14ac:dyDescent="0.3">
      <c r="A12" s="60"/>
      <c r="B12" s="48"/>
      <c r="C12" s="48"/>
      <c r="D12" s="48"/>
      <c r="E12" s="48"/>
      <c r="F12" s="48"/>
      <c r="G12" s="48"/>
      <c r="H12" s="48"/>
      <c r="I12" s="48"/>
      <c r="J12" s="61"/>
      <c r="K12" s="62">
        <f t="shared" si="3"/>
        <v>0</v>
      </c>
      <c r="L12" s="63">
        <f t="shared" si="4"/>
        <v>0</v>
      </c>
      <c r="M12" s="92">
        <f t="shared" si="5"/>
        <v>0</v>
      </c>
      <c r="N12" s="65"/>
    </row>
    <row r="13" spans="1:19" ht="20.100000000000001" customHeight="1" x14ac:dyDescent="0.3">
      <c r="A13" s="60"/>
      <c r="B13" s="48"/>
      <c r="C13" s="48"/>
      <c r="D13" s="48"/>
      <c r="E13" s="48"/>
      <c r="F13" s="48"/>
      <c r="G13" s="48"/>
      <c r="H13" s="48"/>
      <c r="I13" s="48"/>
      <c r="J13" s="61"/>
      <c r="K13" s="62">
        <f t="shared" si="3"/>
        <v>0</v>
      </c>
      <c r="L13" s="63">
        <f t="shared" si="4"/>
        <v>0</v>
      </c>
      <c r="M13" s="92">
        <f t="shared" si="5"/>
        <v>0</v>
      </c>
      <c r="N13" s="65"/>
      <c r="O13" s="66"/>
      <c r="P13" s="66"/>
      <c r="Q13" s="66"/>
      <c r="R13" s="66"/>
      <c r="S13" s="66"/>
    </row>
    <row r="14" spans="1:19" ht="20.100000000000001" customHeight="1" x14ac:dyDescent="0.3">
      <c r="A14" s="60"/>
      <c r="B14" s="48"/>
      <c r="C14" s="48"/>
      <c r="D14" s="48"/>
      <c r="E14" s="48"/>
      <c r="F14" s="48"/>
      <c r="G14" s="48"/>
      <c r="H14" s="48"/>
      <c r="I14" s="48"/>
      <c r="J14" s="61"/>
      <c r="K14" s="62">
        <f t="shared" si="3"/>
        <v>0</v>
      </c>
      <c r="L14" s="63">
        <f t="shared" si="4"/>
        <v>0</v>
      </c>
      <c r="M14" s="92">
        <f t="shared" si="5"/>
        <v>0</v>
      </c>
      <c r="N14" s="65"/>
    </row>
    <row r="15" spans="1:19" ht="20.100000000000001" customHeight="1" x14ac:dyDescent="0.3">
      <c r="A15" s="60"/>
      <c r="B15" s="48"/>
      <c r="C15" s="48"/>
      <c r="D15" s="48"/>
      <c r="E15" s="48"/>
      <c r="F15" s="48"/>
      <c r="G15" s="48"/>
      <c r="H15" s="48"/>
      <c r="I15" s="48"/>
      <c r="J15" s="61"/>
      <c r="K15" s="62">
        <f t="shared" si="3"/>
        <v>0</v>
      </c>
      <c r="L15" s="63">
        <f t="shared" si="4"/>
        <v>0</v>
      </c>
      <c r="M15" s="92">
        <f t="shared" si="5"/>
        <v>0</v>
      </c>
      <c r="N15" s="65"/>
      <c r="O15" s="37"/>
      <c r="P15" s="37"/>
      <c r="Q15" s="37"/>
      <c r="R15" s="37"/>
      <c r="S15" s="3"/>
    </row>
    <row r="16" spans="1:19" ht="20.100000000000001" customHeight="1" x14ac:dyDescent="0.3">
      <c r="A16" s="60"/>
      <c r="B16" s="48"/>
      <c r="C16" s="48"/>
      <c r="D16" s="48"/>
      <c r="E16" s="48"/>
      <c r="F16" s="48"/>
      <c r="G16" s="48"/>
      <c r="H16" s="48"/>
      <c r="I16" s="48"/>
      <c r="J16" s="61"/>
      <c r="K16" s="62">
        <f t="shared" si="3"/>
        <v>0</v>
      </c>
      <c r="L16" s="63">
        <f t="shared" si="4"/>
        <v>0</v>
      </c>
      <c r="M16" s="92">
        <f t="shared" si="5"/>
        <v>0</v>
      </c>
      <c r="N16" s="65"/>
      <c r="O16" s="66"/>
      <c r="P16" s="66"/>
      <c r="Q16" s="66"/>
      <c r="R16" s="66"/>
      <c r="S16" s="66"/>
    </row>
    <row r="17" spans="1:19" ht="20.100000000000001" customHeight="1" x14ac:dyDescent="0.3">
      <c r="A17" s="60"/>
      <c r="B17" s="48"/>
      <c r="C17" s="48"/>
      <c r="D17" s="48"/>
      <c r="E17" s="48"/>
      <c r="F17" s="48"/>
      <c r="G17" s="48"/>
      <c r="H17" s="48"/>
      <c r="I17" s="48"/>
      <c r="J17" s="61"/>
      <c r="K17" s="62">
        <f t="shared" si="3"/>
        <v>0</v>
      </c>
      <c r="L17" s="63">
        <f t="shared" si="4"/>
        <v>0</v>
      </c>
      <c r="M17" s="92">
        <f t="shared" si="5"/>
        <v>0</v>
      </c>
      <c r="N17" s="65"/>
      <c r="O17" s="66"/>
      <c r="P17" s="66"/>
      <c r="Q17" s="66"/>
      <c r="R17" s="66"/>
      <c r="S17" s="66"/>
    </row>
    <row r="18" spans="1:19" ht="20.100000000000001" customHeight="1" x14ac:dyDescent="0.3">
      <c r="A18" s="60"/>
      <c r="B18" s="48"/>
      <c r="C18" s="48"/>
      <c r="D18" s="48"/>
      <c r="E18" s="48"/>
      <c r="F18" s="48"/>
      <c r="G18" s="48"/>
      <c r="H18" s="48"/>
      <c r="I18" s="48"/>
      <c r="J18" s="61"/>
      <c r="K18" s="62">
        <f t="shared" si="3"/>
        <v>0</v>
      </c>
      <c r="L18" s="63">
        <f t="shared" si="4"/>
        <v>0</v>
      </c>
      <c r="M18" s="92">
        <f t="shared" si="5"/>
        <v>0</v>
      </c>
      <c r="N18" s="65"/>
    </row>
    <row r="19" spans="1:19" ht="20.100000000000001" customHeight="1" x14ac:dyDescent="0.3">
      <c r="A19" s="60"/>
      <c r="B19" s="48"/>
      <c r="C19" s="48"/>
      <c r="D19" s="48"/>
      <c r="E19" s="48"/>
      <c r="F19" s="48"/>
      <c r="G19" s="48"/>
      <c r="H19" s="48"/>
      <c r="I19" s="48"/>
      <c r="J19" s="61"/>
      <c r="K19" s="62">
        <f t="shared" si="3"/>
        <v>0</v>
      </c>
      <c r="L19" s="63">
        <f t="shared" si="4"/>
        <v>0</v>
      </c>
      <c r="M19" s="92">
        <f t="shared" si="5"/>
        <v>0</v>
      </c>
      <c r="N19" s="65"/>
    </row>
    <row r="20" spans="1:19" ht="20.100000000000001" customHeight="1" x14ac:dyDescent="0.3">
      <c r="A20" s="60"/>
      <c r="B20" s="48"/>
      <c r="C20" s="48"/>
      <c r="D20" s="48"/>
      <c r="E20" s="48"/>
      <c r="F20" s="48"/>
      <c r="G20" s="48"/>
      <c r="H20" s="48"/>
      <c r="I20" s="48"/>
      <c r="J20" s="61"/>
      <c r="K20" s="62">
        <f t="shared" si="3"/>
        <v>0</v>
      </c>
      <c r="L20" s="63">
        <f t="shared" si="4"/>
        <v>0</v>
      </c>
      <c r="M20" s="92">
        <f t="shared" si="5"/>
        <v>0</v>
      </c>
      <c r="N20" s="65"/>
    </row>
    <row r="21" spans="1:19" ht="20.100000000000001" customHeight="1" x14ac:dyDescent="0.3">
      <c r="A21" s="60"/>
      <c r="B21" s="48"/>
      <c r="C21" s="48"/>
      <c r="D21" s="48"/>
      <c r="E21" s="48"/>
      <c r="F21" s="48"/>
      <c r="G21" s="48"/>
      <c r="H21" s="48"/>
      <c r="I21" s="48"/>
      <c r="J21" s="61"/>
      <c r="K21" s="62">
        <f t="shared" si="3"/>
        <v>0</v>
      </c>
      <c r="L21" s="63">
        <f t="shared" si="4"/>
        <v>0</v>
      </c>
      <c r="M21" s="92">
        <f t="shared" si="5"/>
        <v>0</v>
      </c>
      <c r="N21" s="65"/>
    </row>
    <row r="22" spans="1:19" ht="20.100000000000001" customHeight="1" x14ac:dyDescent="0.3">
      <c r="A22" s="60"/>
      <c r="B22" s="48"/>
      <c r="C22" s="48"/>
      <c r="D22" s="48"/>
      <c r="E22" s="48"/>
      <c r="F22" s="48"/>
      <c r="G22" s="48"/>
      <c r="H22" s="48"/>
      <c r="I22" s="48"/>
      <c r="J22" s="61"/>
      <c r="K22" s="62">
        <f t="shared" si="3"/>
        <v>0</v>
      </c>
      <c r="L22" s="63">
        <f t="shared" si="4"/>
        <v>0</v>
      </c>
      <c r="M22" s="92">
        <f t="shared" si="5"/>
        <v>0</v>
      </c>
      <c r="N22" s="65"/>
    </row>
    <row r="23" spans="1:19" ht="20.100000000000001" customHeight="1" x14ac:dyDescent="0.3">
      <c r="A23" s="60"/>
      <c r="B23" s="48"/>
      <c r="C23" s="48"/>
      <c r="D23" s="48"/>
      <c r="E23" s="48"/>
      <c r="F23" s="48"/>
      <c r="G23" s="48"/>
      <c r="H23" s="48"/>
      <c r="I23" s="48"/>
      <c r="J23" s="61"/>
      <c r="K23" s="62">
        <f t="shared" si="3"/>
        <v>0</v>
      </c>
      <c r="L23" s="63">
        <f t="shared" si="4"/>
        <v>0</v>
      </c>
      <c r="M23" s="92">
        <f t="shared" si="5"/>
        <v>0</v>
      </c>
      <c r="N23" s="65"/>
      <c r="O23" s="66"/>
      <c r="P23" s="66"/>
      <c r="Q23" s="66"/>
      <c r="R23" s="66"/>
      <c r="S23" s="66"/>
    </row>
    <row r="24" spans="1:19" ht="20.100000000000001" customHeight="1" x14ac:dyDescent="0.3">
      <c r="A24" s="60"/>
      <c r="B24" s="48"/>
      <c r="C24" s="48"/>
      <c r="D24" s="48"/>
      <c r="E24" s="48"/>
      <c r="F24" s="48"/>
      <c r="G24" s="48"/>
      <c r="H24" s="48"/>
      <c r="I24" s="48"/>
      <c r="J24" s="61"/>
      <c r="K24" s="62">
        <f t="shared" si="3"/>
        <v>0</v>
      </c>
      <c r="L24" s="63">
        <f t="shared" si="4"/>
        <v>0</v>
      </c>
      <c r="M24" s="92">
        <f t="shared" si="5"/>
        <v>0</v>
      </c>
      <c r="N24" s="65"/>
    </row>
    <row r="25" spans="1:19" ht="20.100000000000001" customHeight="1" x14ac:dyDescent="0.3">
      <c r="A25" s="60"/>
      <c r="B25" s="48"/>
      <c r="C25" s="48"/>
      <c r="D25" s="48"/>
      <c r="E25" s="48"/>
      <c r="F25" s="48"/>
      <c r="G25" s="48"/>
      <c r="H25" s="48"/>
      <c r="I25" s="48"/>
      <c r="J25" s="61"/>
      <c r="K25" s="62">
        <f t="shared" si="3"/>
        <v>0</v>
      </c>
      <c r="L25" s="63">
        <f t="shared" si="4"/>
        <v>0</v>
      </c>
      <c r="M25" s="92">
        <f t="shared" si="5"/>
        <v>0</v>
      </c>
      <c r="N25" s="65"/>
    </row>
    <row r="26" spans="1:19" ht="20.100000000000001" customHeight="1" x14ac:dyDescent="0.3">
      <c r="A26" s="60"/>
      <c r="B26" s="48"/>
      <c r="C26" s="48"/>
      <c r="D26" s="48"/>
      <c r="E26" s="48"/>
      <c r="F26" s="48"/>
      <c r="G26" s="48"/>
      <c r="H26" s="48"/>
      <c r="I26" s="48"/>
      <c r="J26" s="61"/>
      <c r="K26" s="62">
        <f t="shared" si="3"/>
        <v>0</v>
      </c>
      <c r="L26" s="63">
        <f t="shared" si="4"/>
        <v>0</v>
      </c>
      <c r="M26" s="92">
        <f t="shared" si="5"/>
        <v>0</v>
      </c>
      <c r="N26" s="65"/>
    </row>
    <row r="27" spans="1:19" ht="20.100000000000001" customHeight="1" x14ac:dyDescent="0.3">
      <c r="A27" s="60"/>
      <c r="B27" s="48"/>
      <c r="C27" s="48"/>
      <c r="D27" s="48"/>
      <c r="E27" s="48"/>
      <c r="F27" s="48"/>
      <c r="G27" s="48"/>
      <c r="H27" s="48"/>
      <c r="I27" s="48"/>
      <c r="J27" s="61"/>
      <c r="K27" s="62">
        <f t="shared" si="3"/>
        <v>0</v>
      </c>
      <c r="L27" s="63">
        <f t="shared" si="4"/>
        <v>0</v>
      </c>
      <c r="M27" s="92">
        <f t="shared" si="5"/>
        <v>0</v>
      </c>
      <c r="N27" s="65"/>
    </row>
    <row r="28" spans="1:19" ht="20.100000000000001" customHeight="1" x14ac:dyDescent="0.3">
      <c r="A28" s="60"/>
      <c r="B28" s="48"/>
      <c r="C28" s="48"/>
      <c r="D28" s="48"/>
      <c r="E28" s="48"/>
      <c r="F28" s="48"/>
      <c r="G28" s="48"/>
      <c r="H28" s="48"/>
      <c r="I28" s="48"/>
      <c r="J28" s="61"/>
      <c r="K28" s="62">
        <f t="shared" si="3"/>
        <v>0</v>
      </c>
      <c r="L28" s="63">
        <f t="shared" si="4"/>
        <v>0</v>
      </c>
      <c r="M28" s="92">
        <f t="shared" si="5"/>
        <v>0</v>
      </c>
      <c r="N28" s="65"/>
    </row>
    <row r="29" spans="1:19" ht="20.100000000000001" customHeight="1" x14ac:dyDescent="0.3">
      <c r="A29" s="60"/>
      <c r="B29" s="48"/>
      <c r="C29" s="48"/>
      <c r="D29" s="48"/>
      <c r="E29" s="48"/>
      <c r="F29" s="48"/>
      <c r="G29" s="48"/>
      <c r="H29" s="48"/>
      <c r="I29" s="48"/>
      <c r="J29" s="61"/>
      <c r="K29" s="62">
        <f t="shared" si="3"/>
        <v>0</v>
      </c>
      <c r="L29" s="63">
        <f t="shared" si="4"/>
        <v>0</v>
      </c>
      <c r="M29" s="92">
        <f t="shared" si="5"/>
        <v>0</v>
      </c>
      <c r="N29" s="65"/>
    </row>
    <row r="30" spans="1:19" ht="20.100000000000001" customHeight="1" x14ac:dyDescent="0.3">
      <c r="A30" s="60"/>
      <c r="B30" s="48"/>
      <c r="C30" s="48"/>
      <c r="D30" s="48"/>
      <c r="E30" s="48"/>
      <c r="F30" s="48"/>
      <c r="G30" s="48"/>
      <c r="H30" s="48"/>
      <c r="I30" s="48"/>
      <c r="J30" s="61"/>
      <c r="K30" s="62"/>
      <c r="L30" s="63"/>
      <c r="M30" s="92"/>
      <c r="N30" s="65"/>
    </row>
    <row r="31" spans="1:19" ht="20.100000000000001" customHeight="1" x14ac:dyDescent="0.3">
      <c r="A31" s="60"/>
      <c r="B31" s="48"/>
      <c r="C31" s="48"/>
      <c r="D31" s="48"/>
      <c r="E31" s="48"/>
      <c r="F31" s="48"/>
      <c r="G31" s="48"/>
      <c r="H31" s="48"/>
      <c r="I31" s="48"/>
      <c r="J31" s="61"/>
      <c r="K31" s="62"/>
      <c r="L31" s="63"/>
      <c r="M31" s="92"/>
      <c r="N31" s="65"/>
    </row>
    <row r="32" spans="1:19" ht="20.100000000000001" customHeight="1" x14ac:dyDescent="0.3">
      <c r="A32" s="60"/>
      <c r="B32" s="48"/>
      <c r="C32" s="48"/>
      <c r="D32" s="48"/>
      <c r="E32" s="48"/>
      <c r="F32" s="48"/>
      <c r="G32" s="48"/>
      <c r="H32" s="48"/>
      <c r="I32" s="48"/>
      <c r="J32" s="61"/>
      <c r="K32" s="62"/>
      <c r="L32" s="63"/>
      <c r="M32" s="92"/>
      <c r="N32" s="65"/>
    </row>
    <row r="33" spans="1:19" ht="20.100000000000001" customHeight="1" x14ac:dyDescent="0.3">
      <c r="A33" s="60"/>
      <c r="B33" s="48"/>
      <c r="C33" s="48"/>
      <c r="D33" s="48"/>
      <c r="E33" s="48"/>
      <c r="F33" s="48"/>
      <c r="G33" s="48"/>
      <c r="H33" s="48"/>
      <c r="I33" s="48"/>
      <c r="J33" s="61"/>
      <c r="K33" s="62"/>
      <c r="L33" s="63"/>
      <c r="M33" s="92"/>
      <c r="N33" s="65"/>
    </row>
    <row r="34" spans="1:19" ht="20.100000000000001" customHeight="1" x14ac:dyDescent="0.3">
      <c r="A34" s="60"/>
      <c r="B34" s="48"/>
      <c r="C34" s="48"/>
      <c r="D34" s="48"/>
      <c r="E34" s="48"/>
      <c r="F34" s="48"/>
      <c r="G34" s="48"/>
      <c r="H34" s="48"/>
      <c r="I34" s="48"/>
      <c r="J34" s="61"/>
      <c r="K34" s="62"/>
      <c r="L34" s="63"/>
      <c r="M34" s="92"/>
      <c r="N34" s="65"/>
    </row>
    <row r="35" spans="1:19" ht="20.100000000000001" customHeight="1" x14ac:dyDescent="0.3">
      <c r="A35" s="60"/>
      <c r="B35" s="48"/>
      <c r="C35" s="48"/>
      <c r="D35" s="48"/>
      <c r="E35" s="48"/>
      <c r="F35" s="48"/>
      <c r="G35" s="48"/>
      <c r="H35" s="48"/>
      <c r="I35" s="48"/>
      <c r="J35" s="61"/>
      <c r="K35" s="62"/>
      <c r="L35" s="63"/>
      <c r="M35" s="92"/>
      <c r="N35" s="65"/>
    </row>
    <row r="36" spans="1:19" ht="20.100000000000001" customHeight="1" x14ac:dyDescent="0.3">
      <c r="A36" s="60"/>
      <c r="B36" s="48"/>
      <c r="C36" s="48"/>
      <c r="D36" s="48"/>
      <c r="E36" s="48"/>
      <c r="F36" s="48"/>
      <c r="G36" s="48"/>
      <c r="H36" s="48"/>
      <c r="I36" s="48"/>
      <c r="J36" s="61"/>
      <c r="K36" s="62"/>
      <c r="L36" s="63"/>
      <c r="M36" s="92"/>
      <c r="N36" s="65"/>
    </row>
    <row r="37" spans="1:19" ht="20.100000000000001" customHeight="1" x14ac:dyDescent="0.3">
      <c r="A37" s="60"/>
      <c r="B37" s="48"/>
      <c r="C37" s="48"/>
      <c r="D37" s="48"/>
      <c r="E37" s="48"/>
      <c r="F37" s="48"/>
      <c r="G37" s="48"/>
      <c r="H37" s="48"/>
      <c r="I37" s="48"/>
      <c r="J37" s="61"/>
      <c r="K37" s="62"/>
      <c r="L37" s="63"/>
      <c r="M37" s="92"/>
      <c r="N37" s="65"/>
    </row>
    <row r="38" spans="1:19" ht="20.100000000000001" customHeight="1" x14ac:dyDescent="0.3">
      <c r="A38" s="60"/>
      <c r="B38" s="48"/>
      <c r="C38" s="48"/>
      <c r="D38" s="48"/>
      <c r="E38" s="48"/>
      <c r="F38" s="48"/>
      <c r="G38" s="48"/>
      <c r="H38" s="48"/>
      <c r="I38" s="48"/>
      <c r="J38" s="61"/>
      <c r="K38" s="62"/>
      <c r="L38" s="63"/>
      <c r="M38" s="92"/>
      <c r="N38" s="65"/>
    </row>
    <row r="39" spans="1:19" ht="20.100000000000001" customHeight="1" x14ac:dyDescent="0.3">
      <c r="A39" s="60"/>
      <c r="B39" s="48"/>
      <c r="C39" s="48"/>
      <c r="D39" s="48"/>
      <c r="E39" s="48"/>
      <c r="F39" s="48"/>
      <c r="G39" s="48"/>
      <c r="H39" s="48"/>
      <c r="I39" s="48"/>
      <c r="J39" s="61"/>
      <c r="K39" s="62"/>
      <c r="L39" s="63"/>
      <c r="M39" s="92"/>
      <c r="N39" s="65"/>
    </row>
    <row r="40" spans="1:19" ht="20.100000000000001" customHeight="1" x14ac:dyDescent="0.3">
      <c r="A40" s="60"/>
      <c r="B40" s="48"/>
      <c r="C40" s="48"/>
      <c r="D40" s="48"/>
      <c r="E40" s="48"/>
      <c r="F40" s="48"/>
      <c r="G40" s="48"/>
      <c r="H40" s="48"/>
      <c r="I40" s="48"/>
      <c r="J40" s="61"/>
      <c r="K40" s="62"/>
      <c r="L40" s="63"/>
      <c r="M40" s="92"/>
      <c r="N40" s="65"/>
    </row>
    <row r="41" spans="1:19" ht="20.100000000000001" customHeight="1" x14ac:dyDescent="0.3">
      <c r="A41" s="60"/>
      <c r="B41" s="48"/>
      <c r="C41" s="48"/>
      <c r="D41" s="48"/>
      <c r="E41" s="48"/>
      <c r="F41" s="48"/>
      <c r="G41" s="48"/>
      <c r="H41" s="48"/>
      <c r="I41" s="48"/>
      <c r="J41" s="61"/>
      <c r="K41" s="62"/>
      <c r="L41" s="63"/>
      <c r="M41" s="92"/>
      <c r="N41" s="65"/>
      <c r="O41" s="66"/>
      <c r="P41" s="66"/>
      <c r="Q41" s="66"/>
      <c r="R41" s="66"/>
      <c r="S41" s="66"/>
    </row>
    <row r="42" spans="1:19" ht="20.100000000000001" customHeight="1" x14ac:dyDescent="0.3">
      <c r="A42" s="60"/>
      <c r="B42" s="48"/>
      <c r="C42" s="48"/>
      <c r="D42" s="48"/>
      <c r="E42" s="48"/>
      <c r="F42" s="48"/>
      <c r="G42" s="48"/>
      <c r="H42" s="48"/>
      <c r="I42" s="48"/>
      <c r="J42" s="61"/>
      <c r="K42" s="62"/>
      <c r="L42" s="63"/>
      <c r="M42" s="92"/>
      <c r="N42" s="65"/>
    </row>
    <row r="43" spans="1:19" ht="20.100000000000001" customHeight="1" x14ac:dyDescent="0.3">
      <c r="A43" s="60"/>
      <c r="B43" s="48"/>
      <c r="C43" s="48"/>
      <c r="D43" s="48"/>
      <c r="E43" s="48"/>
      <c r="F43" s="48"/>
      <c r="G43" s="48"/>
      <c r="H43" s="48"/>
      <c r="I43" s="48"/>
      <c r="J43" s="61"/>
      <c r="K43" s="62"/>
      <c r="L43" s="63"/>
      <c r="M43" s="92"/>
      <c r="N43" s="65"/>
    </row>
    <row r="44" spans="1:19" ht="20.100000000000001" customHeight="1" x14ac:dyDescent="0.3">
      <c r="A44" s="60"/>
      <c r="B44" s="48"/>
      <c r="C44" s="48"/>
      <c r="D44" s="48"/>
      <c r="E44" s="48"/>
      <c r="F44" s="48"/>
      <c r="G44" s="48"/>
      <c r="H44" s="48"/>
      <c r="I44" s="48"/>
      <c r="J44" s="61"/>
      <c r="K44" s="62"/>
      <c r="L44" s="63"/>
      <c r="M44" s="92"/>
      <c r="N44" s="65"/>
    </row>
    <row r="45" spans="1:19" ht="20.100000000000001" customHeight="1" x14ac:dyDescent="0.3">
      <c r="A45" s="60"/>
      <c r="B45" s="48"/>
      <c r="C45" s="48"/>
      <c r="D45" s="48"/>
      <c r="E45" s="48"/>
      <c r="F45" s="48"/>
      <c r="G45" s="48"/>
      <c r="H45" s="48"/>
      <c r="I45" s="48"/>
      <c r="J45" s="61"/>
      <c r="K45" s="62"/>
      <c r="L45" s="63"/>
      <c r="M45" s="92"/>
      <c r="N45" s="65"/>
      <c r="O45" s="66"/>
      <c r="P45" s="66"/>
      <c r="Q45" s="66"/>
      <c r="R45" s="66"/>
      <c r="S45" s="66"/>
    </row>
    <row r="46" spans="1:19" ht="20.100000000000001" customHeight="1" x14ac:dyDescent="0.3">
      <c r="A46" s="60"/>
      <c r="B46" s="48"/>
      <c r="C46" s="48"/>
      <c r="D46" s="48"/>
      <c r="E46" s="48"/>
      <c r="F46" s="48"/>
      <c r="G46" s="48"/>
      <c r="H46" s="48"/>
      <c r="I46" s="48"/>
      <c r="J46" s="61"/>
      <c r="K46" s="62"/>
      <c r="L46" s="63"/>
      <c r="M46" s="92"/>
      <c r="N46" s="65"/>
    </row>
    <row r="47" spans="1:19" ht="20.100000000000001" customHeight="1" x14ac:dyDescent="0.3">
      <c r="A47" s="60"/>
      <c r="B47" s="48"/>
      <c r="C47" s="48"/>
      <c r="D47" s="48"/>
      <c r="E47" s="48"/>
      <c r="F47" s="48"/>
      <c r="G47" s="48"/>
      <c r="H47" s="48"/>
      <c r="I47" s="48"/>
      <c r="J47" s="61"/>
      <c r="K47" s="62"/>
      <c r="L47" s="63"/>
      <c r="M47" s="92"/>
      <c r="N47" s="65"/>
    </row>
    <row r="48" spans="1:19" ht="20.100000000000001" customHeight="1" x14ac:dyDescent="0.3">
      <c r="A48" s="60"/>
      <c r="B48" s="48"/>
      <c r="C48" s="48"/>
      <c r="D48" s="48"/>
      <c r="E48" s="48"/>
      <c r="F48" s="48"/>
      <c r="G48" s="48"/>
      <c r="H48" s="48"/>
      <c r="I48" s="48"/>
      <c r="J48" s="61"/>
      <c r="K48" s="62"/>
      <c r="L48" s="63"/>
      <c r="M48" s="92"/>
      <c r="N48" s="65"/>
    </row>
    <row r="49" spans="1:14" ht="20.100000000000001" customHeight="1" x14ac:dyDescent="0.3">
      <c r="A49" s="60"/>
      <c r="B49" s="48"/>
      <c r="C49" s="48"/>
      <c r="D49" s="48"/>
      <c r="E49" s="48"/>
      <c r="F49" s="48"/>
      <c r="G49" s="48"/>
      <c r="H49" s="48"/>
      <c r="I49" s="48"/>
      <c r="J49" s="61"/>
      <c r="K49" s="62"/>
      <c r="L49" s="63"/>
      <c r="M49" s="92"/>
      <c r="N49" s="65"/>
    </row>
    <row r="50" spans="1:14" ht="20.100000000000001" customHeight="1" x14ac:dyDescent="0.3">
      <c r="A50" s="60"/>
      <c r="B50" s="48"/>
      <c r="C50" s="48"/>
      <c r="D50" s="48"/>
      <c r="E50" s="48"/>
      <c r="F50" s="48"/>
      <c r="G50" s="48"/>
      <c r="H50" s="48"/>
      <c r="I50" s="48"/>
      <c r="J50" s="61"/>
      <c r="K50" s="62"/>
      <c r="L50" s="63"/>
      <c r="M50" s="92"/>
      <c r="N50" s="65"/>
    </row>
    <row r="51" spans="1:14" ht="20.100000000000001" customHeight="1" x14ac:dyDescent="0.3">
      <c r="A51" s="60"/>
      <c r="B51" s="48"/>
      <c r="C51" s="48"/>
      <c r="D51" s="48"/>
      <c r="E51" s="48"/>
      <c r="F51" s="48"/>
      <c r="G51" s="48"/>
      <c r="H51" s="48"/>
      <c r="I51" s="48"/>
      <c r="J51" s="61"/>
      <c r="K51" s="62"/>
      <c r="L51" s="63"/>
      <c r="M51" s="92"/>
      <c r="N51" s="65"/>
    </row>
    <row r="52" spans="1:14" ht="20.100000000000001" customHeight="1" x14ac:dyDescent="0.3">
      <c r="A52" s="60"/>
      <c r="B52" s="48"/>
      <c r="C52" s="48"/>
      <c r="D52" s="48"/>
      <c r="E52" s="48"/>
      <c r="F52" s="48"/>
      <c r="G52" s="48"/>
      <c r="H52" s="48"/>
      <c r="I52" s="48"/>
      <c r="J52" s="61"/>
      <c r="K52" s="62"/>
      <c r="L52" s="63"/>
      <c r="M52" s="92"/>
      <c r="N52" s="65"/>
    </row>
    <row r="53" spans="1:14" ht="20.100000000000001" customHeight="1" x14ac:dyDescent="0.3">
      <c r="A53" s="60"/>
      <c r="B53" s="48"/>
      <c r="C53" s="48"/>
      <c r="D53" s="48"/>
      <c r="E53" s="48"/>
      <c r="F53" s="48"/>
      <c r="G53" s="48"/>
      <c r="H53" s="48"/>
      <c r="I53" s="48"/>
      <c r="J53" s="61"/>
      <c r="K53" s="62"/>
      <c r="L53" s="63"/>
      <c r="M53" s="92"/>
      <c r="N53" s="65"/>
    </row>
    <row r="54" spans="1:14" ht="20.100000000000001" customHeight="1" x14ac:dyDescent="0.3">
      <c r="A54" s="60"/>
      <c r="B54" s="48"/>
      <c r="C54" s="48"/>
      <c r="D54" s="48"/>
      <c r="E54" s="48"/>
      <c r="F54" s="48"/>
      <c r="G54" s="48"/>
      <c r="H54" s="48"/>
      <c r="I54" s="48"/>
      <c r="J54" s="61"/>
      <c r="K54" s="62"/>
      <c r="L54" s="63"/>
      <c r="M54" s="92"/>
      <c r="N54" s="65"/>
    </row>
    <row r="55" spans="1:14" ht="20.100000000000001" customHeight="1" x14ac:dyDescent="0.3">
      <c r="A55" s="60"/>
      <c r="B55" s="48"/>
      <c r="C55" s="48"/>
      <c r="D55" s="48"/>
      <c r="E55" s="48"/>
      <c r="F55" s="48"/>
      <c r="G55" s="48"/>
      <c r="H55" s="48"/>
      <c r="I55" s="48"/>
      <c r="J55" s="61"/>
      <c r="K55" s="62"/>
      <c r="L55" s="63"/>
      <c r="M55" s="92"/>
      <c r="N55" s="65"/>
    </row>
    <row r="56" spans="1:14" ht="20.100000000000001" customHeight="1" x14ac:dyDescent="0.3">
      <c r="A56" s="60"/>
      <c r="B56" s="48"/>
      <c r="C56" s="48"/>
      <c r="D56" s="48"/>
      <c r="E56" s="48"/>
      <c r="F56" s="48"/>
      <c r="G56" s="48"/>
      <c r="H56" s="48"/>
      <c r="I56" s="48"/>
      <c r="J56" s="61"/>
      <c r="K56" s="62"/>
      <c r="L56" s="63"/>
      <c r="M56" s="92"/>
      <c r="N56" s="65"/>
    </row>
    <row r="57" spans="1:14" ht="20.100000000000001" customHeight="1" x14ac:dyDescent="0.3">
      <c r="A57" s="60"/>
      <c r="B57" s="48"/>
      <c r="C57" s="48"/>
      <c r="D57" s="48"/>
      <c r="E57" s="48"/>
      <c r="F57" s="48"/>
      <c r="G57" s="48"/>
      <c r="H57" s="48"/>
      <c r="I57" s="48"/>
      <c r="J57" s="61"/>
      <c r="K57" s="62"/>
      <c r="L57" s="63"/>
      <c r="M57" s="92"/>
      <c r="N57" s="65"/>
    </row>
    <row r="58" spans="1:14" ht="20.100000000000001" customHeight="1" x14ac:dyDescent="0.3">
      <c r="A58" s="60"/>
      <c r="B58" s="48"/>
      <c r="C58" s="48"/>
      <c r="D58" s="48"/>
      <c r="E58" s="48"/>
      <c r="F58" s="48"/>
      <c r="G58" s="48"/>
      <c r="H58" s="48"/>
      <c r="I58" s="48"/>
      <c r="J58" s="61"/>
      <c r="K58" s="62"/>
      <c r="L58" s="63"/>
      <c r="M58" s="92"/>
      <c r="N58" s="65"/>
    </row>
    <row r="59" spans="1:14" ht="20.100000000000001" customHeight="1" x14ac:dyDescent="0.3">
      <c r="A59" s="60"/>
      <c r="B59" s="48"/>
      <c r="C59" s="48"/>
      <c r="D59" s="48"/>
      <c r="E59" s="48"/>
      <c r="F59" s="48"/>
      <c r="G59" s="48"/>
      <c r="H59" s="48"/>
      <c r="I59" s="48"/>
      <c r="J59" s="61"/>
      <c r="K59" s="62"/>
      <c r="L59" s="63"/>
      <c r="M59" s="92"/>
      <c r="N59" s="65"/>
    </row>
    <row r="60" spans="1:14" ht="20.100000000000001" customHeight="1" x14ac:dyDescent="0.3">
      <c r="A60" s="60"/>
      <c r="B60" s="48"/>
      <c r="C60" s="48"/>
      <c r="D60" s="48"/>
      <c r="E60" s="48"/>
      <c r="F60" s="48"/>
      <c r="G60" s="48"/>
      <c r="H60" s="48"/>
      <c r="I60" s="48"/>
      <c r="J60" s="61"/>
      <c r="K60" s="62"/>
      <c r="L60" s="63"/>
      <c r="M60" s="92"/>
      <c r="N60" s="65"/>
    </row>
    <row r="61" spans="1:14" ht="20.100000000000001" customHeight="1" x14ac:dyDescent="0.3">
      <c r="A61" s="60"/>
      <c r="B61" s="48"/>
      <c r="C61" s="48"/>
      <c r="D61" s="48"/>
      <c r="E61" s="48"/>
      <c r="F61" s="48"/>
      <c r="G61" s="48"/>
      <c r="H61" s="48"/>
      <c r="I61" s="48"/>
      <c r="J61" s="61"/>
      <c r="K61" s="62"/>
      <c r="L61" s="63"/>
      <c r="M61" s="92"/>
      <c r="N61" s="65"/>
    </row>
    <row r="62" spans="1:14" ht="20.100000000000001" customHeight="1" x14ac:dyDescent="0.3">
      <c r="A62" s="60"/>
      <c r="B62" s="48"/>
      <c r="C62" s="48"/>
      <c r="D62" s="48"/>
      <c r="E62" s="48"/>
      <c r="F62" s="48"/>
      <c r="G62" s="48"/>
      <c r="H62" s="48"/>
      <c r="I62" s="48"/>
      <c r="J62" s="61"/>
      <c r="K62" s="62"/>
      <c r="L62" s="63"/>
      <c r="M62" s="92"/>
      <c r="N62" s="65"/>
    </row>
    <row r="63" spans="1:14" ht="20.100000000000001" customHeight="1" x14ac:dyDescent="0.3">
      <c r="A63" s="60"/>
      <c r="B63" s="48"/>
      <c r="C63" s="48"/>
      <c r="D63" s="48"/>
      <c r="E63" s="48"/>
      <c r="F63" s="48"/>
      <c r="G63" s="48"/>
      <c r="H63" s="48"/>
      <c r="I63" s="48"/>
      <c r="J63" s="61"/>
      <c r="K63" s="62"/>
      <c r="L63" s="63"/>
      <c r="M63" s="92"/>
      <c r="N63" s="65"/>
    </row>
    <row r="64" spans="1:14" ht="20.100000000000001" customHeight="1" x14ac:dyDescent="0.3">
      <c r="A64" s="60"/>
      <c r="B64" s="48"/>
      <c r="C64" s="48"/>
      <c r="D64" s="48"/>
      <c r="E64" s="48"/>
      <c r="F64" s="48"/>
      <c r="G64" s="48"/>
      <c r="H64" s="48"/>
      <c r="I64" s="48"/>
      <c r="J64" s="61"/>
      <c r="K64" s="62"/>
      <c r="L64" s="63"/>
      <c r="M64" s="92"/>
      <c r="N64" s="65"/>
    </row>
    <row r="65" spans="1:19" ht="20.100000000000001" customHeight="1" x14ac:dyDescent="0.3">
      <c r="A65" s="60"/>
      <c r="B65" s="48"/>
      <c r="C65" s="48"/>
      <c r="D65" s="48"/>
      <c r="E65" s="48"/>
      <c r="F65" s="48"/>
      <c r="G65" s="48"/>
      <c r="H65" s="48"/>
      <c r="I65" s="48"/>
      <c r="J65" s="61"/>
      <c r="K65" s="62"/>
      <c r="L65" s="63"/>
      <c r="M65" s="92"/>
      <c r="N65" s="65"/>
    </row>
    <row r="66" spans="1:19" ht="20.100000000000001" customHeight="1" x14ac:dyDescent="0.3">
      <c r="A66" s="60"/>
      <c r="B66" s="48"/>
      <c r="C66" s="48"/>
      <c r="D66" s="48"/>
      <c r="E66" s="48"/>
      <c r="F66" s="48"/>
      <c r="G66" s="48"/>
      <c r="H66" s="48"/>
      <c r="I66" s="48"/>
      <c r="J66" s="61"/>
      <c r="K66" s="62"/>
      <c r="L66" s="63"/>
      <c r="M66" s="92"/>
      <c r="N66" s="65"/>
    </row>
    <row r="67" spans="1:19" ht="20.100000000000001" customHeight="1" x14ac:dyDescent="0.3">
      <c r="A67" s="60"/>
      <c r="B67" s="48"/>
      <c r="C67" s="48"/>
      <c r="D67" s="48"/>
      <c r="E67" s="48"/>
      <c r="F67" s="48"/>
      <c r="G67" s="48"/>
      <c r="H67" s="48"/>
      <c r="I67" s="48"/>
      <c r="J67" s="61"/>
      <c r="K67" s="62"/>
      <c r="L67" s="63"/>
      <c r="M67" s="92"/>
      <c r="N67" s="65"/>
    </row>
    <row r="68" spans="1:19" ht="20.100000000000001" customHeight="1" x14ac:dyDescent="0.3">
      <c r="A68" s="60"/>
      <c r="B68" s="48"/>
      <c r="C68" s="48"/>
      <c r="D68" s="48"/>
      <c r="E68" s="48"/>
      <c r="F68" s="48"/>
      <c r="G68" s="48"/>
      <c r="H68" s="48"/>
      <c r="I68" s="48"/>
      <c r="J68" s="61"/>
      <c r="K68" s="62"/>
      <c r="L68" s="63"/>
      <c r="M68" s="92"/>
      <c r="N68" s="65"/>
    </row>
    <row r="69" spans="1:19" ht="20.100000000000001" customHeight="1" x14ac:dyDescent="0.3">
      <c r="A69" s="60"/>
      <c r="B69" s="48"/>
      <c r="C69" s="48"/>
      <c r="D69" s="48"/>
      <c r="E69" s="48"/>
      <c r="F69" s="48"/>
      <c r="G69" s="48"/>
      <c r="H69" s="48"/>
      <c r="I69" s="48"/>
      <c r="J69" s="61"/>
      <c r="K69" s="62"/>
      <c r="L69" s="63"/>
      <c r="M69" s="92"/>
      <c r="N69" s="65"/>
    </row>
    <row r="70" spans="1:19" ht="20.100000000000001" customHeight="1" x14ac:dyDescent="0.3">
      <c r="A70" s="60"/>
      <c r="B70" s="48"/>
      <c r="C70" s="48"/>
      <c r="D70" s="48"/>
      <c r="E70" s="48"/>
      <c r="F70" s="48"/>
      <c r="G70" s="48"/>
      <c r="H70" s="48"/>
      <c r="I70" s="48"/>
      <c r="J70" s="61"/>
      <c r="K70" s="62"/>
      <c r="L70" s="63"/>
      <c r="M70" s="92"/>
      <c r="N70" s="65"/>
    </row>
    <row r="71" spans="1:19" ht="20.100000000000001" customHeight="1" x14ac:dyDescent="0.3">
      <c r="A71" s="60"/>
      <c r="B71" s="48"/>
      <c r="C71" s="48"/>
      <c r="D71" s="48"/>
      <c r="E71" s="48"/>
      <c r="F71" s="48"/>
      <c r="G71" s="48"/>
      <c r="H71" s="48"/>
      <c r="I71" s="48"/>
      <c r="J71" s="61"/>
      <c r="K71" s="62"/>
      <c r="L71" s="63"/>
      <c r="M71" s="92"/>
      <c r="N71" s="65"/>
    </row>
    <row r="72" spans="1:19" ht="20.100000000000001" customHeight="1" x14ac:dyDescent="0.3">
      <c r="A72" s="60"/>
      <c r="B72" s="48"/>
      <c r="C72" s="48"/>
      <c r="D72" s="48"/>
      <c r="E72" s="48"/>
      <c r="F72" s="48"/>
      <c r="G72" s="48"/>
      <c r="H72" s="48"/>
      <c r="I72" s="48"/>
      <c r="J72" s="61"/>
      <c r="K72" s="62"/>
      <c r="L72" s="63"/>
      <c r="M72" s="92"/>
      <c r="N72" s="65"/>
      <c r="O72" s="66"/>
      <c r="P72" s="66"/>
      <c r="Q72" s="66"/>
      <c r="R72" s="66"/>
      <c r="S72" s="66"/>
    </row>
    <row r="73" spans="1:19" ht="20.100000000000001" customHeight="1" x14ac:dyDescent="0.3">
      <c r="A73" s="60"/>
      <c r="B73" s="48"/>
      <c r="C73" s="48"/>
      <c r="D73" s="48"/>
      <c r="E73" s="48"/>
      <c r="F73" s="48"/>
      <c r="G73" s="48"/>
      <c r="H73" s="48"/>
      <c r="I73" s="48"/>
      <c r="J73" s="61"/>
      <c r="K73" s="62"/>
      <c r="L73" s="63"/>
      <c r="M73" s="92"/>
      <c r="N73" s="65"/>
    </row>
    <row r="74" spans="1:19" ht="20.100000000000001" customHeight="1" x14ac:dyDescent="0.3">
      <c r="A74" s="60"/>
      <c r="B74" s="48"/>
      <c r="C74" s="48"/>
      <c r="D74" s="48"/>
      <c r="E74" s="48"/>
      <c r="F74" s="48"/>
      <c r="G74" s="48"/>
      <c r="H74" s="48"/>
      <c r="I74" s="48"/>
      <c r="J74" s="61"/>
      <c r="K74" s="62"/>
      <c r="L74" s="63"/>
      <c r="M74" s="92"/>
      <c r="N74" s="65"/>
    </row>
    <row r="75" spans="1:19" ht="20.100000000000001" customHeight="1" x14ac:dyDescent="0.3">
      <c r="A75" s="60"/>
      <c r="B75" s="48"/>
      <c r="C75" s="48"/>
      <c r="D75" s="48"/>
      <c r="E75" s="48"/>
      <c r="F75" s="48"/>
      <c r="G75" s="48"/>
      <c r="H75" s="48"/>
      <c r="I75" s="48"/>
      <c r="J75" s="61"/>
      <c r="K75" s="62"/>
      <c r="L75" s="63"/>
      <c r="M75" s="92"/>
      <c r="N75" s="65"/>
      <c r="O75" s="66"/>
      <c r="P75" s="66"/>
      <c r="Q75" s="66"/>
      <c r="R75" s="66"/>
      <c r="S75" s="66"/>
    </row>
    <row r="76" spans="1:19" ht="20.100000000000001" customHeight="1" x14ac:dyDescent="0.3">
      <c r="A76" s="60"/>
      <c r="B76" s="48"/>
      <c r="C76" s="48"/>
      <c r="D76" s="48"/>
      <c r="E76" s="48"/>
      <c r="F76" s="48"/>
      <c r="G76" s="48"/>
      <c r="H76" s="48"/>
      <c r="I76" s="48"/>
      <c r="J76" s="61"/>
      <c r="K76" s="62"/>
      <c r="L76" s="63"/>
      <c r="M76" s="92"/>
      <c r="N76" s="65"/>
    </row>
    <row r="77" spans="1:19" ht="20.100000000000001" customHeight="1" x14ac:dyDescent="0.3">
      <c r="A77" s="60"/>
      <c r="B77" s="48"/>
      <c r="C77" s="48"/>
      <c r="D77" s="48"/>
      <c r="E77" s="48"/>
      <c r="F77" s="48"/>
      <c r="G77" s="48"/>
      <c r="H77" s="48"/>
      <c r="I77" s="48"/>
      <c r="J77" s="61"/>
      <c r="K77" s="62"/>
      <c r="L77" s="63"/>
      <c r="M77" s="92"/>
      <c r="N77" s="65"/>
    </row>
    <row r="78" spans="1:19" ht="20.100000000000001" customHeight="1" x14ac:dyDescent="0.3">
      <c r="A78" s="60"/>
      <c r="B78" s="48"/>
      <c r="C78" s="48"/>
      <c r="D78" s="48"/>
      <c r="E78" s="48"/>
      <c r="F78" s="48"/>
      <c r="G78" s="48"/>
      <c r="H78" s="48"/>
      <c r="I78" s="48"/>
      <c r="J78" s="61"/>
      <c r="K78" s="62"/>
      <c r="L78" s="63"/>
      <c r="M78" s="92"/>
      <c r="N78" s="65"/>
      <c r="O78" s="66"/>
      <c r="P78" s="66"/>
      <c r="Q78" s="66"/>
      <c r="R78" s="66"/>
      <c r="S78" s="66"/>
    </row>
    <row r="79" spans="1:19" ht="20.100000000000001" customHeight="1" x14ac:dyDescent="0.3">
      <c r="A79" s="60"/>
      <c r="B79" s="48"/>
      <c r="C79" s="48"/>
      <c r="D79" s="48"/>
      <c r="E79" s="48"/>
      <c r="F79" s="48"/>
      <c r="G79" s="48"/>
      <c r="H79" s="48"/>
      <c r="I79" s="48"/>
      <c r="J79" s="61"/>
      <c r="K79" s="62"/>
      <c r="L79" s="63"/>
      <c r="M79" s="92"/>
      <c r="N79" s="65"/>
    </row>
    <row r="80" spans="1:19" ht="20.100000000000001" customHeight="1" x14ac:dyDescent="0.3">
      <c r="A80" s="60"/>
      <c r="B80" s="48"/>
      <c r="C80" s="48"/>
      <c r="D80" s="48"/>
      <c r="E80" s="48"/>
      <c r="F80" s="48"/>
      <c r="G80" s="48"/>
      <c r="H80" s="48"/>
      <c r="I80" s="48"/>
      <c r="J80" s="61"/>
      <c r="K80" s="62"/>
      <c r="L80" s="63"/>
      <c r="M80" s="92"/>
      <c r="N80" s="65"/>
    </row>
    <row r="81" spans="1:19" ht="20.100000000000001" customHeight="1" x14ac:dyDescent="0.3">
      <c r="A81" s="60"/>
      <c r="B81" s="48"/>
      <c r="C81" s="48"/>
      <c r="D81" s="48"/>
      <c r="E81" s="48"/>
      <c r="F81" s="48"/>
      <c r="G81" s="48"/>
      <c r="H81" s="48"/>
      <c r="I81" s="48"/>
      <c r="J81" s="61"/>
      <c r="K81" s="62"/>
      <c r="L81" s="63"/>
      <c r="M81" s="92"/>
      <c r="N81" s="65"/>
    </row>
    <row r="82" spans="1:19" ht="20.100000000000001" customHeight="1" x14ac:dyDescent="0.3">
      <c r="A82" s="60"/>
      <c r="B82" s="48"/>
      <c r="C82" s="48"/>
      <c r="D82" s="48"/>
      <c r="E82" s="48"/>
      <c r="F82" s="48"/>
      <c r="G82" s="48"/>
      <c r="H82" s="48"/>
      <c r="I82" s="48"/>
      <c r="J82" s="61"/>
      <c r="K82" s="62"/>
      <c r="L82" s="63"/>
      <c r="M82" s="92"/>
      <c r="N82" s="65"/>
      <c r="O82" s="66"/>
      <c r="P82" s="66"/>
      <c r="Q82" s="66"/>
      <c r="R82" s="66"/>
      <c r="S82" s="66"/>
    </row>
    <row r="83" spans="1:19" ht="20.100000000000001" customHeight="1" x14ac:dyDescent="0.3">
      <c r="A83" s="60"/>
      <c r="B83" s="48"/>
      <c r="C83" s="48"/>
      <c r="D83" s="48"/>
      <c r="E83" s="48"/>
      <c r="F83" s="48"/>
      <c r="G83" s="48"/>
      <c r="H83" s="48"/>
      <c r="I83" s="48"/>
      <c r="J83" s="61"/>
      <c r="K83" s="62"/>
      <c r="L83" s="63"/>
      <c r="M83" s="92"/>
      <c r="N83" s="65"/>
    </row>
    <row r="84" spans="1:19" ht="20.100000000000001" customHeight="1" x14ac:dyDescent="0.3">
      <c r="A84" s="60"/>
      <c r="B84" s="48"/>
      <c r="C84" s="48"/>
      <c r="D84" s="48"/>
      <c r="E84" s="48"/>
      <c r="F84" s="48"/>
      <c r="G84" s="48"/>
      <c r="H84" s="48"/>
      <c r="I84" s="48"/>
      <c r="J84" s="61"/>
      <c r="K84" s="62"/>
      <c r="L84" s="63"/>
      <c r="M84" s="92"/>
      <c r="N84" s="65"/>
    </row>
    <row r="85" spans="1:19" ht="20.100000000000001" customHeight="1" x14ac:dyDescent="0.3">
      <c r="A85" s="60"/>
      <c r="B85" s="48"/>
      <c r="C85" s="48"/>
      <c r="D85" s="48"/>
      <c r="E85" s="48"/>
      <c r="F85" s="48"/>
      <c r="G85" s="48"/>
      <c r="H85" s="48"/>
      <c r="I85" s="48"/>
      <c r="J85" s="61"/>
      <c r="K85" s="62"/>
      <c r="L85" s="63"/>
      <c r="M85" s="92"/>
      <c r="N85" s="65"/>
      <c r="O85" s="66"/>
      <c r="P85" s="66"/>
      <c r="Q85" s="66"/>
      <c r="R85" s="66"/>
      <c r="S85" s="66"/>
    </row>
    <row r="86" spans="1:19" ht="20.100000000000001" customHeight="1" x14ac:dyDescent="0.3">
      <c r="A86" s="60"/>
      <c r="B86" s="48"/>
      <c r="C86" s="48"/>
      <c r="D86" s="48"/>
      <c r="E86" s="48"/>
      <c r="F86" s="48"/>
      <c r="G86" s="48"/>
      <c r="H86" s="48"/>
      <c r="I86" s="48"/>
      <c r="J86" s="61"/>
      <c r="K86" s="62"/>
      <c r="L86" s="63"/>
      <c r="M86" s="92"/>
      <c r="N86" s="65"/>
    </row>
    <row r="87" spans="1:19" ht="20.100000000000001" customHeight="1" x14ac:dyDescent="0.3">
      <c r="A87" s="60"/>
      <c r="B87" s="48"/>
      <c r="C87" s="48"/>
      <c r="D87" s="48"/>
      <c r="E87" s="48"/>
      <c r="F87" s="48"/>
      <c r="G87" s="48"/>
      <c r="H87" s="48"/>
      <c r="I87" s="48"/>
      <c r="J87" s="61"/>
      <c r="K87" s="62"/>
      <c r="L87" s="63"/>
      <c r="M87" s="92"/>
      <c r="N87" s="65"/>
    </row>
    <row r="88" spans="1:19" ht="20.100000000000001" customHeight="1" x14ac:dyDescent="0.3">
      <c r="A88" s="60"/>
      <c r="B88" s="48"/>
      <c r="C88" s="48"/>
      <c r="D88" s="48"/>
      <c r="E88" s="48"/>
      <c r="F88" s="48"/>
      <c r="G88" s="48"/>
      <c r="H88" s="48"/>
      <c r="I88" s="48"/>
      <c r="J88" s="61"/>
      <c r="K88" s="62"/>
      <c r="L88" s="63"/>
      <c r="M88" s="92"/>
      <c r="N88" s="65"/>
      <c r="O88" s="37"/>
      <c r="P88" s="37"/>
      <c r="Q88" s="37"/>
      <c r="R88" s="37"/>
      <c r="S88" s="3"/>
    </row>
    <row r="89" spans="1:19" ht="20.100000000000001" customHeight="1" x14ac:dyDescent="0.3">
      <c r="A89" s="60"/>
      <c r="B89" s="48"/>
      <c r="C89" s="48"/>
      <c r="D89" s="48"/>
      <c r="E89" s="48"/>
      <c r="F89" s="48"/>
      <c r="G89" s="48"/>
      <c r="H89" s="48"/>
      <c r="I89" s="48"/>
      <c r="J89" s="61"/>
      <c r="K89" s="62"/>
      <c r="L89" s="63"/>
      <c r="M89" s="92"/>
      <c r="N89" s="65"/>
    </row>
    <row r="90" spans="1:19" ht="20.100000000000001" customHeight="1" x14ac:dyDescent="0.3">
      <c r="A90" s="60"/>
      <c r="B90" s="48"/>
      <c r="C90" s="48"/>
      <c r="D90" s="48"/>
      <c r="E90" s="48"/>
      <c r="F90" s="48"/>
      <c r="G90" s="48"/>
      <c r="H90" s="48"/>
      <c r="I90" s="48"/>
      <c r="J90" s="61"/>
      <c r="K90" s="62"/>
      <c r="L90" s="63"/>
      <c r="M90" s="92"/>
      <c r="N90" s="65"/>
    </row>
    <row r="91" spans="1:19" ht="20.100000000000001" customHeight="1" x14ac:dyDescent="0.3">
      <c r="A91" s="60"/>
      <c r="B91" s="48"/>
      <c r="C91" s="48"/>
      <c r="D91" s="48"/>
      <c r="E91" s="48"/>
      <c r="F91" s="48"/>
      <c r="G91" s="48"/>
      <c r="H91" s="48"/>
      <c r="I91" s="48"/>
      <c r="J91" s="61"/>
      <c r="K91" s="62"/>
      <c r="L91" s="63"/>
      <c r="M91" s="92"/>
      <c r="N91" s="65"/>
    </row>
    <row r="92" spans="1:19" ht="20.100000000000001" customHeight="1" x14ac:dyDescent="0.3">
      <c r="A92" s="60"/>
      <c r="B92" s="48"/>
      <c r="C92" s="48"/>
      <c r="D92" s="48"/>
      <c r="E92" s="48"/>
      <c r="F92" s="48"/>
      <c r="G92" s="48"/>
      <c r="H92" s="48"/>
      <c r="I92" s="48"/>
      <c r="J92" s="61"/>
      <c r="K92" s="62"/>
      <c r="L92" s="63"/>
      <c r="M92" s="92"/>
      <c r="N92" s="65"/>
      <c r="O92" s="66"/>
      <c r="P92" s="66"/>
      <c r="Q92" s="66"/>
      <c r="R92" s="66"/>
      <c r="S92" s="66"/>
    </row>
    <row r="93" spans="1:19" ht="20.100000000000001" customHeight="1" x14ac:dyDescent="0.3">
      <c r="A93" s="60"/>
      <c r="B93" s="48"/>
      <c r="C93" s="48"/>
      <c r="D93" s="48"/>
      <c r="E93" s="48"/>
      <c r="F93" s="48"/>
      <c r="G93" s="48"/>
      <c r="H93" s="48"/>
      <c r="I93" s="48"/>
      <c r="J93" s="61"/>
      <c r="K93" s="62"/>
      <c r="L93" s="63"/>
      <c r="M93" s="92"/>
      <c r="N93" s="65"/>
      <c r="O93" s="37"/>
      <c r="P93" s="37"/>
      <c r="Q93" s="37"/>
      <c r="R93" s="37"/>
      <c r="S93" s="3"/>
    </row>
    <row r="94" spans="1:19" ht="20.100000000000001" customHeight="1" x14ac:dyDescent="0.3">
      <c r="A94" s="60"/>
      <c r="B94" s="48"/>
      <c r="C94" s="48"/>
      <c r="D94" s="48"/>
      <c r="E94" s="48"/>
      <c r="F94" s="48"/>
      <c r="G94" s="48"/>
      <c r="H94" s="48"/>
      <c r="I94" s="48"/>
      <c r="J94" s="61"/>
      <c r="K94" s="62"/>
      <c r="L94" s="63"/>
      <c r="M94" s="92"/>
      <c r="N94" s="65"/>
    </row>
    <row r="95" spans="1:19" ht="20.100000000000001" customHeight="1" x14ac:dyDescent="0.3">
      <c r="A95" s="60"/>
      <c r="B95" s="48"/>
      <c r="C95" s="48"/>
      <c r="D95" s="48"/>
      <c r="E95" s="48"/>
      <c r="F95" s="48"/>
      <c r="G95" s="48"/>
      <c r="H95" s="48"/>
      <c r="I95" s="48"/>
      <c r="J95" s="61"/>
      <c r="K95" s="62"/>
      <c r="L95" s="63"/>
      <c r="M95" s="92"/>
      <c r="N95" s="65"/>
    </row>
    <row r="96" spans="1:19" ht="20.100000000000001" customHeight="1" x14ac:dyDescent="0.3">
      <c r="A96" s="60"/>
      <c r="B96" s="48"/>
      <c r="C96" s="48"/>
      <c r="D96" s="48"/>
      <c r="E96" s="48"/>
      <c r="F96" s="48"/>
      <c r="G96" s="48"/>
      <c r="H96" s="48"/>
      <c r="I96" s="48"/>
      <c r="J96" s="61"/>
      <c r="K96" s="62"/>
      <c r="L96" s="63"/>
      <c r="M96" s="92"/>
      <c r="N96" s="65"/>
      <c r="O96" s="66"/>
      <c r="P96" s="66"/>
      <c r="Q96" s="66"/>
      <c r="R96" s="66"/>
      <c r="S96" s="66"/>
    </row>
    <row r="97" spans="1:19" ht="20.100000000000001" customHeight="1" x14ac:dyDescent="0.3">
      <c r="A97" s="60"/>
      <c r="B97" s="48"/>
      <c r="C97" s="48"/>
      <c r="D97" s="48"/>
      <c r="E97" s="48"/>
      <c r="F97" s="48"/>
      <c r="G97" s="48"/>
      <c r="H97" s="48"/>
      <c r="I97" s="48"/>
      <c r="J97" s="61"/>
      <c r="K97" s="62"/>
      <c r="L97" s="63"/>
      <c r="M97" s="92"/>
      <c r="N97" s="65"/>
      <c r="O97" s="37"/>
      <c r="P97" s="37"/>
      <c r="Q97" s="37"/>
      <c r="R97" s="37"/>
      <c r="S97" s="3"/>
    </row>
    <row r="98" spans="1:19" ht="20.100000000000001" customHeight="1" x14ac:dyDescent="0.3">
      <c r="A98" s="60"/>
      <c r="B98" s="48"/>
      <c r="C98" s="48"/>
      <c r="D98" s="48"/>
      <c r="E98" s="48"/>
      <c r="F98" s="48"/>
      <c r="G98" s="48"/>
      <c r="H98" s="48"/>
      <c r="I98" s="48"/>
      <c r="J98" s="61"/>
      <c r="K98" s="62"/>
      <c r="L98" s="63"/>
      <c r="M98" s="92"/>
      <c r="N98" s="65"/>
      <c r="O98" s="66"/>
      <c r="P98" s="66"/>
      <c r="Q98" s="66"/>
      <c r="R98" s="66"/>
      <c r="S98" s="66"/>
    </row>
    <row r="99" spans="1:19" ht="20.100000000000001" customHeight="1" x14ac:dyDescent="0.3">
      <c r="A99" s="60"/>
      <c r="B99" s="48"/>
      <c r="C99" s="48"/>
      <c r="D99" s="48"/>
      <c r="E99" s="48"/>
      <c r="F99" s="48"/>
      <c r="G99" s="48"/>
      <c r="H99" s="48"/>
      <c r="I99" s="48"/>
      <c r="J99" s="61"/>
      <c r="K99" s="62"/>
      <c r="L99" s="63"/>
      <c r="M99" s="92"/>
      <c r="N99" s="65"/>
      <c r="O99" s="37"/>
      <c r="P99" s="37"/>
      <c r="Q99" s="37"/>
      <c r="R99" s="37"/>
      <c r="S99" s="3"/>
    </row>
    <row r="100" spans="1:19" ht="20.100000000000001" customHeight="1" x14ac:dyDescent="0.3">
      <c r="A100" s="60"/>
      <c r="B100" s="48"/>
      <c r="C100" s="48"/>
      <c r="D100" s="48"/>
      <c r="E100" s="48"/>
      <c r="F100" s="48"/>
      <c r="G100" s="48"/>
      <c r="H100" s="48"/>
      <c r="I100" s="48"/>
      <c r="J100" s="61"/>
      <c r="K100" s="62"/>
      <c r="L100" s="63"/>
      <c r="M100" s="92"/>
      <c r="N100" s="65"/>
    </row>
    <row r="101" spans="1:19" ht="20.100000000000001" customHeight="1" x14ac:dyDescent="0.3">
      <c r="A101" s="60"/>
      <c r="B101" s="48"/>
      <c r="C101" s="48"/>
      <c r="D101" s="48"/>
      <c r="E101" s="48"/>
      <c r="F101" s="48"/>
      <c r="G101" s="48"/>
      <c r="H101" s="48"/>
      <c r="I101" s="48"/>
      <c r="J101" s="61"/>
      <c r="K101" s="62"/>
      <c r="L101" s="63"/>
      <c r="M101" s="92"/>
      <c r="N101" s="65"/>
    </row>
    <row r="102" spans="1:19" ht="20.100000000000001" customHeight="1" x14ac:dyDescent="0.3">
      <c r="A102" s="60"/>
      <c r="B102" s="48"/>
      <c r="C102" s="48"/>
      <c r="D102" s="48"/>
      <c r="E102" s="48"/>
      <c r="F102" s="48"/>
      <c r="G102" s="48"/>
      <c r="H102" s="48"/>
      <c r="I102" s="48"/>
      <c r="J102" s="61"/>
      <c r="K102" s="62"/>
      <c r="L102" s="63"/>
      <c r="M102" s="92"/>
      <c r="N102" s="65"/>
    </row>
    <row r="103" spans="1:19" ht="20.100000000000001" customHeight="1" x14ac:dyDescent="0.3">
      <c r="A103" s="60"/>
      <c r="B103" s="48"/>
      <c r="C103" s="48"/>
      <c r="D103" s="48"/>
      <c r="E103" s="48"/>
      <c r="F103" s="48"/>
      <c r="G103" s="48"/>
      <c r="H103" s="48"/>
      <c r="I103" s="48"/>
      <c r="J103" s="61"/>
      <c r="K103" s="62"/>
      <c r="L103" s="63"/>
      <c r="M103" s="92"/>
      <c r="N103" s="65"/>
      <c r="O103" s="66"/>
      <c r="P103" s="66"/>
      <c r="Q103" s="66"/>
      <c r="R103" s="66"/>
      <c r="S103" s="66"/>
    </row>
    <row r="104" spans="1:19" ht="20.100000000000001" customHeight="1" x14ac:dyDescent="0.3">
      <c r="A104" s="60"/>
      <c r="B104" s="48"/>
      <c r="C104" s="48"/>
      <c r="D104" s="48"/>
      <c r="E104" s="48"/>
      <c r="F104" s="48"/>
      <c r="G104" s="48"/>
      <c r="H104" s="48"/>
      <c r="I104" s="48"/>
      <c r="J104" s="61"/>
      <c r="K104" s="62"/>
      <c r="L104" s="63"/>
      <c r="M104" s="92"/>
      <c r="N104" s="65"/>
      <c r="O104" s="66"/>
      <c r="P104" s="66"/>
      <c r="Q104" s="66"/>
      <c r="R104" s="66"/>
      <c r="S104" s="66"/>
    </row>
    <row r="105" spans="1:19" ht="20.100000000000001" customHeight="1" x14ac:dyDescent="0.3">
      <c r="A105" s="60"/>
      <c r="B105" s="48"/>
      <c r="C105" s="48"/>
      <c r="D105" s="48"/>
      <c r="E105" s="48"/>
      <c r="F105" s="48"/>
      <c r="G105" s="48"/>
      <c r="H105" s="48"/>
      <c r="I105" s="48"/>
      <c r="J105" s="61"/>
      <c r="K105" s="62"/>
      <c r="L105" s="63"/>
      <c r="M105" s="92"/>
      <c r="N105" s="65"/>
      <c r="O105" s="69"/>
      <c r="P105" s="69"/>
      <c r="Q105" s="69"/>
      <c r="R105" s="69"/>
      <c r="S105" s="69"/>
    </row>
    <row r="106" spans="1:19" ht="20.100000000000001" customHeight="1" x14ac:dyDescent="0.3">
      <c r="A106" s="60"/>
      <c r="B106" s="48"/>
      <c r="C106" s="48"/>
      <c r="D106" s="48"/>
      <c r="E106" s="48"/>
      <c r="F106" s="48"/>
      <c r="G106" s="48"/>
      <c r="H106" s="48"/>
      <c r="I106" s="48"/>
      <c r="J106" s="61"/>
      <c r="K106" s="62"/>
      <c r="L106" s="63"/>
      <c r="M106" s="92"/>
      <c r="N106" s="65"/>
      <c r="O106" s="69"/>
      <c r="P106" s="69"/>
      <c r="Q106" s="69"/>
      <c r="R106" s="69"/>
      <c r="S106" s="69"/>
    </row>
    <row r="107" spans="1:19" ht="20.100000000000001" customHeight="1" x14ac:dyDescent="0.3">
      <c r="A107" s="60"/>
      <c r="B107" s="48"/>
      <c r="C107" s="48"/>
      <c r="D107" s="48"/>
      <c r="E107" s="48"/>
      <c r="F107" s="48"/>
      <c r="G107" s="48"/>
      <c r="H107" s="48"/>
      <c r="I107" s="48"/>
      <c r="J107" s="61"/>
      <c r="K107" s="62"/>
      <c r="L107" s="63"/>
      <c r="M107" s="92"/>
      <c r="N107" s="65"/>
    </row>
    <row r="108" spans="1:19" ht="20.100000000000001" customHeight="1" x14ac:dyDescent="0.3">
      <c r="A108" s="60"/>
      <c r="B108" s="48"/>
      <c r="C108" s="48"/>
      <c r="D108" s="48"/>
      <c r="E108" s="48"/>
      <c r="F108" s="48"/>
      <c r="G108" s="48"/>
      <c r="H108" s="48"/>
      <c r="I108" s="48"/>
      <c r="J108" s="61"/>
      <c r="K108" s="62"/>
      <c r="L108" s="63"/>
      <c r="M108" s="92"/>
      <c r="N108" s="65"/>
    </row>
    <row r="109" spans="1:19" ht="20.100000000000001" customHeight="1" x14ac:dyDescent="0.3">
      <c r="A109" s="60"/>
      <c r="B109" s="48"/>
      <c r="C109" s="48"/>
      <c r="D109" s="48"/>
      <c r="E109" s="48"/>
      <c r="F109" s="48"/>
      <c r="G109" s="48"/>
      <c r="H109" s="48"/>
      <c r="I109" s="48"/>
      <c r="J109" s="61"/>
      <c r="K109" s="62"/>
      <c r="L109" s="63"/>
      <c r="M109" s="92"/>
      <c r="N109" s="65"/>
      <c r="O109" s="66"/>
      <c r="P109" s="66"/>
      <c r="Q109" s="66"/>
      <c r="R109" s="66"/>
      <c r="S109" s="66"/>
    </row>
    <row r="110" spans="1:19" ht="20.100000000000001" customHeight="1" x14ac:dyDescent="0.3">
      <c r="A110" s="60"/>
      <c r="B110" s="48"/>
      <c r="C110" s="48"/>
      <c r="D110" s="48"/>
      <c r="E110" s="48"/>
      <c r="F110" s="48"/>
      <c r="G110" s="48"/>
      <c r="H110" s="48"/>
      <c r="I110" s="48"/>
      <c r="J110" s="61"/>
      <c r="K110" s="62"/>
      <c r="L110" s="63"/>
      <c r="M110" s="92"/>
      <c r="N110" s="65"/>
    </row>
    <row r="111" spans="1:19" ht="20.100000000000001" customHeight="1" x14ac:dyDescent="0.3">
      <c r="A111" s="60"/>
      <c r="B111" s="48"/>
      <c r="C111" s="48"/>
      <c r="D111" s="48"/>
      <c r="E111" s="48"/>
      <c r="F111" s="48"/>
      <c r="G111" s="48"/>
      <c r="H111" s="48"/>
      <c r="I111" s="48"/>
      <c r="J111" s="61"/>
      <c r="K111" s="62"/>
      <c r="L111" s="63"/>
      <c r="M111" s="92"/>
      <c r="N111" s="65"/>
    </row>
    <row r="112" spans="1:19" ht="20.100000000000001" customHeight="1" x14ac:dyDescent="0.3">
      <c r="A112" s="60"/>
      <c r="B112" s="48"/>
      <c r="C112" s="48"/>
      <c r="D112" s="48"/>
      <c r="E112" s="48"/>
      <c r="F112" s="48"/>
      <c r="G112" s="48"/>
      <c r="H112" s="48"/>
      <c r="I112" s="48"/>
      <c r="J112" s="61"/>
      <c r="K112" s="62"/>
      <c r="L112" s="63"/>
      <c r="M112" s="92"/>
      <c r="N112" s="65"/>
    </row>
    <row r="113" spans="1:19" ht="20.100000000000001" customHeight="1" x14ac:dyDescent="0.3">
      <c r="A113" s="60"/>
      <c r="B113" s="48"/>
      <c r="C113" s="48"/>
      <c r="D113" s="48"/>
      <c r="E113" s="48"/>
      <c r="F113" s="48"/>
      <c r="G113" s="48"/>
      <c r="H113" s="48"/>
      <c r="I113" s="48"/>
      <c r="J113" s="61"/>
      <c r="K113" s="62"/>
      <c r="L113" s="63"/>
      <c r="M113" s="92"/>
      <c r="N113" s="65"/>
      <c r="O113" s="66"/>
      <c r="P113" s="66"/>
      <c r="Q113" s="66"/>
      <c r="R113" s="66"/>
      <c r="S113" s="66"/>
    </row>
    <row r="114" spans="1:19" ht="20.100000000000001" customHeight="1" x14ac:dyDescent="0.3">
      <c r="A114" s="60"/>
      <c r="B114" s="48"/>
      <c r="C114" s="48"/>
      <c r="D114" s="48"/>
      <c r="E114" s="48"/>
      <c r="F114" s="48"/>
      <c r="G114" s="48"/>
      <c r="H114" s="48"/>
      <c r="I114" s="48"/>
      <c r="J114" s="61"/>
      <c r="K114" s="62"/>
      <c r="L114" s="63"/>
      <c r="M114" s="92"/>
      <c r="N114" s="65"/>
      <c r="O114" s="66"/>
      <c r="P114" s="66"/>
      <c r="Q114" s="66"/>
      <c r="R114" s="66"/>
      <c r="S114" s="66"/>
    </row>
    <row r="115" spans="1:19" ht="20.100000000000001" customHeight="1" x14ac:dyDescent="0.3">
      <c r="A115" s="60"/>
      <c r="B115" s="48"/>
      <c r="C115" s="48"/>
      <c r="D115" s="48"/>
      <c r="E115" s="48"/>
      <c r="F115" s="48"/>
      <c r="G115" s="48"/>
      <c r="H115" s="48"/>
      <c r="I115" s="48"/>
      <c r="J115" s="61"/>
      <c r="K115" s="62"/>
      <c r="L115" s="63"/>
      <c r="M115" s="92"/>
      <c r="N115" s="65"/>
      <c r="O115" s="69"/>
      <c r="P115" s="69"/>
      <c r="Q115" s="69"/>
      <c r="R115" s="69"/>
      <c r="S115" s="69"/>
    </row>
    <row r="116" spans="1:19" ht="20.100000000000001" customHeight="1" x14ac:dyDescent="0.3">
      <c r="A116" s="60"/>
      <c r="B116" s="48"/>
      <c r="C116" s="48"/>
      <c r="D116" s="48"/>
      <c r="E116" s="48"/>
      <c r="F116" s="48"/>
      <c r="G116" s="48"/>
      <c r="H116" s="48"/>
      <c r="I116" s="48"/>
      <c r="J116" s="61"/>
      <c r="K116" s="62"/>
      <c r="L116" s="63"/>
      <c r="M116" s="92"/>
      <c r="N116" s="65"/>
      <c r="O116" s="69"/>
      <c r="P116" s="69"/>
      <c r="Q116" s="69"/>
      <c r="R116" s="69"/>
      <c r="S116" s="69"/>
    </row>
    <row r="117" spans="1:19" ht="20.100000000000001" customHeight="1" x14ac:dyDescent="0.3">
      <c r="A117" s="60"/>
      <c r="B117" s="48"/>
      <c r="C117" s="48"/>
      <c r="D117" s="48"/>
      <c r="E117" s="48"/>
      <c r="F117" s="48"/>
      <c r="G117" s="48"/>
      <c r="H117" s="48"/>
      <c r="I117" s="48"/>
      <c r="J117" s="61"/>
      <c r="K117" s="62"/>
      <c r="L117" s="63"/>
      <c r="M117" s="92"/>
      <c r="N117" s="65"/>
      <c r="O117" s="69"/>
      <c r="P117" s="69"/>
      <c r="Q117" s="69"/>
      <c r="R117" s="69"/>
      <c r="S117" s="69"/>
    </row>
    <row r="118" spans="1:19" ht="20.100000000000001" customHeight="1" x14ac:dyDescent="0.3">
      <c r="A118" s="60"/>
      <c r="B118" s="48"/>
      <c r="C118" s="48"/>
      <c r="D118" s="48"/>
      <c r="E118" s="48"/>
      <c r="F118" s="48"/>
      <c r="G118" s="48"/>
      <c r="H118" s="48"/>
      <c r="I118" s="48"/>
      <c r="J118" s="61"/>
      <c r="K118" s="62"/>
      <c r="L118" s="63"/>
      <c r="M118" s="92"/>
      <c r="N118" s="65"/>
      <c r="O118" s="69"/>
      <c r="P118" s="69"/>
      <c r="Q118" s="69"/>
      <c r="R118" s="69"/>
      <c r="S118" s="69"/>
    </row>
    <row r="119" spans="1:19" ht="20.100000000000001" customHeight="1" x14ac:dyDescent="0.3">
      <c r="A119" s="60"/>
      <c r="B119" s="48"/>
      <c r="C119" s="48"/>
      <c r="D119" s="48"/>
      <c r="E119" s="48"/>
      <c r="F119" s="48"/>
      <c r="G119" s="48"/>
      <c r="H119" s="48"/>
      <c r="I119" s="48"/>
      <c r="J119" s="61"/>
      <c r="K119" s="62"/>
      <c r="L119" s="63"/>
      <c r="M119" s="92"/>
      <c r="N119" s="65"/>
      <c r="O119" s="70"/>
      <c r="P119" s="70"/>
      <c r="Q119" s="70"/>
      <c r="R119" s="70"/>
      <c r="S119" s="70"/>
    </row>
    <row r="120" spans="1:19" ht="20.100000000000001" customHeight="1" x14ac:dyDescent="0.3">
      <c r="A120" s="60"/>
      <c r="B120" s="48"/>
      <c r="C120" s="48"/>
      <c r="D120" s="48"/>
      <c r="E120" s="48"/>
      <c r="F120" s="48"/>
      <c r="G120" s="48"/>
      <c r="H120" s="48"/>
      <c r="I120" s="48"/>
      <c r="J120" s="61"/>
      <c r="K120" s="62"/>
      <c r="L120" s="63"/>
      <c r="M120" s="92"/>
      <c r="N120" s="65"/>
      <c r="O120" s="69"/>
      <c r="P120" s="69"/>
      <c r="Q120" s="69"/>
      <c r="R120" s="69"/>
      <c r="S120" s="69"/>
    </row>
    <row r="121" spans="1:19" ht="20.100000000000001" customHeight="1" x14ac:dyDescent="0.3">
      <c r="A121" s="60"/>
      <c r="B121" s="48"/>
      <c r="C121" s="48"/>
      <c r="D121" s="48"/>
      <c r="E121" s="48"/>
      <c r="F121" s="48"/>
      <c r="G121" s="48"/>
      <c r="H121" s="48"/>
      <c r="I121" s="48"/>
      <c r="J121" s="61"/>
      <c r="K121" s="62"/>
      <c r="L121" s="63"/>
      <c r="M121" s="92"/>
      <c r="N121" s="65"/>
      <c r="O121" s="69"/>
      <c r="P121" s="69"/>
      <c r="Q121" s="69"/>
      <c r="R121" s="69"/>
      <c r="S121" s="69"/>
    </row>
    <row r="122" spans="1:19" ht="20.100000000000001" customHeight="1" x14ac:dyDescent="0.3">
      <c r="A122" s="60"/>
      <c r="B122" s="48"/>
      <c r="C122" s="48"/>
      <c r="D122" s="48"/>
      <c r="E122" s="48"/>
      <c r="F122" s="48"/>
      <c r="G122" s="48"/>
      <c r="H122" s="48"/>
      <c r="I122" s="48"/>
      <c r="J122" s="61"/>
      <c r="K122" s="62"/>
      <c r="L122" s="63"/>
      <c r="M122" s="92"/>
      <c r="N122" s="65"/>
    </row>
    <row r="123" spans="1:19" ht="20.100000000000001" customHeight="1" x14ac:dyDescent="0.3">
      <c r="A123" s="60"/>
      <c r="B123" s="48"/>
      <c r="C123" s="48"/>
      <c r="D123" s="48"/>
      <c r="E123" s="48"/>
      <c r="F123" s="48"/>
      <c r="G123" s="48"/>
      <c r="H123" s="48"/>
      <c r="I123" s="48"/>
      <c r="J123" s="61"/>
      <c r="K123" s="62"/>
      <c r="L123" s="63"/>
      <c r="M123" s="92"/>
      <c r="N123" s="65"/>
      <c r="O123" s="66"/>
      <c r="P123" s="66"/>
      <c r="Q123" s="66"/>
      <c r="R123" s="66"/>
      <c r="S123" s="66"/>
    </row>
    <row r="124" spans="1:19" ht="20.100000000000001" customHeight="1" x14ac:dyDescent="0.3">
      <c r="A124" s="60"/>
      <c r="B124" s="48"/>
      <c r="C124" s="48"/>
      <c r="D124" s="48"/>
      <c r="E124" s="48"/>
      <c r="F124" s="48"/>
      <c r="G124" s="48"/>
      <c r="H124" s="48"/>
      <c r="I124" s="48"/>
      <c r="J124" s="61"/>
      <c r="K124" s="62"/>
      <c r="L124" s="63"/>
      <c r="M124" s="92"/>
      <c r="N124" s="65"/>
    </row>
    <row r="125" spans="1:19" ht="20.100000000000001" customHeight="1" x14ac:dyDescent="0.3">
      <c r="A125" s="60"/>
      <c r="B125" s="48"/>
      <c r="C125" s="48"/>
      <c r="D125" s="48"/>
      <c r="E125" s="48"/>
      <c r="F125" s="48"/>
      <c r="G125" s="48"/>
      <c r="H125" s="48"/>
      <c r="I125" s="48"/>
      <c r="J125" s="61"/>
      <c r="K125" s="62"/>
      <c r="L125" s="63"/>
      <c r="M125" s="92"/>
      <c r="N125" s="65"/>
    </row>
    <row r="126" spans="1:19" ht="20.100000000000001" customHeight="1" x14ac:dyDescent="0.3">
      <c r="A126" s="60"/>
      <c r="B126" s="48"/>
      <c r="C126" s="48"/>
      <c r="D126" s="48"/>
      <c r="E126" s="48"/>
      <c r="F126" s="48"/>
      <c r="G126" s="48"/>
      <c r="H126" s="48"/>
      <c r="I126" s="48"/>
      <c r="J126" s="61"/>
      <c r="K126" s="62"/>
      <c r="L126" s="63"/>
      <c r="M126" s="92"/>
      <c r="N126" s="65"/>
      <c r="O126" s="66"/>
      <c r="P126" s="66"/>
      <c r="Q126" s="66"/>
      <c r="R126" s="66"/>
      <c r="S126" s="66"/>
    </row>
    <row r="127" spans="1:19" ht="20.100000000000001" customHeight="1" x14ac:dyDescent="0.3">
      <c r="A127" s="60"/>
      <c r="B127" s="48"/>
      <c r="C127" s="48"/>
      <c r="D127" s="48"/>
      <c r="E127" s="48"/>
      <c r="F127" s="48"/>
      <c r="G127" s="48"/>
      <c r="H127" s="48"/>
      <c r="I127" s="48"/>
      <c r="J127" s="61"/>
      <c r="K127" s="62"/>
      <c r="L127" s="63"/>
      <c r="M127" s="92"/>
      <c r="N127" s="65"/>
      <c r="O127" s="66"/>
      <c r="P127" s="66"/>
      <c r="Q127" s="66"/>
      <c r="R127" s="66"/>
      <c r="S127" s="66"/>
    </row>
    <row r="128" spans="1:19" ht="20.100000000000001" customHeight="1" x14ac:dyDescent="0.3">
      <c r="A128" s="60"/>
      <c r="B128" s="48"/>
      <c r="C128" s="48"/>
      <c r="D128" s="48"/>
      <c r="E128" s="48"/>
      <c r="F128" s="48"/>
      <c r="G128" s="48"/>
      <c r="H128" s="48"/>
      <c r="I128" s="48"/>
      <c r="J128" s="61"/>
      <c r="K128" s="62"/>
      <c r="L128" s="63"/>
      <c r="M128" s="92"/>
      <c r="N128" s="65"/>
    </row>
    <row r="129" spans="1:14" ht="20.100000000000001" customHeight="1" x14ac:dyDescent="0.3">
      <c r="A129" s="60"/>
      <c r="B129" s="48"/>
      <c r="C129" s="48"/>
      <c r="D129" s="48"/>
      <c r="E129" s="48"/>
      <c r="F129" s="48"/>
      <c r="G129" s="48"/>
      <c r="H129" s="48"/>
      <c r="I129" s="48"/>
      <c r="J129" s="61"/>
      <c r="K129" s="62"/>
      <c r="L129" s="63"/>
      <c r="M129" s="92"/>
      <c r="N129" s="65"/>
    </row>
    <row r="130" spans="1:14" ht="20.100000000000001" customHeight="1" x14ac:dyDescent="0.3">
      <c r="A130" s="60"/>
      <c r="B130" s="48"/>
      <c r="C130" s="48"/>
      <c r="D130" s="48"/>
      <c r="E130" s="48"/>
      <c r="F130" s="48"/>
      <c r="G130" s="48"/>
      <c r="H130" s="48"/>
      <c r="I130" s="48"/>
      <c r="J130" s="61"/>
      <c r="K130" s="62"/>
      <c r="L130" s="63"/>
      <c r="M130" s="92"/>
      <c r="N130" s="65"/>
    </row>
    <row r="131" spans="1:14" ht="20.100000000000001" customHeight="1" x14ac:dyDescent="0.3">
      <c r="A131" s="60"/>
      <c r="B131" s="48"/>
      <c r="C131" s="48"/>
      <c r="D131" s="48"/>
      <c r="E131" s="48"/>
      <c r="F131" s="48"/>
      <c r="G131" s="48"/>
      <c r="H131" s="48"/>
      <c r="I131" s="48"/>
      <c r="J131" s="61"/>
      <c r="K131" s="62"/>
      <c r="L131" s="63"/>
      <c r="M131" s="92"/>
      <c r="N131" s="65"/>
    </row>
    <row r="132" spans="1:14" ht="20.100000000000001" customHeight="1" x14ac:dyDescent="0.3">
      <c r="A132" s="60"/>
      <c r="B132" s="48"/>
      <c r="C132" s="48"/>
      <c r="D132" s="48"/>
      <c r="E132" s="48"/>
      <c r="F132" s="48"/>
      <c r="G132" s="48"/>
      <c r="H132" s="48"/>
      <c r="I132" s="48"/>
      <c r="J132" s="61"/>
      <c r="K132" s="62"/>
      <c r="L132" s="63"/>
      <c r="M132" s="92"/>
      <c r="N132" s="65"/>
    </row>
    <row r="133" spans="1:14" ht="20.100000000000001" customHeight="1" x14ac:dyDescent="0.3">
      <c r="A133" s="60"/>
      <c r="B133" s="48"/>
      <c r="C133" s="48"/>
      <c r="D133" s="48"/>
      <c r="E133" s="48"/>
      <c r="F133" s="48"/>
      <c r="G133" s="48"/>
      <c r="H133" s="48"/>
      <c r="I133" s="48"/>
      <c r="J133" s="61"/>
      <c r="K133" s="62"/>
      <c r="L133" s="63"/>
      <c r="M133" s="92"/>
      <c r="N133" s="65"/>
    </row>
    <row r="134" spans="1:14" ht="20.100000000000001" customHeight="1" x14ac:dyDescent="0.3">
      <c r="A134" s="60"/>
      <c r="B134" s="48"/>
      <c r="C134" s="48"/>
      <c r="D134" s="48"/>
      <c r="E134" s="48"/>
      <c r="F134" s="48"/>
      <c r="G134" s="48"/>
      <c r="H134" s="48"/>
      <c r="I134" s="48"/>
      <c r="J134" s="61"/>
      <c r="K134" s="62"/>
      <c r="L134" s="63"/>
      <c r="M134" s="92"/>
      <c r="N134" s="65"/>
    </row>
    <row r="135" spans="1:14" ht="20.100000000000001" customHeight="1" x14ac:dyDescent="0.3">
      <c r="A135" s="60"/>
      <c r="B135" s="48"/>
      <c r="C135" s="48"/>
      <c r="D135" s="48"/>
      <c r="E135" s="48"/>
      <c r="F135" s="48"/>
      <c r="G135" s="48"/>
      <c r="H135" s="48"/>
      <c r="I135" s="48"/>
      <c r="J135" s="61"/>
      <c r="K135" s="62"/>
      <c r="L135" s="63"/>
      <c r="M135" s="92"/>
      <c r="N135" s="65"/>
    </row>
    <row r="136" spans="1:14" ht="20.100000000000001" customHeight="1" x14ac:dyDescent="0.3">
      <c r="A136" s="60"/>
      <c r="B136" s="48"/>
      <c r="C136" s="48"/>
      <c r="D136" s="48"/>
      <c r="E136" s="48"/>
      <c r="F136" s="48"/>
      <c r="G136" s="48"/>
      <c r="H136" s="48"/>
      <c r="I136" s="48"/>
      <c r="J136" s="61"/>
      <c r="K136" s="62"/>
      <c r="L136" s="63"/>
      <c r="M136" s="92"/>
      <c r="N136" s="65"/>
    </row>
    <row r="137" spans="1:14" ht="20.100000000000001" customHeight="1" x14ac:dyDescent="0.3">
      <c r="A137" s="60"/>
      <c r="B137" s="48"/>
      <c r="C137" s="48"/>
      <c r="D137" s="48"/>
      <c r="E137" s="48"/>
      <c r="F137" s="48"/>
      <c r="G137" s="48"/>
      <c r="H137" s="48"/>
      <c r="I137" s="48"/>
      <c r="J137" s="61"/>
      <c r="K137" s="62"/>
      <c r="L137" s="63"/>
      <c r="M137" s="92"/>
      <c r="N137" s="65"/>
    </row>
    <row r="138" spans="1:14" ht="20.100000000000001" customHeight="1" x14ac:dyDescent="0.3">
      <c r="A138" s="60"/>
      <c r="B138" s="48"/>
      <c r="C138" s="48"/>
      <c r="D138" s="48"/>
      <c r="E138" s="48"/>
      <c r="F138" s="48"/>
      <c r="G138" s="48"/>
      <c r="H138" s="48"/>
      <c r="I138" s="48"/>
      <c r="J138" s="61"/>
      <c r="K138" s="62"/>
      <c r="L138" s="63"/>
      <c r="M138" s="92"/>
      <c r="N138" s="65"/>
    </row>
    <row r="139" spans="1:14" ht="20.100000000000001" customHeight="1" x14ac:dyDescent="0.3">
      <c r="A139" s="60"/>
      <c r="B139" s="48"/>
      <c r="C139" s="48"/>
      <c r="D139" s="48"/>
      <c r="E139" s="48"/>
      <c r="F139" s="48"/>
      <c r="G139" s="48"/>
      <c r="H139" s="48"/>
      <c r="I139" s="48"/>
      <c r="J139" s="61"/>
      <c r="K139" s="62"/>
      <c r="L139" s="63"/>
      <c r="M139" s="92"/>
      <c r="N139" s="65"/>
    </row>
    <row r="140" spans="1:14" ht="20.100000000000001" customHeight="1" x14ac:dyDescent="0.3">
      <c r="A140" s="60"/>
      <c r="B140" s="48"/>
      <c r="C140" s="48"/>
      <c r="D140" s="48"/>
      <c r="E140" s="48"/>
      <c r="F140" s="48"/>
      <c r="G140" s="48"/>
      <c r="H140" s="48"/>
      <c r="I140" s="48"/>
      <c r="J140" s="61"/>
      <c r="K140" s="62"/>
      <c r="L140" s="63"/>
      <c r="M140" s="92"/>
      <c r="N140" s="65"/>
    </row>
    <row r="141" spans="1:14" ht="20.100000000000001" customHeight="1" x14ac:dyDescent="0.3">
      <c r="A141" s="60"/>
      <c r="B141" s="48"/>
      <c r="C141" s="48"/>
      <c r="D141" s="48"/>
      <c r="E141" s="48"/>
      <c r="F141" s="48"/>
      <c r="G141" s="48"/>
      <c r="H141" s="48"/>
      <c r="I141" s="48"/>
      <c r="J141" s="61"/>
      <c r="K141" s="62"/>
      <c r="L141" s="63"/>
      <c r="M141" s="92"/>
      <c r="N141" s="65"/>
    </row>
    <row r="142" spans="1:14" ht="20.100000000000001" customHeight="1" x14ac:dyDescent="0.3">
      <c r="A142" s="60"/>
      <c r="B142" s="48"/>
      <c r="C142" s="48"/>
      <c r="D142" s="48"/>
      <c r="E142" s="48"/>
      <c r="F142" s="48"/>
      <c r="G142" s="48"/>
      <c r="H142" s="48"/>
      <c r="I142" s="48"/>
      <c r="J142" s="61"/>
      <c r="K142" s="62"/>
      <c r="L142" s="63"/>
      <c r="M142" s="92"/>
      <c r="N142" s="65"/>
    </row>
    <row r="143" spans="1:14" ht="20.100000000000001" customHeight="1" x14ac:dyDescent="0.3">
      <c r="A143" s="47"/>
      <c r="B143" s="48"/>
      <c r="C143" s="48"/>
      <c r="D143" s="48"/>
      <c r="E143" s="48"/>
      <c r="F143" s="48"/>
      <c r="G143" s="48"/>
      <c r="H143" s="48"/>
      <c r="I143" s="48"/>
      <c r="J143" s="50"/>
      <c r="K143" s="62"/>
      <c r="L143" s="68"/>
      <c r="M143" s="105"/>
      <c r="N143" s="69"/>
    </row>
    <row r="144" spans="1:14" ht="20.100000000000001" customHeight="1" x14ac:dyDescent="0.3">
      <c r="A144" s="47"/>
      <c r="B144" s="48"/>
      <c r="C144" s="48"/>
      <c r="D144" s="48"/>
      <c r="E144" s="48"/>
      <c r="F144" s="48"/>
      <c r="G144" s="48"/>
      <c r="H144" s="48"/>
      <c r="I144" s="48"/>
      <c r="J144" s="50"/>
      <c r="K144" s="62"/>
      <c r="L144" s="68"/>
      <c r="M144" s="105"/>
      <c r="N144" s="69"/>
    </row>
    <row r="145" spans="1:12" ht="20.100000000000001" customHeight="1" x14ac:dyDescent="0.3">
      <c r="A145" s="47"/>
      <c r="B145" s="48"/>
      <c r="C145" s="48"/>
      <c r="D145" s="48"/>
      <c r="E145" s="48"/>
      <c r="F145" s="48"/>
      <c r="G145" s="48"/>
      <c r="H145" s="48"/>
      <c r="I145" s="48"/>
      <c r="J145" s="50"/>
      <c r="K145" s="62"/>
      <c r="L145" s="68"/>
    </row>
    <row r="146" spans="1:12" ht="20.100000000000001" customHeight="1" x14ac:dyDescent="0.3">
      <c r="A146" s="47"/>
      <c r="B146" s="48"/>
      <c r="C146" s="48"/>
      <c r="D146" s="71"/>
      <c r="E146" s="48"/>
      <c r="F146" s="48"/>
      <c r="G146" s="72"/>
      <c r="H146" s="72"/>
      <c r="I146" s="72"/>
      <c r="J146" s="73"/>
      <c r="K146" s="62"/>
      <c r="L146" s="68"/>
    </row>
    <row r="147" spans="1:12" ht="20.100000000000001" customHeight="1" x14ac:dyDescent="0.3">
      <c r="A147" s="47"/>
      <c r="B147" s="48"/>
      <c r="C147" s="48"/>
      <c r="D147" s="48"/>
      <c r="E147" s="48"/>
      <c r="F147" s="48"/>
      <c r="G147" s="48"/>
      <c r="H147" s="48"/>
      <c r="I147" s="48"/>
      <c r="J147" s="50"/>
      <c r="K147" s="62"/>
      <c r="L147" s="68"/>
    </row>
    <row r="148" spans="1:12" ht="20.100000000000001" customHeight="1" x14ac:dyDescent="0.3">
      <c r="A148" s="47"/>
      <c r="B148" s="48"/>
      <c r="C148" s="48"/>
      <c r="D148" s="48"/>
      <c r="E148" s="48"/>
      <c r="F148" s="48"/>
      <c r="G148" s="48"/>
      <c r="H148" s="48"/>
      <c r="I148" s="48"/>
      <c r="J148" s="50"/>
      <c r="K148" s="62"/>
      <c r="L148" s="68"/>
    </row>
    <row r="149" spans="1:12" ht="20.100000000000001" customHeight="1" x14ac:dyDescent="0.3">
      <c r="A149" s="47"/>
      <c r="B149" s="48"/>
      <c r="C149" s="48"/>
      <c r="D149" s="48"/>
      <c r="E149" s="48"/>
      <c r="F149" s="48"/>
      <c r="G149" s="48"/>
      <c r="H149" s="48"/>
      <c r="I149" s="48"/>
      <c r="J149" s="50"/>
      <c r="K149" s="62"/>
      <c r="L149" s="68"/>
    </row>
    <row r="150" spans="1:12" ht="20.100000000000001" customHeight="1" x14ac:dyDescent="0.3">
      <c r="A150" s="47"/>
      <c r="B150" s="48"/>
      <c r="C150" s="48"/>
      <c r="D150" s="48"/>
      <c r="E150" s="48"/>
      <c r="F150" s="48"/>
      <c r="G150" s="48"/>
      <c r="H150" s="48"/>
      <c r="I150" s="48"/>
      <c r="J150" s="50"/>
      <c r="K150" s="62"/>
      <c r="L150" s="68"/>
    </row>
    <row r="151" spans="1:12" ht="20.100000000000001" customHeight="1" x14ac:dyDescent="0.3">
      <c r="A151" s="47"/>
      <c r="B151" s="48"/>
      <c r="C151" s="48"/>
      <c r="D151" s="48"/>
      <c r="E151" s="48"/>
      <c r="F151" s="48"/>
      <c r="G151" s="48"/>
      <c r="H151" s="48"/>
      <c r="I151" s="48"/>
      <c r="J151" s="50"/>
      <c r="K151" s="62"/>
      <c r="L151" s="68"/>
    </row>
    <row r="152" spans="1:12" ht="20.100000000000001" customHeight="1" x14ac:dyDescent="0.3">
      <c r="A152" s="47"/>
      <c r="B152" s="48"/>
      <c r="C152" s="48"/>
      <c r="D152" s="48"/>
      <c r="E152" s="48"/>
      <c r="F152" s="48"/>
      <c r="G152" s="48"/>
      <c r="H152" s="48"/>
      <c r="I152" s="48"/>
      <c r="J152" s="50"/>
      <c r="K152" s="62"/>
      <c r="L152" s="68"/>
    </row>
  </sheetData>
  <mergeCells count="1">
    <mergeCell ref="A1:L1"/>
  </mergeCells>
  <phoneticPr fontId="3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8807-B004-4867-830A-C8F17C515C35}">
  <dimension ref="A1:S35"/>
  <sheetViews>
    <sheetView zoomScale="85" zoomScaleNormal="85" workbookViewId="0">
      <pane ySplit="2" topLeftCell="A3" activePane="bottomLeft" state="frozen"/>
      <selection activeCell="B10" sqref="B10:L10"/>
      <selection pane="bottomLeft" activeCell="L3" sqref="L3:L13"/>
    </sheetView>
  </sheetViews>
  <sheetFormatPr defaultColWidth="9" defaultRowHeight="20.100000000000001" customHeight="1" x14ac:dyDescent="0.3"/>
  <cols>
    <col min="1" max="1" width="12.875" bestFit="1" customWidth="1"/>
    <col min="2" max="6" width="8.625" customWidth="1"/>
    <col min="7" max="7" width="12.625" customWidth="1"/>
    <col min="8" max="8" width="16.25" bestFit="1" customWidth="1"/>
    <col min="9" max="9" width="8.25" customWidth="1"/>
    <col min="10" max="10" width="14.25" style="113" customWidth="1"/>
    <col min="11" max="11" width="10" bestFit="1" customWidth="1"/>
    <col min="12" max="12" width="10.625" bestFit="1" customWidth="1"/>
    <col min="13" max="13" width="8.75" bestFit="1" customWidth="1"/>
    <col min="14" max="15" width="11.625" customWidth="1"/>
    <col min="16" max="16" width="1.625" customWidth="1"/>
    <col min="17" max="18" width="11.625" customWidth="1"/>
  </cols>
  <sheetData>
    <row r="1" spans="1:19" ht="20.100000000000001" customHeight="1" x14ac:dyDescent="0.3">
      <c r="A1" s="145" t="s">
        <v>6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59"/>
      <c r="N1" s="41" t="s">
        <v>0</v>
      </c>
      <c r="O1" s="27">
        <f>SUM(K1:K9969)</f>
        <v>11131800</v>
      </c>
      <c r="P1" s="28"/>
      <c r="Q1" s="41" t="s">
        <v>1</v>
      </c>
      <c r="R1" s="27">
        <f>SUM(L1:L9969)</f>
        <v>12466800</v>
      </c>
      <c r="S1" s="42"/>
    </row>
    <row r="2" spans="1:19" ht="20.100000000000001" customHeight="1" x14ac:dyDescent="0.3">
      <c r="A2" s="43" t="s">
        <v>8</v>
      </c>
      <c r="B2" s="43" t="s">
        <v>9</v>
      </c>
      <c r="C2" s="43" t="s">
        <v>10</v>
      </c>
      <c r="D2" s="43" t="s">
        <v>11</v>
      </c>
      <c r="E2" s="43" t="s">
        <v>12</v>
      </c>
      <c r="F2" s="43" t="s">
        <v>13</v>
      </c>
      <c r="G2" s="43" t="s">
        <v>39</v>
      </c>
      <c r="H2" s="43" t="s">
        <v>15</v>
      </c>
      <c r="I2" s="43" t="s">
        <v>16</v>
      </c>
      <c r="J2" s="107" t="s">
        <v>17</v>
      </c>
      <c r="K2" s="43" t="s">
        <v>0</v>
      </c>
      <c r="L2" s="43" t="s">
        <v>1</v>
      </c>
      <c r="M2" s="43" t="s">
        <v>25</v>
      </c>
      <c r="N2" s="116" t="s">
        <v>203</v>
      </c>
      <c r="O2" s="46"/>
      <c r="P2" s="46"/>
      <c r="Q2" s="46"/>
      <c r="R2" s="46"/>
      <c r="S2" s="45"/>
    </row>
    <row r="3" spans="1:19" ht="20.100000000000001" customHeight="1" x14ac:dyDescent="0.3">
      <c r="A3" s="60" t="s">
        <v>194</v>
      </c>
      <c r="B3" s="48" t="s">
        <v>195</v>
      </c>
      <c r="C3" s="48" t="s">
        <v>196</v>
      </c>
      <c r="D3" s="48" t="s">
        <v>133</v>
      </c>
      <c r="E3" s="48"/>
      <c r="F3" s="48" t="s">
        <v>197</v>
      </c>
      <c r="G3" s="48"/>
      <c r="H3" s="58"/>
      <c r="I3" s="58" t="s">
        <v>204</v>
      </c>
      <c r="J3" s="108">
        <v>1002463579165</v>
      </c>
      <c r="K3" s="54">
        <v>1565500</v>
      </c>
      <c r="L3" s="68">
        <v>1730500</v>
      </c>
      <c r="M3" s="115">
        <f>L3-K3</f>
        <v>165000</v>
      </c>
      <c r="N3" s="133" t="s">
        <v>270</v>
      </c>
      <c r="O3" s="55"/>
      <c r="P3" s="55"/>
      <c r="Q3" s="55"/>
      <c r="R3" s="55"/>
      <c r="S3" s="55"/>
    </row>
    <row r="4" spans="1:19" ht="20.100000000000001" customHeight="1" x14ac:dyDescent="0.3">
      <c r="A4" s="60" t="s">
        <v>194</v>
      </c>
      <c r="B4" s="48" t="s">
        <v>195</v>
      </c>
      <c r="C4" s="48" t="s">
        <v>196</v>
      </c>
      <c r="D4" s="48" t="s">
        <v>133</v>
      </c>
      <c r="E4" s="48"/>
      <c r="F4" s="48" t="s">
        <v>198</v>
      </c>
      <c r="G4" s="48"/>
      <c r="H4" s="58"/>
      <c r="I4" s="58" t="s">
        <v>205</v>
      </c>
      <c r="J4" s="108">
        <v>100067464939</v>
      </c>
      <c r="K4" s="54">
        <v>1704200</v>
      </c>
      <c r="L4" s="62">
        <v>1884200</v>
      </c>
      <c r="M4" s="115">
        <f t="shared" ref="M4:M13" si="0">L4-K4</f>
        <v>180000</v>
      </c>
      <c r="N4" s="133" t="s">
        <v>270</v>
      </c>
      <c r="O4" s="55"/>
      <c r="P4" s="55"/>
      <c r="Q4" s="55"/>
      <c r="R4" s="55"/>
      <c r="S4" s="55"/>
    </row>
    <row r="5" spans="1:19" ht="20.100000000000001" customHeight="1" x14ac:dyDescent="0.3">
      <c r="A5" s="60" t="s">
        <v>194</v>
      </c>
      <c r="B5" s="48" t="s">
        <v>195</v>
      </c>
      <c r="C5" s="48" t="s">
        <v>196</v>
      </c>
      <c r="D5" s="48" t="s">
        <v>133</v>
      </c>
      <c r="E5" s="48"/>
      <c r="F5" s="48" t="s">
        <v>199</v>
      </c>
      <c r="G5" s="48"/>
      <c r="H5" s="58"/>
      <c r="I5" s="58" t="s">
        <v>205</v>
      </c>
      <c r="J5" s="108">
        <v>100202869707</v>
      </c>
      <c r="K5" s="54">
        <v>991000</v>
      </c>
      <c r="L5" s="62">
        <v>1096000</v>
      </c>
      <c r="M5" s="115">
        <f t="shared" si="0"/>
        <v>105000</v>
      </c>
      <c r="N5" s="133" t="s">
        <v>270</v>
      </c>
      <c r="O5" s="55"/>
      <c r="P5" s="55"/>
      <c r="Q5" s="55"/>
      <c r="R5" s="55"/>
      <c r="S5" s="55"/>
    </row>
    <row r="6" spans="1:19" ht="20.100000000000001" customHeight="1" x14ac:dyDescent="0.3">
      <c r="A6" s="60" t="s">
        <v>194</v>
      </c>
      <c r="B6" s="48" t="s">
        <v>195</v>
      </c>
      <c r="C6" s="48" t="s">
        <v>196</v>
      </c>
      <c r="D6" s="48" t="s">
        <v>133</v>
      </c>
      <c r="E6" s="48"/>
      <c r="F6" s="48" t="s">
        <v>200</v>
      </c>
      <c r="G6" s="48"/>
      <c r="H6" s="58"/>
      <c r="I6" s="58" t="s">
        <v>205</v>
      </c>
      <c r="J6" s="108">
        <v>100125746909</v>
      </c>
      <c r="K6" s="54">
        <v>1433100</v>
      </c>
      <c r="L6" s="62">
        <v>1598100</v>
      </c>
      <c r="M6" s="115">
        <f t="shared" si="0"/>
        <v>165000</v>
      </c>
      <c r="N6" s="133" t="s">
        <v>270</v>
      </c>
      <c r="O6" s="55"/>
      <c r="P6" s="55"/>
      <c r="Q6" s="132"/>
      <c r="R6" s="55"/>
      <c r="S6" s="55"/>
    </row>
    <row r="7" spans="1:19" ht="20.100000000000001" customHeight="1" x14ac:dyDescent="0.3">
      <c r="A7" s="60" t="s">
        <v>194</v>
      </c>
      <c r="B7" s="48" t="s">
        <v>195</v>
      </c>
      <c r="C7" s="48" t="s">
        <v>196</v>
      </c>
      <c r="D7" s="48" t="s">
        <v>133</v>
      </c>
      <c r="E7" s="48"/>
      <c r="F7" s="48" t="s">
        <v>201</v>
      </c>
      <c r="G7" s="48"/>
      <c r="H7" s="58"/>
      <c r="I7" s="58" t="s">
        <v>206</v>
      </c>
      <c r="J7" s="117" t="s">
        <v>208</v>
      </c>
      <c r="K7" s="54">
        <v>1038000</v>
      </c>
      <c r="L7" s="62">
        <v>1158000</v>
      </c>
      <c r="M7" s="115">
        <f t="shared" si="0"/>
        <v>120000</v>
      </c>
      <c r="N7" s="133" t="s">
        <v>270</v>
      </c>
    </row>
    <row r="8" spans="1:19" ht="20.100000000000001" customHeight="1" x14ac:dyDescent="0.3">
      <c r="A8" s="60" t="s">
        <v>194</v>
      </c>
      <c r="B8" s="48" t="s">
        <v>195</v>
      </c>
      <c r="C8" s="48" t="s">
        <v>196</v>
      </c>
      <c r="D8" s="48" t="s">
        <v>133</v>
      </c>
      <c r="E8" s="72"/>
      <c r="F8" s="72" t="s">
        <v>202</v>
      </c>
      <c r="G8" s="72"/>
      <c r="H8" s="58"/>
      <c r="I8" s="58" t="s">
        <v>207</v>
      </c>
      <c r="J8" s="108">
        <v>8010457913439</v>
      </c>
      <c r="K8" s="74">
        <v>770000</v>
      </c>
      <c r="L8" s="68">
        <v>875000</v>
      </c>
      <c r="M8" s="115">
        <f t="shared" si="0"/>
        <v>105000</v>
      </c>
      <c r="N8" s="133" t="s">
        <v>270</v>
      </c>
    </row>
    <row r="9" spans="1:19" ht="20.100000000000001" customHeight="1" x14ac:dyDescent="0.3">
      <c r="A9" s="60" t="s">
        <v>194</v>
      </c>
      <c r="B9" s="48" t="s">
        <v>195</v>
      </c>
      <c r="C9" s="48" t="s">
        <v>196</v>
      </c>
      <c r="D9" s="48" t="s">
        <v>209</v>
      </c>
      <c r="E9" s="76"/>
      <c r="F9" s="118" t="s">
        <v>211</v>
      </c>
      <c r="G9" s="77"/>
      <c r="H9" s="77"/>
      <c r="I9" s="77" t="s">
        <v>204</v>
      </c>
      <c r="J9" s="109">
        <v>1002466281395</v>
      </c>
      <c r="K9" s="78">
        <v>1210000</v>
      </c>
      <c r="L9" s="68">
        <v>1375000</v>
      </c>
      <c r="M9" s="68">
        <f t="shared" si="0"/>
        <v>165000</v>
      </c>
      <c r="N9" s="133" t="s">
        <v>270</v>
      </c>
    </row>
    <row r="10" spans="1:19" ht="20.100000000000001" customHeight="1" x14ac:dyDescent="0.3">
      <c r="A10" s="60" t="s">
        <v>194</v>
      </c>
      <c r="B10" s="48" t="s">
        <v>195</v>
      </c>
      <c r="C10" s="48" t="s">
        <v>196</v>
      </c>
      <c r="D10" s="48" t="s">
        <v>209</v>
      </c>
      <c r="E10" s="48"/>
      <c r="F10" s="49" t="s">
        <v>212</v>
      </c>
      <c r="G10" s="48"/>
      <c r="H10" s="58"/>
      <c r="I10" s="58" t="s">
        <v>206</v>
      </c>
      <c r="J10" s="108">
        <v>22930104344308</v>
      </c>
      <c r="K10" s="54">
        <v>1100000</v>
      </c>
      <c r="L10" s="62">
        <v>1250000</v>
      </c>
      <c r="M10" s="68">
        <f t="shared" si="0"/>
        <v>150000</v>
      </c>
      <c r="N10" s="133" t="s">
        <v>270</v>
      </c>
    </row>
    <row r="11" spans="1:19" ht="20.100000000000001" customHeight="1" x14ac:dyDescent="0.3">
      <c r="A11" s="60" t="s">
        <v>194</v>
      </c>
      <c r="B11" s="48" t="s">
        <v>195</v>
      </c>
      <c r="C11" s="48" t="s">
        <v>196</v>
      </c>
      <c r="D11" s="48" t="s">
        <v>209</v>
      </c>
      <c r="E11" s="48"/>
      <c r="F11" s="49" t="s">
        <v>213</v>
      </c>
      <c r="G11" s="48"/>
      <c r="H11" s="58"/>
      <c r="I11" s="58" t="s">
        <v>215</v>
      </c>
      <c r="J11" s="108">
        <v>9201032310249</v>
      </c>
      <c r="K11" s="54">
        <v>990000</v>
      </c>
      <c r="L11" s="68">
        <v>1125000</v>
      </c>
      <c r="M11" s="68">
        <f t="shared" si="0"/>
        <v>135000</v>
      </c>
      <c r="N11" s="133" t="s">
        <v>270</v>
      </c>
    </row>
    <row r="12" spans="1:19" ht="20.100000000000001" customHeight="1" x14ac:dyDescent="0.3">
      <c r="A12" s="60" t="s">
        <v>194</v>
      </c>
      <c r="B12" s="48" t="s">
        <v>195</v>
      </c>
      <c r="C12" s="48" t="s">
        <v>196</v>
      </c>
      <c r="D12" s="48" t="s">
        <v>209</v>
      </c>
      <c r="E12" s="48"/>
      <c r="F12" s="49" t="s">
        <v>214</v>
      </c>
      <c r="G12" s="48"/>
      <c r="H12" s="58"/>
      <c r="I12" s="58" t="s">
        <v>215</v>
      </c>
      <c r="J12" s="108">
        <v>9100052891829</v>
      </c>
      <c r="K12" s="54">
        <v>220000</v>
      </c>
      <c r="L12" s="68">
        <v>250000</v>
      </c>
      <c r="M12" s="68">
        <f t="shared" si="0"/>
        <v>30000</v>
      </c>
      <c r="N12" s="133" t="s">
        <v>270</v>
      </c>
    </row>
    <row r="13" spans="1:19" ht="19.149999999999999" customHeight="1" x14ac:dyDescent="0.3">
      <c r="A13" s="60" t="s">
        <v>194</v>
      </c>
      <c r="B13" s="48" t="s">
        <v>195</v>
      </c>
      <c r="C13" s="48" t="s">
        <v>196</v>
      </c>
      <c r="D13" s="48" t="s">
        <v>209</v>
      </c>
      <c r="E13" s="48"/>
      <c r="F13" s="49" t="s">
        <v>210</v>
      </c>
      <c r="G13" s="48"/>
      <c r="H13" s="58"/>
      <c r="I13" s="58" t="s">
        <v>206</v>
      </c>
      <c r="J13" s="108">
        <v>22930104344308</v>
      </c>
      <c r="K13" s="54">
        <v>110000</v>
      </c>
      <c r="L13" s="68">
        <v>125000</v>
      </c>
      <c r="M13" s="68">
        <f t="shared" si="0"/>
        <v>15000</v>
      </c>
      <c r="N13" s="133" t="s">
        <v>270</v>
      </c>
    </row>
    <row r="14" spans="1:19" ht="20.100000000000001" customHeight="1" x14ac:dyDescent="0.3">
      <c r="A14" s="47"/>
      <c r="B14" s="48"/>
      <c r="C14" s="48"/>
      <c r="D14" s="48"/>
      <c r="E14" s="48"/>
      <c r="F14" s="48"/>
      <c r="G14" s="48"/>
      <c r="H14" s="58"/>
      <c r="I14" s="58"/>
      <c r="J14" s="108"/>
      <c r="K14" s="54"/>
      <c r="L14" s="68"/>
      <c r="M14" s="68"/>
    </row>
    <row r="15" spans="1:19" ht="20.100000000000001" customHeight="1" x14ac:dyDescent="0.3">
      <c r="A15" s="47"/>
      <c r="B15" s="48"/>
      <c r="C15" s="48"/>
      <c r="D15" s="48"/>
      <c r="E15" s="48"/>
      <c r="F15" s="48"/>
      <c r="G15" s="48"/>
      <c r="H15" s="58"/>
      <c r="I15" s="58"/>
      <c r="J15" s="108"/>
      <c r="K15" s="54"/>
      <c r="L15" s="68"/>
      <c r="M15" s="68"/>
    </row>
    <row r="16" spans="1:19" ht="20.100000000000001" customHeight="1" x14ac:dyDescent="0.3">
      <c r="A16" s="47"/>
      <c r="B16" s="48"/>
      <c r="C16" s="48"/>
      <c r="D16" s="48"/>
      <c r="E16" s="48"/>
      <c r="F16" s="48"/>
      <c r="G16" s="48"/>
      <c r="H16" s="58"/>
      <c r="I16" s="58"/>
      <c r="J16" s="108"/>
      <c r="K16" s="54"/>
      <c r="L16" s="68"/>
      <c r="M16" s="68"/>
    </row>
    <row r="17" spans="1:13" ht="20.100000000000001" customHeight="1" x14ac:dyDescent="0.3">
      <c r="A17" s="47"/>
      <c r="B17" s="48"/>
      <c r="C17" s="48"/>
      <c r="D17" s="48"/>
      <c r="E17" s="48"/>
      <c r="F17" s="48"/>
      <c r="G17" s="48"/>
      <c r="H17" s="58"/>
      <c r="I17" s="58"/>
      <c r="J17" s="108"/>
      <c r="K17" s="54"/>
      <c r="L17" s="68"/>
      <c r="M17" s="68"/>
    </row>
    <row r="18" spans="1:13" ht="20.100000000000001" customHeight="1" x14ac:dyDescent="0.3">
      <c r="A18" s="47"/>
      <c r="B18" s="48"/>
      <c r="C18" s="48"/>
      <c r="D18" s="48"/>
      <c r="E18" s="48"/>
      <c r="F18" s="48"/>
      <c r="G18" s="48"/>
      <c r="H18" s="58"/>
      <c r="I18" s="58"/>
      <c r="J18" s="108"/>
      <c r="K18" s="54"/>
      <c r="L18" s="68"/>
      <c r="M18" s="68"/>
    </row>
    <row r="19" spans="1:13" ht="20.100000000000001" customHeight="1" x14ac:dyDescent="0.3">
      <c r="A19" s="47"/>
      <c r="B19" s="48"/>
      <c r="C19" s="48"/>
      <c r="D19" s="48"/>
      <c r="E19" s="48"/>
      <c r="F19" s="48"/>
      <c r="G19" s="48"/>
      <c r="H19" s="58"/>
      <c r="I19" s="58"/>
      <c r="J19" s="108"/>
      <c r="K19" s="54"/>
      <c r="L19" s="68"/>
      <c r="M19" s="68"/>
    </row>
    <row r="20" spans="1:13" ht="20.100000000000001" customHeight="1" x14ac:dyDescent="0.3">
      <c r="A20" s="47"/>
      <c r="B20" s="48"/>
      <c r="C20" s="48"/>
      <c r="D20" s="48"/>
      <c r="E20" s="48"/>
      <c r="F20" s="48"/>
      <c r="G20" s="48"/>
      <c r="H20" s="58"/>
      <c r="I20" s="58"/>
      <c r="J20" s="108"/>
      <c r="K20" s="54"/>
      <c r="L20" s="68"/>
      <c r="M20" s="68"/>
    </row>
    <row r="21" spans="1:13" ht="20.100000000000001" customHeight="1" x14ac:dyDescent="0.3">
      <c r="A21" s="47"/>
      <c r="B21" s="48"/>
      <c r="C21" s="48"/>
      <c r="D21" s="48"/>
      <c r="E21" s="48"/>
      <c r="F21" s="48"/>
      <c r="G21" s="48"/>
      <c r="H21" s="58"/>
      <c r="I21" s="58"/>
      <c r="J21" s="108"/>
      <c r="K21" s="54"/>
      <c r="L21" s="68"/>
      <c r="M21" s="68"/>
    </row>
    <row r="22" spans="1:13" ht="20.100000000000001" customHeight="1" x14ac:dyDescent="0.3">
      <c r="A22" s="47"/>
      <c r="B22" s="48"/>
      <c r="C22" s="48"/>
      <c r="D22" s="48"/>
      <c r="E22" s="48"/>
      <c r="F22" s="48"/>
      <c r="G22" s="48"/>
      <c r="H22" s="58"/>
      <c r="I22" s="58"/>
      <c r="J22" s="108"/>
      <c r="K22" s="54"/>
      <c r="L22" s="68"/>
      <c r="M22" s="68"/>
    </row>
    <row r="23" spans="1:13" ht="20.100000000000001" customHeight="1" x14ac:dyDescent="0.3">
      <c r="A23" s="47"/>
      <c r="B23" s="48"/>
      <c r="C23" s="48"/>
      <c r="D23" s="48"/>
      <c r="E23" s="48"/>
      <c r="F23" s="48"/>
      <c r="G23" s="48"/>
      <c r="H23" s="48"/>
      <c r="I23" s="48"/>
      <c r="J23" s="110"/>
      <c r="K23" s="62"/>
      <c r="L23" s="68"/>
      <c r="M23" s="68"/>
    </row>
    <row r="24" spans="1:13" ht="20.100000000000001" customHeight="1" x14ac:dyDescent="0.3">
      <c r="A24" s="75"/>
      <c r="B24" s="76"/>
      <c r="C24" s="76"/>
      <c r="D24" s="76"/>
      <c r="E24" s="76"/>
      <c r="F24" s="76"/>
      <c r="G24" s="76"/>
      <c r="H24" s="76"/>
      <c r="I24" s="76"/>
      <c r="J24" s="111"/>
      <c r="K24" s="79"/>
      <c r="L24" s="68"/>
      <c r="M24" s="68"/>
    </row>
    <row r="25" spans="1:13" ht="20.100000000000001" customHeight="1" x14ac:dyDescent="0.3">
      <c r="A25" s="47"/>
      <c r="B25" s="48"/>
      <c r="C25" s="48"/>
      <c r="D25" s="48"/>
      <c r="E25" s="48"/>
      <c r="F25" s="48"/>
      <c r="G25" s="72"/>
      <c r="H25" s="72"/>
      <c r="I25" s="72"/>
      <c r="J25" s="112"/>
      <c r="K25" s="62"/>
      <c r="L25" s="62"/>
      <c r="M25" s="68"/>
    </row>
    <row r="26" spans="1:13" ht="20.100000000000001" customHeight="1" x14ac:dyDescent="0.3">
      <c r="A26" s="47"/>
      <c r="B26" s="48"/>
      <c r="C26" s="48"/>
      <c r="D26" s="48"/>
      <c r="E26" s="48"/>
      <c r="F26" s="48"/>
      <c r="G26" s="48"/>
      <c r="H26" s="48"/>
      <c r="I26" s="48"/>
      <c r="J26" s="110"/>
      <c r="K26" s="62"/>
      <c r="L26" s="62"/>
      <c r="M26" s="68"/>
    </row>
    <row r="27" spans="1:13" ht="20.100000000000001" customHeight="1" x14ac:dyDescent="0.3">
      <c r="A27" s="47"/>
      <c r="B27" s="48"/>
      <c r="C27" s="48"/>
      <c r="D27" s="48"/>
      <c r="E27" s="48"/>
      <c r="F27" s="48"/>
      <c r="G27" s="48"/>
      <c r="H27" s="48"/>
      <c r="I27" s="48"/>
      <c r="J27" s="110"/>
      <c r="K27" s="62"/>
      <c r="L27" s="68"/>
      <c r="M27" s="68"/>
    </row>
    <row r="28" spans="1:13" ht="20.100000000000001" customHeight="1" x14ac:dyDescent="0.3">
      <c r="A28" s="47"/>
      <c r="B28" s="48"/>
      <c r="C28" s="48"/>
      <c r="D28" s="48"/>
      <c r="E28" s="48"/>
      <c r="F28" s="48"/>
      <c r="G28" s="72"/>
      <c r="H28" s="72"/>
      <c r="I28" s="72"/>
      <c r="J28" s="112"/>
      <c r="K28" s="62"/>
      <c r="L28" s="62"/>
      <c r="M28" s="68"/>
    </row>
    <row r="29" spans="1:13" ht="20.100000000000001" customHeight="1" x14ac:dyDescent="0.3">
      <c r="A29" s="47"/>
      <c r="B29" s="48"/>
      <c r="C29" s="48"/>
      <c r="D29" s="48"/>
      <c r="E29" s="48"/>
      <c r="F29" s="48"/>
      <c r="G29" s="72"/>
      <c r="H29" s="72"/>
      <c r="I29" s="72"/>
      <c r="J29" s="112"/>
      <c r="K29" s="62"/>
      <c r="L29" s="62"/>
      <c r="M29" s="68"/>
    </row>
    <row r="30" spans="1:13" ht="20.100000000000001" customHeight="1" x14ac:dyDescent="0.3">
      <c r="A30" s="47"/>
      <c r="B30" s="48"/>
      <c r="C30" s="48"/>
      <c r="D30" s="48"/>
      <c r="E30" s="48"/>
      <c r="F30" s="48"/>
      <c r="G30" s="48"/>
      <c r="H30" s="48"/>
      <c r="I30" s="48"/>
      <c r="J30" s="110"/>
      <c r="K30" s="62"/>
      <c r="L30" s="68"/>
    </row>
    <row r="31" spans="1:13" ht="20.100000000000001" customHeight="1" x14ac:dyDescent="0.3">
      <c r="A31" s="47"/>
      <c r="B31" s="48"/>
      <c r="C31" s="48"/>
      <c r="D31" s="48"/>
      <c r="E31" s="48"/>
      <c r="F31" s="48"/>
      <c r="G31" s="48"/>
      <c r="H31" s="48"/>
      <c r="I31" s="48"/>
      <c r="J31" s="110"/>
      <c r="K31" s="62"/>
      <c r="L31" s="68"/>
    </row>
    <row r="32" spans="1:13" ht="20.100000000000001" customHeight="1" x14ac:dyDescent="0.3">
      <c r="A32" s="47"/>
      <c r="B32" s="48"/>
      <c r="C32" s="48"/>
      <c r="D32" s="48"/>
      <c r="E32" s="48"/>
      <c r="F32" s="70"/>
      <c r="G32" s="58"/>
      <c r="H32" s="58"/>
      <c r="I32" s="58"/>
      <c r="J32" s="108"/>
      <c r="K32" s="62"/>
      <c r="L32" s="62"/>
    </row>
    <row r="33" spans="1:12" ht="20.100000000000001" customHeight="1" x14ac:dyDescent="0.3">
      <c r="A33" s="47"/>
      <c r="B33" s="48"/>
      <c r="C33" s="48"/>
      <c r="D33" s="48"/>
      <c r="E33" s="48"/>
      <c r="F33" s="48"/>
      <c r="G33" s="48"/>
      <c r="H33" s="48"/>
      <c r="I33" s="48"/>
      <c r="J33" s="110"/>
      <c r="K33" s="62"/>
      <c r="L33" s="68"/>
    </row>
    <row r="34" spans="1:12" ht="20.100000000000001" customHeight="1" x14ac:dyDescent="0.3">
      <c r="A34" s="47"/>
      <c r="B34" s="48"/>
      <c r="C34" s="48"/>
      <c r="D34" s="48"/>
      <c r="E34" s="48"/>
      <c r="F34" s="48"/>
      <c r="G34" s="48"/>
      <c r="H34" s="58"/>
      <c r="I34" s="58"/>
      <c r="J34" s="108"/>
      <c r="K34" s="62"/>
      <c r="L34" s="62"/>
    </row>
    <row r="35" spans="1:12" ht="20.100000000000001" customHeight="1" x14ac:dyDescent="0.3">
      <c r="A35" s="47"/>
      <c r="B35" s="48"/>
      <c r="C35" s="48"/>
      <c r="D35" s="48"/>
      <c r="E35" s="48"/>
      <c r="F35" s="48"/>
      <c r="G35" s="48"/>
      <c r="H35" s="58"/>
      <c r="I35" s="58"/>
      <c r="J35" s="108"/>
      <c r="K35" s="62"/>
      <c r="L35" s="62"/>
    </row>
  </sheetData>
  <mergeCells count="1">
    <mergeCell ref="A1:L1"/>
  </mergeCells>
  <phoneticPr fontId="3" type="noConversion"/>
  <conditionalFormatting sqref="E9:K9 A14:A22 B17:K22">
    <cfRule type="containsText" dxfId="2" priority="1" operator="containsText" text="2022">
      <formula>NOT(ISERROR(SEARCH("2022",A9)))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CC58-0557-4932-8128-0F5E6B097604}">
  <dimension ref="A1:S25"/>
  <sheetViews>
    <sheetView zoomScale="85" zoomScaleNormal="85" workbookViewId="0">
      <pane ySplit="2" topLeftCell="A3" activePane="bottomLeft" state="frozen"/>
      <selection activeCell="B10" sqref="B10:L10"/>
      <selection pane="bottomLeft" activeCell="N11" sqref="N11"/>
    </sheetView>
  </sheetViews>
  <sheetFormatPr defaultColWidth="9" defaultRowHeight="20.100000000000001" customHeight="1" x14ac:dyDescent="0.3"/>
  <cols>
    <col min="1" max="1" width="12.875" bestFit="1" customWidth="1"/>
    <col min="2" max="6" width="8.625" customWidth="1"/>
    <col min="7" max="7" width="12.625" customWidth="1"/>
    <col min="8" max="8" width="16.25" bestFit="1" customWidth="1"/>
    <col min="9" max="9" width="8.25" customWidth="1"/>
    <col min="10" max="10" width="14.25" style="113" customWidth="1"/>
    <col min="11" max="11" width="10" bestFit="1" customWidth="1"/>
    <col min="12" max="12" width="10.625" bestFit="1" customWidth="1"/>
    <col min="13" max="13" width="8.75" bestFit="1" customWidth="1"/>
    <col min="14" max="15" width="11.625" customWidth="1"/>
    <col min="16" max="16" width="1.625" customWidth="1"/>
    <col min="17" max="18" width="11.625" customWidth="1"/>
  </cols>
  <sheetData>
    <row r="1" spans="1:19" ht="20.100000000000001" customHeight="1" x14ac:dyDescent="0.3">
      <c r="A1" s="145" t="s">
        <v>6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59"/>
      <c r="N1" s="41" t="s">
        <v>0</v>
      </c>
      <c r="O1" s="27">
        <f>SUM(K1:K9959)</f>
        <v>350000</v>
      </c>
      <c r="P1" s="28"/>
      <c r="Q1" s="41" t="s">
        <v>1</v>
      </c>
      <c r="R1" s="27">
        <f>SUM(L1:L9959)</f>
        <v>425000</v>
      </c>
      <c r="S1" s="42"/>
    </row>
    <row r="2" spans="1:19" ht="20.100000000000001" customHeight="1" x14ac:dyDescent="0.3">
      <c r="A2" s="43" t="s">
        <v>8</v>
      </c>
      <c r="B2" s="43" t="s">
        <v>9</v>
      </c>
      <c r="C2" s="43" t="s">
        <v>10</v>
      </c>
      <c r="D2" s="43" t="s">
        <v>11</v>
      </c>
      <c r="E2" s="43" t="s">
        <v>12</v>
      </c>
      <c r="F2" s="43" t="s">
        <v>13</v>
      </c>
      <c r="G2" s="43" t="s">
        <v>39</v>
      </c>
      <c r="H2" s="43" t="s">
        <v>15</v>
      </c>
      <c r="I2" s="43" t="s">
        <v>16</v>
      </c>
      <c r="J2" s="107" t="s">
        <v>17</v>
      </c>
      <c r="K2" s="43" t="s">
        <v>0</v>
      </c>
      <c r="L2" s="43" t="s">
        <v>1</v>
      </c>
      <c r="M2" s="43" t="s">
        <v>25</v>
      </c>
      <c r="N2" s="116" t="s">
        <v>203</v>
      </c>
      <c r="O2" s="46"/>
      <c r="P2" s="46"/>
      <c r="Q2" s="46"/>
      <c r="R2" s="46"/>
      <c r="S2" s="45"/>
    </row>
    <row r="3" spans="1:19" ht="20.100000000000001" customHeight="1" x14ac:dyDescent="0.3">
      <c r="A3" s="60" t="s">
        <v>256</v>
      </c>
      <c r="B3" s="48" t="s">
        <v>195</v>
      </c>
      <c r="C3" s="48" t="s">
        <v>257</v>
      </c>
      <c r="D3" s="48" t="s">
        <v>133</v>
      </c>
      <c r="E3" s="48"/>
      <c r="F3" s="48" t="s">
        <v>258</v>
      </c>
      <c r="G3" s="48"/>
      <c r="H3" s="58"/>
      <c r="I3" s="58" t="s">
        <v>259</v>
      </c>
      <c r="J3" s="108">
        <v>1122198905106</v>
      </c>
      <c r="K3" s="54">
        <v>350000</v>
      </c>
      <c r="L3" s="68">
        <v>425000</v>
      </c>
      <c r="M3" s="68">
        <f t="shared" ref="M3" si="0">L3-K3</f>
        <v>75000</v>
      </c>
      <c r="N3" s="133" t="s">
        <v>273</v>
      </c>
    </row>
    <row r="4" spans="1:19" ht="20.100000000000001" customHeight="1" x14ac:dyDescent="0.3">
      <c r="A4" s="47"/>
      <c r="B4" s="48"/>
      <c r="C4" s="48"/>
      <c r="D4" s="48"/>
      <c r="E4" s="48"/>
      <c r="F4" s="48"/>
      <c r="G4" s="48"/>
      <c r="H4" s="58"/>
      <c r="I4" s="58"/>
      <c r="J4" s="108"/>
      <c r="K4" s="54"/>
      <c r="L4" s="68"/>
      <c r="M4" s="68"/>
    </row>
    <row r="5" spans="1:19" ht="20.100000000000001" customHeight="1" x14ac:dyDescent="0.3">
      <c r="A5" s="47"/>
      <c r="B5" s="48"/>
      <c r="C5" s="48"/>
      <c r="D5" s="48"/>
      <c r="E5" s="48"/>
      <c r="F5" s="48"/>
      <c r="G5" s="48"/>
      <c r="H5" s="58"/>
      <c r="I5" s="58"/>
      <c r="J5" s="108"/>
      <c r="K5" s="54"/>
      <c r="L5" s="68"/>
      <c r="M5" s="68"/>
    </row>
    <row r="6" spans="1:19" ht="20.100000000000001" customHeight="1" x14ac:dyDescent="0.3">
      <c r="A6" s="47"/>
      <c r="B6" s="48"/>
      <c r="C6" s="48"/>
      <c r="D6" s="48"/>
      <c r="E6" s="48"/>
      <c r="F6" s="48"/>
      <c r="G6" s="48"/>
      <c r="H6" s="58"/>
      <c r="I6" s="58"/>
      <c r="J6" s="108"/>
      <c r="K6" s="54"/>
      <c r="L6" s="68"/>
      <c r="M6" s="68"/>
    </row>
    <row r="7" spans="1:19" ht="20.100000000000001" customHeight="1" x14ac:dyDescent="0.3">
      <c r="A7" s="47"/>
      <c r="B7" s="48"/>
      <c r="C7" s="48"/>
      <c r="D7" s="48"/>
      <c r="E7" s="48"/>
      <c r="F7" s="48"/>
      <c r="G7" s="48"/>
      <c r="H7" s="58"/>
      <c r="I7" s="58"/>
      <c r="J7" s="108"/>
      <c r="K7" s="54"/>
      <c r="L7" s="68"/>
      <c r="M7" s="68"/>
    </row>
    <row r="8" spans="1:19" ht="20.100000000000001" customHeight="1" x14ac:dyDescent="0.3">
      <c r="A8" s="47"/>
      <c r="B8" s="48"/>
      <c r="C8" s="48"/>
      <c r="D8" s="48"/>
      <c r="E8" s="48"/>
      <c r="F8" s="48"/>
      <c r="G8" s="48"/>
      <c r="H8" s="58"/>
      <c r="I8" s="58"/>
      <c r="J8" s="108"/>
      <c r="K8" s="54"/>
      <c r="L8" s="68"/>
      <c r="M8" s="68"/>
    </row>
    <row r="9" spans="1:19" ht="20.100000000000001" customHeight="1" x14ac:dyDescent="0.3">
      <c r="A9" s="47"/>
      <c r="B9" s="48"/>
      <c r="C9" s="48"/>
      <c r="D9" s="48"/>
      <c r="E9" s="48"/>
      <c r="F9" s="48"/>
      <c r="G9" s="48"/>
      <c r="H9" s="58"/>
      <c r="I9" s="58"/>
      <c r="J9" s="108"/>
      <c r="K9" s="54"/>
      <c r="L9" s="68"/>
      <c r="M9" s="68"/>
    </row>
    <row r="10" spans="1:19" ht="20.100000000000001" customHeight="1" x14ac:dyDescent="0.3">
      <c r="A10" s="47"/>
      <c r="B10" s="48"/>
      <c r="C10" s="48"/>
      <c r="D10" s="48"/>
      <c r="E10" s="48"/>
      <c r="F10" s="48"/>
      <c r="G10" s="48"/>
      <c r="H10" s="58"/>
      <c r="I10" s="58"/>
      <c r="J10" s="108"/>
      <c r="K10" s="54"/>
      <c r="L10" s="68"/>
      <c r="M10" s="68"/>
    </row>
    <row r="11" spans="1:19" ht="20.100000000000001" customHeight="1" x14ac:dyDescent="0.3">
      <c r="A11" s="47"/>
      <c r="B11" s="48"/>
      <c r="C11" s="48"/>
      <c r="D11" s="48"/>
      <c r="E11" s="48"/>
      <c r="F11" s="48"/>
      <c r="G11" s="48"/>
      <c r="H11" s="58"/>
      <c r="I11" s="58"/>
      <c r="J11" s="108"/>
      <c r="K11" s="54"/>
      <c r="L11" s="68"/>
      <c r="M11" s="68"/>
    </row>
    <row r="12" spans="1:19" ht="20.100000000000001" customHeight="1" x14ac:dyDescent="0.3">
      <c r="A12" s="47"/>
      <c r="B12" s="48"/>
      <c r="C12" s="48"/>
      <c r="D12" s="48"/>
      <c r="E12" s="48"/>
      <c r="F12" s="48"/>
      <c r="G12" s="48"/>
      <c r="H12" s="58"/>
      <c r="I12" s="58"/>
      <c r="J12" s="108"/>
      <c r="K12" s="54"/>
      <c r="L12" s="68"/>
      <c r="M12" s="68"/>
    </row>
    <row r="13" spans="1:19" ht="20.100000000000001" customHeight="1" x14ac:dyDescent="0.3">
      <c r="A13" s="47"/>
      <c r="B13" s="48"/>
      <c r="C13" s="48"/>
      <c r="D13" s="48"/>
      <c r="E13" s="48"/>
      <c r="F13" s="48"/>
      <c r="G13" s="48"/>
      <c r="H13" s="48"/>
      <c r="I13" s="48"/>
      <c r="J13" s="110"/>
      <c r="K13" s="62"/>
      <c r="L13" s="68"/>
      <c r="M13" s="68"/>
    </row>
    <row r="14" spans="1:19" ht="20.100000000000001" customHeight="1" x14ac:dyDescent="0.3">
      <c r="A14" s="75"/>
      <c r="B14" s="76"/>
      <c r="C14" s="76"/>
      <c r="D14" s="76"/>
      <c r="E14" s="76"/>
      <c r="F14" s="76"/>
      <c r="G14" s="76"/>
      <c r="H14" s="76"/>
      <c r="I14" s="76"/>
      <c r="J14" s="111"/>
      <c r="K14" s="79"/>
      <c r="L14" s="68"/>
      <c r="M14" s="68"/>
    </row>
    <row r="15" spans="1:19" ht="20.100000000000001" customHeight="1" x14ac:dyDescent="0.3">
      <c r="A15" s="47"/>
      <c r="B15" s="48"/>
      <c r="C15" s="48"/>
      <c r="D15" s="48"/>
      <c r="E15" s="48"/>
      <c r="F15" s="48"/>
      <c r="G15" s="72"/>
      <c r="H15" s="72"/>
      <c r="I15" s="72"/>
      <c r="J15" s="112"/>
      <c r="K15" s="62"/>
      <c r="L15" s="62"/>
      <c r="M15" s="68"/>
    </row>
    <row r="16" spans="1:19" ht="20.100000000000001" customHeight="1" x14ac:dyDescent="0.3">
      <c r="A16" s="47"/>
      <c r="B16" s="48"/>
      <c r="C16" s="48"/>
      <c r="D16" s="48"/>
      <c r="E16" s="48"/>
      <c r="F16" s="48"/>
      <c r="G16" s="48"/>
      <c r="H16" s="48"/>
      <c r="I16" s="48"/>
      <c r="J16" s="110"/>
      <c r="K16" s="62"/>
      <c r="L16" s="62"/>
      <c r="M16" s="68"/>
    </row>
    <row r="17" spans="1:13" ht="20.100000000000001" customHeight="1" x14ac:dyDescent="0.3">
      <c r="A17" s="47"/>
      <c r="B17" s="48"/>
      <c r="C17" s="48"/>
      <c r="D17" s="48"/>
      <c r="E17" s="48"/>
      <c r="F17" s="48"/>
      <c r="G17" s="48"/>
      <c r="H17" s="48"/>
      <c r="I17" s="48"/>
      <c r="J17" s="110"/>
      <c r="K17" s="62"/>
      <c r="L17" s="68"/>
      <c r="M17" s="68"/>
    </row>
    <row r="18" spans="1:13" ht="20.100000000000001" customHeight="1" x14ac:dyDescent="0.3">
      <c r="A18" s="47"/>
      <c r="B18" s="48"/>
      <c r="C18" s="48"/>
      <c r="D18" s="48"/>
      <c r="E18" s="48"/>
      <c r="F18" s="48"/>
      <c r="G18" s="72"/>
      <c r="H18" s="72"/>
      <c r="I18" s="72"/>
      <c r="J18" s="112"/>
      <c r="K18" s="62"/>
      <c r="L18" s="62"/>
      <c r="M18" s="68"/>
    </row>
    <row r="19" spans="1:13" ht="20.100000000000001" customHeight="1" x14ac:dyDescent="0.3">
      <c r="A19" s="47"/>
      <c r="B19" s="48"/>
      <c r="C19" s="48"/>
      <c r="D19" s="48"/>
      <c r="E19" s="48"/>
      <c r="F19" s="48"/>
      <c r="G19" s="72"/>
      <c r="H19" s="72"/>
      <c r="I19" s="72"/>
      <c r="J19" s="112"/>
      <c r="K19" s="62"/>
      <c r="L19" s="62"/>
      <c r="M19" s="68"/>
    </row>
    <row r="20" spans="1:13" ht="20.100000000000001" customHeight="1" x14ac:dyDescent="0.3">
      <c r="A20" s="47"/>
      <c r="B20" s="48"/>
      <c r="C20" s="48"/>
      <c r="D20" s="48"/>
      <c r="E20" s="48"/>
      <c r="F20" s="48"/>
      <c r="G20" s="48"/>
      <c r="H20" s="48"/>
      <c r="I20" s="48"/>
      <c r="J20" s="110"/>
      <c r="K20" s="62"/>
      <c r="L20" s="68"/>
    </row>
    <row r="21" spans="1:13" ht="20.100000000000001" customHeight="1" x14ac:dyDescent="0.3">
      <c r="A21" s="47"/>
      <c r="B21" s="48"/>
      <c r="C21" s="48"/>
      <c r="D21" s="48"/>
      <c r="E21" s="48"/>
      <c r="F21" s="48"/>
      <c r="G21" s="48"/>
      <c r="H21" s="48"/>
      <c r="I21" s="48"/>
      <c r="J21" s="110"/>
      <c r="K21" s="62"/>
      <c r="L21" s="68"/>
    </row>
    <row r="22" spans="1:13" ht="20.100000000000001" customHeight="1" x14ac:dyDescent="0.3">
      <c r="A22" s="47"/>
      <c r="B22" s="48"/>
      <c r="C22" s="48"/>
      <c r="D22" s="48"/>
      <c r="E22" s="48"/>
      <c r="F22" s="70"/>
      <c r="G22" s="58"/>
      <c r="H22" s="58"/>
      <c r="I22" s="58"/>
      <c r="J22" s="108"/>
      <c r="K22" s="62"/>
      <c r="L22" s="62"/>
    </row>
    <row r="23" spans="1:13" ht="20.100000000000001" customHeight="1" x14ac:dyDescent="0.3">
      <c r="A23" s="47"/>
      <c r="B23" s="48"/>
      <c r="C23" s="48"/>
      <c r="D23" s="48"/>
      <c r="E23" s="48"/>
      <c r="F23" s="48"/>
      <c r="G23" s="48"/>
      <c r="H23" s="48"/>
      <c r="I23" s="48"/>
      <c r="J23" s="110"/>
      <c r="K23" s="62"/>
      <c r="L23" s="68"/>
    </row>
    <row r="24" spans="1:13" ht="20.100000000000001" customHeight="1" x14ac:dyDescent="0.3">
      <c r="A24" s="47"/>
      <c r="B24" s="48"/>
      <c r="C24" s="48"/>
      <c r="D24" s="48"/>
      <c r="E24" s="48"/>
      <c r="F24" s="48"/>
      <c r="G24" s="48"/>
      <c r="H24" s="58"/>
      <c r="I24" s="58"/>
      <c r="J24" s="108"/>
      <c r="K24" s="62"/>
      <c r="L24" s="62"/>
    </row>
    <row r="25" spans="1:13" ht="20.100000000000001" customHeight="1" x14ac:dyDescent="0.3">
      <c r="A25" s="47"/>
      <c r="B25" s="48"/>
      <c r="C25" s="48"/>
      <c r="D25" s="48"/>
      <c r="E25" s="48"/>
      <c r="F25" s="48"/>
      <c r="G25" s="48"/>
      <c r="H25" s="58"/>
      <c r="I25" s="58"/>
      <c r="J25" s="108"/>
      <c r="K25" s="62"/>
      <c r="L25" s="62"/>
    </row>
  </sheetData>
  <mergeCells count="1">
    <mergeCell ref="A1:L1"/>
  </mergeCells>
  <phoneticPr fontId="3" type="noConversion"/>
  <conditionalFormatting sqref="A4:A12 B7:K12">
    <cfRule type="containsText" dxfId="1" priority="1" operator="containsText" text="2022">
      <formula>NOT(ISERROR(SEARCH("2022",A4)))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6535-D3C6-48DD-9FCB-B6023ED96FCA}">
  <dimension ref="A1:S35"/>
  <sheetViews>
    <sheetView zoomScale="85" zoomScaleNormal="85" workbookViewId="0">
      <pane ySplit="2" topLeftCell="A3" activePane="bottomLeft" state="frozen"/>
      <selection activeCell="B10" sqref="B10:L10"/>
      <selection pane="bottomLeft" activeCell="A2" sqref="A2"/>
    </sheetView>
  </sheetViews>
  <sheetFormatPr defaultColWidth="9" defaultRowHeight="20.100000000000001" customHeight="1" x14ac:dyDescent="0.3"/>
  <cols>
    <col min="1" max="1" width="12.875" bestFit="1" customWidth="1"/>
    <col min="2" max="6" width="8.625" customWidth="1"/>
    <col min="7" max="7" width="12.625" customWidth="1"/>
    <col min="8" max="8" width="16.25" bestFit="1" customWidth="1"/>
    <col min="9" max="9" width="8.25" customWidth="1"/>
    <col min="10" max="10" width="14.25" style="113" customWidth="1"/>
    <col min="11" max="11" width="10" bestFit="1" customWidth="1"/>
    <col min="12" max="12" width="10.625" bestFit="1" customWidth="1"/>
    <col min="13" max="13" width="8.75" bestFit="1" customWidth="1"/>
    <col min="14" max="15" width="11.625" customWidth="1"/>
    <col min="16" max="16" width="1.625" customWidth="1"/>
    <col min="17" max="18" width="11.625" customWidth="1"/>
  </cols>
  <sheetData>
    <row r="1" spans="1:19" ht="20.100000000000001" customHeight="1" x14ac:dyDescent="0.3">
      <c r="A1" s="145" t="s">
        <v>298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59"/>
      <c r="N1" s="41" t="s">
        <v>0</v>
      </c>
      <c r="O1" s="27">
        <f>SUM(K1:K9969)</f>
        <v>0</v>
      </c>
      <c r="P1" s="28"/>
      <c r="Q1" s="41" t="s">
        <v>1</v>
      </c>
      <c r="R1" s="27">
        <f>SUM(L1:L9969)</f>
        <v>0</v>
      </c>
      <c r="S1" s="42"/>
    </row>
    <row r="2" spans="1:19" ht="20.100000000000001" customHeight="1" x14ac:dyDescent="0.3">
      <c r="A2" s="43" t="s">
        <v>8</v>
      </c>
      <c r="B2" s="43" t="s">
        <v>9</v>
      </c>
      <c r="C2" s="43" t="s">
        <v>10</v>
      </c>
      <c r="D2" s="43" t="s">
        <v>11</v>
      </c>
      <c r="E2" s="43" t="s">
        <v>12</v>
      </c>
      <c r="F2" s="43" t="s">
        <v>13</v>
      </c>
      <c r="G2" s="43" t="s">
        <v>39</v>
      </c>
      <c r="H2" s="43" t="s">
        <v>15</v>
      </c>
      <c r="I2" s="43" t="s">
        <v>16</v>
      </c>
      <c r="J2" s="107" t="s">
        <v>17</v>
      </c>
      <c r="K2" s="43" t="s">
        <v>0</v>
      </c>
      <c r="L2" s="43" t="s">
        <v>1</v>
      </c>
      <c r="M2" s="43" t="s">
        <v>25</v>
      </c>
      <c r="N2" s="116" t="s">
        <v>203</v>
      </c>
      <c r="O2" s="46"/>
      <c r="P2" s="46"/>
      <c r="Q2" s="46"/>
      <c r="R2" s="46"/>
      <c r="S2" s="45"/>
    </row>
    <row r="3" spans="1:19" ht="20.100000000000001" customHeight="1" x14ac:dyDescent="0.3">
      <c r="A3" s="60"/>
      <c r="B3" s="48"/>
      <c r="C3" s="48"/>
      <c r="D3" s="48"/>
      <c r="E3" s="48"/>
      <c r="F3" s="48"/>
      <c r="G3" s="48"/>
      <c r="H3" s="58"/>
      <c r="I3" s="58"/>
      <c r="J3" s="108"/>
      <c r="K3" s="54"/>
      <c r="L3" s="68"/>
      <c r="M3" s="115"/>
      <c r="N3" s="133"/>
      <c r="O3" s="55"/>
      <c r="P3" s="55"/>
      <c r="Q3" s="55"/>
      <c r="R3" s="55"/>
      <c r="S3" s="55"/>
    </row>
    <row r="4" spans="1:19" ht="20.100000000000001" customHeight="1" x14ac:dyDescent="0.3">
      <c r="A4" s="60"/>
      <c r="B4" s="48"/>
      <c r="C4" s="48"/>
      <c r="D4" s="48"/>
      <c r="E4" s="48"/>
      <c r="F4" s="48"/>
      <c r="G4" s="48"/>
      <c r="H4" s="58"/>
      <c r="I4" s="58"/>
      <c r="J4" s="108"/>
      <c r="K4" s="54"/>
      <c r="L4" s="62"/>
      <c r="M4" s="115"/>
      <c r="N4" s="133"/>
      <c r="O4" s="55"/>
      <c r="P4" s="55"/>
      <c r="Q4" s="55"/>
      <c r="R4" s="55"/>
      <c r="S4" s="55"/>
    </row>
    <row r="5" spans="1:19" ht="20.100000000000001" customHeight="1" x14ac:dyDescent="0.3">
      <c r="A5" s="60"/>
      <c r="B5" s="48"/>
      <c r="C5" s="48"/>
      <c r="D5" s="48"/>
      <c r="E5" s="48"/>
      <c r="F5" s="48"/>
      <c r="G5" s="48"/>
      <c r="H5" s="58"/>
      <c r="I5" s="58"/>
      <c r="J5" s="108"/>
      <c r="K5" s="54"/>
      <c r="L5" s="62"/>
      <c r="M5" s="115"/>
      <c r="N5" s="133"/>
      <c r="O5" s="55"/>
      <c r="P5" s="55"/>
      <c r="Q5" s="55"/>
      <c r="R5" s="55"/>
      <c r="S5" s="55"/>
    </row>
    <row r="6" spans="1:19" ht="20.100000000000001" customHeight="1" x14ac:dyDescent="0.3">
      <c r="A6" s="60"/>
      <c r="B6" s="48"/>
      <c r="C6" s="48"/>
      <c r="D6" s="48"/>
      <c r="E6" s="48"/>
      <c r="F6" s="48"/>
      <c r="G6" s="48"/>
      <c r="H6" s="58"/>
      <c r="I6" s="58"/>
      <c r="J6" s="108"/>
      <c r="K6" s="54"/>
      <c r="L6" s="62"/>
      <c r="M6" s="115"/>
      <c r="N6" s="133"/>
      <c r="O6" s="55"/>
      <c r="P6" s="55"/>
      <c r="Q6" s="132"/>
      <c r="R6" s="55"/>
      <c r="S6" s="55"/>
    </row>
    <row r="7" spans="1:19" ht="20.100000000000001" customHeight="1" x14ac:dyDescent="0.3">
      <c r="A7" s="60"/>
      <c r="B7" s="48"/>
      <c r="C7" s="48"/>
      <c r="D7" s="48"/>
      <c r="E7" s="48"/>
      <c r="F7" s="48"/>
      <c r="G7" s="48"/>
      <c r="H7" s="58"/>
      <c r="I7" s="58"/>
      <c r="J7" s="117"/>
      <c r="K7" s="54"/>
      <c r="L7" s="62"/>
      <c r="M7" s="115"/>
      <c r="N7" s="133"/>
    </row>
    <row r="8" spans="1:19" ht="20.100000000000001" customHeight="1" x14ac:dyDescent="0.3">
      <c r="A8" s="60"/>
      <c r="B8" s="48"/>
      <c r="C8" s="48"/>
      <c r="D8" s="48"/>
      <c r="E8" s="72"/>
      <c r="F8" s="72"/>
      <c r="G8" s="72"/>
      <c r="H8" s="58"/>
      <c r="I8" s="58"/>
      <c r="J8" s="108"/>
      <c r="K8" s="74"/>
      <c r="L8" s="68"/>
      <c r="M8" s="115"/>
      <c r="N8" s="133"/>
    </row>
    <row r="9" spans="1:19" ht="20.100000000000001" customHeight="1" x14ac:dyDescent="0.3">
      <c r="A9" s="60"/>
      <c r="B9" s="48"/>
      <c r="C9" s="48"/>
      <c r="D9" s="48"/>
      <c r="E9" s="76"/>
      <c r="F9" s="118"/>
      <c r="G9" s="77"/>
      <c r="H9" s="77"/>
      <c r="I9" s="77"/>
      <c r="J9" s="109"/>
      <c r="K9" s="78"/>
      <c r="L9" s="68"/>
      <c r="M9" s="68"/>
      <c r="N9" s="133"/>
    </row>
    <row r="10" spans="1:19" ht="20.100000000000001" customHeight="1" x14ac:dyDescent="0.3">
      <c r="A10" s="60"/>
      <c r="B10" s="48"/>
      <c r="C10" s="48"/>
      <c r="D10" s="48"/>
      <c r="E10" s="48"/>
      <c r="F10" s="49"/>
      <c r="G10" s="48"/>
      <c r="H10" s="58"/>
      <c r="I10" s="58"/>
      <c r="J10" s="108"/>
      <c r="K10" s="54"/>
      <c r="L10" s="62"/>
      <c r="M10" s="68"/>
      <c r="N10" s="133"/>
    </row>
    <row r="11" spans="1:19" ht="20.100000000000001" customHeight="1" x14ac:dyDescent="0.3">
      <c r="A11" s="60"/>
      <c r="B11" s="48"/>
      <c r="C11" s="48"/>
      <c r="D11" s="48"/>
      <c r="E11" s="48"/>
      <c r="F11" s="49"/>
      <c r="G11" s="48"/>
      <c r="H11" s="58"/>
      <c r="I11" s="58"/>
      <c r="J11" s="108"/>
      <c r="K11" s="54"/>
      <c r="L11" s="68"/>
      <c r="M11" s="68"/>
      <c r="N11" s="133"/>
    </row>
    <row r="12" spans="1:19" ht="20.100000000000001" customHeight="1" x14ac:dyDescent="0.3">
      <c r="A12" s="60"/>
      <c r="B12" s="48"/>
      <c r="C12" s="48"/>
      <c r="D12" s="48"/>
      <c r="E12" s="48"/>
      <c r="F12" s="49"/>
      <c r="G12" s="48"/>
      <c r="H12" s="58"/>
      <c r="I12" s="58"/>
      <c r="J12" s="108"/>
      <c r="K12" s="54"/>
      <c r="L12" s="68"/>
      <c r="M12" s="68"/>
      <c r="N12" s="133"/>
    </row>
    <row r="13" spans="1:19" ht="19.149999999999999" customHeight="1" x14ac:dyDescent="0.3">
      <c r="A13" s="60"/>
      <c r="B13" s="48"/>
      <c r="C13" s="48"/>
      <c r="D13" s="48"/>
      <c r="E13" s="48"/>
      <c r="F13" s="49"/>
      <c r="G13" s="48"/>
      <c r="H13" s="58"/>
      <c r="I13" s="58"/>
      <c r="J13" s="108"/>
      <c r="K13" s="54"/>
      <c r="L13" s="68"/>
      <c r="M13" s="68"/>
      <c r="N13" s="133"/>
    </row>
    <row r="14" spans="1:19" ht="20.100000000000001" customHeight="1" x14ac:dyDescent="0.3">
      <c r="A14" s="47"/>
      <c r="B14" s="48"/>
      <c r="C14" s="48"/>
      <c r="D14" s="48"/>
      <c r="E14" s="48"/>
      <c r="F14" s="48"/>
      <c r="G14" s="48"/>
      <c r="H14" s="58"/>
      <c r="I14" s="58"/>
      <c r="J14" s="108"/>
      <c r="K14" s="54"/>
      <c r="L14" s="68"/>
      <c r="M14" s="68"/>
    </row>
    <row r="15" spans="1:19" ht="20.100000000000001" customHeight="1" x14ac:dyDescent="0.3">
      <c r="A15" s="47"/>
      <c r="B15" s="48"/>
      <c r="C15" s="48"/>
      <c r="D15" s="48"/>
      <c r="E15" s="48"/>
      <c r="F15" s="48"/>
      <c r="G15" s="48"/>
      <c r="H15" s="58"/>
      <c r="I15" s="58"/>
      <c r="J15" s="108"/>
      <c r="K15" s="54"/>
      <c r="L15" s="68"/>
      <c r="M15" s="68"/>
    </row>
    <row r="16" spans="1:19" ht="20.100000000000001" customHeight="1" x14ac:dyDescent="0.3">
      <c r="A16" s="47"/>
      <c r="B16" s="48"/>
      <c r="C16" s="48"/>
      <c r="D16" s="48"/>
      <c r="E16" s="48"/>
      <c r="F16" s="48"/>
      <c r="G16" s="48"/>
      <c r="H16" s="58"/>
      <c r="I16" s="58"/>
      <c r="J16" s="108"/>
      <c r="K16" s="54"/>
      <c r="L16" s="68"/>
      <c r="M16" s="68"/>
    </row>
    <row r="17" spans="1:13" ht="20.100000000000001" customHeight="1" x14ac:dyDescent="0.3">
      <c r="A17" s="47"/>
      <c r="B17" s="48"/>
      <c r="C17" s="48"/>
      <c r="D17" s="48"/>
      <c r="E17" s="48"/>
      <c r="F17" s="48"/>
      <c r="G17" s="48"/>
      <c r="H17" s="58"/>
      <c r="I17" s="58"/>
      <c r="J17" s="108"/>
      <c r="K17" s="54"/>
      <c r="L17" s="68"/>
      <c r="M17" s="68"/>
    </row>
    <row r="18" spans="1:13" ht="20.100000000000001" customHeight="1" x14ac:dyDescent="0.3">
      <c r="A18" s="47"/>
      <c r="B18" s="48"/>
      <c r="C18" s="48"/>
      <c r="D18" s="48"/>
      <c r="E18" s="48"/>
      <c r="F18" s="48"/>
      <c r="G18" s="48"/>
      <c r="H18" s="58"/>
      <c r="I18" s="58"/>
      <c r="J18" s="108"/>
      <c r="K18" s="54"/>
      <c r="L18" s="68"/>
      <c r="M18" s="68"/>
    </row>
    <row r="19" spans="1:13" ht="20.100000000000001" customHeight="1" x14ac:dyDescent="0.3">
      <c r="A19" s="47"/>
      <c r="B19" s="48"/>
      <c r="C19" s="48"/>
      <c r="D19" s="48"/>
      <c r="E19" s="48"/>
      <c r="F19" s="48"/>
      <c r="G19" s="48"/>
      <c r="H19" s="58"/>
      <c r="I19" s="58"/>
      <c r="J19" s="108"/>
      <c r="K19" s="54"/>
      <c r="L19" s="68"/>
      <c r="M19" s="68"/>
    </row>
    <row r="20" spans="1:13" ht="20.100000000000001" customHeight="1" x14ac:dyDescent="0.3">
      <c r="A20" s="47"/>
      <c r="B20" s="48"/>
      <c r="C20" s="48"/>
      <c r="D20" s="48"/>
      <c r="E20" s="48"/>
      <c r="F20" s="48"/>
      <c r="G20" s="48"/>
      <c r="H20" s="58"/>
      <c r="I20" s="58"/>
      <c r="J20" s="108"/>
      <c r="K20" s="54"/>
      <c r="L20" s="68"/>
      <c r="M20" s="68"/>
    </row>
    <row r="21" spans="1:13" ht="20.100000000000001" customHeight="1" x14ac:dyDescent="0.3">
      <c r="A21" s="47"/>
      <c r="B21" s="48"/>
      <c r="C21" s="48"/>
      <c r="D21" s="48"/>
      <c r="E21" s="48"/>
      <c r="F21" s="48"/>
      <c r="G21" s="48"/>
      <c r="H21" s="58"/>
      <c r="I21" s="58"/>
      <c r="J21" s="108"/>
      <c r="K21" s="54"/>
      <c r="L21" s="68"/>
      <c r="M21" s="68"/>
    </row>
    <row r="22" spans="1:13" ht="20.100000000000001" customHeight="1" x14ac:dyDescent="0.3">
      <c r="A22" s="47"/>
      <c r="B22" s="48"/>
      <c r="C22" s="48"/>
      <c r="D22" s="48"/>
      <c r="E22" s="48"/>
      <c r="F22" s="48"/>
      <c r="G22" s="48"/>
      <c r="H22" s="58"/>
      <c r="I22" s="58"/>
      <c r="J22" s="108"/>
      <c r="K22" s="54"/>
      <c r="L22" s="68"/>
      <c r="M22" s="68"/>
    </row>
    <row r="23" spans="1:13" ht="20.100000000000001" customHeight="1" x14ac:dyDescent="0.3">
      <c r="A23" s="47"/>
      <c r="B23" s="48"/>
      <c r="C23" s="48"/>
      <c r="D23" s="48"/>
      <c r="E23" s="48"/>
      <c r="F23" s="48"/>
      <c r="G23" s="48"/>
      <c r="H23" s="48"/>
      <c r="I23" s="48"/>
      <c r="J23" s="110"/>
      <c r="K23" s="62"/>
      <c r="L23" s="68"/>
      <c r="M23" s="68"/>
    </row>
    <row r="24" spans="1:13" ht="20.100000000000001" customHeight="1" x14ac:dyDescent="0.3">
      <c r="A24" s="75"/>
      <c r="B24" s="76"/>
      <c r="C24" s="76"/>
      <c r="D24" s="76"/>
      <c r="E24" s="76"/>
      <c r="F24" s="76"/>
      <c r="G24" s="76"/>
      <c r="H24" s="76"/>
      <c r="I24" s="76"/>
      <c r="J24" s="111"/>
      <c r="K24" s="79"/>
      <c r="L24" s="68"/>
      <c r="M24" s="68"/>
    </row>
    <row r="25" spans="1:13" ht="20.100000000000001" customHeight="1" x14ac:dyDescent="0.3">
      <c r="A25" s="47"/>
      <c r="B25" s="48"/>
      <c r="C25" s="48"/>
      <c r="D25" s="48"/>
      <c r="E25" s="48"/>
      <c r="F25" s="48"/>
      <c r="G25" s="72"/>
      <c r="H25" s="72"/>
      <c r="I25" s="72"/>
      <c r="J25" s="112"/>
      <c r="K25" s="62"/>
      <c r="L25" s="62"/>
      <c r="M25" s="68"/>
    </row>
    <row r="26" spans="1:13" ht="20.100000000000001" customHeight="1" x14ac:dyDescent="0.3">
      <c r="A26" s="47"/>
      <c r="B26" s="48"/>
      <c r="C26" s="48"/>
      <c r="D26" s="48"/>
      <c r="E26" s="48"/>
      <c r="F26" s="48"/>
      <c r="G26" s="48"/>
      <c r="H26" s="48"/>
      <c r="I26" s="48"/>
      <c r="J26" s="110"/>
      <c r="K26" s="62"/>
      <c r="L26" s="62"/>
      <c r="M26" s="68"/>
    </row>
    <row r="27" spans="1:13" ht="20.100000000000001" customHeight="1" x14ac:dyDescent="0.3">
      <c r="A27" s="47"/>
      <c r="B27" s="48"/>
      <c r="C27" s="48"/>
      <c r="D27" s="48"/>
      <c r="E27" s="48"/>
      <c r="F27" s="48"/>
      <c r="G27" s="48"/>
      <c r="H27" s="48"/>
      <c r="I27" s="48"/>
      <c r="J27" s="110"/>
      <c r="K27" s="62"/>
      <c r="L27" s="68"/>
      <c r="M27" s="68"/>
    </row>
    <row r="28" spans="1:13" ht="20.100000000000001" customHeight="1" x14ac:dyDescent="0.3">
      <c r="A28" s="47"/>
      <c r="B28" s="48"/>
      <c r="C28" s="48"/>
      <c r="D28" s="48"/>
      <c r="E28" s="48"/>
      <c r="F28" s="48"/>
      <c r="G28" s="72"/>
      <c r="H28" s="72"/>
      <c r="I28" s="72"/>
      <c r="J28" s="112"/>
      <c r="K28" s="62"/>
      <c r="L28" s="62"/>
      <c r="M28" s="68"/>
    </row>
    <row r="29" spans="1:13" ht="20.100000000000001" customHeight="1" x14ac:dyDescent="0.3">
      <c r="A29" s="47"/>
      <c r="B29" s="48"/>
      <c r="C29" s="48"/>
      <c r="D29" s="48"/>
      <c r="E29" s="48"/>
      <c r="F29" s="48"/>
      <c r="G29" s="72"/>
      <c r="H29" s="72"/>
      <c r="I29" s="72"/>
      <c r="J29" s="112"/>
      <c r="K29" s="62"/>
      <c r="L29" s="62"/>
      <c r="M29" s="68"/>
    </row>
    <row r="30" spans="1:13" ht="20.100000000000001" customHeight="1" x14ac:dyDescent="0.3">
      <c r="A30" s="47"/>
      <c r="B30" s="48"/>
      <c r="C30" s="48"/>
      <c r="D30" s="48"/>
      <c r="E30" s="48"/>
      <c r="F30" s="48"/>
      <c r="G30" s="48"/>
      <c r="H30" s="48"/>
      <c r="I30" s="48"/>
      <c r="J30" s="110"/>
      <c r="K30" s="62"/>
      <c r="L30" s="68"/>
    </row>
    <row r="31" spans="1:13" ht="20.100000000000001" customHeight="1" x14ac:dyDescent="0.3">
      <c r="A31" s="47"/>
      <c r="B31" s="48"/>
      <c r="C31" s="48"/>
      <c r="D31" s="48"/>
      <c r="E31" s="48"/>
      <c r="F31" s="48"/>
      <c r="G31" s="48"/>
      <c r="H31" s="48"/>
      <c r="I31" s="48"/>
      <c r="J31" s="110"/>
      <c r="K31" s="62"/>
      <c r="L31" s="68"/>
    </row>
    <row r="32" spans="1:13" ht="20.100000000000001" customHeight="1" x14ac:dyDescent="0.3">
      <c r="A32" s="47"/>
      <c r="B32" s="48"/>
      <c r="C32" s="48"/>
      <c r="D32" s="48"/>
      <c r="E32" s="48"/>
      <c r="F32" s="70"/>
      <c r="G32" s="58"/>
      <c r="H32" s="58"/>
      <c r="I32" s="58"/>
      <c r="J32" s="108"/>
      <c r="K32" s="62"/>
      <c r="L32" s="62"/>
    </row>
    <row r="33" spans="1:12" ht="20.100000000000001" customHeight="1" x14ac:dyDescent="0.3">
      <c r="A33" s="47"/>
      <c r="B33" s="48"/>
      <c r="C33" s="48"/>
      <c r="D33" s="48"/>
      <c r="E33" s="48"/>
      <c r="F33" s="48"/>
      <c r="G33" s="48"/>
      <c r="H33" s="48"/>
      <c r="I33" s="48"/>
      <c r="J33" s="110"/>
      <c r="K33" s="62"/>
      <c r="L33" s="68"/>
    </row>
    <row r="34" spans="1:12" ht="20.100000000000001" customHeight="1" x14ac:dyDescent="0.3">
      <c r="A34" s="47"/>
      <c r="B34" s="48"/>
      <c r="C34" s="48"/>
      <c r="D34" s="48"/>
      <c r="E34" s="48"/>
      <c r="F34" s="48"/>
      <c r="G34" s="48"/>
      <c r="H34" s="58"/>
      <c r="I34" s="58"/>
      <c r="J34" s="108"/>
      <c r="K34" s="62"/>
      <c r="L34" s="62"/>
    </row>
    <row r="35" spans="1:12" ht="20.100000000000001" customHeight="1" x14ac:dyDescent="0.3">
      <c r="A35" s="47"/>
      <c r="B35" s="48"/>
      <c r="C35" s="48"/>
      <c r="D35" s="48"/>
      <c r="E35" s="48"/>
      <c r="F35" s="48"/>
      <c r="G35" s="48"/>
      <c r="H35" s="58"/>
      <c r="I35" s="58"/>
      <c r="J35" s="108"/>
      <c r="K35" s="62"/>
      <c r="L35" s="62"/>
    </row>
  </sheetData>
  <mergeCells count="1">
    <mergeCell ref="A1:L1"/>
  </mergeCells>
  <phoneticPr fontId="3" type="noConversion"/>
  <conditionalFormatting sqref="E9:K9 A14:A22 B17:K22">
    <cfRule type="containsText" dxfId="0" priority="1" operator="containsText" text="2022">
      <formula>NOT(ISERROR(SEARCH("2022",A9)))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2026년 04월채움</vt:lpstr>
      <vt:lpstr>제주</vt:lpstr>
      <vt:lpstr>조선</vt:lpstr>
      <vt:lpstr>소노벨</vt:lpstr>
      <vt:lpstr>소노캄_기물</vt:lpstr>
      <vt:lpstr>소노캄</vt:lpstr>
      <vt:lpstr>소노캄_런드리</vt:lpstr>
      <vt:lpstr>포시</vt:lpstr>
      <vt:lpstr>부산파크</vt:lpstr>
      <vt:lpstr>시그니엘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2026-01-16T09:14:51Z</dcterms:created>
  <dcterms:modified xsi:type="dcterms:W3CDTF">2026-04-25T05:42:29Z</dcterms:modified>
</cp:coreProperties>
</file>